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https://d.docs-df.live.net/34003888c254c650/Projects/Excel/Financial/"/>
    </mc:Choice>
  </mc:AlternateContent>
  <bookViews>
    <workbookView minimized="1" xWindow="0" yWindow="0" windowWidth="12930" windowHeight="9210" firstSheet="5" activeTab="11"/>
  </bookViews>
  <sheets>
    <sheet name="Accounts" sheetId="1482" r:id="rId1"/>
    <sheet name="Balanced" sheetId="1492" r:id="rId2"/>
    <sheet name="Categorized" sheetId="1493" r:id="rId3"/>
    <sheet name="Transactions" sheetId="1483" r:id="rId4"/>
    <sheet name="Categories" sheetId="1484" r:id="rId5"/>
    <sheet name="Tags" sheetId="1485" r:id="rId6"/>
    <sheet name="Security" sheetId="1486" r:id="rId7"/>
    <sheet name="Memorized" sheetId="1487" r:id="rId8"/>
    <sheet name="Experiment" sheetId="1491" r:id="rId9"/>
    <sheet name="Projects" sheetId="1490" r:id="rId10"/>
    <sheet name="Vacation" sheetId="1489" r:id="rId11"/>
    <sheet name="Combined (Pivot)" sheetId="1488" r:id="rId12"/>
    <sheet name="_Config" sheetId="3" r:id="rId13"/>
    <sheet name="_Categories (Master)" sheetId="926" r:id="rId14"/>
    <sheet name="Stock" sheetId="1246" r:id="rId15"/>
  </sheets>
  <functionGroups builtInGroupCount="18"/>
  <definedNames>
    <definedName name="_xlnm._FilterDatabase" localSheetId="13" hidden="1">'_Categories (Master)'!$A$1:$F$242</definedName>
    <definedName name="Balanced">#REF!</definedName>
    <definedName name="CFG_BudgetYear">_Config!$B$3</definedName>
    <definedName name="CFG_DataSheetName">_Config!$B$2</definedName>
    <definedName name="cfg_PremeraClaimsDest">_Config!$B$19</definedName>
    <definedName name="cfg_PremeraClaimsSrc">_Config!$B$18</definedName>
    <definedName name="CFG_SourceQIF">_Config!$B$1</definedName>
    <definedName name="TBL_Balanced">Balanced!$A$1:$C$21</definedName>
    <definedName name="TBL_Categories">'_Categories (Master)'!$A$1:$F$242</definedName>
    <definedName name="TBL_Categorized">Categorized!$A$1:$B$20</definedName>
    <definedName name="TBL_Data">Transactions!$A$1:$W$1903</definedName>
  </definedNames>
  <calcPr calcId="152511"/>
  <pivotCaches>
    <pivotCache cacheId="158" r:id="rId16"/>
    <pivotCache cacheId="164" r:id="rId17"/>
    <pivotCache cacheId="169" r:id="rId18"/>
    <pivotCache cacheId="177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1483" l="1"/>
  <c r="V3" i="1483"/>
  <c r="V4" i="1483"/>
  <c r="V5" i="1483"/>
  <c r="V6" i="1483"/>
  <c r="V7" i="1483"/>
  <c r="V8" i="1483"/>
  <c r="V9" i="1483"/>
  <c r="V10" i="1483"/>
  <c r="V11" i="1483"/>
  <c r="V12" i="1483"/>
  <c r="V13" i="1483"/>
  <c r="V14" i="1483"/>
  <c r="V15" i="1483"/>
  <c r="V16" i="1483"/>
  <c r="V17" i="1483"/>
  <c r="V18" i="1483"/>
  <c r="V19" i="1483"/>
  <c r="V20" i="1483"/>
  <c r="V21" i="1483"/>
  <c r="V22" i="1483"/>
  <c r="V23" i="1483"/>
  <c r="V24" i="1483"/>
  <c r="V25" i="1483"/>
  <c r="V26" i="1483"/>
  <c r="V27" i="1483"/>
  <c r="V28" i="1483"/>
  <c r="V29" i="1483"/>
  <c r="V30" i="1483"/>
  <c r="V31" i="1483"/>
  <c r="V32" i="1483"/>
  <c r="V33" i="1483"/>
  <c r="V34" i="1483"/>
  <c r="V35" i="1483"/>
  <c r="V36" i="1483"/>
  <c r="V37" i="1483"/>
  <c r="V38" i="1483"/>
  <c r="V39" i="1483"/>
  <c r="V40" i="1483"/>
  <c r="V41" i="1483"/>
  <c r="V42" i="1483"/>
  <c r="V43" i="1483"/>
  <c r="V44" i="1483"/>
  <c r="V45" i="1483"/>
  <c r="V46" i="1483"/>
  <c r="V47" i="1483"/>
  <c r="V48" i="1483"/>
  <c r="V49" i="1483"/>
  <c r="V50" i="1483"/>
  <c r="V51" i="1483"/>
  <c r="V52" i="1483"/>
  <c r="V53" i="1483"/>
  <c r="V54" i="1483"/>
  <c r="V55" i="1483"/>
  <c r="V56" i="1483"/>
  <c r="V57" i="1483"/>
  <c r="V58" i="1483"/>
  <c r="V59" i="1483"/>
  <c r="V60" i="1483"/>
  <c r="V61" i="1483"/>
  <c r="V62" i="1483"/>
  <c r="V63" i="1483"/>
  <c r="V64" i="1483"/>
  <c r="V65" i="1483"/>
  <c r="V66" i="1483"/>
  <c r="V67" i="1483"/>
  <c r="V68" i="1483"/>
  <c r="V69" i="1483"/>
  <c r="V70" i="1483"/>
  <c r="V71" i="1483"/>
  <c r="V72" i="1483"/>
  <c r="V73" i="1483"/>
  <c r="V74" i="1483"/>
  <c r="V75" i="1483"/>
  <c r="V76" i="1483"/>
  <c r="V77" i="1483"/>
  <c r="V78" i="1483"/>
  <c r="V79" i="1483"/>
  <c r="V80" i="1483"/>
  <c r="V81" i="1483"/>
  <c r="V82" i="1483"/>
  <c r="V83" i="1483"/>
  <c r="V84" i="1483"/>
  <c r="V85" i="1483"/>
  <c r="V86" i="1483"/>
  <c r="V87" i="1483"/>
  <c r="V88" i="1483"/>
  <c r="V89" i="1483"/>
  <c r="V90" i="1483"/>
  <c r="V91" i="1483"/>
  <c r="V92" i="1483"/>
  <c r="V93" i="1483"/>
  <c r="V94" i="1483"/>
  <c r="V95" i="1483"/>
  <c r="V96" i="1483"/>
  <c r="V97" i="1483"/>
  <c r="V98" i="1483"/>
  <c r="V99" i="1483"/>
  <c r="V100" i="1483"/>
  <c r="V101" i="1483"/>
  <c r="V102" i="1483"/>
  <c r="V103" i="1483"/>
  <c r="V104" i="1483"/>
  <c r="V105" i="1483"/>
  <c r="V106" i="1483"/>
  <c r="V107" i="1483"/>
  <c r="V108" i="1483"/>
  <c r="V109" i="1483"/>
  <c r="V110" i="1483"/>
  <c r="V111" i="1483"/>
  <c r="V112" i="1483"/>
  <c r="V113" i="1483"/>
  <c r="V114" i="1483"/>
  <c r="V115" i="1483"/>
  <c r="V116" i="1483"/>
  <c r="V117" i="1483"/>
  <c r="V118" i="1483"/>
  <c r="V119" i="1483"/>
  <c r="V120" i="1483"/>
  <c r="V121" i="1483"/>
  <c r="V122" i="1483"/>
  <c r="V123" i="1483"/>
  <c r="V124" i="1483"/>
  <c r="V125" i="1483"/>
  <c r="V126" i="1483"/>
  <c r="V127" i="1483"/>
  <c r="V128" i="1483"/>
  <c r="V129" i="1483"/>
  <c r="V130" i="1483"/>
  <c r="V131" i="1483"/>
  <c r="V132" i="1483"/>
  <c r="V133" i="1483"/>
  <c r="V134" i="1483"/>
  <c r="V135" i="1483"/>
  <c r="V136" i="1483"/>
  <c r="V137" i="1483"/>
  <c r="V138" i="1483"/>
  <c r="V139" i="1483"/>
  <c r="V140" i="1483"/>
  <c r="V141" i="1483"/>
  <c r="V142" i="1483"/>
  <c r="V143" i="1483"/>
  <c r="V144" i="1483"/>
  <c r="V145" i="1483"/>
  <c r="V146" i="1483"/>
  <c r="V147" i="1483"/>
  <c r="V148" i="1483"/>
  <c r="V149" i="1483"/>
  <c r="V150" i="1483"/>
  <c r="V151" i="1483"/>
  <c r="V152" i="1483"/>
  <c r="V153" i="1483"/>
  <c r="V154" i="1483"/>
  <c r="V155" i="1483"/>
  <c r="V156" i="1483"/>
  <c r="V157" i="1483"/>
  <c r="V158" i="1483"/>
  <c r="V159" i="1483"/>
  <c r="V160" i="1483"/>
  <c r="V161" i="1483"/>
  <c r="V162" i="1483"/>
  <c r="V163" i="1483"/>
  <c r="V164" i="1483"/>
  <c r="V165" i="1483"/>
  <c r="V166" i="1483"/>
  <c r="V167" i="1483"/>
  <c r="V168" i="1483"/>
  <c r="V169" i="1483"/>
  <c r="V170" i="1483"/>
  <c r="V171" i="1483"/>
  <c r="V172" i="1483"/>
  <c r="V173" i="1483"/>
  <c r="V174" i="1483"/>
  <c r="V175" i="1483"/>
  <c r="V176" i="1483"/>
  <c r="V177" i="1483"/>
  <c r="V178" i="1483"/>
  <c r="V179" i="1483"/>
  <c r="V180" i="1483"/>
  <c r="V181" i="1483"/>
  <c r="V182" i="1483"/>
  <c r="V183" i="1483"/>
  <c r="V184" i="1483"/>
  <c r="V185" i="1483"/>
  <c r="V186" i="1483"/>
  <c r="V187" i="1483"/>
  <c r="V188" i="1483"/>
  <c r="V189" i="1483"/>
  <c r="V190" i="1483"/>
  <c r="V191" i="1483"/>
  <c r="V192" i="1483"/>
  <c r="V193" i="1483"/>
  <c r="V194" i="1483"/>
  <c r="V195" i="1483"/>
  <c r="V196" i="1483"/>
  <c r="V197" i="1483"/>
  <c r="V198" i="1483"/>
  <c r="V199" i="1483"/>
  <c r="V200" i="1483"/>
  <c r="V201" i="1483"/>
  <c r="V202" i="1483"/>
  <c r="V203" i="1483"/>
  <c r="V204" i="1483"/>
  <c r="V205" i="1483"/>
  <c r="V206" i="1483"/>
  <c r="V207" i="1483"/>
  <c r="V208" i="1483"/>
  <c r="V209" i="1483"/>
  <c r="V210" i="1483"/>
  <c r="V211" i="1483"/>
  <c r="V212" i="1483"/>
  <c r="V213" i="1483"/>
  <c r="V214" i="1483"/>
  <c r="V215" i="1483"/>
  <c r="V216" i="1483"/>
  <c r="V217" i="1483"/>
  <c r="V218" i="1483"/>
  <c r="V219" i="1483"/>
  <c r="V220" i="1483"/>
  <c r="V221" i="1483"/>
  <c r="V222" i="1483"/>
  <c r="V223" i="1483"/>
  <c r="V224" i="1483"/>
  <c r="V225" i="1483"/>
  <c r="V226" i="1483"/>
  <c r="V227" i="1483"/>
  <c r="V228" i="1483"/>
  <c r="V229" i="1483"/>
  <c r="V230" i="1483"/>
  <c r="V231" i="1483"/>
  <c r="V232" i="1483"/>
  <c r="V233" i="1483"/>
  <c r="V234" i="1483"/>
  <c r="V235" i="1483"/>
  <c r="V236" i="1483"/>
  <c r="V237" i="1483"/>
  <c r="V238" i="1483"/>
  <c r="V239" i="1483"/>
  <c r="V240" i="1483"/>
  <c r="V241" i="1483"/>
  <c r="V242" i="1483"/>
  <c r="V243" i="1483"/>
  <c r="V244" i="1483"/>
  <c r="V245" i="1483"/>
  <c r="V246" i="1483"/>
  <c r="V247" i="1483"/>
  <c r="V248" i="1483"/>
  <c r="V249" i="1483"/>
  <c r="V250" i="1483"/>
  <c r="V251" i="1483"/>
  <c r="V252" i="1483"/>
  <c r="V253" i="1483"/>
  <c r="V254" i="1483"/>
  <c r="V255" i="1483"/>
  <c r="V256" i="1483"/>
  <c r="V257" i="1483"/>
  <c r="V258" i="1483"/>
  <c r="V259" i="1483"/>
  <c r="V260" i="1483"/>
  <c r="V261" i="1483"/>
  <c r="V262" i="1483"/>
  <c r="V263" i="1483"/>
  <c r="V264" i="1483"/>
  <c r="V265" i="1483"/>
  <c r="V266" i="1483"/>
  <c r="V267" i="1483"/>
  <c r="V268" i="1483"/>
  <c r="V269" i="1483"/>
  <c r="V270" i="1483"/>
  <c r="V271" i="1483"/>
  <c r="V272" i="1483"/>
  <c r="V273" i="1483"/>
  <c r="V274" i="1483"/>
  <c r="V275" i="1483"/>
  <c r="V276" i="1483"/>
  <c r="V277" i="1483"/>
  <c r="V278" i="1483"/>
  <c r="V279" i="1483"/>
  <c r="V280" i="1483"/>
  <c r="V281" i="1483"/>
  <c r="V282" i="1483"/>
  <c r="V283" i="1483"/>
  <c r="V284" i="1483"/>
  <c r="V285" i="1483"/>
  <c r="V286" i="1483"/>
  <c r="V287" i="1483"/>
  <c r="V288" i="1483"/>
  <c r="V289" i="1483"/>
  <c r="V290" i="1483"/>
  <c r="V291" i="1483"/>
  <c r="V292" i="1483"/>
  <c r="V293" i="1483"/>
  <c r="V294" i="1483"/>
  <c r="V295" i="1483"/>
  <c r="V296" i="1483"/>
  <c r="V297" i="1483"/>
  <c r="V298" i="1483"/>
  <c r="V299" i="1483"/>
  <c r="V300" i="1483"/>
  <c r="V301" i="1483"/>
  <c r="V302" i="1483"/>
  <c r="V303" i="1483"/>
  <c r="V304" i="1483"/>
  <c r="V305" i="1483"/>
  <c r="V306" i="1483"/>
  <c r="V307" i="1483"/>
  <c r="V308" i="1483"/>
  <c r="V309" i="1483"/>
  <c r="V310" i="1483"/>
  <c r="V311" i="1483"/>
  <c r="V312" i="1483"/>
  <c r="V313" i="1483"/>
  <c r="V314" i="1483"/>
  <c r="V315" i="1483"/>
  <c r="V316" i="1483"/>
  <c r="V317" i="1483"/>
  <c r="V318" i="1483"/>
  <c r="V319" i="1483"/>
  <c r="V320" i="1483"/>
  <c r="V321" i="1483"/>
  <c r="V322" i="1483"/>
  <c r="V323" i="1483"/>
  <c r="V324" i="1483"/>
  <c r="V325" i="1483"/>
  <c r="V326" i="1483"/>
  <c r="V327" i="1483"/>
  <c r="V328" i="1483"/>
  <c r="V329" i="1483"/>
  <c r="V330" i="1483"/>
  <c r="V331" i="1483"/>
  <c r="V332" i="1483"/>
  <c r="V333" i="1483"/>
  <c r="V334" i="1483"/>
  <c r="V335" i="1483"/>
  <c r="V336" i="1483"/>
  <c r="V337" i="1483"/>
  <c r="V338" i="1483"/>
  <c r="V339" i="1483"/>
  <c r="V340" i="1483"/>
  <c r="V341" i="1483"/>
  <c r="V342" i="1483"/>
  <c r="V343" i="1483"/>
  <c r="V344" i="1483"/>
  <c r="V345" i="1483"/>
  <c r="V346" i="1483"/>
  <c r="V347" i="1483"/>
  <c r="V348" i="1483"/>
  <c r="V349" i="1483"/>
  <c r="V350" i="1483"/>
  <c r="V351" i="1483"/>
  <c r="V352" i="1483"/>
  <c r="V353" i="1483"/>
  <c r="V354" i="1483"/>
  <c r="V355" i="1483"/>
  <c r="V356" i="1483"/>
  <c r="V357" i="1483"/>
  <c r="V358" i="1483"/>
  <c r="V359" i="1483"/>
  <c r="V360" i="1483"/>
  <c r="V361" i="1483"/>
  <c r="V362" i="1483"/>
  <c r="V363" i="1483"/>
  <c r="V364" i="1483"/>
  <c r="V365" i="1483"/>
  <c r="V366" i="1483"/>
  <c r="V367" i="1483"/>
  <c r="V368" i="1483"/>
  <c r="V369" i="1483"/>
  <c r="V370" i="1483"/>
  <c r="V371" i="1483"/>
  <c r="V372" i="1483"/>
  <c r="V373" i="1483"/>
  <c r="V374" i="1483"/>
  <c r="V375" i="1483"/>
  <c r="V376" i="1483"/>
  <c r="V377" i="1483"/>
  <c r="V378" i="1483"/>
  <c r="V379" i="1483"/>
  <c r="V380" i="1483"/>
  <c r="V381" i="1483"/>
  <c r="V382" i="1483"/>
  <c r="V383" i="1483"/>
  <c r="V384" i="1483"/>
  <c r="V385" i="1483"/>
  <c r="V386" i="1483"/>
  <c r="V387" i="1483"/>
  <c r="V388" i="1483"/>
  <c r="V389" i="1483"/>
  <c r="V390" i="1483"/>
  <c r="V391" i="1483"/>
  <c r="V392" i="1483"/>
  <c r="V393" i="1483"/>
  <c r="V394" i="1483"/>
  <c r="V395" i="1483"/>
  <c r="V396" i="1483"/>
  <c r="V397" i="1483"/>
  <c r="V398" i="1483"/>
  <c r="V399" i="1483"/>
  <c r="V400" i="1483"/>
  <c r="V401" i="1483"/>
  <c r="V402" i="1483"/>
  <c r="V403" i="1483"/>
  <c r="V404" i="1483"/>
  <c r="V405" i="1483"/>
  <c r="V406" i="1483"/>
  <c r="V407" i="1483"/>
  <c r="V408" i="1483"/>
  <c r="V409" i="1483"/>
  <c r="V410" i="1483"/>
  <c r="V411" i="1483"/>
  <c r="V412" i="1483"/>
  <c r="V413" i="1483"/>
  <c r="V414" i="1483"/>
  <c r="V415" i="1483"/>
  <c r="V416" i="1483"/>
  <c r="V417" i="1483"/>
  <c r="V418" i="1483"/>
  <c r="V419" i="1483"/>
  <c r="V420" i="1483"/>
  <c r="V421" i="1483"/>
  <c r="V422" i="1483"/>
  <c r="V423" i="1483"/>
  <c r="V424" i="1483"/>
  <c r="V425" i="1483"/>
  <c r="V426" i="1483"/>
  <c r="V427" i="1483"/>
  <c r="V428" i="1483"/>
  <c r="V429" i="1483"/>
  <c r="V430" i="1483"/>
  <c r="V431" i="1483"/>
  <c r="V432" i="1483"/>
  <c r="V433" i="1483"/>
  <c r="V434" i="1483"/>
  <c r="V435" i="1483"/>
  <c r="V436" i="1483"/>
  <c r="V437" i="1483"/>
  <c r="V438" i="1483"/>
  <c r="V439" i="1483"/>
  <c r="V440" i="1483"/>
  <c r="V441" i="1483"/>
  <c r="V442" i="1483"/>
  <c r="V443" i="1483"/>
  <c r="V444" i="1483"/>
  <c r="V445" i="1483"/>
  <c r="V446" i="1483"/>
  <c r="V447" i="1483"/>
  <c r="V448" i="1483"/>
  <c r="V449" i="1483"/>
  <c r="V450" i="1483"/>
  <c r="V451" i="1483"/>
  <c r="V452" i="1483"/>
  <c r="V453" i="1483"/>
  <c r="V454" i="1483"/>
  <c r="V455" i="1483"/>
  <c r="V456" i="1483"/>
  <c r="V457" i="1483"/>
  <c r="V458" i="1483"/>
  <c r="V459" i="1483"/>
  <c r="V460" i="1483"/>
  <c r="V461" i="1483"/>
  <c r="V462" i="1483"/>
  <c r="V463" i="1483"/>
  <c r="V464" i="1483"/>
  <c r="V465" i="1483"/>
  <c r="V466" i="1483"/>
  <c r="V467" i="1483"/>
  <c r="V468" i="1483"/>
  <c r="V469" i="1483"/>
  <c r="V470" i="1483"/>
  <c r="V471" i="1483"/>
  <c r="V472" i="1483"/>
  <c r="V473" i="1483"/>
  <c r="V474" i="1483"/>
  <c r="V475" i="1483"/>
  <c r="V476" i="1483"/>
  <c r="V477" i="1483"/>
  <c r="V478" i="1483"/>
  <c r="V479" i="1483"/>
  <c r="V480" i="1483"/>
  <c r="V481" i="1483"/>
  <c r="V482" i="1483"/>
  <c r="V483" i="1483"/>
  <c r="V484" i="1483"/>
  <c r="V485" i="1483"/>
  <c r="V486" i="1483"/>
  <c r="V487" i="1483"/>
  <c r="V488" i="1483"/>
  <c r="V489" i="1483"/>
  <c r="V490" i="1483"/>
  <c r="V491" i="1483"/>
  <c r="V492" i="1483"/>
  <c r="V493" i="1483"/>
  <c r="V494" i="1483"/>
  <c r="V495" i="1483"/>
  <c r="V496" i="1483"/>
  <c r="V497" i="1483"/>
  <c r="V498" i="1483"/>
  <c r="V499" i="1483"/>
  <c r="V500" i="1483"/>
  <c r="V501" i="1483"/>
  <c r="V502" i="1483"/>
  <c r="V503" i="1483"/>
  <c r="V504" i="1483"/>
  <c r="V505" i="1483"/>
  <c r="V506" i="1483"/>
  <c r="V507" i="1483"/>
  <c r="V508" i="1483"/>
  <c r="V509" i="1483"/>
  <c r="V510" i="1483"/>
  <c r="V511" i="1483"/>
  <c r="V512" i="1483"/>
  <c r="V513" i="1483"/>
  <c r="V514" i="1483"/>
  <c r="V515" i="1483"/>
  <c r="V516" i="1483"/>
  <c r="V517" i="1483"/>
  <c r="V518" i="1483"/>
  <c r="V519" i="1483"/>
  <c r="V520" i="1483"/>
  <c r="V521" i="1483"/>
  <c r="V522" i="1483"/>
  <c r="V523" i="1483"/>
  <c r="V524" i="1483"/>
  <c r="V525" i="1483"/>
  <c r="V526" i="1483"/>
  <c r="V527" i="1483"/>
  <c r="V528" i="1483"/>
  <c r="V529" i="1483"/>
  <c r="V530" i="1483"/>
  <c r="V531" i="1483"/>
  <c r="V532" i="1483"/>
  <c r="V533" i="1483"/>
  <c r="V534" i="1483"/>
  <c r="V535" i="1483"/>
  <c r="V536" i="1483"/>
  <c r="V537" i="1483"/>
  <c r="V538" i="1483"/>
  <c r="V539" i="1483"/>
  <c r="V540" i="1483"/>
  <c r="V541" i="1483"/>
  <c r="V542" i="1483"/>
  <c r="V543" i="1483"/>
  <c r="V544" i="1483"/>
  <c r="V545" i="1483"/>
  <c r="V546" i="1483"/>
  <c r="V547" i="1483"/>
  <c r="V548" i="1483"/>
  <c r="V549" i="1483"/>
  <c r="V550" i="1483"/>
  <c r="V551" i="1483"/>
  <c r="V552" i="1483"/>
  <c r="V553" i="1483"/>
  <c r="V554" i="1483"/>
  <c r="V555" i="1483"/>
  <c r="V556" i="1483"/>
  <c r="V557" i="1483"/>
  <c r="V558" i="1483"/>
  <c r="V559" i="1483"/>
  <c r="V560" i="1483"/>
  <c r="V561" i="1483"/>
  <c r="V562" i="1483"/>
  <c r="V563" i="1483"/>
  <c r="V564" i="1483"/>
  <c r="V565" i="1483"/>
  <c r="V566" i="1483"/>
  <c r="V567" i="1483"/>
  <c r="V568" i="1483"/>
  <c r="V569" i="1483"/>
  <c r="V570" i="1483"/>
  <c r="V571" i="1483"/>
  <c r="V572" i="1483"/>
  <c r="V573" i="1483"/>
  <c r="V574" i="1483"/>
  <c r="V575" i="1483"/>
  <c r="V576" i="1483"/>
  <c r="V577" i="1483"/>
  <c r="V578" i="1483"/>
  <c r="V579" i="1483"/>
  <c r="V580" i="1483"/>
  <c r="V581" i="1483"/>
  <c r="V582" i="1483"/>
  <c r="V583" i="1483"/>
  <c r="V584" i="1483"/>
  <c r="V585" i="1483"/>
  <c r="V586" i="1483"/>
  <c r="V587" i="1483"/>
  <c r="V588" i="1483"/>
  <c r="V589" i="1483"/>
  <c r="V590" i="1483"/>
  <c r="V591" i="1483"/>
  <c r="V592" i="1483"/>
  <c r="V593" i="1483"/>
  <c r="V594" i="1483"/>
  <c r="V595" i="1483"/>
  <c r="V596" i="1483"/>
  <c r="V597" i="1483"/>
  <c r="V598" i="1483"/>
  <c r="V599" i="1483"/>
  <c r="V600" i="1483"/>
  <c r="V601" i="1483"/>
  <c r="V602" i="1483"/>
  <c r="V603" i="1483"/>
  <c r="V604" i="1483"/>
  <c r="V605" i="1483"/>
  <c r="V606" i="1483"/>
  <c r="V607" i="1483"/>
  <c r="V608" i="1483"/>
  <c r="V609" i="1483"/>
  <c r="V610" i="1483"/>
  <c r="V611" i="1483"/>
  <c r="V612" i="1483"/>
  <c r="V613" i="1483"/>
  <c r="V614" i="1483"/>
  <c r="V615" i="1483"/>
  <c r="V616" i="1483"/>
  <c r="V617" i="1483"/>
  <c r="V618" i="1483"/>
  <c r="V619" i="1483"/>
  <c r="V620" i="1483"/>
  <c r="V621" i="1483"/>
  <c r="V622" i="1483"/>
  <c r="V623" i="1483"/>
  <c r="V624" i="1483"/>
  <c r="V625" i="1483"/>
  <c r="V626" i="1483"/>
  <c r="V627" i="1483"/>
  <c r="V628" i="1483"/>
  <c r="V629" i="1483"/>
  <c r="V630" i="1483"/>
  <c r="V631" i="1483"/>
  <c r="V632" i="1483"/>
  <c r="V633" i="1483"/>
  <c r="V634" i="1483"/>
  <c r="V635" i="1483"/>
  <c r="V636" i="1483"/>
  <c r="V637" i="1483"/>
  <c r="V638" i="1483"/>
  <c r="V639" i="1483"/>
  <c r="V640" i="1483"/>
  <c r="V641" i="1483"/>
  <c r="V642" i="1483"/>
  <c r="V643" i="1483"/>
  <c r="V644" i="1483"/>
  <c r="V645" i="1483"/>
  <c r="V646" i="1483"/>
  <c r="V647" i="1483"/>
  <c r="V648" i="1483"/>
  <c r="V649" i="1483"/>
  <c r="V650" i="1483"/>
  <c r="V651" i="1483"/>
  <c r="V652" i="1483"/>
  <c r="V653" i="1483"/>
  <c r="V654" i="1483"/>
  <c r="V655" i="1483"/>
  <c r="V656" i="1483"/>
  <c r="V657" i="1483"/>
  <c r="V658" i="1483"/>
  <c r="V659" i="1483"/>
  <c r="V660" i="1483"/>
  <c r="V661" i="1483"/>
  <c r="V662" i="1483"/>
  <c r="V663" i="1483"/>
  <c r="V664" i="1483"/>
  <c r="V665" i="1483"/>
  <c r="V666" i="1483"/>
  <c r="V667" i="1483"/>
  <c r="V668" i="1483"/>
  <c r="V669" i="1483"/>
  <c r="V670" i="1483"/>
  <c r="V671" i="1483"/>
  <c r="V672" i="1483"/>
  <c r="V673" i="1483"/>
  <c r="V674" i="1483"/>
  <c r="V675" i="1483"/>
  <c r="V676" i="1483"/>
  <c r="V677" i="1483"/>
  <c r="V678" i="1483"/>
  <c r="V679" i="1483"/>
  <c r="V680" i="1483"/>
  <c r="V681" i="1483"/>
  <c r="V682" i="1483"/>
  <c r="V683" i="1483"/>
  <c r="V684" i="1483"/>
  <c r="V685" i="1483"/>
  <c r="V686" i="1483"/>
  <c r="V687" i="1483"/>
  <c r="V688" i="1483"/>
  <c r="V689" i="1483"/>
  <c r="V690" i="1483"/>
  <c r="V691" i="1483"/>
  <c r="V692" i="1483"/>
  <c r="V693" i="1483"/>
  <c r="V694" i="1483"/>
  <c r="V695" i="1483"/>
  <c r="V696" i="1483"/>
  <c r="V697" i="1483"/>
  <c r="V698" i="1483"/>
  <c r="V699" i="1483"/>
  <c r="V700" i="1483"/>
  <c r="V701" i="1483"/>
  <c r="V702" i="1483"/>
  <c r="V703" i="1483"/>
  <c r="V704" i="1483"/>
  <c r="V705" i="1483"/>
  <c r="V706" i="1483"/>
  <c r="V707" i="1483"/>
  <c r="V708" i="1483"/>
  <c r="V709" i="1483"/>
  <c r="V710" i="1483"/>
  <c r="V711" i="1483"/>
  <c r="V712" i="1483"/>
  <c r="V713" i="1483"/>
  <c r="V714" i="1483"/>
  <c r="V715" i="1483"/>
  <c r="V716" i="1483"/>
  <c r="V717" i="1483"/>
  <c r="V718" i="1483"/>
  <c r="V719" i="1483"/>
  <c r="V720" i="1483"/>
  <c r="V721" i="1483"/>
  <c r="V722" i="1483"/>
  <c r="V723" i="1483"/>
  <c r="V724" i="1483"/>
  <c r="V725" i="1483"/>
  <c r="V726" i="1483"/>
  <c r="V727" i="1483"/>
  <c r="V728" i="1483"/>
  <c r="V729" i="1483"/>
  <c r="V730" i="1483"/>
  <c r="V731" i="1483"/>
  <c r="V732" i="1483"/>
  <c r="V733" i="1483"/>
  <c r="V734" i="1483"/>
  <c r="V735" i="1483"/>
  <c r="V736" i="1483"/>
  <c r="V737" i="1483"/>
  <c r="V738" i="1483"/>
  <c r="V739" i="1483"/>
  <c r="V740" i="1483"/>
  <c r="V741" i="1483"/>
  <c r="V742" i="1483"/>
  <c r="V743" i="1483"/>
  <c r="V744" i="1483"/>
  <c r="V745" i="1483"/>
  <c r="V746" i="1483"/>
  <c r="V747" i="1483"/>
  <c r="V748" i="1483"/>
  <c r="V749" i="1483"/>
  <c r="V750" i="1483"/>
  <c r="V751" i="1483"/>
  <c r="V752" i="1483"/>
  <c r="V753" i="1483"/>
  <c r="V754" i="1483"/>
  <c r="V755" i="1483"/>
  <c r="V756" i="1483"/>
  <c r="V757" i="1483"/>
  <c r="V758" i="1483"/>
  <c r="V759" i="1483"/>
  <c r="V760" i="1483"/>
  <c r="V761" i="1483"/>
  <c r="V762" i="1483"/>
  <c r="V763" i="1483"/>
  <c r="V764" i="1483"/>
  <c r="V765" i="1483"/>
  <c r="V766" i="1483"/>
  <c r="V767" i="1483"/>
  <c r="V768" i="1483"/>
  <c r="V769" i="1483"/>
  <c r="V770" i="1483"/>
  <c r="V771" i="1483"/>
  <c r="V772" i="1483"/>
  <c r="V773" i="1483"/>
  <c r="V774" i="1483"/>
  <c r="V775" i="1483"/>
  <c r="V776" i="1483"/>
  <c r="V777" i="1483"/>
  <c r="V778" i="1483"/>
  <c r="V779" i="1483"/>
  <c r="V780" i="1483"/>
  <c r="V781" i="1483"/>
  <c r="V782" i="1483"/>
  <c r="V783" i="1483"/>
  <c r="V784" i="1483"/>
  <c r="V785" i="1483"/>
  <c r="V786" i="1483"/>
  <c r="V787" i="1483"/>
  <c r="V788" i="1483"/>
  <c r="V789" i="1483"/>
  <c r="V790" i="1483"/>
  <c r="V791" i="1483"/>
  <c r="V792" i="1483"/>
  <c r="V793" i="1483"/>
  <c r="V794" i="1483"/>
  <c r="V795" i="1483"/>
  <c r="V796" i="1483"/>
  <c r="V797" i="1483"/>
  <c r="V798" i="1483"/>
  <c r="V799" i="1483"/>
  <c r="V800" i="1483"/>
  <c r="V801" i="1483"/>
  <c r="V802" i="1483"/>
  <c r="V803" i="1483"/>
  <c r="V804" i="1483"/>
  <c r="V805" i="1483"/>
  <c r="V806" i="1483"/>
  <c r="V807" i="1483"/>
  <c r="V808" i="1483"/>
  <c r="V809" i="1483"/>
  <c r="V810" i="1483"/>
  <c r="V811" i="1483"/>
  <c r="V812" i="1483"/>
  <c r="V813" i="1483"/>
  <c r="V814" i="1483"/>
  <c r="V815" i="1483"/>
  <c r="V816" i="1483"/>
  <c r="V817" i="1483"/>
  <c r="V818" i="1483"/>
  <c r="V819" i="1483"/>
  <c r="V820" i="1483"/>
  <c r="V821" i="1483"/>
  <c r="V822" i="1483"/>
  <c r="V823" i="1483"/>
  <c r="V824" i="1483"/>
  <c r="V825" i="1483"/>
  <c r="V826" i="1483"/>
  <c r="V827" i="1483"/>
  <c r="V828" i="1483"/>
  <c r="V829" i="1483"/>
  <c r="V830" i="1483"/>
  <c r="V831" i="1483"/>
  <c r="V832" i="1483"/>
  <c r="V833" i="1483"/>
  <c r="V834" i="1483"/>
  <c r="V835" i="1483"/>
  <c r="V836" i="1483"/>
  <c r="V837" i="1483"/>
  <c r="V838" i="1483"/>
  <c r="V839" i="1483"/>
  <c r="V840" i="1483"/>
  <c r="V841" i="1483"/>
  <c r="V842" i="1483"/>
  <c r="V843" i="1483"/>
  <c r="V844" i="1483"/>
  <c r="V845" i="1483"/>
  <c r="V846" i="1483"/>
  <c r="V847" i="1483"/>
  <c r="V848" i="1483"/>
  <c r="V849" i="1483"/>
  <c r="V850" i="1483"/>
  <c r="V851" i="1483"/>
  <c r="V852" i="1483"/>
  <c r="V853" i="1483"/>
  <c r="V854" i="1483"/>
  <c r="V855" i="1483"/>
  <c r="V856" i="1483"/>
  <c r="V857" i="1483"/>
  <c r="V858" i="1483"/>
  <c r="V859" i="1483"/>
  <c r="V860" i="1483"/>
  <c r="V861" i="1483"/>
  <c r="V862" i="1483"/>
  <c r="V863" i="1483"/>
  <c r="V864" i="1483"/>
  <c r="V865" i="1483"/>
  <c r="V866" i="1483"/>
  <c r="V867" i="1483"/>
  <c r="V868" i="1483"/>
  <c r="V869" i="1483"/>
  <c r="V870" i="1483"/>
  <c r="V871" i="1483"/>
  <c r="V872" i="1483"/>
  <c r="V873" i="1483"/>
  <c r="V874" i="1483"/>
  <c r="V875" i="1483"/>
  <c r="V876" i="1483"/>
  <c r="V877" i="1483"/>
  <c r="V878" i="1483"/>
  <c r="V879" i="1483"/>
  <c r="V880" i="1483"/>
  <c r="V881" i="1483"/>
  <c r="V882" i="1483"/>
  <c r="V883" i="1483"/>
  <c r="V884" i="1483"/>
  <c r="V885" i="1483"/>
  <c r="V886" i="1483"/>
  <c r="V887" i="1483"/>
  <c r="V888" i="1483"/>
  <c r="V889" i="1483"/>
  <c r="V890" i="1483"/>
  <c r="V891" i="1483"/>
  <c r="V892" i="1483"/>
  <c r="V893" i="1483"/>
  <c r="V894" i="1483"/>
  <c r="V895" i="1483"/>
  <c r="V896" i="1483"/>
  <c r="V897" i="1483"/>
  <c r="V898" i="1483"/>
  <c r="V899" i="1483"/>
  <c r="V900" i="1483"/>
  <c r="V901" i="1483"/>
  <c r="V902" i="1483"/>
  <c r="V903" i="1483"/>
  <c r="V904" i="1483"/>
  <c r="V905" i="1483"/>
  <c r="V906" i="1483"/>
  <c r="V907" i="1483"/>
  <c r="V908" i="1483"/>
  <c r="V909" i="1483"/>
  <c r="V910" i="1483"/>
  <c r="V911" i="1483"/>
  <c r="V912" i="1483"/>
  <c r="V913" i="1483"/>
  <c r="V914" i="1483"/>
  <c r="V915" i="1483"/>
  <c r="V916" i="1483"/>
  <c r="V917" i="1483"/>
  <c r="V918" i="1483"/>
  <c r="V919" i="1483"/>
  <c r="V920" i="1483"/>
  <c r="V921" i="1483"/>
  <c r="V922" i="1483"/>
  <c r="V923" i="1483"/>
  <c r="V924" i="1483"/>
  <c r="V925" i="1483"/>
  <c r="V926" i="1483"/>
  <c r="V927" i="1483"/>
  <c r="V928" i="1483"/>
  <c r="V929" i="1483"/>
  <c r="V930" i="1483"/>
  <c r="V931" i="1483"/>
  <c r="V932" i="1483"/>
  <c r="V933" i="1483"/>
  <c r="V934" i="1483"/>
  <c r="V935" i="1483"/>
  <c r="V936" i="1483"/>
  <c r="V937" i="1483"/>
  <c r="V938" i="1483"/>
  <c r="V939" i="1483"/>
  <c r="V940" i="1483"/>
  <c r="V941" i="1483"/>
  <c r="V942" i="1483"/>
  <c r="V943" i="1483"/>
  <c r="V944" i="1483"/>
  <c r="V945" i="1483"/>
  <c r="V946" i="1483"/>
  <c r="V947" i="1483"/>
  <c r="V948" i="1483"/>
  <c r="V949" i="1483"/>
  <c r="V950" i="1483"/>
  <c r="V951" i="1483"/>
  <c r="V952" i="1483"/>
  <c r="V953" i="1483"/>
  <c r="V954" i="1483"/>
  <c r="V955" i="1483"/>
  <c r="V956" i="1483"/>
  <c r="V957" i="1483"/>
  <c r="V958" i="1483"/>
  <c r="V959" i="1483"/>
  <c r="V960" i="1483"/>
  <c r="V961" i="1483"/>
  <c r="V962" i="1483"/>
  <c r="V963" i="1483"/>
  <c r="V964" i="1483"/>
  <c r="V965" i="1483"/>
  <c r="V966" i="1483"/>
  <c r="V967" i="1483"/>
  <c r="V968" i="1483"/>
  <c r="V969" i="1483"/>
  <c r="V970" i="1483"/>
  <c r="V971" i="1483"/>
  <c r="V972" i="1483"/>
  <c r="V973" i="1483"/>
  <c r="V974" i="1483"/>
  <c r="V975" i="1483"/>
  <c r="V976" i="1483"/>
  <c r="V977" i="1483"/>
  <c r="V978" i="1483"/>
  <c r="V979" i="1483"/>
  <c r="V980" i="1483"/>
  <c r="V981" i="1483"/>
  <c r="V982" i="1483"/>
  <c r="V983" i="1483"/>
  <c r="V984" i="1483"/>
  <c r="V985" i="1483"/>
  <c r="V986" i="1483"/>
  <c r="V987" i="1483"/>
  <c r="V988" i="1483"/>
  <c r="V989" i="1483"/>
  <c r="V990" i="1483"/>
  <c r="V991" i="1483"/>
  <c r="V992" i="1483"/>
  <c r="V993" i="1483"/>
  <c r="V994" i="1483"/>
  <c r="V995" i="1483"/>
  <c r="V996" i="1483"/>
  <c r="V997" i="1483"/>
  <c r="V998" i="1483"/>
  <c r="V999" i="1483"/>
  <c r="V1000" i="1483"/>
  <c r="V1001" i="1483"/>
  <c r="V1002" i="1483"/>
  <c r="V1003" i="1483"/>
  <c r="V1004" i="1483"/>
  <c r="V1005" i="1483"/>
  <c r="V1006" i="1483"/>
  <c r="V1007" i="1483"/>
  <c r="V1008" i="1483"/>
  <c r="V1009" i="1483"/>
  <c r="V1010" i="1483"/>
  <c r="V1011" i="1483"/>
  <c r="V1012" i="1483"/>
  <c r="V1013" i="1483"/>
  <c r="V1014" i="1483"/>
  <c r="V1015" i="1483"/>
  <c r="V1016" i="1483"/>
  <c r="V1017" i="1483"/>
  <c r="V1018" i="1483"/>
  <c r="V1019" i="1483"/>
  <c r="V1020" i="1483"/>
  <c r="V1021" i="1483"/>
  <c r="V1022" i="1483"/>
  <c r="V1023" i="1483"/>
  <c r="V1024" i="1483"/>
  <c r="V1025" i="1483"/>
  <c r="V1026" i="1483"/>
  <c r="V1027" i="1483"/>
  <c r="V1028" i="1483"/>
  <c r="V1029" i="1483"/>
  <c r="V1030" i="1483"/>
  <c r="V1031" i="1483"/>
  <c r="V1032" i="1483"/>
  <c r="V1033" i="1483"/>
  <c r="V1034" i="1483"/>
  <c r="V1035" i="1483"/>
  <c r="V1036" i="1483"/>
  <c r="V1037" i="1483"/>
  <c r="V1038" i="1483"/>
  <c r="V1039" i="1483"/>
  <c r="V1040" i="1483"/>
  <c r="V1041" i="1483"/>
  <c r="V1042" i="1483"/>
  <c r="V1043" i="1483"/>
  <c r="V1044" i="1483"/>
  <c r="V1045" i="1483"/>
  <c r="V1046" i="1483"/>
  <c r="V1047" i="1483"/>
  <c r="V1048" i="1483"/>
  <c r="V1049" i="1483"/>
  <c r="V1050" i="1483"/>
  <c r="V1051" i="1483"/>
  <c r="V1052" i="1483"/>
  <c r="V1053" i="1483"/>
  <c r="V1054" i="1483"/>
  <c r="V1055" i="1483"/>
  <c r="V1056" i="1483"/>
  <c r="V1057" i="1483"/>
  <c r="V1058" i="1483"/>
  <c r="V1059" i="1483"/>
  <c r="V1060" i="1483"/>
  <c r="V1061" i="1483"/>
  <c r="V1062" i="1483"/>
  <c r="V1063" i="1483"/>
  <c r="V1064" i="1483"/>
  <c r="V1065" i="1483"/>
  <c r="V1066" i="1483"/>
  <c r="V1067" i="1483"/>
  <c r="V1068" i="1483"/>
  <c r="V1069" i="1483"/>
  <c r="V1070" i="1483"/>
  <c r="V1071" i="1483"/>
  <c r="V1072" i="1483"/>
  <c r="V1073" i="1483"/>
  <c r="V1074" i="1483"/>
  <c r="V1075" i="1483"/>
  <c r="V1076" i="1483"/>
  <c r="V1077" i="1483"/>
  <c r="V1078" i="1483"/>
  <c r="V1079" i="1483"/>
  <c r="V1080" i="1483"/>
  <c r="V1081" i="1483"/>
  <c r="V1082" i="1483"/>
  <c r="V1083" i="1483"/>
  <c r="V1084" i="1483"/>
  <c r="V1085" i="1483"/>
  <c r="V1086" i="1483"/>
  <c r="V1087" i="1483"/>
  <c r="V1088" i="1483"/>
  <c r="V1089" i="1483"/>
  <c r="V1090" i="1483"/>
  <c r="V1091" i="1483"/>
  <c r="V1092" i="1483"/>
  <c r="V1093" i="1483"/>
  <c r="V1094" i="1483"/>
  <c r="V1095" i="1483"/>
  <c r="V1096" i="1483"/>
  <c r="V1097" i="1483"/>
  <c r="V1098" i="1483"/>
  <c r="V1099" i="1483"/>
  <c r="V1100" i="1483"/>
  <c r="V1101" i="1483"/>
  <c r="V1102" i="1483"/>
  <c r="V1103" i="1483"/>
  <c r="V1104" i="1483"/>
  <c r="V1105" i="1483"/>
  <c r="V1106" i="1483"/>
  <c r="V1107" i="1483"/>
  <c r="V1108" i="1483"/>
  <c r="V1109" i="1483"/>
  <c r="V1110" i="1483"/>
  <c r="V1111" i="1483"/>
  <c r="V1112" i="1483"/>
  <c r="V1113" i="1483"/>
  <c r="V1114" i="1483"/>
  <c r="V1115" i="1483"/>
  <c r="V1116" i="1483"/>
  <c r="V1117" i="1483"/>
  <c r="V1118" i="1483"/>
  <c r="V1119" i="1483"/>
  <c r="V1120" i="1483"/>
  <c r="V1121" i="1483"/>
  <c r="V1122" i="1483"/>
  <c r="V1123" i="1483"/>
  <c r="V1124" i="1483"/>
  <c r="V1125" i="1483"/>
  <c r="V1126" i="1483"/>
  <c r="V1127" i="1483"/>
  <c r="V1128" i="1483"/>
  <c r="V1129" i="1483"/>
  <c r="V1130" i="1483"/>
  <c r="V1131" i="1483"/>
  <c r="V1132" i="1483"/>
  <c r="V1133" i="1483"/>
  <c r="V1134" i="1483"/>
  <c r="V1135" i="1483"/>
  <c r="V1136" i="1483"/>
  <c r="V1137" i="1483"/>
  <c r="V1138" i="1483"/>
  <c r="V1139" i="1483"/>
  <c r="V1140" i="1483"/>
  <c r="V1141" i="1483"/>
  <c r="V1142" i="1483"/>
  <c r="V1143" i="1483"/>
  <c r="V1144" i="1483"/>
  <c r="V1145" i="1483"/>
  <c r="V1146" i="1483"/>
  <c r="V1147" i="1483"/>
  <c r="V1148" i="1483"/>
  <c r="V1149" i="1483"/>
  <c r="V1150" i="1483"/>
  <c r="V1151" i="1483"/>
  <c r="V1152" i="1483"/>
  <c r="V1153" i="1483"/>
  <c r="V1154" i="1483"/>
  <c r="V1155" i="1483"/>
  <c r="V1156" i="1483"/>
  <c r="V1157" i="1483"/>
  <c r="V1158" i="1483"/>
  <c r="V1159" i="1483"/>
  <c r="V1160" i="1483"/>
  <c r="V1161" i="1483"/>
  <c r="V1162" i="1483"/>
  <c r="V1163" i="1483"/>
  <c r="V1164" i="1483"/>
  <c r="V1165" i="1483"/>
  <c r="V1166" i="1483"/>
  <c r="V1167" i="1483"/>
  <c r="V1168" i="1483"/>
  <c r="V1169" i="1483"/>
  <c r="V1170" i="1483"/>
  <c r="V1171" i="1483"/>
  <c r="V1172" i="1483"/>
  <c r="V1173" i="1483"/>
  <c r="V1174" i="1483"/>
  <c r="V1175" i="1483"/>
  <c r="V1176" i="1483"/>
  <c r="V1177" i="1483"/>
  <c r="V1178" i="1483"/>
  <c r="V1179" i="1483"/>
  <c r="V1180" i="1483"/>
  <c r="V1181" i="1483"/>
  <c r="V1182" i="1483"/>
  <c r="V1183" i="1483"/>
  <c r="V1184" i="1483"/>
  <c r="V1185" i="1483"/>
  <c r="V1186" i="1483"/>
  <c r="V1187" i="1483"/>
  <c r="V1188" i="1483"/>
  <c r="V1189" i="1483"/>
  <c r="V1190" i="1483"/>
  <c r="V1191" i="1483"/>
  <c r="V1192" i="1483"/>
  <c r="V1193" i="1483"/>
  <c r="V1194" i="1483"/>
  <c r="V1195" i="1483"/>
  <c r="V1196" i="1483"/>
  <c r="V1197" i="1483"/>
  <c r="V1198" i="1483"/>
  <c r="V1199" i="1483"/>
  <c r="V1200" i="1483"/>
  <c r="V1201" i="1483"/>
  <c r="V1202" i="1483"/>
  <c r="V1203" i="1483"/>
  <c r="V1204" i="1483"/>
  <c r="V1205" i="1483"/>
  <c r="V1206" i="1483"/>
  <c r="V1207" i="1483"/>
  <c r="V1208" i="1483"/>
  <c r="V1209" i="1483"/>
  <c r="V1210" i="1483"/>
  <c r="V1211" i="1483"/>
  <c r="V1212" i="1483"/>
  <c r="V1213" i="1483"/>
  <c r="V1214" i="1483"/>
  <c r="V1215" i="1483"/>
  <c r="V1216" i="1483"/>
  <c r="V1217" i="1483"/>
  <c r="V1218" i="1483"/>
  <c r="V1219" i="1483"/>
  <c r="V1220" i="1483"/>
  <c r="V1221" i="1483"/>
  <c r="V1222" i="1483"/>
  <c r="V1223" i="1483"/>
  <c r="V1224" i="1483"/>
  <c r="V1225" i="1483"/>
  <c r="V1226" i="1483"/>
  <c r="V1227" i="1483"/>
  <c r="V1228" i="1483"/>
  <c r="V1229" i="1483"/>
  <c r="V1230" i="1483"/>
  <c r="V1231" i="1483"/>
  <c r="V1232" i="1483"/>
  <c r="V1233" i="1483"/>
  <c r="V1234" i="1483"/>
  <c r="V1235" i="1483"/>
  <c r="V1236" i="1483"/>
  <c r="V1237" i="1483"/>
  <c r="V1238" i="1483"/>
  <c r="V1239" i="1483"/>
  <c r="V1240" i="1483"/>
  <c r="V1241" i="1483"/>
  <c r="V1242" i="1483"/>
  <c r="V1243" i="1483"/>
  <c r="V1244" i="1483"/>
  <c r="V1245" i="1483"/>
  <c r="V1246" i="1483"/>
  <c r="V1247" i="1483"/>
  <c r="V1248" i="1483"/>
  <c r="V1249" i="1483"/>
  <c r="V1250" i="1483"/>
  <c r="V1251" i="1483"/>
  <c r="V1252" i="1483"/>
  <c r="V1253" i="1483"/>
  <c r="V1254" i="1483"/>
  <c r="V1255" i="1483"/>
  <c r="V1256" i="1483"/>
  <c r="V1257" i="1483"/>
  <c r="V1258" i="1483"/>
  <c r="V1259" i="1483"/>
  <c r="V1260" i="1483"/>
  <c r="V1261" i="1483"/>
  <c r="V1262" i="1483"/>
  <c r="V1263" i="1483"/>
  <c r="V1264" i="1483"/>
  <c r="V1265" i="1483"/>
  <c r="V1266" i="1483"/>
  <c r="V1267" i="1483"/>
  <c r="V1268" i="1483"/>
  <c r="V1269" i="1483"/>
  <c r="V1270" i="1483"/>
  <c r="V1271" i="1483"/>
  <c r="V1272" i="1483"/>
  <c r="V1273" i="1483"/>
  <c r="V1274" i="1483"/>
  <c r="V1275" i="1483"/>
  <c r="V1276" i="1483"/>
  <c r="V1277" i="1483"/>
  <c r="V1278" i="1483"/>
  <c r="V1279" i="1483"/>
  <c r="V1280" i="1483"/>
  <c r="V1281" i="1483"/>
  <c r="V1282" i="1483"/>
  <c r="V1283" i="1483"/>
  <c r="V1284" i="1483"/>
  <c r="V1285" i="1483"/>
  <c r="V1286" i="1483"/>
  <c r="V1287" i="1483"/>
  <c r="V1288" i="1483"/>
  <c r="V1289" i="1483"/>
  <c r="V1290" i="1483"/>
  <c r="V1291" i="1483"/>
  <c r="V1292" i="1483"/>
  <c r="V1293" i="1483"/>
  <c r="V1294" i="1483"/>
  <c r="V1295" i="1483"/>
  <c r="V1296" i="1483"/>
  <c r="V1297" i="1483"/>
  <c r="V1298" i="1483"/>
  <c r="V1299" i="1483"/>
  <c r="V1300" i="1483"/>
  <c r="V1301" i="1483"/>
  <c r="V1302" i="1483"/>
  <c r="V1303" i="1483"/>
  <c r="V1304" i="1483"/>
  <c r="V1305" i="1483"/>
  <c r="V1306" i="1483"/>
  <c r="V1307" i="1483"/>
  <c r="V1308" i="1483"/>
  <c r="V1309" i="1483"/>
  <c r="V1310" i="1483"/>
  <c r="V1311" i="1483"/>
  <c r="V1312" i="1483"/>
  <c r="V1313" i="1483"/>
  <c r="V1314" i="1483"/>
  <c r="V1315" i="1483"/>
  <c r="V1316" i="1483"/>
  <c r="V1317" i="1483"/>
  <c r="V1318" i="1483"/>
  <c r="V1319" i="1483"/>
  <c r="V1320" i="1483"/>
  <c r="V1321" i="1483"/>
  <c r="V1322" i="1483"/>
  <c r="V1323" i="1483"/>
  <c r="V1324" i="1483"/>
  <c r="V1325" i="1483"/>
  <c r="V1326" i="1483"/>
  <c r="V1327" i="1483"/>
  <c r="V1328" i="1483"/>
  <c r="V1329" i="1483"/>
  <c r="V1330" i="1483"/>
  <c r="V1331" i="1483"/>
  <c r="V1332" i="1483"/>
  <c r="V1333" i="1483"/>
  <c r="V1334" i="1483"/>
  <c r="V1335" i="1483"/>
  <c r="V1336" i="1483"/>
  <c r="V1337" i="1483"/>
  <c r="V1338" i="1483"/>
  <c r="V1339" i="1483"/>
  <c r="V1340" i="1483"/>
  <c r="V1341" i="1483"/>
  <c r="V1342" i="1483"/>
  <c r="V1343" i="1483"/>
  <c r="V1344" i="1483"/>
  <c r="V1345" i="1483"/>
  <c r="V1346" i="1483"/>
  <c r="V1347" i="1483"/>
  <c r="V1348" i="1483"/>
  <c r="V1349" i="1483"/>
  <c r="V1350" i="1483"/>
  <c r="V1351" i="1483"/>
  <c r="V1352" i="1483"/>
  <c r="V1353" i="1483"/>
  <c r="V1354" i="1483"/>
  <c r="V1355" i="1483"/>
  <c r="V1356" i="1483"/>
  <c r="V1357" i="1483"/>
  <c r="V1358" i="1483"/>
  <c r="V1359" i="1483"/>
  <c r="V1360" i="1483"/>
  <c r="V1361" i="1483"/>
  <c r="V1362" i="1483"/>
  <c r="V1363" i="1483"/>
  <c r="V1364" i="1483"/>
  <c r="V1365" i="1483"/>
  <c r="V1366" i="1483"/>
  <c r="V1367" i="1483"/>
  <c r="V1368" i="1483"/>
  <c r="V1369" i="1483"/>
  <c r="V1370" i="1483"/>
  <c r="V1371" i="1483"/>
  <c r="V1372" i="1483"/>
  <c r="V1373" i="1483"/>
  <c r="V1374" i="1483"/>
  <c r="V1375" i="1483"/>
  <c r="V1376" i="1483"/>
  <c r="V1377" i="1483"/>
  <c r="V1378" i="1483"/>
  <c r="V1379" i="1483"/>
  <c r="V1380" i="1483"/>
  <c r="V1381" i="1483"/>
  <c r="V1382" i="1483"/>
  <c r="V1383" i="1483"/>
  <c r="V1384" i="1483"/>
  <c r="V1385" i="1483"/>
  <c r="V1386" i="1483"/>
  <c r="V1387" i="1483"/>
  <c r="V1388" i="1483"/>
  <c r="V1389" i="1483"/>
  <c r="V1390" i="1483"/>
  <c r="V1391" i="1483"/>
  <c r="V1392" i="1483"/>
  <c r="V1393" i="1483"/>
  <c r="V1394" i="1483"/>
  <c r="V1395" i="1483"/>
  <c r="V1396" i="1483"/>
  <c r="V1397" i="1483"/>
  <c r="V1398" i="1483"/>
  <c r="V1399" i="1483"/>
  <c r="V1400" i="1483"/>
  <c r="V1401" i="1483"/>
  <c r="V1402" i="1483"/>
  <c r="V1403" i="1483"/>
  <c r="V1404" i="1483"/>
  <c r="V1405" i="1483"/>
  <c r="V1406" i="1483"/>
  <c r="V1407" i="1483"/>
  <c r="V1408" i="1483"/>
  <c r="V1409" i="1483"/>
  <c r="V1410" i="1483"/>
  <c r="V1411" i="1483"/>
  <c r="V1412" i="1483"/>
  <c r="V1413" i="1483"/>
  <c r="V1414" i="1483"/>
  <c r="V1415" i="1483"/>
  <c r="V1416" i="1483"/>
  <c r="V1417" i="1483"/>
  <c r="V1418" i="1483"/>
  <c r="V1419" i="1483"/>
  <c r="V1420" i="1483"/>
  <c r="V1421" i="1483"/>
  <c r="V1422" i="1483"/>
  <c r="V1423" i="1483"/>
  <c r="V1424" i="1483"/>
  <c r="V1425" i="1483"/>
  <c r="V1426" i="1483"/>
  <c r="V1427" i="1483"/>
  <c r="V1428" i="1483"/>
  <c r="V1429" i="1483"/>
  <c r="V1430" i="1483"/>
  <c r="V1431" i="1483"/>
  <c r="V1432" i="1483"/>
  <c r="V1433" i="1483"/>
  <c r="V1434" i="1483"/>
  <c r="V1435" i="1483"/>
  <c r="V1436" i="1483"/>
  <c r="V1437" i="1483"/>
  <c r="V1438" i="1483"/>
  <c r="V1439" i="1483"/>
  <c r="V1440" i="1483"/>
  <c r="V1441" i="1483"/>
  <c r="V1442" i="1483"/>
  <c r="V1443" i="1483"/>
  <c r="V1444" i="1483"/>
  <c r="V1445" i="1483"/>
  <c r="V1446" i="1483"/>
  <c r="V1447" i="1483"/>
  <c r="V1448" i="1483"/>
  <c r="V1449" i="1483"/>
  <c r="V1450" i="1483"/>
  <c r="V1451" i="1483"/>
  <c r="V1452" i="1483"/>
  <c r="V1453" i="1483"/>
  <c r="V1454" i="1483"/>
  <c r="V1455" i="1483"/>
  <c r="V1456" i="1483"/>
  <c r="V1457" i="1483"/>
  <c r="V1458" i="1483"/>
  <c r="V1459" i="1483"/>
  <c r="V1460" i="1483"/>
  <c r="V1461" i="1483"/>
  <c r="V1462" i="1483"/>
  <c r="V1463" i="1483"/>
  <c r="V1464" i="1483"/>
  <c r="V1465" i="1483"/>
  <c r="V1466" i="1483"/>
  <c r="V1467" i="1483"/>
  <c r="V1468" i="1483"/>
  <c r="V1469" i="1483"/>
  <c r="V1470" i="1483"/>
  <c r="V1471" i="1483"/>
  <c r="V1472" i="1483"/>
  <c r="V1473" i="1483"/>
  <c r="V1474" i="1483"/>
  <c r="V1475" i="1483"/>
  <c r="V1476" i="1483"/>
  <c r="V1477" i="1483"/>
  <c r="V1478" i="1483"/>
  <c r="V1479" i="1483"/>
  <c r="V1480" i="1483"/>
  <c r="V1481" i="1483"/>
  <c r="V1482" i="1483"/>
  <c r="V1483" i="1483"/>
  <c r="V1484" i="1483"/>
  <c r="V1485" i="1483"/>
  <c r="V1486" i="1483"/>
  <c r="V1487" i="1483"/>
  <c r="V1488" i="1483"/>
  <c r="V1489" i="1483"/>
  <c r="V1490" i="1483"/>
  <c r="V1491" i="1483"/>
  <c r="V1492" i="1483"/>
  <c r="V1493" i="1483"/>
  <c r="V1494" i="1483"/>
  <c r="V1495" i="1483"/>
  <c r="V1496" i="1483"/>
  <c r="V1497" i="1483"/>
  <c r="V1498" i="1483"/>
  <c r="V1499" i="1483"/>
  <c r="V1500" i="1483"/>
  <c r="V1501" i="1483"/>
  <c r="V1502" i="1483"/>
  <c r="V1503" i="1483"/>
  <c r="V1504" i="1483"/>
  <c r="V1505" i="1483"/>
  <c r="V1506" i="1483"/>
  <c r="V1507" i="1483"/>
  <c r="V1508" i="1483"/>
  <c r="V1509" i="1483"/>
  <c r="V1510" i="1483"/>
  <c r="V1511" i="1483"/>
  <c r="V1512" i="1483"/>
  <c r="V1513" i="1483"/>
  <c r="V1514" i="1483"/>
  <c r="V1515" i="1483"/>
  <c r="V1516" i="1483"/>
  <c r="V1517" i="1483"/>
  <c r="V1518" i="1483"/>
  <c r="V1519" i="1483"/>
  <c r="V1520" i="1483"/>
  <c r="V1521" i="1483"/>
  <c r="V1522" i="1483"/>
  <c r="V1523" i="1483"/>
  <c r="V1524" i="1483"/>
  <c r="V1525" i="1483"/>
  <c r="V1526" i="1483"/>
  <c r="V1527" i="1483"/>
  <c r="V1528" i="1483"/>
  <c r="V1529" i="1483"/>
  <c r="V1530" i="1483"/>
  <c r="V1531" i="1483"/>
  <c r="V1532" i="1483"/>
  <c r="V1533" i="1483"/>
  <c r="V1534" i="1483"/>
  <c r="V1535" i="1483"/>
  <c r="V1536" i="1483"/>
  <c r="V1537" i="1483"/>
  <c r="V1538" i="1483"/>
  <c r="V1539" i="1483"/>
  <c r="V1540" i="1483"/>
  <c r="V1541" i="1483"/>
  <c r="V1542" i="1483"/>
  <c r="V1543" i="1483"/>
  <c r="V1544" i="1483"/>
  <c r="V1545" i="1483"/>
  <c r="V1546" i="1483"/>
  <c r="V1547" i="1483"/>
  <c r="V1548" i="1483"/>
  <c r="V1549" i="1483"/>
  <c r="V1550" i="1483"/>
  <c r="V1551" i="1483"/>
  <c r="V1552" i="1483"/>
  <c r="V1553" i="1483"/>
  <c r="V1554" i="1483"/>
  <c r="V1555" i="1483"/>
  <c r="V1556" i="1483"/>
  <c r="V1557" i="1483"/>
  <c r="V1558" i="1483"/>
  <c r="V1559" i="1483"/>
  <c r="V1560" i="1483"/>
  <c r="V1561" i="1483"/>
  <c r="V1562" i="1483"/>
  <c r="V1563" i="1483"/>
  <c r="V1564" i="1483"/>
  <c r="V1565" i="1483"/>
  <c r="V1566" i="1483"/>
  <c r="V1567" i="1483"/>
  <c r="V1568" i="1483"/>
  <c r="V1569" i="1483"/>
  <c r="V1570" i="1483"/>
  <c r="V1571" i="1483"/>
  <c r="V1572" i="1483"/>
  <c r="V1573" i="1483"/>
  <c r="V1574" i="1483"/>
  <c r="V1575" i="1483"/>
  <c r="V1576" i="1483"/>
  <c r="V1577" i="1483"/>
  <c r="V1578" i="1483"/>
  <c r="V1579" i="1483"/>
  <c r="V1580" i="1483"/>
  <c r="V1581" i="1483"/>
  <c r="V1582" i="1483"/>
  <c r="V1583" i="1483"/>
  <c r="V1584" i="1483"/>
  <c r="V1585" i="1483"/>
  <c r="V1586" i="1483"/>
  <c r="V1587" i="1483"/>
  <c r="V1588" i="1483"/>
  <c r="V1589" i="1483"/>
  <c r="V1590" i="1483"/>
  <c r="V1591" i="1483"/>
  <c r="V1592" i="1483"/>
  <c r="V1593" i="1483"/>
  <c r="V1594" i="1483"/>
  <c r="V1595" i="1483"/>
  <c r="V1596" i="1483"/>
  <c r="V1597" i="1483"/>
  <c r="V1598" i="1483"/>
  <c r="V1599" i="1483"/>
  <c r="V1600" i="1483"/>
  <c r="V1601" i="1483"/>
  <c r="V1602" i="1483"/>
  <c r="V1603" i="1483"/>
  <c r="V1604" i="1483"/>
  <c r="V1605" i="1483"/>
  <c r="V1606" i="1483"/>
  <c r="V1607" i="1483"/>
  <c r="V1608" i="1483"/>
  <c r="V1609" i="1483"/>
  <c r="V1610" i="1483"/>
  <c r="V1611" i="1483"/>
  <c r="V1612" i="1483"/>
  <c r="V1613" i="1483"/>
  <c r="V1614" i="1483"/>
  <c r="V1615" i="1483"/>
  <c r="V1616" i="1483"/>
  <c r="V1617" i="1483"/>
  <c r="V1618" i="1483"/>
  <c r="V1619" i="1483"/>
  <c r="V1620" i="1483"/>
  <c r="V1621" i="1483"/>
  <c r="V1622" i="1483"/>
  <c r="V1623" i="1483"/>
  <c r="V1624" i="1483"/>
  <c r="V1625" i="1483"/>
  <c r="V1626" i="1483"/>
  <c r="V1627" i="1483"/>
  <c r="V1628" i="1483"/>
  <c r="V1629" i="1483"/>
  <c r="V1630" i="1483"/>
  <c r="V1631" i="1483"/>
  <c r="V1632" i="1483"/>
  <c r="V1633" i="1483"/>
  <c r="V1634" i="1483"/>
  <c r="V1635" i="1483"/>
  <c r="V1636" i="1483"/>
  <c r="V1637" i="1483"/>
  <c r="V1638" i="1483"/>
  <c r="V1639" i="1483"/>
  <c r="V1640" i="1483"/>
  <c r="V1641" i="1483"/>
  <c r="V1642" i="1483"/>
  <c r="V1643" i="1483"/>
  <c r="V1644" i="1483"/>
  <c r="V1645" i="1483"/>
  <c r="V1646" i="1483"/>
  <c r="V1647" i="1483"/>
  <c r="V1648" i="1483"/>
  <c r="V1649" i="1483"/>
  <c r="V1650" i="1483"/>
  <c r="V1651" i="1483"/>
  <c r="V1652" i="1483"/>
  <c r="V1653" i="1483"/>
  <c r="V1654" i="1483"/>
  <c r="V1655" i="1483"/>
  <c r="V1656" i="1483"/>
  <c r="V1657" i="1483"/>
  <c r="V1658" i="1483"/>
  <c r="V1659" i="1483"/>
  <c r="V1660" i="1483"/>
  <c r="V1661" i="1483"/>
  <c r="V1662" i="1483"/>
  <c r="V1663" i="1483"/>
  <c r="V1664" i="1483"/>
  <c r="V1665" i="1483"/>
  <c r="V1666" i="1483"/>
  <c r="V1667" i="1483"/>
  <c r="V1668" i="1483"/>
  <c r="V1669" i="1483"/>
  <c r="V1670" i="1483"/>
  <c r="V1671" i="1483"/>
  <c r="V1672" i="1483"/>
  <c r="V1673" i="1483"/>
  <c r="V1674" i="1483"/>
  <c r="V1675" i="1483"/>
  <c r="V1676" i="1483"/>
  <c r="V1677" i="1483"/>
  <c r="V1678" i="1483"/>
  <c r="V1679" i="1483"/>
  <c r="V1680" i="1483"/>
  <c r="V1681" i="1483"/>
  <c r="V1682" i="1483"/>
  <c r="V1683" i="1483"/>
  <c r="V1684" i="1483"/>
  <c r="V1685" i="1483"/>
  <c r="V1686" i="1483"/>
  <c r="V1687" i="1483"/>
  <c r="V1688" i="1483"/>
  <c r="V1689" i="1483"/>
  <c r="V1690" i="1483"/>
  <c r="V1691" i="1483"/>
  <c r="V1692" i="1483"/>
  <c r="V1693" i="1483"/>
  <c r="V1694" i="1483"/>
  <c r="V1695" i="1483"/>
  <c r="V1696" i="1483"/>
  <c r="V1697" i="1483"/>
  <c r="V1698" i="1483"/>
  <c r="V1699" i="1483"/>
  <c r="V1700" i="1483"/>
  <c r="V1701" i="1483"/>
  <c r="V1702" i="1483"/>
  <c r="V1703" i="1483"/>
  <c r="V1704" i="1483"/>
  <c r="V1705" i="1483"/>
  <c r="V1706" i="1483"/>
  <c r="V1707" i="1483"/>
  <c r="V1708" i="1483"/>
  <c r="V1709" i="1483"/>
  <c r="V1710" i="1483"/>
  <c r="V1711" i="1483"/>
  <c r="V1712" i="1483"/>
  <c r="V1713" i="1483"/>
  <c r="V1714" i="1483"/>
  <c r="V1715" i="1483"/>
  <c r="V1716" i="1483"/>
  <c r="V1717" i="1483"/>
  <c r="V1718" i="1483"/>
  <c r="V1719" i="1483"/>
  <c r="V1720" i="1483"/>
  <c r="V1721" i="1483"/>
  <c r="V1722" i="1483"/>
  <c r="V1723" i="1483"/>
  <c r="V1724" i="1483"/>
  <c r="V1725" i="1483"/>
  <c r="V1726" i="1483"/>
  <c r="V1727" i="1483"/>
  <c r="V1728" i="1483"/>
  <c r="V1729" i="1483"/>
  <c r="V1730" i="1483"/>
  <c r="V1731" i="1483"/>
  <c r="V1732" i="1483"/>
  <c r="V1733" i="1483"/>
  <c r="V1734" i="1483"/>
  <c r="V1735" i="1483"/>
  <c r="V1736" i="1483"/>
  <c r="V1737" i="1483"/>
  <c r="V1738" i="1483"/>
  <c r="V1739" i="1483"/>
  <c r="V1740" i="1483"/>
  <c r="V1741" i="1483"/>
  <c r="V1742" i="1483"/>
  <c r="V1743" i="1483"/>
  <c r="V1744" i="1483"/>
  <c r="V1745" i="1483"/>
  <c r="V1746" i="1483"/>
  <c r="V1747" i="1483"/>
  <c r="V1748" i="1483"/>
  <c r="V1749" i="1483"/>
  <c r="V1750" i="1483"/>
  <c r="V1751" i="1483"/>
  <c r="V1752" i="1483"/>
  <c r="V1753" i="1483"/>
  <c r="V1754" i="1483"/>
  <c r="V1755" i="1483"/>
  <c r="V1756" i="1483"/>
  <c r="V1757" i="1483"/>
  <c r="V1758" i="1483"/>
  <c r="V1759" i="1483"/>
  <c r="V1760" i="1483"/>
  <c r="V1761" i="1483"/>
  <c r="V1762" i="1483"/>
  <c r="V1763" i="1483"/>
  <c r="V1764" i="1483"/>
  <c r="V1765" i="1483"/>
  <c r="V1766" i="1483"/>
  <c r="V1767" i="1483"/>
  <c r="V1768" i="1483"/>
  <c r="V1769" i="1483"/>
  <c r="V1770" i="1483"/>
  <c r="V1771" i="1483"/>
  <c r="V1772" i="1483"/>
  <c r="V1773" i="1483"/>
  <c r="V1774" i="1483"/>
  <c r="V1775" i="1483"/>
  <c r="V1776" i="1483"/>
  <c r="V1777" i="1483"/>
  <c r="V1778" i="1483"/>
  <c r="V1779" i="1483"/>
  <c r="V1780" i="1483"/>
  <c r="V1781" i="1483"/>
  <c r="V1782" i="1483"/>
  <c r="V1783" i="1483"/>
  <c r="V1784" i="1483"/>
  <c r="V1785" i="1483"/>
  <c r="V1786" i="1483"/>
  <c r="V1787" i="1483"/>
  <c r="V1788" i="1483"/>
  <c r="V1789" i="1483"/>
  <c r="V1790" i="1483"/>
  <c r="V1791" i="1483"/>
  <c r="V1792" i="1483"/>
  <c r="V1793" i="1483"/>
  <c r="V1794" i="1483"/>
  <c r="V1795" i="1483"/>
  <c r="V1796" i="1483"/>
  <c r="V1797" i="1483"/>
  <c r="V1798" i="1483"/>
  <c r="V1799" i="1483"/>
  <c r="V1800" i="1483"/>
  <c r="V1801" i="1483"/>
  <c r="V1802" i="1483"/>
  <c r="V1803" i="1483"/>
  <c r="V1804" i="1483"/>
  <c r="V1805" i="1483"/>
  <c r="V1806" i="1483"/>
  <c r="V1807" i="1483"/>
  <c r="V1808" i="1483"/>
  <c r="V1809" i="1483"/>
  <c r="V1810" i="1483"/>
  <c r="V1811" i="1483"/>
  <c r="V1812" i="1483"/>
  <c r="V1813" i="1483"/>
  <c r="V1814" i="1483"/>
  <c r="V1815" i="1483"/>
  <c r="V1816" i="1483"/>
  <c r="V1817" i="1483"/>
  <c r="V1818" i="1483"/>
  <c r="V1819" i="1483"/>
  <c r="V1820" i="1483"/>
  <c r="V1821" i="1483"/>
  <c r="V1822" i="1483"/>
  <c r="V1823" i="1483"/>
  <c r="V1824" i="1483"/>
  <c r="V1825" i="1483"/>
  <c r="V1826" i="1483"/>
  <c r="V1827" i="1483"/>
  <c r="V1828" i="1483"/>
  <c r="V1829" i="1483"/>
  <c r="V1830" i="1483"/>
  <c r="V1831" i="1483"/>
  <c r="V1832" i="1483"/>
  <c r="V1833" i="1483"/>
  <c r="V1834" i="1483"/>
  <c r="V1835" i="1483"/>
  <c r="V1836" i="1483"/>
  <c r="V1837" i="1483"/>
  <c r="V1838" i="1483"/>
  <c r="V1839" i="1483"/>
  <c r="V1840" i="1483"/>
  <c r="V1841" i="1483"/>
  <c r="V1842" i="1483"/>
  <c r="V1843" i="1483"/>
  <c r="V1844" i="1483"/>
  <c r="V1845" i="1483"/>
  <c r="V1846" i="1483"/>
  <c r="V1847" i="1483"/>
  <c r="V1848" i="1483"/>
  <c r="V1849" i="1483"/>
  <c r="V1850" i="1483"/>
  <c r="V1851" i="1483"/>
  <c r="V1852" i="1483"/>
  <c r="V1853" i="1483"/>
  <c r="V1854" i="1483"/>
  <c r="V1855" i="1483"/>
  <c r="V1856" i="1483"/>
  <c r="V1857" i="1483"/>
  <c r="V1858" i="1483"/>
  <c r="V1859" i="1483"/>
  <c r="V1860" i="1483"/>
  <c r="V1861" i="1483"/>
  <c r="V1862" i="1483"/>
  <c r="V1863" i="1483"/>
  <c r="V1864" i="1483"/>
  <c r="V1865" i="1483"/>
  <c r="V1866" i="1483"/>
  <c r="V1867" i="1483"/>
  <c r="V1868" i="1483"/>
  <c r="V1869" i="1483"/>
  <c r="V1870" i="1483"/>
  <c r="V1871" i="1483"/>
  <c r="V1872" i="1483"/>
  <c r="V1873" i="1483"/>
  <c r="V1874" i="1483"/>
  <c r="V1875" i="1483"/>
  <c r="V1876" i="1483"/>
  <c r="V1877" i="1483"/>
  <c r="V1878" i="1483"/>
  <c r="V1879" i="1483"/>
  <c r="V1880" i="1483"/>
  <c r="V1881" i="1483"/>
  <c r="V1882" i="1483"/>
  <c r="V1883" i="1483"/>
  <c r="V1884" i="1483"/>
  <c r="V1885" i="1483"/>
  <c r="V1886" i="1483"/>
  <c r="V1887" i="1483"/>
  <c r="V1888" i="1483"/>
  <c r="V1889" i="1483"/>
  <c r="V1890" i="1483"/>
  <c r="V1891" i="1483"/>
  <c r="V1892" i="1483"/>
  <c r="V1893" i="1483"/>
  <c r="V1894" i="1483"/>
  <c r="V1895" i="1483"/>
  <c r="V1896" i="1483"/>
  <c r="V1897" i="1483"/>
  <c r="V1898" i="1483"/>
  <c r="V1899" i="1483"/>
  <c r="V1900" i="1483"/>
  <c r="V1901" i="1483"/>
  <c r="V1902" i="1483"/>
  <c r="V1903" i="1483"/>
  <c r="U2" i="1483"/>
  <c r="U3" i="1483"/>
  <c r="U4" i="1483"/>
  <c r="U5" i="1483"/>
  <c r="U6" i="1483"/>
  <c r="U7" i="1483"/>
  <c r="U8" i="1483"/>
  <c r="U9" i="1483"/>
  <c r="U10" i="1483"/>
  <c r="U11" i="1483"/>
  <c r="U12" i="1483"/>
  <c r="U13" i="1483"/>
  <c r="U14" i="1483"/>
  <c r="U15" i="1483"/>
  <c r="U16" i="1483"/>
  <c r="U17" i="1483"/>
  <c r="U18" i="1483"/>
  <c r="U19" i="1483"/>
  <c r="U20" i="1483"/>
  <c r="U21" i="1483"/>
  <c r="U22" i="1483"/>
  <c r="U23" i="1483"/>
  <c r="U24" i="1483"/>
  <c r="U25" i="1483"/>
  <c r="U26" i="1483"/>
  <c r="U27" i="1483"/>
  <c r="U28" i="1483"/>
  <c r="U29" i="1483"/>
  <c r="U30" i="1483"/>
  <c r="U31" i="1483"/>
  <c r="U32" i="1483"/>
  <c r="U33" i="1483"/>
  <c r="U34" i="1483"/>
  <c r="U35" i="1483"/>
  <c r="U36" i="1483"/>
  <c r="U37" i="1483"/>
  <c r="U38" i="1483"/>
  <c r="U39" i="1483"/>
  <c r="U40" i="1483"/>
  <c r="U41" i="1483"/>
  <c r="U42" i="1483"/>
  <c r="U43" i="1483"/>
  <c r="U44" i="1483"/>
  <c r="U45" i="1483"/>
  <c r="U46" i="1483"/>
  <c r="U47" i="1483"/>
  <c r="U48" i="1483"/>
  <c r="U49" i="1483"/>
  <c r="U50" i="1483"/>
  <c r="U51" i="1483"/>
  <c r="U52" i="1483"/>
  <c r="U53" i="1483"/>
  <c r="U54" i="1483"/>
  <c r="U55" i="1483"/>
  <c r="U56" i="1483"/>
  <c r="U57" i="1483"/>
  <c r="U58" i="1483"/>
  <c r="U59" i="1483"/>
  <c r="U60" i="1483"/>
  <c r="U61" i="1483"/>
  <c r="U62" i="1483"/>
  <c r="U63" i="1483"/>
  <c r="U64" i="1483"/>
  <c r="U65" i="1483"/>
  <c r="U66" i="1483"/>
  <c r="U67" i="1483"/>
  <c r="U68" i="1483"/>
  <c r="U69" i="1483"/>
  <c r="U70" i="1483"/>
  <c r="U71" i="1483"/>
  <c r="U72" i="1483"/>
  <c r="U73" i="1483"/>
  <c r="U74" i="1483"/>
  <c r="U75" i="1483"/>
  <c r="U76" i="1483"/>
  <c r="U77" i="1483"/>
  <c r="U78" i="1483"/>
  <c r="U79" i="1483"/>
  <c r="U80" i="1483"/>
  <c r="U81" i="1483"/>
  <c r="U82" i="1483"/>
  <c r="U83" i="1483"/>
  <c r="U84" i="1483"/>
  <c r="U85" i="1483"/>
  <c r="U86" i="1483"/>
  <c r="U87" i="1483"/>
  <c r="U88" i="1483"/>
  <c r="U89" i="1483"/>
  <c r="U90" i="1483"/>
  <c r="U91" i="1483"/>
  <c r="U92" i="1483"/>
  <c r="U93" i="1483"/>
  <c r="U94" i="1483"/>
  <c r="U95" i="1483"/>
  <c r="U96" i="1483"/>
  <c r="U97" i="1483"/>
  <c r="U98" i="1483"/>
  <c r="U99" i="1483"/>
  <c r="U100" i="1483"/>
  <c r="U101" i="1483"/>
  <c r="U102" i="1483"/>
  <c r="U103" i="1483"/>
  <c r="U104" i="1483"/>
  <c r="U105" i="1483"/>
  <c r="U106" i="1483"/>
  <c r="U107" i="1483"/>
  <c r="U108" i="1483"/>
  <c r="U109" i="1483"/>
  <c r="U110" i="1483"/>
  <c r="U111" i="1483"/>
  <c r="U112" i="1483"/>
  <c r="U113" i="1483"/>
  <c r="U114" i="1483"/>
  <c r="U115" i="1483"/>
  <c r="U116" i="1483"/>
  <c r="U117" i="1483"/>
  <c r="U118" i="1483"/>
  <c r="U119" i="1483"/>
  <c r="U120" i="1483"/>
  <c r="U121" i="1483"/>
  <c r="U122" i="1483"/>
  <c r="U123" i="1483"/>
  <c r="U124" i="1483"/>
  <c r="U125" i="1483"/>
  <c r="U126" i="1483"/>
  <c r="U127" i="1483"/>
  <c r="U128" i="1483"/>
  <c r="U129" i="1483"/>
  <c r="U130" i="1483"/>
  <c r="U131" i="1483"/>
  <c r="U132" i="1483"/>
  <c r="U133" i="1483"/>
  <c r="U134" i="1483"/>
  <c r="U135" i="1483"/>
  <c r="U136" i="1483"/>
  <c r="U137" i="1483"/>
  <c r="U138" i="1483"/>
  <c r="U139" i="1483"/>
  <c r="U140" i="1483"/>
  <c r="U141" i="1483"/>
  <c r="U142" i="1483"/>
  <c r="U143" i="1483"/>
  <c r="U144" i="1483"/>
  <c r="U145" i="1483"/>
  <c r="U146" i="1483"/>
  <c r="U147" i="1483"/>
  <c r="U148" i="1483"/>
  <c r="U149" i="1483"/>
  <c r="U150" i="1483"/>
  <c r="U151" i="1483"/>
  <c r="U152" i="1483"/>
  <c r="U153" i="1483"/>
  <c r="U154" i="1483"/>
  <c r="U155" i="1483"/>
  <c r="U156" i="1483"/>
  <c r="U157" i="1483"/>
  <c r="U158" i="1483"/>
  <c r="U159" i="1483"/>
  <c r="U160" i="1483"/>
  <c r="U161" i="1483"/>
  <c r="U162" i="1483"/>
  <c r="U163" i="1483"/>
  <c r="U164" i="1483"/>
  <c r="U165" i="1483"/>
  <c r="U166" i="1483"/>
  <c r="U167" i="1483"/>
  <c r="U168" i="1483"/>
  <c r="U169" i="1483"/>
  <c r="U170" i="1483"/>
  <c r="U171" i="1483"/>
  <c r="U172" i="1483"/>
  <c r="U173" i="1483"/>
  <c r="U174" i="1483"/>
  <c r="U175" i="1483"/>
  <c r="U176" i="1483"/>
  <c r="U177" i="1483"/>
  <c r="U178" i="1483"/>
  <c r="U179" i="1483"/>
  <c r="U180" i="1483"/>
  <c r="U181" i="1483"/>
  <c r="U182" i="1483"/>
  <c r="U183" i="1483"/>
  <c r="U184" i="1483"/>
  <c r="U185" i="1483"/>
  <c r="U186" i="1483"/>
  <c r="U187" i="1483"/>
  <c r="U188" i="1483"/>
  <c r="U189" i="1483"/>
  <c r="U190" i="1483"/>
  <c r="U191" i="1483"/>
  <c r="U192" i="1483"/>
  <c r="U193" i="1483"/>
  <c r="U194" i="1483"/>
  <c r="U195" i="1483"/>
  <c r="U196" i="1483"/>
  <c r="U197" i="1483"/>
  <c r="U198" i="1483"/>
  <c r="U199" i="1483"/>
  <c r="U200" i="1483"/>
  <c r="U201" i="1483"/>
  <c r="U202" i="1483"/>
  <c r="U203" i="1483"/>
  <c r="U204" i="1483"/>
  <c r="U205" i="1483"/>
  <c r="U206" i="1483"/>
  <c r="U207" i="1483"/>
  <c r="U208" i="1483"/>
  <c r="U209" i="1483"/>
  <c r="U210" i="1483"/>
  <c r="U211" i="1483"/>
  <c r="U212" i="1483"/>
  <c r="U213" i="1483"/>
  <c r="U214" i="1483"/>
  <c r="U215" i="1483"/>
  <c r="U216" i="1483"/>
  <c r="U217" i="1483"/>
  <c r="U218" i="1483"/>
  <c r="U219" i="1483"/>
  <c r="U220" i="1483"/>
  <c r="U221" i="1483"/>
  <c r="U222" i="1483"/>
  <c r="U223" i="1483"/>
  <c r="U224" i="1483"/>
  <c r="U225" i="1483"/>
  <c r="U226" i="1483"/>
  <c r="U227" i="1483"/>
  <c r="U228" i="1483"/>
  <c r="U229" i="1483"/>
  <c r="U230" i="1483"/>
  <c r="U231" i="1483"/>
  <c r="U232" i="1483"/>
  <c r="U233" i="1483"/>
  <c r="U234" i="1483"/>
  <c r="U235" i="1483"/>
  <c r="U236" i="1483"/>
  <c r="U237" i="1483"/>
  <c r="U238" i="1483"/>
  <c r="U239" i="1483"/>
  <c r="U240" i="1483"/>
  <c r="U241" i="1483"/>
  <c r="U242" i="1483"/>
  <c r="U243" i="1483"/>
  <c r="U244" i="1483"/>
  <c r="U245" i="1483"/>
  <c r="U246" i="1483"/>
  <c r="U247" i="1483"/>
  <c r="U248" i="1483"/>
  <c r="U249" i="1483"/>
  <c r="U250" i="1483"/>
  <c r="U251" i="1483"/>
  <c r="U252" i="1483"/>
  <c r="U253" i="1483"/>
  <c r="U254" i="1483"/>
  <c r="U255" i="1483"/>
  <c r="U256" i="1483"/>
  <c r="U257" i="1483"/>
  <c r="U258" i="1483"/>
  <c r="U259" i="1483"/>
  <c r="U260" i="1483"/>
  <c r="U261" i="1483"/>
  <c r="U262" i="1483"/>
  <c r="U263" i="1483"/>
  <c r="U264" i="1483"/>
  <c r="U265" i="1483"/>
  <c r="U266" i="1483"/>
  <c r="U267" i="1483"/>
  <c r="U268" i="1483"/>
  <c r="U269" i="1483"/>
  <c r="U270" i="1483"/>
  <c r="U271" i="1483"/>
  <c r="U272" i="1483"/>
  <c r="U273" i="1483"/>
  <c r="U274" i="1483"/>
  <c r="U275" i="1483"/>
  <c r="U276" i="1483"/>
  <c r="U277" i="1483"/>
  <c r="U278" i="1483"/>
  <c r="U279" i="1483"/>
  <c r="U280" i="1483"/>
  <c r="U281" i="1483"/>
  <c r="U282" i="1483"/>
  <c r="U283" i="1483"/>
  <c r="U284" i="1483"/>
  <c r="U285" i="1483"/>
  <c r="U286" i="1483"/>
  <c r="U287" i="1483"/>
  <c r="U288" i="1483"/>
  <c r="U289" i="1483"/>
  <c r="U290" i="1483"/>
  <c r="U291" i="1483"/>
  <c r="U292" i="1483"/>
  <c r="U293" i="1483"/>
  <c r="U294" i="1483"/>
  <c r="U295" i="1483"/>
  <c r="U296" i="1483"/>
  <c r="U297" i="1483"/>
  <c r="U298" i="1483"/>
  <c r="U299" i="1483"/>
  <c r="U300" i="1483"/>
  <c r="U301" i="1483"/>
  <c r="U302" i="1483"/>
  <c r="U303" i="1483"/>
  <c r="U304" i="1483"/>
  <c r="U305" i="1483"/>
  <c r="U306" i="1483"/>
  <c r="U307" i="1483"/>
  <c r="U308" i="1483"/>
  <c r="U309" i="1483"/>
  <c r="U310" i="1483"/>
  <c r="U311" i="1483"/>
  <c r="U312" i="1483"/>
  <c r="U313" i="1483"/>
  <c r="U314" i="1483"/>
  <c r="U315" i="1483"/>
  <c r="U316" i="1483"/>
  <c r="U317" i="1483"/>
  <c r="U318" i="1483"/>
  <c r="U319" i="1483"/>
  <c r="U320" i="1483"/>
  <c r="U321" i="1483"/>
  <c r="U322" i="1483"/>
  <c r="U323" i="1483"/>
  <c r="U324" i="1483"/>
  <c r="U325" i="1483"/>
  <c r="U326" i="1483"/>
  <c r="U327" i="1483"/>
  <c r="U328" i="1483"/>
  <c r="U329" i="1483"/>
  <c r="U330" i="1483"/>
  <c r="U331" i="1483"/>
  <c r="U332" i="1483"/>
  <c r="U333" i="1483"/>
  <c r="U334" i="1483"/>
  <c r="U335" i="1483"/>
  <c r="U336" i="1483"/>
  <c r="U337" i="1483"/>
  <c r="U338" i="1483"/>
  <c r="U339" i="1483"/>
  <c r="U340" i="1483"/>
  <c r="U341" i="1483"/>
  <c r="U342" i="1483"/>
  <c r="U343" i="1483"/>
  <c r="U344" i="1483"/>
  <c r="U345" i="1483"/>
  <c r="U346" i="1483"/>
  <c r="U347" i="1483"/>
  <c r="U348" i="1483"/>
  <c r="U349" i="1483"/>
  <c r="U350" i="1483"/>
  <c r="U351" i="1483"/>
  <c r="U352" i="1483"/>
  <c r="U353" i="1483"/>
  <c r="U354" i="1483"/>
  <c r="U355" i="1483"/>
  <c r="U356" i="1483"/>
  <c r="U357" i="1483"/>
  <c r="U358" i="1483"/>
  <c r="U359" i="1483"/>
  <c r="U360" i="1483"/>
  <c r="U361" i="1483"/>
  <c r="U362" i="1483"/>
  <c r="U363" i="1483"/>
  <c r="U364" i="1483"/>
  <c r="U365" i="1483"/>
  <c r="U366" i="1483"/>
  <c r="U367" i="1483"/>
  <c r="U368" i="1483"/>
  <c r="U369" i="1483"/>
  <c r="U370" i="1483"/>
  <c r="U371" i="1483"/>
  <c r="U372" i="1483"/>
  <c r="U373" i="1483"/>
  <c r="U374" i="1483"/>
  <c r="U375" i="1483"/>
  <c r="U376" i="1483"/>
  <c r="U377" i="1483"/>
  <c r="U378" i="1483"/>
  <c r="U379" i="1483"/>
  <c r="U380" i="1483"/>
  <c r="U381" i="1483"/>
  <c r="U382" i="1483"/>
  <c r="U383" i="1483"/>
  <c r="U384" i="1483"/>
  <c r="U385" i="1483"/>
  <c r="U386" i="1483"/>
  <c r="U387" i="1483"/>
  <c r="U388" i="1483"/>
  <c r="U389" i="1483"/>
  <c r="U390" i="1483"/>
  <c r="U391" i="1483"/>
  <c r="U392" i="1483"/>
  <c r="U393" i="1483"/>
  <c r="U394" i="1483"/>
  <c r="U395" i="1483"/>
  <c r="U396" i="1483"/>
  <c r="U397" i="1483"/>
  <c r="U398" i="1483"/>
  <c r="U399" i="1483"/>
  <c r="U400" i="1483"/>
  <c r="U401" i="1483"/>
  <c r="U402" i="1483"/>
  <c r="U403" i="1483"/>
  <c r="U404" i="1483"/>
  <c r="U405" i="1483"/>
  <c r="U406" i="1483"/>
  <c r="U407" i="1483"/>
  <c r="U408" i="1483"/>
  <c r="U409" i="1483"/>
  <c r="U410" i="1483"/>
  <c r="U411" i="1483"/>
  <c r="U412" i="1483"/>
  <c r="U413" i="1483"/>
  <c r="U414" i="1483"/>
  <c r="U415" i="1483"/>
  <c r="U416" i="1483"/>
  <c r="U417" i="1483"/>
  <c r="U418" i="1483"/>
  <c r="U419" i="1483"/>
  <c r="U420" i="1483"/>
  <c r="U421" i="1483"/>
  <c r="U422" i="1483"/>
  <c r="U423" i="1483"/>
  <c r="U424" i="1483"/>
  <c r="U425" i="1483"/>
  <c r="U426" i="1483"/>
  <c r="U427" i="1483"/>
  <c r="U428" i="1483"/>
  <c r="U429" i="1483"/>
  <c r="U430" i="1483"/>
  <c r="U431" i="1483"/>
  <c r="U432" i="1483"/>
  <c r="U433" i="1483"/>
  <c r="U434" i="1483"/>
  <c r="U435" i="1483"/>
  <c r="U436" i="1483"/>
  <c r="U437" i="1483"/>
  <c r="U438" i="1483"/>
  <c r="U439" i="1483"/>
  <c r="U440" i="1483"/>
  <c r="U441" i="1483"/>
  <c r="U442" i="1483"/>
  <c r="U443" i="1483"/>
  <c r="U444" i="1483"/>
  <c r="U445" i="1483"/>
  <c r="U446" i="1483"/>
  <c r="U447" i="1483"/>
  <c r="U448" i="1483"/>
  <c r="U449" i="1483"/>
  <c r="U450" i="1483"/>
  <c r="U451" i="1483"/>
  <c r="U452" i="1483"/>
  <c r="U453" i="1483"/>
  <c r="U454" i="1483"/>
  <c r="U455" i="1483"/>
  <c r="U456" i="1483"/>
  <c r="U457" i="1483"/>
  <c r="U458" i="1483"/>
  <c r="U459" i="1483"/>
  <c r="U460" i="1483"/>
  <c r="U461" i="1483"/>
  <c r="U462" i="1483"/>
  <c r="U463" i="1483"/>
  <c r="U464" i="1483"/>
  <c r="U465" i="1483"/>
  <c r="U466" i="1483"/>
  <c r="U467" i="1483"/>
  <c r="U468" i="1483"/>
  <c r="U469" i="1483"/>
  <c r="U470" i="1483"/>
  <c r="U471" i="1483"/>
  <c r="U472" i="1483"/>
  <c r="U473" i="1483"/>
  <c r="U474" i="1483"/>
  <c r="U475" i="1483"/>
  <c r="U476" i="1483"/>
  <c r="U477" i="1483"/>
  <c r="U478" i="1483"/>
  <c r="U479" i="1483"/>
  <c r="U480" i="1483"/>
  <c r="U481" i="1483"/>
  <c r="U482" i="1483"/>
  <c r="U483" i="1483"/>
  <c r="U484" i="1483"/>
  <c r="U485" i="1483"/>
  <c r="U486" i="1483"/>
  <c r="U487" i="1483"/>
  <c r="U488" i="1483"/>
  <c r="U489" i="1483"/>
  <c r="U490" i="1483"/>
  <c r="U491" i="1483"/>
  <c r="U492" i="1483"/>
  <c r="U493" i="1483"/>
  <c r="U494" i="1483"/>
  <c r="U495" i="1483"/>
  <c r="U496" i="1483"/>
  <c r="U497" i="1483"/>
  <c r="U498" i="1483"/>
  <c r="U499" i="1483"/>
  <c r="U500" i="1483"/>
  <c r="U501" i="1483"/>
  <c r="U502" i="1483"/>
  <c r="U503" i="1483"/>
  <c r="U504" i="1483"/>
  <c r="U505" i="1483"/>
  <c r="U506" i="1483"/>
  <c r="U507" i="1483"/>
  <c r="U508" i="1483"/>
  <c r="U509" i="1483"/>
  <c r="U510" i="1483"/>
  <c r="U511" i="1483"/>
  <c r="U512" i="1483"/>
  <c r="U513" i="1483"/>
  <c r="U514" i="1483"/>
  <c r="U515" i="1483"/>
  <c r="U516" i="1483"/>
  <c r="U517" i="1483"/>
  <c r="U518" i="1483"/>
  <c r="U519" i="1483"/>
  <c r="U520" i="1483"/>
  <c r="U521" i="1483"/>
  <c r="U522" i="1483"/>
  <c r="U523" i="1483"/>
  <c r="U524" i="1483"/>
  <c r="U525" i="1483"/>
  <c r="U526" i="1483"/>
  <c r="U527" i="1483"/>
  <c r="U528" i="1483"/>
  <c r="U529" i="1483"/>
  <c r="U530" i="1483"/>
  <c r="U531" i="1483"/>
  <c r="U532" i="1483"/>
  <c r="U533" i="1483"/>
  <c r="U534" i="1483"/>
  <c r="U535" i="1483"/>
  <c r="U536" i="1483"/>
  <c r="U537" i="1483"/>
  <c r="U538" i="1483"/>
  <c r="U539" i="1483"/>
  <c r="U540" i="1483"/>
  <c r="U541" i="1483"/>
  <c r="U542" i="1483"/>
  <c r="U543" i="1483"/>
  <c r="U544" i="1483"/>
  <c r="U545" i="1483"/>
  <c r="U546" i="1483"/>
  <c r="U547" i="1483"/>
  <c r="U548" i="1483"/>
  <c r="U549" i="1483"/>
  <c r="U550" i="1483"/>
  <c r="U551" i="1483"/>
  <c r="U552" i="1483"/>
  <c r="U553" i="1483"/>
  <c r="U554" i="1483"/>
  <c r="U555" i="1483"/>
  <c r="U556" i="1483"/>
  <c r="U557" i="1483"/>
  <c r="U558" i="1483"/>
  <c r="U559" i="1483"/>
  <c r="U560" i="1483"/>
  <c r="U561" i="1483"/>
  <c r="U562" i="1483"/>
  <c r="U563" i="1483"/>
  <c r="U564" i="1483"/>
  <c r="U565" i="1483"/>
  <c r="U566" i="1483"/>
  <c r="U567" i="1483"/>
  <c r="U568" i="1483"/>
  <c r="U569" i="1483"/>
  <c r="U570" i="1483"/>
  <c r="U571" i="1483"/>
  <c r="U572" i="1483"/>
  <c r="U573" i="1483"/>
  <c r="U574" i="1483"/>
  <c r="U575" i="1483"/>
  <c r="U576" i="1483"/>
  <c r="U577" i="1483"/>
  <c r="U578" i="1483"/>
  <c r="U579" i="1483"/>
  <c r="U580" i="1483"/>
  <c r="U581" i="1483"/>
  <c r="U582" i="1483"/>
  <c r="U583" i="1483"/>
  <c r="U584" i="1483"/>
  <c r="U585" i="1483"/>
  <c r="U586" i="1483"/>
  <c r="U587" i="1483"/>
  <c r="U588" i="1483"/>
  <c r="U589" i="1483"/>
  <c r="U590" i="1483"/>
  <c r="U591" i="1483"/>
  <c r="U592" i="1483"/>
  <c r="U593" i="1483"/>
  <c r="U594" i="1483"/>
  <c r="U595" i="1483"/>
  <c r="U596" i="1483"/>
  <c r="U597" i="1483"/>
  <c r="U598" i="1483"/>
  <c r="U599" i="1483"/>
  <c r="U600" i="1483"/>
  <c r="U601" i="1483"/>
  <c r="U602" i="1483"/>
  <c r="U603" i="1483"/>
  <c r="U604" i="1483"/>
  <c r="U605" i="1483"/>
  <c r="U606" i="1483"/>
  <c r="U607" i="1483"/>
  <c r="U608" i="1483"/>
  <c r="U609" i="1483"/>
  <c r="U610" i="1483"/>
  <c r="U611" i="1483"/>
  <c r="U612" i="1483"/>
  <c r="U613" i="1483"/>
  <c r="U614" i="1483"/>
  <c r="U615" i="1483"/>
  <c r="U616" i="1483"/>
  <c r="U617" i="1483"/>
  <c r="U618" i="1483"/>
  <c r="U619" i="1483"/>
  <c r="U620" i="1483"/>
  <c r="U621" i="1483"/>
  <c r="U622" i="1483"/>
  <c r="U623" i="1483"/>
  <c r="U624" i="1483"/>
  <c r="U625" i="1483"/>
  <c r="U626" i="1483"/>
  <c r="U627" i="1483"/>
  <c r="U628" i="1483"/>
  <c r="U629" i="1483"/>
  <c r="U630" i="1483"/>
  <c r="U631" i="1483"/>
  <c r="U632" i="1483"/>
  <c r="U633" i="1483"/>
  <c r="U634" i="1483"/>
  <c r="U635" i="1483"/>
  <c r="U636" i="1483"/>
  <c r="U637" i="1483"/>
  <c r="U638" i="1483"/>
  <c r="U639" i="1483"/>
  <c r="U640" i="1483"/>
  <c r="U641" i="1483"/>
  <c r="U642" i="1483"/>
  <c r="U643" i="1483"/>
  <c r="U644" i="1483"/>
  <c r="U645" i="1483"/>
  <c r="U646" i="1483"/>
  <c r="U647" i="1483"/>
  <c r="U648" i="1483"/>
  <c r="U649" i="1483"/>
  <c r="U650" i="1483"/>
  <c r="U651" i="1483"/>
  <c r="U652" i="1483"/>
  <c r="U653" i="1483"/>
  <c r="U654" i="1483"/>
  <c r="U655" i="1483"/>
  <c r="U656" i="1483"/>
  <c r="U657" i="1483"/>
  <c r="U658" i="1483"/>
  <c r="U659" i="1483"/>
  <c r="U660" i="1483"/>
  <c r="U661" i="1483"/>
  <c r="U662" i="1483"/>
  <c r="U663" i="1483"/>
  <c r="U664" i="1483"/>
  <c r="U665" i="1483"/>
  <c r="U666" i="1483"/>
  <c r="U667" i="1483"/>
  <c r="U668" i="1483"/>
  <c r="U669" i="1483"/>
  <c r="U670" i="1483"/>
  <c r="U671" i="1483"/>
  <c r="U672" i="1483"/>
  <c r="U673" i="1483"/>
  <c r="U674" i="1483"/>
  <c r="U675" i="1483"/>
  <c r="U676" i="1483"/>
  <c r="U677" i="1483"/>
  <c r="U678" i="1483"/>
  <c r="U679" i="1483"/>
  <c r="U680" i="1483"/>
  <c r="U681" i="1483"/>
  <c r="U682" i="1483"/>
  <c r="U683" i="1483"/>
  <c r="U684" i="1483"/>
  <c r="U685" i="1483"/>
  <c r="U686" i="1483"/>
  <c r="U687" i="1483"/>
  <c r="U688" i="1483"/>
  <c r="U689" i="1483"/>
  <c r="U690" i="1483"/>
  <c r="U691" i="1483"/>
  <c r="U692" i="1483"/>
  <c r="U693" i="1483"/>
  <c r="U694" i="1483"/>
  <c r="U695" i="1483"/>
  <c r="U696" i="1483"/>
  <c r="U697" i="1483"/>
  <c r="U698" i="1483"/>
  <c r="U699" i="1483"/>
  <c r="U700" i="1483"/>
  <c r="U701" i="1483"/>
  <c r="U702" i="1483"/>
  <c r="U703" i="1483"/>
  <c r="U704" i="1483"/>
  <c r="U705" i="1483"/>
  <c r="U706" i="1483"/>
  <c r="U707" i="1483"/>
  <c r="U708" i="1483"/>
  <c r="U709" i="1483"/>
  <c r="U710" i="1483"/>
  <c r="U711" i="1483"/>
  <c r="U712" i="1483"/>
  <c r="U713" i="1483"/>
  <c r="U714" i="1483"/>
  <c r="U715" i="1483"/>
  <c r="U716" i="1483"/>
  <c r="U717" i="1483"/>
  <c r="U718" i="1483"/>
  <c r="U719" i="1483"/>
  <c r="U720" i="1483"/>
  <c r="U721" i="1483"/>
  <c r="U722" i="1483"/>
  <c r="U723" i="1483"/>
  <c r="U724" i="1483"/>
  <c r="U725" i="1483"/>
  <c r="U726" i="1483"/>
  <c r="U727" i="1483"/>
  <c r="U728" i="1483"/>
  <c r="U729" i="1483"/>
  <c r="U730" i="1483"/>
  <c r="U731" i="1483"/>
  <c r="U732" i="1483"/>
  <c r="U733" i="1483"/>
  <c r="U734" i="1483"/>
  <c r="U735" i="1483"/>
  <c r="U736" i="1483"/>
  <c r="U737" i="1483"/>
  <c r="U738" i="1483"/>
  <c r="U739" i="1483"/>
  <c r="U740" i="1483"/>
  <c r="U741" i="1483"/>
  <c r="U742" i="1483"/>
  <c r="U743" i="1483"/>
  <c r="U744" i="1483"/>
  <c r="U745" i="1483"/>
  <c r="U746" i="1483"/>
  <c r="U747" i="1483"/>
  <c r="U748" i="1483"/>
  <c r="U749" i="1483"/>
  <c r="U750" i="1483"/>
  <c r="U751" i="1483"/>
  <c r="U752" i="1483"/>
  <c r="U753" i="1483"/>
  <c r="U754" i="1483"/>
  <c r="U755" i="1483"/>
  <c r="U756" i="1483"/>
  <c r="U757" i="1483"/>
  <c r="U758" i="1483"/>
  <c r="U759" i="1483"/>
  <c r="U760" i="1483"/>
  <c r="U761" i="1483"/>
  <c r="U762" i="1483"/>
  <c r="U763" i="1483"/>
  <c r="U764" i="1483"/>
  <c r="U765" i="1483"/>
  <c r="U766" i="1483"/>
  <c r="U767" i="1483"/>
  <c r="U768" i="1483"/>
  <c r="U769" i="1483"/>
  <c r="U770" i="1483"/>
  <c r="U771" i="1483"/>
  <c r="U772" i="1483"/>
  <c r="U773" i="1483"/>
  <c r="U774" i="1483"/>
  <c r="U775" i="1483"/>
  <c r="U776" i="1483"/>
  <c r="U777" i="1483"/>
  <c r="U778" i="1483"/>
  <c r="U779" i="1483"/>
  <c r="U780" i="1483"/>
  <c r="U781" i="1483"/>
  <c r="U782" i="1483"/>
  <c r="U783" i="1483"/>
  <c r="U784" i="1483"/>
  <c r="U785" i="1483"/>
  <c r="U786" i="1483"/>
  <c r="U787" i="1483"/>
  <c r="U788" i="1483"/>
  <c r="U789" i="1483"/>
  <c r="U790" i="1483"/>
  <c r="U791" i="1483"/>
  <c r="U792" i="1483"/>
  <c r="U793" i="1483"/>
  <c r="U794" i="1483"/>
  <c r="U795" i="1483"/>
  <c r="U796" i="1483"/>
  <c r="U797" i="1483"/>
  <c r="U798" i="1483"/>
  <c r="U799" i="1483"/>
  <c r="U800" i="1483"/>
  <c r="U801" i="1483"/>
  <c r="U802" i="1483"/>
  <c r="U803" i="1483"/>
  <c r="U804" i="1483"/>
  <c r="U805" i="1483"/>
  <c r="U806" i="1483"/>
  <c r="U807" i="1483"/>
  <c r="U808" i="1483"/>
  <c r="U809" i="1483"/>
  <c r="U810" i="1483"/>
  <c r="U811" i="1483"/>
  <c r="U812" i="1483"/>
  <c r="U813" i="1483"/>
  <c r="U814" i="1483"/>
  <c r="U815" i="1483"/>
  <c r="U816" i="1483"/>
  <c r="U817" i="1483"/>
  <c r="U818" i="1483"/>
  <c r="U819" i="1483"/>
  <c r="U820" i="1483"/>
  <c r="U821" i="1483"/>
  <c r="U822" i="1483"/>
  <c r="U823" i="1483"/>
  <c r="U824" i="1483"/>
  <c r="U825" i="1483"/>
  <c r="U826" i="1483"/>
  <c r="U827" i="1483"/>
  <c r="U828" i="1483"/>
  <c r="U829" i="1483"/>
  <c r="U830" i="1483"/>
  <c r="U831" i="1483"/>
  <c r="U832" i="1483"/>
  <c r="U833" i="1483"/>
  <c r="U834" i="1483"/>
  <c r="U835" i="1483"/>
  <c r="U836" i="1483"/>
  <c r="U837" i="1483"/>
  <c r="U838" i="1483"/>
  <c r="U839" i="1483"/>
  <c r="U840" i="1483"/>
  <c r="U841" i="1483"/>
  <c r="U842" i="1483"/>
  <c r="U843" i="1483"/>
  <c r="U844" i="1483"/>
  <c r="U845" i="1483"/>
  <c r="U846" i="1483"/>
  <c r="U847" i="1483"/>
  <c r="U848" i="1483"/>
  <c r="U849" i="1483"/>
  <c r="U850" i="1483"/>
  <c r="U851" i="1483"/>
  <c r="U852" i="1483"/>
  <c r="U853" i="1483"/>
  <c r="U854" i="1483"/>
  <c r="U855" i="1483"/>
  <c r="U856" i="1483"/>
  <c r="U857" i="1483"/>
  <c r="U858" i="1483"/>
  <c r="U859" i="1483"/>
  <c r="U860" i="1483"/>
  <c r="U861" i="1483"/>
  <c r="U862" i="1483"/>
  <c r="U863" i="1483"/>
  <c r="U864" i="1483"/>
  <c r="U865" i="1483"/>
  <c r="U866" i="1483"/>
  <c r="U867" i="1483"/>
  <c r="U868" i="1483"/>
  <c r="U869" i="1483"/>
  <c r="U870" i="1483"/>
  <c r="U871" i="1483"/>
  <c r="U872" i="1483"/>
  <c r="U873" i="1483"/>
  <c r="U874" i="1483"/>
  <c r="U875" i="1483"/>
  <c r="U876" i="1483"/>
  <c r="U877" i="1483"/>
  <c r="U878" i="1483"/>
  <c r="U879" i="1483"/>
  <c r="U880" i="1483"/>
  <c r="U881" i="1483"/>
  <c r="U882" i="1483"/>
  <c r="U883" i="1483"/>
  <c r="U884" i="1483"/>
  <c r="U885" i="1483"/>
  <c r="U886" i="1483"/>
  <c r="U887" i="1483"/>
  <c r="U888" i="1483"/>
  <c r="U889" i="1483"/>
  <c r="U890" i="1483"/>
  <c r="U891" i="1483"/>
  <c r="U892" i="1483"/>
  <c r="U893" i="1483"/>
  <c r="U894" i="1483"/>
  <c r="U895" i="1483"/>
  <c r="U896" i="1483"/>
  <c r="U897" i="1483"/>
  <c r="U898" i="1483"/>
  <c r="U899" i="1483"/>
  <c r="U900" i="1483"/>
  <c r="U901" i="1483"/>
  <c r="U902" i="1483"/>
  <c r="U903" i="1483"/>
  <c r="U904" i="1483"/>
  <c r="U905" i="1483"/>
  <c r="U906" i="1483"/>
  <c r="U907" i="1483"/>
  <c r="U908" i="1483"/>
  <c r="U909" i="1483"/>
  <c r="U910" i="1483"/>
  <c r="U911" i="1483"/>
  <c r="U912" i="1483"/>
  <c r="U913" i="1483"/>
  <c r="U914" i="1483"/>
  <c r="U915" i="1483"/>
  <c r="U916" i="1483"/>
  <c r="U917" i="1483"/>
  <c r="U918" i="1483"/>
  <c r="U919" i="1483"/>
  <c r="U920" i="1483"/>
  <c r="U921" i="1483"/>
  <c r="U922" i="1483"/>
  <c r="U923" i="1483"/>
  <c r="U924" i="1483"/>
  <c r="U925" i="1483"/>
  <c r="U926" i="1483"/>
  <c r="U927" i="1483"/>
  <c r="U928" i="1483"/>
  <c r="U929" i="1483"/>
  <c r="U930" i="1483"/>
  <c r="U931" i="1483"/>
  <c r="U932" i="1483"/>
  <c r="U933" i="1483"/>
  <c r="U934" i="1483"/>
  <c r="U935" i="1483"/>
  <c r="U936" i="1483"/>
  <c r="U937" i="1483"/>
  <c r="U938" i="1483"/>
  <c r="U939" i="1483"/>
  <c r="U940" i="1483"/>
  <c r="U941" i="1483"/>
  <c r="U942" i="1483"/>
  <c r="U943" i="1483"/>
  <c r="U944" i="1483"/>
  <c r="U945" i="1483"/>
  <c r="U946" i="1483"/>
  <c r="U947" i="1483"/>
  <c r="U948" i="1483"/>
  <c r="U949" i="1483"/>
  <c r="U950" i="1483"/>
  <c r="U951" i="1483"/>
  <c r="U952" i="1483"/>
  <c r="U953" i="1483"/>
  <c r="U954" i="1483"/>
  <c r="U955" i="1483"/>
  <c r="U956" i="1483"/>
  <c r="U957" i="1483"/>
  <c r="U958" i="1483"/>
  <c r="U959" i="1483"/>
  <c r="U960" i="1483"/>
  <c r="U961" i="1483"/>
  <c r="U962" i="1483"/>
  <c r="U963" i="1483"/>
  <c r="U964" i="1483"/>
  <c r="U965" i="1483"/>
  <c r="U966" i="1483"/>
  <c r="U967" i="1483"/>
  <c r="U968" i="1483"/>
  <c r="U969" i="1483"/>
  <c r="U970" i="1483"/>
  <c r="U971" i="1483"/>
  <c r="U972" i="1483"/>
  <c r="U973" i="1483"/>
  <c r="U974" i="1483"/>
  <c r="U975" i="1483"/>
  <c r="U976" i="1483"/>
  <c r="U977" i="1483"/>
  <c r="U978" i="1483"/>
  <c r="U979" i="1483"/>
  <c r="U980" i="1483"/>
  <c r="U981" i="1483"/>
  <c r="U982" i="1483"/>
  <c r="U983" i="1483"/>
  <c r="U984" i="1483"/>
  <c r="U985" i="1483"/>
  <c r="U986" i="1483"/>
  <c r="U987" i="1483"/>
  <c r="U988" i="1483"/>
  <c r="U989" i="1483"/>
  <c r="U990" i="1483"/>
  <c r="U991" i="1483"/>
  <c r="U992" i="1483"/>
  <c r="U993" i="1483"/>
  <c r="U994" i="1483"/>
  <c r="U995" i="1483"/>
  <c r="U996" i="1483"/>
  <c r="U997" i="1483"/>
  <c r="U998" i="1483"/>
  <c r="U999" i="1483"/>
  <c r="U1000" i="1483"/>
  <c r="U1001" i="1483"/>
  <c r="U1002" i="1483"/>
  <c r="U1003" i="1483"/>
  <c r="U1004" i="1483"/>
  <c r="U1005" i="1483"/>
  <c r="U1006" i="1483"/>
  <c r="U1007" i="1483"/>
  <c r="U1008" i="1483"/>
  <c r="U1009" i="1483"/>
  <c r="U1010" i="1483"/>
  <c r="U1011" i="1483"/>
  <c r="U1012" i="1483"/>
  <c r="U1013" i="1483"/>
  <c r="U1014" i="1483"/>
  <c r="U1015" i="1483"/>
  <c r="U1016" i="1483"/>
  <c r="U1017" i="1483"/>
  <c r="U1018" i="1483"/>
  <c r="U1019" i="1483"/>
  <c r="U1020" i="1483"/>
  <c r="U1021" i="1483"/>
  <c r="U1022" i="1483"/>
  <c r="U1023" i="1483"/>
  <c r="U1024" i="1483"/>
  <c r="U1025" i="1483"/>
  <c r="U1026" i="1483"/>
  <c r="U1027" i="1483"/>
  <c r="U1028" i="1483"/>
  <c r="U1029" i="1483"/>
  <c r="U1030" i="1483"/>
  <c r="U1031" i="1483"/>
  <c r="U1032" i="1483"/>
  <c r="U1033" i="1483"/>
  <c r="U1034" i="1483"/>
  <c r="U1035" i="1483"/>
  <c r="U1036" i="1483"/>
  <c r="U1037" i="1483"/>
  <c r="U1038" i="1483"/>
  <c r="U1039" i="1483"/>
  <c r="U1040" i="1483"/>
  <c r="U1041" i="1483"/>
  <c r="U1042" i="1483"/>
  <c r="U1043" i="1483"/>
  <c r="U1044" i="1483"/>
  <c r="U1045" i="1483"/>
  <c r="U1046" i="1483"/>
  <c r="U1047" i="1483"/>
  <c r="U1048" i="1483"/>
  <c r="U1049" i="1483"/>
  <c r="U1050" i="1483"/>
  <c r="U1051" i="1483"/>
  <c r="U1052" i="1483"/>
  <c r="U1053" i="1483"/>
  <c r="U1054" i="1483"/>
  <c r="U1055" i="1483"/>
  <c r="U1056" i="1483"/>
  <c r="U1057" i="1483"/>
  <c r="U1058" i="1483"/>
  <c r="U1059" i="1483"/>
  <c r="U1060" i="1483"/>
  <c r="U1061" i="1483"/>
  <c r="U1062" i="1483"/>
  <c r="U1063" i="1483"/>
  <c r="U1064" i="1483"/>
  <c r="U1065" i="1483"/>
  <c r="U1066" i="1483"/>
  <c r="U1067" i="1483"/>
  <c r="U1068" i="1483"/>
  <c r="U1069" i="1483"/>
  <c r="U1070" i="1483"/>
  <c r="U1071" i="1483"/>
  <c r="U1072" i="1483"/>
  <c r="U1073" i="1483"/>
  <c r="U1074" i="1483"/>
  <c r="U1075" i="1483"/>
  <c r="U1076" i="1483"/>
  <c r="U1077" i="1483"/>
  <c r="U1078" i="1483"/>
  <c r="U1079" i="1483"/>
  <c r="U1080" i="1483"/>
  <c r="U1081" i="1483"/>
  <c r="U1082" i="1483"/>
  <c r="U1083" i="1483"/>
  <c r="U1084" i="1483"/>
  <c r="U1085" i="1483"/>
  <c r="U1086" i="1483"/>
  <c r="U1087" i="1483"/>
  <c r="U1088" i="1483"/>
  <c r="U1089" i="1483"/>
  <c r="U1090" i="1483"/>
  <c r="U1091" i="1483"/>
  <c r="U1092" i="1483"/>
  <c r="U1093" i="1483"/>
  <c r="U1094" i="1483"/>
  <c r="U1095" i="1483"/>
  <c r="U1096" i="1483"/>
  <c r="U1097" i="1483"/>
  <c r="U1098" i="1483"/>
  <c r="U1099" i="1483"/>
  <c r="U1100" i="1483"/>
  <c r="U1101" i="1483"/>
  <c r="U1102" i="1483"/>
  <c r="U1103" i="1483"/>
  <c r="U1104" i="1483"/>
  <c r="U1105" i="1483"/>
  <c r="U1106" i="1483"/>
  <c r="U1107" i="1483"/>
  <c r="U1108" i="1483"/>
  <c r="U1109" i="1483"/>
  <c r="U1110" i="1483"/>
  <c r="U1111" i="1483"/>
  <c r="U1112" i="1483"/>
  <c r="U1113" i="1483"/>
  <c r="U1114" i="1483"/>
  <c r="U1115" i="1483"/>
  <c r="U1116" i="1483"/>
  <c r="U1117" i="1483"/>
  <c r="U1118" i="1483"/>
  <c r="U1119" i="1483"/>
  <c r="U1120" i="1483"/>
  <c r="U1121" i="1483"/>
  <c r="U1122" i="1483"/>
  <c r="U1123" i="1483"/>
  <c r="U1124" i="1483"/>
  <c r="U1125" i="1483"/>
  <c r="U1126" i="1483"/>
  <c r="U1127" i="1483"/>
  <c r="U1128" i="1483"/>
  <c r="U1129" i="1483"/>
  <c r="U1130" i="1483"/>
  <c r="U1131" i="1483"/>
  <c r="U1132" i="1483"/>
  <c r="U1133" i="1483"/>
  <c r="U1134" i="1483"/>
  <c r="U1135" i="1483"/>
  <c r="U1136" i="1483"/>
  <c r="U1137" i="1483"/>
  <c r="U1138" i="1483"/>
  <c r="U1139" i="1483"/>
  <c r="U1140" i="1483"/>
  <c r="U1141" i="1483"/>
  <c r="U1142" i="1483"/>
  <c r="U1143" i="1483"/>
  <c r="U1144" i="1483"/>
  <c r="U1145" i="1483"/>
  <c r="U1146" i="1483"/>
  <c r="U1147" i="1483"/>
  <c r="U1148" i="1483"/>
  <c r="U1149" i="1483"/>
  <c r="U1150" i="1483"/>
  <c r="U1151" i="1483"/>
  <c r="U1152" i="1483"/>
  <c r="U1153" i="1483"/>
  <c r="U1154" i="1483"/>
  <c r="U1155" i="1483"/>
  <c r="U1156" i="1483"/>
  <c r="U1157" i="1483"/>
  <c r="U1158" i="1483"/>
  <c r="U1159" i="1483"/>
  <c r="U1160" i="1483"/>
  <c r="U1161" i="1483"/>
  <c r="U1162" i="1483"/>
  <c r="U1163" i="1483"/>
  <c r="U1164" i="1483"/>
  <c r="U1165" i="1483"/>
  <c r="U1166" i="1483"/>
  <c r="U1167" i="1483"/>
  <c r="U1168" i="1483"/>
  <c r="U1169" i="1483"/>
  <c r="U1170" i="1483"/>
  <c r="U1171" i="1483"/>
  <c r="U1172" i="1483"/>
  <c r="U1173" i="1483"/>
  <c r="U1174" i="1483"/>
  <c r="U1175" i="1483"/>
  <c r="U1176" i="1483"/>
  <c r="U1177" i="1483"/>
  <c r="U1178" i="1483"/>
  <c r="U1179" i="1483"/>
  <c r="U1180" i="1483"/>
  <c r="U1181" i="1483"/>
  <c r="U1182" i="1483"/>
  <c r="U1183" i="1483"/>
  <c r="U1184" i="1483"/>
  <c r="U1185" i="1483"/>
  <c r="U1186" i="1483"/>
  <c r="U1187" i="1483"/>
  <c r="U1188" i="1483"/>
  <c r="U1189" i="1483"/>
  <c r="U1190" i="1483"/>
  <c r="U1191" i="1483"/>
  <c r="U1192" i="1483"/>
  <c r="U1193" i="1483"/>
  <c r="U1194" i="1483"/>
  <c r="U1195" i="1483"/>
  <c r="U1196" i="1483"/>
  <c r="U1197" i="1483"/>
  <c r="U1198" i="1483"/>
  <c r="U1199" i="1483"/>
  <c r="U1200" i="1483"/>
  <c r="U1201" i="1483"/>
  <c r="U1202" i="1483"/>
  <c r="U1203" i="1483"/>
  <c r="U1204" i="1483"/>
  <c r="U1205" i="1483"/>
  <c r="U1206" i="1483"/>
  <c r="U1207" i="1483"/>
  <c r="U1208" i="1483"/>
  <c r="U1209" i="1483"/>
  <c r="U1210" i="1483"/>
  <c r="U1211" i="1483"/>
  <c r="U1212" i="1483"/>
  <c r="U1213" i="1483"/>
  <c r="U1214" i="1483"/>
  <c r="U1215" i="1483"/>
  <c r="U1216" i="1483"/>
  <c r="U1217" i="1483"/>
  <c r="U1218" i="1483"/>
  <c r="U1219" i="1483"/>
  <c r="U1220" i="1483"/>
  <c r="U1221" i="1483"/>
  <c r="U1222" i="1483"/>
  <c r="U1223" i="1483"/>
  <c r="U1224" i="1483"/>
  <c r="U1225" i="1483"/>
  <c r="U1226" i="1483"/>
  <c r="U1227" i="1483"/>
  <c r="U1228" i="1483"/>
  <c r="U1229" i="1483"/>
  <c r="U1230" i="1483"/>
  <c r="U1231" i="1483"/>
  <c r="U1232" i="1483"/>
  <c r="U1233" i="1483"/>
  <c r="U1234" i="1483"/>
  <c r="U1235" i="1483"/>
  <c r="U1236" i="1483"/>
  <c r="U1237" i="1483"/>
  <c r="U1238" i="1483"/>
  <c r="U1239" i="1483"/>
  <c r="U1240" i="1483"/>
  <c r="U1241" i="1483"/>
  <c r="U1242" i="1483"/>
  <c r="U1243" i="1483"/>
  <c r="U1244" i="1483"/>
  <c r="U1245" i="1483"/>
  <c r="U1246" i="1483"/>
  <c r="U1247" i="1483"/>
  <c r="U1248" i="1483"/>
  <c r="U1249" i="1483"/>
  <c r="U1250" i="1483"/>
  <c r="U1251" i="1483"/>
  <c r="U1252" i="1483"/>
  <c r="U1253" i="1483"/>
  <c r="U1254" i="1483"/>
  <c r="U1255" i="1483"/>
  <c r="U1256" i="1483"/>
  <c r="U1257" i="1483"/>
  <c r="U1258" i="1483"/>
  <c r="U1259" i="1483"/>
  <c r="U1260" i="1483"/>
  <c r="U1261" i="1483"/>
  <c r="U1262" i="1483"/>
  <c r="U1263" i="1483"/>
  <c r="U1264" i="1483"/>
  <c r="U1265" i="1483"/>
  <c r="U1266" i="1483"/>
  <c r="U1267" i="1483"/>
  <c r="U1268" i="1483"/>
  <c r="U1269" i="1483"/>
  <c r="U1270" i="1483"/>
  <c r="U1271" i="1483"/>
  <c r="U1272" i="1483"/>
  <c r="U1273" i="1483"/>
  <c r="U1274" i="1483"/>
  <c r="U1275" i="1483"/>
  <c r="U1276" i="1483"/>
  <c r="U1277" i="1483"/>
  <c r="U1278" i="1483"/>
  <c r="U1279" i="1483"/>
  <c r="U1280" i="1483"/>
  <c r="U1281" i="1483"/>
  <c r="U1282" i="1483"/>
  <c r="U1283" i="1483"/>
  <c r="U1284" i="1483"/>
  <c r="U1285" i="1483"/>
  <c r="U1286" i="1483"/>
  <c r="U1287" i="1483"/>
  <c r="U1288" i="1483"/>
  <c r="U1289" i="1483"/>
  <c r="U1290" i="1483"/>
  <c r="U1291" i="1483"/>
  <c r="U1292" i="1483"/>
  <c r="U1293" i="1483"/>
  <c r="U1294" i="1483"/>
  <c r="U1295" i="1483"/>
  <c r="U1296" i="1483"/>
  <c r="U1297" i="1483"/>
  <c r="U1298" i="1483"/>
  <c r="U1299" i="1483"/>
  <c r="U1300" i="1483"/>
  <c r="U1301" i="1483"/>
  <c r="U1302" i="1483"/>
  <c r="U1303" i="1483"/>
  <c r="U1304" i="1483"/>
  <c r="U1305" i="1483"/>
  <c r="U1306" i="1483"/>
  <c r="U1307" i="1483"/>
  <c r="U1308" i="1483"/>
  <c r="U1309" i="1483"/>
  <c r="U1310" i="1483"/>
  <c r="U1311" i="1483"/>
  <c r="U1312" i="1483"/>
  <c r="U1313" i="1483"/>
  <c r="U1314" i="1483"/>
  <c r="U1315" i="1483"/>
  <c r="U1316" i="1483"/>
  <c r="U1317" i="1483"/>
  <c r="U1318" i="1483"/>
  <c r="U1319" i="1483"/>
  <c r="U1320" i="1483"/>
  <c r="U1321" i="1483"/>
  <c r="U1322" i="1483"/>
  <c r="U1323" i="1483"/>
  <c r="U1324" i="1483"/>
  <c r="U1325" i="1483"/>
  <c r="U1326" i="1483"/>
  <c r="U1327" i="1483"/>
  <c r="U1328" i="1483"/>
  <c r="U1329" i="1483"/>
  <c r="U1330" i="1483"/>
  <c r="U1331" i="1483"/>
  <c r="U1332" i="1483"/>
  <c r="U1333" i="1483"/>
  <c r="U1334" i="1483"/>
  <c r="U1335" i="1483"/>
  <c r="U1336" i="1483"/>
  <c r="U1337" i="1483"/>
  <c r="U1338" i="1483"/>
  <c r="U1339" i="1483"/>
  <c r="U1340" i="1483"/>
  <c r="U1341" i="1483"/>
  <c r="U1342" i="1483"/>
  <c r="U1343" i="1483"/>
  <c r="U1344" i="1483"/>
  <c r="U1345" i="1483"/>
  <c r="U1346" i="1483"/>
  <c r="U1347" i="1483"/>
  <c r="U1348" i="1483"/>
  <c r="U1349" i="1483"/>
  <c r="U1350" i="1483"/>
  <c r="U1351" i="1483"/>
  <c r="U1352" i="1483"/>
  <c r="U1353" i="1483"/>
  <c r="U1354" i="1483"/>
  <c r="U1355" i="1483"/>
  <c r="U1356" i="1483"/>
  <c r="U1357" i="1483"/>
  <c r="U1358" i="1483"/>
  <c r="U1359" i="1483"/>
  <c r="U1360" i="1483"/>
  <c r="U1361" i="1483"/>
  <c r="U1362" i="1483"/>
  <c r="U1363" i="1483"/>
  <c r="U1364" i="1483"/>
  <c r="U1365" i="1483"/>
  <c r="U1366" i="1483"/>
  <c r="U1367" i="1483"/>
  <c r="U1368" i="1483"/>
  <c r="U1369" i="1483"/>
  <c r="U1370" i="1483"/>
  <c r="U1371" i="1483"/>
  <c r="U1372" i="1483"/>
  <c r="U1373" i="1483"/>
  <c r="U1374" i="1483"/>
  <c r="U1375" i="1483"/>
  <c r="U1376" i="1483"/>
  <c r="U1377" i="1483"/>
  <c r="U1378" i="1483"/>
  <c r="U1379" i="1483"/>
  <c r="U1380" i="1483"/>
  <c r="U1381" i="1483"/>
  <c r="U1382" i="1483"/>
  <c r="U1383" i="1483"/>
  <c r="U1384" i="1483"/>
  <c r="U1385" i="1483"/>
  <c r="U1386" i="1483"/>
  <c r="U1387" i="1483"/>
  <c r="U1388" i="1483"/>
  <c r="U1389" i="1483"/>
  <c r="U1390" i="1483"/>
  <c r="U1391" i="1483"/>
  <c r="U1392" i="1483"/>
  <c r="U1393" i="1483"/>
  <c r="U1394" i="1483"/>
  <c r="U1395" i="1483"/>
  <c r="U1396" i="1483"/>
  <c r="U1397" i="1483"/>
  <c r="U1398" i="1483"/>
  <c r="U1399" i="1483"/>
  <c r="U1400" i="1483"/>
  <c r="U1401" i="1483"/>
  <c r="U1402" i="1483"/>
  <c r="U1403" i="1483"/>
  <c r="U1404" i="1483"/>
  <c r="U1405" i="1483"/>
  <c r="U1406" i="1483"/>
  <c r="U1407" i="1483"/>
  <c r="U1408" i="1483"/>
  <c r="U1409" i="1483"/>
  <c r="U1410" i="1483"/>
  <c r="U1411" i="1483"/>
  <c r="U1412" i="1483"/>
  <c r="U1413" i="1483"/>
  <c r="U1414" i="1483"/>
  <c r="U1415" i="1483"/>
  <c r="U1416" i="1483"/>
  <c r="U1417" i="1483"/>
  <c r="U1418" i="1483"/>
  <c r="U1419" i="1483"/>
  <c r="U1420" i="1483"/>
  <c r="U1421" i="1483"/>
  <c r="U1422" i="1483"/>
  <c r="U1423" i="1483"/>
  <c r="U1424" i="1483"/>
  <c r="U1425" i="1483"/>
  <c r="U1426" i="1483"/>
  <c r="U1427" i="1483"/>
  <c r="U1428" i="1483"/>
  <c r="U1429" i="1483"/>
  <c r="U1430" i="1483"/>
  <c r="U1431" i="1483"/>
  <c r="U1432" i="1483"/>
  <c r="U1433" i="1483"/>
  <c r="U1434" i="1483"/>
  <c r="U1435" i="1483"/>
  <c r="U1436" i="1483"/>
  <c r="U1437" i="1483"/>
  <c r="U1438" i="1483"/>
  <c r="U1439" i="1483"/>
  <c r="U1440" i="1483"/>
  <c r="U1441" i="1483"/>
  <c r="U1442" i="1483"/>
  <c r="U1443" i="1483"/>
  <c r="U1444" i="1483"/>
  <c r="U1445" i="1483"/>
  <c r="U1446" i="1483"/>
  <c r="U1447" i="1483"/>
  <c r="U1448" i="1483"/>
  <c r="U1449" i="1483"/>
  <c r="U1450" i="1483"/>
  <c r="U1451" i="1483"/>
  <c r="U1452" i="1483"/>
  <c r="U1453" i="1483"/>
  <c r="U1454" i="1483"/>
  <c r="U1455" i="1483"/>
  <c r="U1456" i="1483"/>
  <c r="U1457" i="1483"/>
  <c r="U1458" i="1483"/>
  <c r="U1459" i="1483"/>
  <c r="U1460" i="1483"/>
  <c r="U1461" i="1483"/>
  <c r="U1462" i="1483"/>
  <c r="U1463" i="1483"/>
  <c r="U1464" i="1483"/>
  <c r="U1465" i="1483"/>
  <c r="U1466" i="1483"/>
  <c r="U1467" i="1483"/>
  <c r="U1468" i="1483"/>
  <c r="U1469" i="1483"/>
  <c r="U1470" i="1483"/>
  <c r="U1471" i="1483"/>
  <c r="U1472" i="1483"/>
  <c r="U1473" i="1483"/>
  <c r="U1474" i="1483"/>
  <c r="U1475" i="1483"/>
  <c r="U1476" i="1483"/>
  <c r="U1477" i="1483"/>
  <c r="U1478" i="1483"/>
  <c r="U1479" i="1483"/>
  <c r="U1480" i="1483"/>
  <c r="U1481" i="1483"/>
  <c r="U1482" i="1483"/>
  <c r="U1483" i="1483"/>
  <c r="U1484" i="1483"/>
  <c r="U1485" i="1483"/>
  <c r="U1486" i="1483"/>
  <c r="U1487" i="1483"/>
  <c r="U1488" i="1483"/>
  <c r="U1489" i="1483"/>
  <c r="U1490" i="1483"/>
  <c r="U1491" i="1483"/>
  <c r="U1492" i="1483"/>
  <c r="U1493" i="1483"/>
  <c r="U1494" i="1483"/>
  <c r="U1495" i="1483"/>
  <c r="U1496" i="1483"/>
  <c r="U1497" i="1483"/>
  <c r="U1498" i="1483"/>
  <c r="U1499" i="1483"/>
  <c r="U1500" i="1483"/>
  <c r="U1501" i="1483"/>
  <c r="U1502" i="1483"/>
  <c r="U1503" i="1483"/>
  <c r="U1504" i="1483"/>
  <c r="U1505" i="1483"/>
  <c r="U1506" i="1483"/>
  <c r="U1507" i="1483"/>
  <c r="U1508" i="1483"/>
  <c r="U1509" i="1483"/>
  <c r="U1510" i="1483"/>
  <c r="U1511" i="1483"/>
  <c r="U1512" i="1483"/>
  <c r="U1513" i="1483"/>
  <c r="U1514" i="1483"/>
  <c r="U1515" i="1483"/>
  <c r="U1516" i="1483"/>
  <c r="U1517" i="1483"/>
  <c r="U1518" i="1483"/>
  <c r="U1519" i="1483"/>
  <c r="U1520" i="1483"/>
  <c r="U1521" i="1483"/>
  <c r="U1522" i="1483"/>
  <c r="U1523" i="1483"/>
  <c r="U1524" i="1483"/>
  <c r="U1525" i="1483"/>
  <c r="U1526" i="1483"/>
  <c r="U1527" i="1483"/>
  <c r="U1528" i="1483"/>
  <c r="U1529" i="1483"/>
  <c r="U1530" i="1483"/>
  <c r="U1531" i="1483"/>
  <c r="U1532" i="1483"/>
  <c r="U1533" i="1483"/>
  <c r="U1534" i="1483"/>
  <c r="U1535" i="1483"/>
  <c r="U1536" i="1483"/>
  <c r="U1537" i="1483"/>
  <c r="U1538" i="1483"/>
  <c r="U1539" i="1483"/>
  <c r="U1540" i="1483"/>
  <c r="U1541" i="1483"/>
  <c r="U1542" i="1483"/>
  <c r="U1543" i="1483"/>
  <c r="U1544" i="1483"/>
  <c r="U1545" i="1483"/>
  <c r="U1546" i="1483"/>
  <c r="U1547" i="1483"/>
  <c r="U1548" i="1483"/>
  <c r="U1549" i="1483"/>
  <c r="U1550" i="1483"/>
  <c r="U1551" i="1483"/>
  <c r="U1552" i="1483"/>
  <c r="U1553" i="1483"/>
  <c r="U1554" i="1483"/>
  <c r="U1555" i="1483"/>
  <c r="U1556" i="1483"/>
  <c r="U1557" i="1483"/>
  <c r="U1558" i="1483"/>
  <c r="U1559" i="1483"/>
  <c r="U1560" i="1483"/>
  <c r="U1561" i="1483"/>
  <c r="U1562" i="1483"/>
  <c r="U1563" i="1483"/>
  <c r="U1564" i="1483"/>
  <c r="U1565" i="1483"/>
  <c r="U1566" i="1483"/>
  <c r="U1567" i="1483"/>
  <c r="U1568" i="1483"/>
  <c r="U1569" i="1483"/>
  <c r="U1570" i="1483"/>
  <c r="U1571" i="1483"/>
  <c r="U1572" i="1483"/>
  <c r="U1573" i="1483"/>
  <c r="U1574" i="1483"/>
  <c r="U1575" i="1483"/>
  <c r="U1576" i="1483"/>
  <c r="U1577" i="1483"/>
  <c r="U1578" i="1483"/>
  <c r="U1579" i="1483"/>
  <c r="U1580" i="1483"/>
  <c r="U1581" i="1483"/>
  <c r="U1582" i="1483"/>
  <c r="U1583" i="1483"/>
  <c r="U1584" i="1483"/>
  <c r="U1585" i="1483"/>
  <c r="U1586" i="1483"/>
  <c r="U1587" i="1483"/>
  <c r="U1588" i="1483"/>
  <c r="U1589" i="1483"/>
  <c r="U1590" i="1483"/>
  <c r="U1591" i="1483"/>
  <c r="U1592" i="1483"/>
  <c r="U1593" i="1483"/>
  <c r="U1594" i="1483"/>
  <c r="U1595" i="1483"/>
  <c r="U1596" i="1483"/>
  <c r="U1597" i="1483"/>
  <c r="U1598" i="1483"/>
  <c r="U1599" i="1483"/>
  <c r="U1600" i="1483"/>
  <c r="U1601" i="1483"/>
  <c r="U1602" i="1483"/>
  <c r="U1603" i="1483"/>
  <c r="U1604" i="1483"/>
  <c r="U1605" i="1483"/>
  <c r="U1606" i="1483"/>
  <c r="U1607" i="1483"/>
  <c r="U1608" i="1483"/>
  <c r="U1609" i="1483"/>
  <c r="U1610" i="1483"/>
  <c r="U1611" i="1483"/>
  <c r="U1612" i="1483"/>
  <c r="U1613" i="1483"/>
  <c r="U1614" i="1483"/>
  <c r="U1615" i="1483"/>
  <c r="U1616" i="1483"/>
  <c r="U1617" i="1483"/>
  <c r="U1618" i="1483"/>
  <c r="U1619" i="1483"/>
  <c r="U1620" i="1483"/>
  <c r="U1621" i="1483"/>
  <c r="U1622" i="1483"/>
  <c r="U1623" i="1483"/>
  <c r="U1624" i="1483"/>
  <c r="U1625" i="1483"/>
  <c r="U1626" i="1483"/>
  <c r="U1627" i="1483"/>
  <c r="U1628" i="1483"/>
  <c r="U1629" i="1483"/>
  <c r="U1630" i="1483"/>
  <c r="U1631" i="1483"/>
  <c r="U1632" i="1483"/>
  <c r="U1633" i="1483"/>
  <c r="U1634" i="1483"/>
  <c r="U1635" i="1483"/>
  <c r="U1636" i="1483"/>
  <c r="U1637" i="1483"/>
  <c r="U1638" i="1483"/>
  <c r="U1639" i="1483"/>
  <c r="U1640" i="1483"/>
  <c r="U1641" i="1483"/>
  <c r="U1642" i="1483"/>
  <c r="U1643" i="1483"/>
  <c r="U1644" i="1483"/>
  <c r="U1645" i="1483"/>
  <c r="U1646" i="1483"/>
  <c r="U1647" i="1483"/>
  <c r="U1648" i="1483"/>
  <c r="U1649" i="1483"/>
  <c r="U1650" i="1483"/>
  <c r="U1651" i="1483"/>
  <c r="U1652" i="1483"/>
  <c r="U1653" i="1483"/>
  <c r="U1654" i="1483"/>
  <c r="U1655" i="1483"/>
  <c r="U1656" i="1483"/>
  <c r="U1657" i="1483"/>
  <c r="U1658" i="1483"/>
  <c r="U1659" i="1483"/>
  <c r="U1660" i="1483"/>
  <c r="U1661" i="1483"/>
  <c r="U1662" i="1483"/>
  <c r="U1663" i="1483"/>
  <c r="U1664" i="1483"/>
  <c r="U1665" i="1483"/>
  <c r="U1666" i="1483"/>
  <c r="U1667" i="1483"/>
  <c r="U1668" i="1483"/>
  <c r="U1669" i="1483"/>
  <c r="U1670" i="1483"/>
  <c r="U1671" i="1483"/>
  <c r="U1672" i="1483"/>
  <c r="U1673" i="1483"/>
  <c r="U1674" i="1483"/>
  <c r="U1675" i="1483"/>
  <c r="U1676" i="1483"/>
  <c r="U1677" i="1483"/>
  <c r="U1678" i="1483"/>
  <c r="U1679" i="1483"/>
  <c r="U1680" i="1483"/>
  <c r="U1681" i="1483"/>
  <c r="U1682" i="1483"/>
  <c r="U1683" i="1483"/>
  <c r="U1684" i="1483"/>
  <c r="U1685" i="1483"/>
  <c r="U1686" i="1483"/>
  <c r="U1687" i="1483"/>
  <c r="U1688" i="1483"/>
  <c r="U1689" i="1483"/>
  <c r="U1690" i="1483"/>
  <c r="U1691" i="1483"/>
  <c r="U1692" i="1483"/>
  <c r="U1693" i="1483"/>
  <c r="U1694" i="1483"/>
  <c r="U1695" i="1483"/>
  <c r="U1696" i="1483"/>
  <c r="U1697" i="1483"/>
  <c r="U1698" i="1483"/>
  <c r="U1699" i="1483"/>
  <c r="U1700" i="1483"/>
  <c r="U1701" i="1483"/>
  <c r="U1702" i="1483"/>
  <c r="U1703" i="1483"/>
  <c r="U1704" i="1483"/>
  <c r="U1705" i="1483"/>
  <c r="U1706" i="1483"/>
  <c r="U1707" i="1483"/>
  <c r="U1708" i="1483"/>
  <c r="U1709" i="1483"/>
  <c r="U1710" i="1483"/>
  <c r="U1711" i="1483"/>
  <c r="U1712" i="1483"/>
  <c r="U1713" i="1483"/>
  <c r="U1714" i="1483"/>
  <c r="U1715" i="1483"/>
  <c r="U1716" i="1483"/>
  <c r="U1717" i="1483"/>
  <c r="U1718" i="1483"/>
  <c r="U1719" i="1483"/>
  <c r="U1720" i="1483"/>
  <c r="U1721" i="1483"/>
  <c r="U1722" i="1483"/>
  <c r="U1723" i="1483"/>
  <c r="U1724" i="1483"/>
  <c r="U1725" i="1483"/>
  <c r="U1726" i="1483"/>
  <c r="U1727" i="1483"/>
  <c r="U1728" i="1483"/>
  <c r="U1729" i="1483"/>
  <c r="U1730" i="1483"/>
  <c r="U1731" i="1483"/>
  <c r="U1732" i="1483"/>
  <c r="U1733" i="1483"/>
  <c r="U1734" i="1483"/>
  <c r="U1735" i="1483"/>
  <c r="U1736" i="1483"/>
  <c r="U1737" i="1483"/>
  <c r="U1738" i="1483"/>
  <c r="U1739" i="1483"/>
  <c r="U1740" i="1483"/>
  <c r="U1741" i="1483"/>
  <c r="U1742" i="1483"/>
  <c r="U1743" i="1483"/>
  <c r="U1744" i="1483"/>
  <c r="U1745" i="1483"/>
  <c r="U1746" i="1483"/>
  <c r="U1747" i="1483"/>
  <c r="U1748" i="1483"/>
  <c r="U1749" i="1483"/>
  <c r="U1750" i="1483"/>
  <c r="U1751" i="1483"/>
  <c r="U1752" i="1483"/>
  <c r="U1753" i="1483"/>
  <c r="U1754" i="1483"/>
  <c r="U1755" i="1483"/>
  <c r="U1756" i="1483"/>
  <c r="U1757" i="1483"/>
  <c r="U1758" i="1483"/>
  <c r="U1759" i="1483"/>
  <c r="U1760" i="1483"/>
  <c r="U1761" i="1483"/>
  <c r="U1762" i="1483"/>
  <c r="U1763" i="1483"/>
  <c r="U1764" i="1483"/>
  <c r="U1765" i="1483"/>
  <c r="U1766" i="1483"/>
  <c r="U1767" i="1483"/>
  <c r="U1768" i="1483"/>
  <c r="U1769" i="1483"/>
  <c r="U1770" i="1483"/>
  <c r="U1771" i="1483"/>
  <c r="U1772" i="1483"/>
  <c r="U1773" i="1483"/>
  <c r="U1774" i="1483"/>
  <c r="U1775" i="1483"/>
  <c r="U1776" i="1483"/>
  <c r="U1777" i="1483"/>
  <c r="U1778" i="1483"/>
  <c r="U1779" i="1483"/>
  <c r="U1780" i="1483"/>
  <c r="U1781" i="1483"/>
  <c r="U1782" i="1483"/>
  <c r="U1783" i="1483"/>
  <c r="U1784" i="1483"/>
  <c r="U1785" i="1483"/>
  <c r="U1786" i="1483"/>
  <c r="U1787" i="1483"/>
  <c r="U1788" i="1483"/>
  <c r="U1789" i="1483"/>
  <c r="U1790" i="1483"/>
  <c r="U1791" i="1483"/>
  <c r="U1792" i="1483"/>
  <c r="U1793" i="1483"/>
  <c r="U1794" i="1483"/>
  <c r="U1795" i="1483"/>
  <c r="U1796" i="1483"/>
  <c r="U1797" i="1483"/>
  <c r="U1798" i="1483"/>
  <c r="U1799" i="1483"/>
  <c r="U1800" i="1483"/>
  <c r="U1801" i="1483"/>
  <c r="U1802" i="1483"/>
  <c r="U1803" i="1483"/>
  <c r="U1804" i="1483"/>
  <c r="U1805" i="1483"/>
  <c r="U1806" i="1483"/>
  <c r="U1807" i="1483"/>
  <c r="U1808" i="1483"/>
  <c r="U1809" i="1483"/>
  <c r="U1810" i="1483"/>
  <c r="U1811" i="1483"/>
  <c r="U1812" i="1483"/>
  <c r="U1813" i="1483"/>
  <c r="U1814" i="1483"/>
  <c r="U1815" i="1483"/>
  <c r="U1816" i="1483"/>
  <c r="U1817" i="1483"/>
  <c r="U1818" i="1483"/>
  <c r="U1819" i="1483"/>
  <c r="U1820" i="1483"/>
  <c r="U1821" i="1483"/>
  <c r="U1822" i="1483"/>
  <c r="U1823" i="1483"/>
  <c r="U1824" i="1483"/>
  <c r="U1825" i="1483"/>
  <c r="U1826" i="1483"/>
  <c r="U1827" i="1483"/>
  <c r="U1828" i="1483"/>
  <c r="U1829" i="1483"/>
  <c r="U1830" i="1483"/>
  <c r="U1831" i="1483"/>
  <c r="U1832" i="1483"/>
  <c r="U1833" i="1483"/>
  <c r="U1834" i="1483"/>
  <c r="U1835" i="1483"/>
  <c r="U1836" i="1483"/>
  <c r="U1837" i="1483"/>
  <c r="U1838" i="1483"/>
  <c r="U1839" i="1483"/>
  <c r="U1840" i="1483"/>
  <c r="U1841" i="1483"/>
  <c r="U1842" i="1483"/>
  <c r="U1843" i="1483"/>
  <c r="U1844" i="1483"/>
  <c r="U1845" i="1483"/>
  <c r="U1846" i="1483"/>
  <c r="U1847" i="1483"/>
  <c r="U1848" i="1483"/>
  <c r="U1849" i="1483"/>
  <c r="U1850" i="1483"/>
  <c r="U1851" i="1483"/>
  <c r="U1852" i="1483"/>
  <c r="U1853" i="1483"/>
  <c r="U1854" i="1483"/>
  <c r="U1855" i="1483"/>
  <c r="U1856" i="1483"/>
  <c r="U1857" i="1483"/>
  <c r="U1858" i="1483"/>
  <c r="U1859" i="1483"/>
  <c r="U1860" i="1483"/>
  <c r="U1861" i="1483"/>
  <c r="U1862" i="1483"/>
  <c r="U1863" i="1483"/>
  <c r="U1864" i="1483"/>
  <c r="U1865" i="1483"/>
  <c r="U1866" i="1483"/>
  <c r="U1867" i="1483"/>
  <c r="U1868" i="1483"/>
  <c r="U1869" i="1483"/>
  <c r="U1870" i="1483"/>
  <c r="U1871" i="1483"/>
  <c r="U1872" i="1483"/>
  <c r="U1873" i="1483"/>
  <c r="U1874" i="1483"/>
  <c r="U1875" i="1483"/>
  <c r="U1876" i="1483"/>
  <c r="U1877" i="1483"/>
  <c r="U1878" i="1483"/>
  <c r="U1879" i="1483"/>
  <c r="U1880" i="1483"/>
  <c r="U1881" i="1483"/>
  <c r="U1882" i="1483"/>
  <c r="U1883" i="1483"/>
  <c r="U1884" i="1483"/>
  <c r="U1885" i="1483"/>
  <c r="U1886" i="1483"/>
  <c r="U1887" i="1483"/>
  <c r="U1888" i="1483"/>
  <c r="U1889" i="1483"/>
  <c r="U1890" i="1483"/>
  <c r="U1891" i="1483"/>
  <c r="U1892" i="1483"/>
  <c r="U1893" i="1483"/>
  <c r="U1894" i="1483"/>
  <c r="U1895" i="1483"/>
  <c r="U1896" i="1483"/>
  <c r="U1897" i="1483"/>
  <c r="U1898" i="1483"/>
  <c r="U1899" i="1483"/>
  <c r="U1900" i="1483"/>
  <c r="U1901" i="1483"/>
  <c r="U1902" i="1483"/>
  <c r="U1903" i="1483"/>
  <c r="T2" i="1483"/>
  <c r="T3" i="1483"/>
  <c r="T4" i="1483"/>
  <c r="T5" i="1483"/>
  <c r="T6" i="1483"/>
  <c r="T7" i="1483"/>
  <c r="T8" i="1483"/>
  <c r="T9" i="1483"/>
  <c r="T10" i="1483"/>
  <c r="T11" i="1483"/>
  <c r="T12" i="1483"/>
  <c r="T13" i="1483"/>
  <c r="T14" i="1483"/>
  <c r="T15" i="1483"/>
  <c r="T16" i="1483"/>
  <c r="T17" i="1483"/>
  <c r="T18" i="1483"/>
  <c r="T19" i="1483"/>
  <c r="T20" i="1483"/>
  <c r="T21" i="1483"/>
  <c r="T22" i="1483"/>
  <c r="T23" i="1483"/>
  <c r="T24" i="1483"/>
  <c r="T25" i="1483"/>
  <c r="T26" i="1483"/>
  <c r="T27" i="1483"/>
  <c r="T28" i="1483"/>
  <c r="T29" i="1483"/>
  <c r="T30" i="1483"/>
  <c r="T31" i="1483"/>
  <c r="T32" i="1483"/>
  <c r="T33" i="1483"/>
  <c r="T34" i="1483"/>
  <c r="T35" i="1483"/>
  <c r="T36" i="1483"/>
  <c r="T37" i="1483"/>
  <c r="T38" i="1483"/>
  <c r="T39" i="1483"/>
  <c r="T40" i="1483"/>
  <c r="T41" i="1483"/>
  <c r="T42" i="1483"/>
  <c r="T43" i="1483"/>
  <c r="T44" i="1483"/>
  <c r="T45" i="1483"/>
  <c r="T46" i="1483"/>
  <c r="T47" i="1483"/>
  <c r="T48" i="1483"/>
  <c r="T49" i="1483"/>
  <c r="T50" i="1483"/>
  <c r="T51" i="1483"/>
  <c r="T52" i="1483"/>
  <c r="T53" i="1483"/>
  <c r="T54" i="1483"/>
  <c r="T55" i="1483"/>
  <c r="T56" i="1483"/>
  <c r="T57" i="1483"/>
  <c r="T58" i="1483"/>
  <c r="T59" i="1483"/>
  <c r="T60" i="1483"/>
  <c r="T61" i="1483"/>
  <c r="T62" i="1483"/>
  <c r="T63" i="1483"/>
  <c r="T64" i="1483"/>
  <c r="T65" i="1483"/>
  <c r="T66" i="1483"/>
  <c r="T67" i="1483"/>
  <c r="T68" i="1483"/>
  <c r="T69" i="1483"/>
  <c r="T70" i="1483"/>
  <c r="T71" i="1483"/>
  <c r="T72" i="1483"/>
  <c r="T73" i="1483"/>
  <c r="T74" i="1483"/>
  <c r="T75" i="1483"/>
  <c r="T76" i="1483"/>
  <c r="T77" i="1483"/>
  <c r="T78" i="1483"/>
  <c r="T79" i="1483"/>
  <c r="T80" i="1483"/>
  <c r="T81" i="1483"/>
  <c r="T82" i="1483"/>
  <c r="T83" i="1483"/>
  <c r="T84" i="1483"/>
  <c r="T85" i="1483"/>
  <c r="T86" i="1483"/>
  <c r="T87" i="1483"/>
  <c r="T88" i="1483"/>
  <c r="T89" i="1483"/>
  <c r="T90" i="1483"/>
  <c r="T91" i="1483"/>
  <c r="T92" i="1483"/>
  <c r="T93" i="1483"/>
  <c r="T94" i="1483"/>
  <c r="T95" i="1483"/>
  <c r="T96" i="1483"/>
  <c r="T97" i="1483"/>
  <c r="T98" i="1483"/>
  <c r="T99" i="1483"/>
  <c r="T100" i="1483"/>
  <c r="T101" i="1483"/>
  <c r="T102" i="1483"/>
  <c r="T103" i="1483"/>
  <c r="T104" i="1483"/>
  <c r="T105" i="1483"/>
  <c r="T106" i="1483"/>
  <c r="T107" i="1483"/>
  <c r="T108" i="1483"/>
  <c r="T109" i="1483"/>
  <c r="T110" i="1483"/>
  <c r="T111" i="1483"/>
  <c r="T112" i="1483"/>
  <c r="T113" i="1483"/>
  <c r="T114" i="1483"/>
  <c r="T115" i="1483"/>
  <c r="T116" i="1483"/>
  <c r="T117" i="1483"/>
  <c r="T118" i="1483"/>
  <c r="T119" i="1483"/>
  <c r="T120" i="1483"/>
  <c r="T121" i="1483"/>
  <c r="T122" i="1483"/>
  <c r="T123" i="1483"/>
  <c r="T124" i="1483"/>
  <c r="T125" i="1483"/>
  <c r="T126" i="1483"/>
  <c r="T127" i="1483"/>
  <c r="T128" i="1483"/>
  <c r="T129" i="1483"/>
  <c r="T130" i="1483"/>
  <c r="T131" i="1483"/>
  <c r="T132" i="1483"/>
  <c r="T133" i="1483"/>
  <c r="T134" i="1483"/>
  <c r="T135" i="1483"/>
  <c r="T136" i="1483"/>
  <c r="T137" i="1483"/>
  <c r="T138" i="1483"/>
  <c r="T139" i="1483"/>
  <c r="T140" i="1483"/>
  <c r="T141" i="1483"/>
  <c r="T142" i="1483"/>
  <c r="T143" i="1483"/>
  <c r="T144" i="1483"/>
  <c r="T145" i="1483"/>
  <c r="T146" i="1483"/>
  <c r="T147" i="1483"/>
  <c r="T148" i="1483"/>
  <c r="T149" i="1483"/>
  <c r="T150" i="1483"/>
  <c r="T151" i="1483"/>
  <c r="T152" i="1483"/>
  <c r="T153" i="1483"/>
  <c r="T154" i="1483"/>
  <c r="T155" i="1483"/>
  <c r="T156" i="1483"/>
  <c r="T157" i="1483"/>
  <c r="T158" i="1483"/>
  <c r="T159" i="1483"/>
  <c r="T160" i="1483"/>
  <c r="T161" i="1483"/>
  <c r="T162" i="1483"/>
  <c r="T163" i="1483"/>
  <c r="T164" i="1483"/>
  <c r="T165" i="1483"/>
  <c r="T166" i="1483"/>
  <c r="T167" i="1483"/>
  <c r="T168" i="1483"/>
  <c r="T169" i="1483"/>
  <c r="T170" i="1483"/>
  <c r="T171" i="1483"/>
  <c r="T172" i="1483"/>
  <c r="T173" i="1483"/>
  <c r="T174" i="1483"/>
  <c r="T175" i="1483"/>
  <c r="T176" i="1483"/>
  <c r="T177" i="1483"/>
  <c r="T178" i="1483"/>
  <c r="T179" i="1483"/>
  <c r="T180" i="1483"/>
  <c r="T181" i="1483"/>
  <c r="T182" i="1483"/>
  <c r="T183" i="1483"/>
  <c r="T184" i="1483"/>
  <c r="T185" i="1483"/>
  <c r="T186" i="1483"/>
  <c r="T187" i="1483"/>
  <c r="T188" i="1483"/>
  <c r="T189" i="1483"/>
  <c r="T190" i="1483"/>
  <c r="T191" i="1483"/>
  <c r="T192" i="1483"/>
  <c r="T193" i="1483"/>
  <c r="T194" i="1483"/>
  <c r="T195" i="1483"/>
  <c r="T196" i="1483"/>
  <c r="T197" i="1483"/>
  <c r="T198" i="1483"/>
  <c r="T199" i="1483"/>
  <c r="T200" i="1483"/>
  <c r="T201" i="1483"/>
  <c r="T202" i="1483"/>
  <c r="T203" i="1483"/>
  <c r="T204" i="1483"/>
  <c r="T205" i="1483"/>
  <c r="T206" i="1483"/>
  <c r="T207" i="1483"/>
  <c r="T208" i="1483"/>
  <c r="T209" i="1483"/>
  <c r="T210" i="1483"/>
  <c r="T211" i="1483"/>
  <c r="T212" i="1483"/>
  <c r="T213" i="1483"/>
  <c r="T214" i="1483"/>
  <c r="T215" i="1483"/>
  <c r="T216" i="1483"/>
  <c r="T217" i="1483"/>
  <c r="T218" i="1483"/>
  <c r="T219" i="1483"/>
  <c r="T220" i="1483"/>
  <c r="T221" i="1483"/>
  <c r="T222" i="1483"/>
  <c r="T223" i="1483"/>
  <c r="T224" i="1483"/>
  <c r="T225" i="1483"/>
  <c r="T226" i="1483"/>
  <c r="T227" i="1483"/>
  <c r="T228" i="1483"/>
  <c r="T229" i="1483"/>
  <c r="T230" i="1483"/>
  <c r="T231" i="1483"/>
  <c r="T232" i="1483"/>
  <c r="T233" i="1483"/>
  <c r="T234" i="1483"/>
  <c r="T235" i="1483"/>
  <c r="T236" i="1483"/>
  <c r="T237" i="1483"/>
  <c r="T238" i="1483"/>
  <c r="T239" i="1483"/>
  <c r="T240" i="1483"/>
  <c r="T241" i="1483"/>
  <c r="T242" i="1483"/>
  <c r="T243" i="1483"/>
  <c r="T244" i="1483"/>
  <c r="T245" i="1483"/>
  <c r="T246" i="1483"/>
  <c r="T247" i="1483"/>
  <c r="T248" i="1483"/>
  <c r="T249" i="1483"/>
  <c r="T250" i="1483"/>
  <c r="T251" i="1483"/>
  <c r="T252" i="1483"/>
  <c r="T253" i="1483"/>
  <c r="T254" i="1483"/>
  <c r="T255" i="1483"/>
  <c r="T256" i="1483"/>
  <c r="T257" i="1483"/>
  <c r="T258" i="1483"/>
  <c r="T259" i="1483"/>
  <c r="T260" i="1483"/>
  <c r="T261" i="1483"/>
  <c r="T262" i="1483"/>
  <c r="T263" i="1483"/>
  <c r="T264" i="1483"/>
  <c r="T265" i="1483"/>
  <c r="T266" i="1483"/>
  <c r="T267" i="1483"/>
  <c r="T268" i="1483"/>
  <c r="T269" i="1483"/>
  <c r="T270" i="1483"/>
  <c r="T271" i="1483"/>
  <c r="T272" i="1483"/>
  <c r="T273" i="1483"/>
  <c r="T274" i="1483"/>
  <c r="T275" i="1483"/>
  <c r="T276" i="1483"/>
  <c r="T277" i="1483"/>
  <c r="T278" i="1483"/>
  <c r="T279" i="1483"/>
  <c r="T280" i="1483"/>
  <c r="T281" i="1483"/>
  <c r="T282" i="1483"/>
  <c r="T283" i="1483"/>
  <c r="T284" i="1483"/>
  <c r="T285" i="1483"/>
  <c r="T286" i="1483"/>
  <c r="T287" i="1483"/>
  <c r="T288" i="1483"/>
  <c r="T289" i="1483"/>
  <c r="T290" i="1483"/>
  <c r="T291" i="1483"/>
  <c r="T292" i="1483"/>
  <c r="T293" i="1483"/>
  <c r="T294" i="1483"/>
  <c r="T295" i="1483"/>
  <c r="T296" i="1483"/>
  <c r="T297" i="1483"/>
  <c r="T298" i="1483"/>
  <c r="T299" i="1483"/>
  <c r="T300" i="1483"/>
  <c r="T301" i="1483"/>
  <c r="T302" i="1483"/>
  <c r="T303" i="1483"/>
  <c r="T304" i="1483"/>
  <c r="T305" i="1483"/>
  <c r="T306" i="1483"/>
  <c r="T307" i="1483"/>
  <c r="T308" i="1483"/>
  <c r="T309" i="1483"/>
  <c r="T310" i="1483"/>
  <c r="T311" i="1483"/>
  <c r="T312" i="1483"/>
  <c r="T313" i="1483"/>
  <c r="T314" i="1483"/>
  <c r="T315" i="1483"/>
  <c r="T316" i="1483"/>
  <c r="T317" i="1483"/>
  <c r="T318" i="1483"/>
  <c r="T319" i="1483"/>
  <c r="T320" i="1483"/>
  <c r="T321" i="1483"/>
  <c r="T322" i="1483"/>
  <c r="T323" i="1483"/>
  <c r="T324" i="1483"/>
  <c r="T325" i="1483"/>
  <c r="T326" i="1483"/>
  <c r="T327" i="1483"/>
  <c r="T328" i="1483"/>
  <c r="T329" i="1483"/>
  <c r="T330" i="1483"/>
  <c r="T331" i="1483"/>
  <c r="T332" i="1483"/>
  <c r="T333" i="1483"/>
  <c r="T334" i="1483"/>
  <c r="T335" i="1483"/>
  <c r="T336" i="1483"/>
  <c r="T337" i="1483"/>
  <c r="T338" i="1483"/>
  <c r="T339" i="1483"/>
  <c r="T340" i="1483"/>
  <c r="T341" i="1483"/>
  <c r="T342" i="1483"/>
  <c r="T343" i="1483"/>
  <c r="T344" i="1483"/>
  <c r="T345" i="1483"/>
  <c r="T346" i="1483"/>
  <c r="T347" i="1483"/>
  <c r="T348" i="1483"/>
  <c r="T349" i="1483"/>
  <c r="T350" i="1483"/>
  <c r="T351" i="1483"/>
  <c r="T352" i="1483"/>
  <c r="T353" i="1483"/>
  <c r="T354" i="1483"/>
  <c r="T355" i="1483"/>
  <c r="T356" i="1483"/>
  <c r="T357" i="1483"/>
  <c r="T358" i="1483"/>
  <c r="T359" i="1483"/>
  <c r="T360" i="1483"/>
  <c r="T361" i="1483"/>
  <c r="T362" i="1483"/>
  <c r="T363" i="1483"/>
  <c r="T364" i="1483"/>
  <c r="T365" i="1483"/>
  <c r="T366" i="1483"/>
  <c r="T367" i="1483"/>
  <c r="T368" i="1483"/>
  <c r="T369" i="1483"/>
  <c r="T370" i="1483"/>
  <c r="T371" i="1483"/>
  <c r="T372" i="1483"/>
  <c r="T373" i="1483"/>
  <c r="T374" i="1483"/>
  <c r="T375" i="1483"/>
  <c r="T376" i="1483"/>
  <c r="T377" i="1483"/>
  <c r="T378" i="1483"/>
  <c r="T379" i="1483"/>
  <c r="T380" i="1483"/>
  <c r="T381" i="1483"/>
  <c r="T382" i="1483"/>
  <c r="T383" i="1483"/>
  <c r="T384" i="1483"/>
  <c r="T385" i="1483"/>
  <c r="T386" i="1483"/>
  <c r="T387" i="1483"/>
  <c r="T388" i="1483"/>
  <c r="T389" i="1483"/>
  <c r="T390" i="1483"/>
  <c r="T391" i="1483"/>
  <c r="T392" i="1483"/>
  <c r="T393" i="1483"/>
  <c r="T394" i="1483"/>
  <c r="T395" i="1483"/>
  <c r="T396" i="1483"/>
  <c r="T397" i="1483"/>
  <c r="T398" i="1483"/>
  <c r="T399" i="1483"/>
  <c r="T400" i="1483"/>
  <c r="T401" i="1483"/>
  <c r="T402" i="1483"/>
  <c r="T403" i="1483"/>
  <c r="T404" i="1483"/>
  <c r="T405" i="1483"/>
  <c r="T406" i="1483"/>
  <c r="T407" i="1483"/>
  <c r="T408" i="1483"/>
  <c r="T409" i="1483"/>
  <c r="T410" i="1483"/>
  <c r="T411" i="1483"/>
  <c r="T412" i="1483"/>
  <c r="T413" i="1483"/>
  <c r="T414" i="1483"/>
  <c r="T415" i="1483"/>
  <c r="T416" i="1483"/>
  <c r="T417" i="1483"/>
  <c r="T418" i="1483"/>
  <c r="T419" i="1483"/>
  <c r="T420" i="1483"/>
  <c r="T421" i="1483"/>
  <c r="T422" i="1483"/>
  <c r="T423" i="1483"/>
  <c r="T424" i="1483"/>
  <c r="T425" i="1483"/>
  <c r="T426" i="1483"/>
  <c r="T427" i="1483"/>
  <c r="T428" i="1483"/>
  <c r="T429" i="1483"/>
  <c r="T430" i="1483"/>
  <c r="T431" i="1483"/>
  <c r="T432" i="1483"/>
  <c r="T433" i="1483"/>
  <c r="T434" i="1483"/>
  <c r="T435" i="1483"/>
  <c r="T436" i="1483"/>
  <c r="T437" i="1483"/>
  <c r="T438" i="1483"/>
  <c r="T439" i="1483"/>
  <c r="T440" i="1483"/>
  <c r="T441" i="1483"/>
  <c r="T442" i="1483"/>
  <c r="T443" i="1483"/>
  <c r="T444" i="1483"/>
  <c r="T445" i="1483"/>
  <c r="T446" i="1483"/>
  <c r="T447" i="1483"/>
  <c r="T448" i="1483"/>
  <c r="T449" i="1483"/>
  <c r="T450" i="1483"/>
  <c r="T451" i="1483"/>
  <c r="T452" i="1483"/>
  <c r="T453" i="1483"/>
  <c r="T454" i="1483"/>
  <c r="T455" i="1483"/>
  <c r="T456" i="1483"/>
  <c r="T457" i="1483"/>
  <c r="T458" i="1483"/>
  <c r="T459" i="1483"/>
  <c r="T460" i="1483"/>
  <c r="T461" i="1483"/>
  <c r="T462" i="1483"/>
  <c r="T463" i="1483"/>
  <c r="T464" i="1483"/>
  <c r="T465" i="1483"/>
  <c r="T466" i="1483"/>
  <c r="T467" i="1483"/>
  <c r="T468" i="1483"/>
  <c r="T469" i="1483"/>
  <c r="T470" i="1483"/>
  <c r="T471" i="1483"/>
  <c r="T472" i="1483"/>
  <c r="T473" i="1483"/>
  <c r="T474" i="1483"/>
  <c r="T475" i="1483"/>
  <c r="T476" i="1483"/>
  <c r="T477" i="1483"/>
  <c r="T478" i="1483"/>
  <c r="T479" i="1483"/>
  <c r="T480" i="1483"/>
  <c r="T481" i="1483"/>
  <c r="T482" i="1483"/>
  <c r="T483" i="1483"/>
  <c r="T484" i="1483"/>
  <c r="T485" i="1483"/>
  <c r="T486" i="1483"/>
  <c r="T487" i="1483"/>
  <c r="T488" i="1483"/>
  <c r="T489" i="1483"/>
  <c r="T490" i="1483"/>
  <c r="T491" i="1483"/>
  <c r="T492" i="1483"/>
  <c r="T493" i="1483"/>
  <c r="T494" i="1483"/>
  <c r="T495" i="1483"/>
  <c r="T496" i="1483"/>
  <c r="T497" i="1483"/>
  <c r="T498" i="1483"/>
  <c r="T499" i="1483"/>
  <c r="T500" i="1483"/>
  <c r="T501" i="1483"/>
  <c r="T502" i="1483"/>
  <c r="T503" i="1483"/>
  <c r="T504" i="1483"/>
  <c r="T505" i="1483"/>
  <c r="T506" i="1483"/>
  <c r="T507" i="1483"/>
  <c r="T508" i="1483"/>
  <c r="T509" i="1483"/>
  <c r="T510" i="1483"/>
  <c r="T511" i="1483"/>
  <c r="T512" i="1483"/>
  <c r="T513" i="1483"/>
  <c r="T514" i="1483"/>
  <c r="T515" i="1483"/>
  <c r="T516" i="1483"/>
  <c r="T517" i="1483"/>
  <c r="T518" i="1483"/>
  <c r="T519" i="1483"/>
  <c r="T520" i="1483"/>
  <c r="T521" i="1483"/>
  <c r="T522" i="1483"/>
  <c r="T523" i="1483"/>
  <c r="T524" i="1483"/>
  <c r="T525" i="1483"/>
  <c r="T526" i="1483"/>
  <c r="T527" i="1483"/>
  <c r="T528" i="1483"/>
  <c r="T529" i="1483"/>
  <c r="T530" i="1483"/>
  <c r="T531" i="1483"/>
  <c r="T532" i="1483"/>
  <c r="T533" i="1483"/>
  <c r="T534" i="1483"/>
  <c r="T535" i="1483"/>
  <c r="T536" i="1483"/>
  <c r="T537" i="1483"/>
  <c r="T538" i="1483"/>
  <c r="T539" i="1483"/>
  <c r="T540" i="1483"/>
  <c r="T541" i="1483"/>
  <c r="T542" i="1483"/>
  <c r="T543" i="1483"/>
  <c r="T544" i="1483"/>
  <c r="T545" i="1483"/>
  <c r="T546" i="1483"/>
  <c r="T547" i="1483"/>
  <c r="T548" i="1483"/>
  <c r="T549" i="1483"/>
  <c r="T550" i="1483"/>
  <c r="T551" i="1483"/>
  <c r="T552" i="1483"/>
  <c r="T553" i="1483"/>
  <c r="T554" i="1483"/>
  <c r="T555" i="1483"/>
  <c r="T556" i="1483"/>
  <c r="T557" i="1483"/>
  <c r="T558" i="1483"/>
  <c r="T559" i="1483"/>
  <c r="T560" i="1483"/>
  <c r="T561" i="1483"/>
  <c r="T562" i="1483"/>
  <c r="T563" i="1483"/>
  <c r="T564" i="1483"/>
  <c r="T565" i="1483"/>
  <c r="T566" i="1483"/>
  <c r="T567" i="1483"/>
  <c r="T568" i="1483"/>
  <c r="T569" i="1483"/>
  <c r="T570" i="1483"/>
  <c r="T571" i="1483"/>
  <c r="T572" i="1483"/>
  <c r="T573" i="1483"/>
  <c r="T574" i="1483"/>
  <c r="T575" i="1483"/>
  <c r="T576" i="1483"/>
  <c r="T577" i="1483"/>
  <c r="T578" i="1483"/>
  <c r="T579" i="1483"/>
  <c r="T580" i="1483"/>
  <c r="T581" i="1483"/>
  <c r="T582" i="1483"/>
  <c r="T583" i="1483"/>
  <c r="T584" i="1483"/>
  <c r="T585" i="1483"/>
  <c r="T586" i="1483"/>
  <c r="T587" i="1483"/>
  <c r="T588" i="1483"/>
  <c r="T589" i="1483"/>
  <c r="T590" i="1483"/>
  <c r="T591" i="1483"/>
  <c r="T592" i="1483"/>
  <c r="T593" i="1483"/>
  <c r="T594" i="1483"/>
  <c r="T595" i="1483"/>
  <c r="T596" i="1483"/>
  <c r="T597" i="1483"/>
  <c r="T598" i="1483"/>
  <c r="T599" i="1483"/>
  <c r="T600" i="1483"/>
  <c r="T601" i="1483"/>
  <c r="T602" i="1483"/>
  <c r="T603" i="1483"/>
  <c r="T604" i="1483"/>
  <c r="T605" i="1483"/>
  <c r="T606" i="1483"/>
  <c r="T607" i="1483"/>
  <c r="T608" i="1483"/>
  <c r="T609" i="1483"/>
  <c r="T610" i="1483"/>
  <c r="T611" i="1483"/>
  <c r="T612" i="1483"/>
  <c r="T613" i="1483"/>
  <c r="T614" i="1483"/>
  <c r="T615" i="1483"/>
  <c r="T616" i="1483"/>
  <c r="T617" i="1483"/>
  <c r="T618" i="1483"/>
  <c r="T619" i="1483"/>
  <c r="T620" i="1483"/>
  <c r="T621" i="1483"/>
  <c r="T622" i="1483"/>
  <c r="T623" i="1483"/>
  <c r="T624" i="1483"/>
  <c r="T625" i="1483"/>
  <c r="T626" i="1483"/>
  <c r="T627" i="1483"/>
  <c r="T628" i="1483"/>
  <c r="T629" i="1483"/>
  <c r="T630" i="1483"/>
  <c r="T631" i="1483"/>
  <c r="T632" i="1483"/>
  <c r="T633" i="1483"/>
  <c r="T634" i="1483"/>
  <c r="T635" i="1483"/>
  <c r="T636" i="1483"/>
  <c r="T637" i="1483"/>
  <c r="T638" i="1483"/>
  <c r="T639" i="1483"/>
  <c r="T640" i="1483"/>
  <c r="T641" i="1483"/>
  <c r="T642" i="1483"/>
  <c r="T643" i="1483"/>
  <c r="T644" i="1483"/>
  <c r="T645" i="1483"/>
  <c r="T646" i="1483"/>
  <c r="T647" i="1483"/>
  <c r="T648" i="1483"/>
  <c r="T649" i="1483"/>
  <c r="T650" i="1483"/>
  <c r="T651" i="1483"/>
  <c r="T652" i="1483"/>
  <c r="T653" i="1483"/>
  <c r="T654" i="1483"/>
  <c r="T655" i="1483"/>
  <c r="T656" i="1483"/>
  <c r="T657" i="1483"/>
  <c r="T658" i="1483"/>
  <c r="T659" i="1483"/>
  <c r="T660" i="1483"/>
  <c r="T661" i="1483"/>
  <c r="T662" i="1483"/>
  <c r="T663" i="1483"/>
  <c r="T664" i="1483"/>
  <c r="T665" i="1483"/>
  <c r="T666" i="1483"/>
  <c r="T667" i="1483"/>
  <c r="T668" i="1483"/>
  <c r="T669" i="1483"/>
  <c r="T670" i="1483"/>
  <c r="T671" i="1483"/>
  <c r="T672" i="1483"/>
  <c r="T673" i="1483"/>
  <c r="T674" i="1483"/>
  <c r="T675" i="1483"/>
  <c r="T676" i="1483"/>
  <c r="T677" i="1483"/>
  <c r="T678" i="1483"/>
  <c r="T679" i="1483"/>
  <c r="T680" i="1483"/>
  <c r="T681" i="1483"/>
  <c r="T682" i="1483"/>
  <c r="T683" i="1483"/>
  <c r="T684" i="1483"/>
  <c r="T685" i="1483"/>
  <c r="T686" i="1483"/>
  <c r="T687" i="1483"/>
  <c r="T688" i="1483"/>
  <c r="T689" i="1483"/>
  <c r="T690" i="1483"/>
  <c r="T691" i="1483"/>
  <c r="T692" i="1483"/>
  <c r="T693" i="1483"/>
  <c r="T694" i="1483"/>
  <c r="T695" i="1483"/>
  <c r="T696" i="1483"/>
  <c r="T697" i="1483"/>
  <c r="T698" i="1483"/>
  <c r="T699" i="1483"/>
  <c r="T700" i="1483"/>
  <c r="T701" i="1483"/>
  <c r="T702" i="1483"/>
  <c r="T703" i="1483"/>
  <c r="T704" i="1483"/>
  <c r="T705" i="1483"/>
  <c r="T706" i="1483"/>
  <c r="T707" i="1483"/>
  <c r="T708" i="1483"/>
  <c r="T709" i="1483"/>
  <c r="T710" i="1483"/>
  <c r="T711" i="1483"/>
  <c r="T712" i="1483"/>
  <c r="T713" i="1483"/>
  <c r="T714" i="1483"/>
  <c r="T715" i="1483"/>
  <c r="T716" i="1483"/>
  <c r="T717" i="1483"/>
  <c r="T718" i="1483"/>
  <c r="T719" i="1483"/>
  <c r="T720" i="1483"/>
  <c r="T721" i="1483"/>
  <c r="T722" i="1483"/>
  <c r="T723" i="1483"/>
  <c r="T724" i="1483"/>
  <c r="T725" i="1483"/>
  <c r="T726" i="1483"/>
  <c r="T727" i="1483"/>
  <c r="T728" i="1483"/>
  <c r="T729" i="1483"/>
  <c r="T730" i="1483"/>
  <c r="T731" i="1483"/>
  <c r="T732" i="1483"/>
  <c r="T733" i="1483"/>
  <c r="T734" i="1483"/>
  <c r="T735" i="1483"/>
  <c r="T736" i="1483"/>
  <c r="T737" i="1483"/>
  <c r="T738" i="1483"/>
  <c r="T739" i="1483"/>
  <c r="T740" i="1483"/>
  <c r="T741" i="1483"/>
  <c r="T742" i="1483"/>
  <c r="T743" i="1483"/>
  <c r="T744" i="1483"/>
  <c r="T745" i="1483"/>
  <c r="T746" i="1483"/>
  <c r="T747" i="1483"/>
  <c r="T748" i="1483"/>
  <c r="T749" i="1483"/>
  <c r="T750" i="1483"/>
  <c r="T751" i="1483"/>
  <c r="T752" i="1483"/>
  <c r="T753" i="1483"/>
  <c r="T754" i="1483"/>
  <c r="T755" i="1483"/>
  <c r="T756" i="1483"/>
  <c r="T757" i="1483"/>
  <c r="T758" i="1483"/>
  <c r="T759" i="1483"/>
  <c r="T760" i="1483"/>
  <c r="T761" i="1483"/>
  <c r="T762" i="1483"/>
  <c r="T763" i="1483"/>
  <c r="T764" i="1483"/>
  <c r="T765" i="1483"/>
  <c r="T766" i="1483"/>
  <c r="T767" i="1483"/>
  <c r="T768" i="1483"/>
  <c r="T769" i="1483"/>
  <c r="T770" i="1483"/>
  <c r="T771" i="1483"/>
  <c r="T772" i="1483"/>
  <c r="T773" i="1483"/>
  <c r="T774" i="1483"/>
  <c r="T775" i="1483"/>
  <c r="T776" i="1483"/>
  <c r="T777" i="1483"/>
  <c r="T778" i="1483"/>
  <c r="T779" i="1483"/>
  <c r="T780" i="1483"/>
  <c r="T781" i="1483"/>
  <c r="T782" i="1483"/>
  <c r="T783" i="1483"/>
  <c r="T784" i="1483"/>
  <c r="T785" i="1483"/>
  <c r="T786" i="1483"/>
  <c r="T787" i="1483"/>
  <c r="T788" i="1483"/>
  <c r="T789" i="1483"/>
  <c r="T790" i="1483"/>
  <c r="T791" i="1483"/>
  <c r="T792" i="1483"/>
  <c r="T793" i="1483"/>
  <c r="T794" i="1483"/>
  <c r="T795" i="1483"/>
  <c r="T796" i="1483"/>
  <c r="T797" i="1483"/>
  <c r="T798" i="1483"/>
  <c r="T799" i="1483"/>
  <c r="T800" i="1483"/>
  <c r="T801" i="1483"/>
  <c r="T802" i="1483"/>
  <c r="T803" i="1483"/>
  <c r="T804" i="1483"/>
  <c r="T805" i="1483"/>
  <c r="T806" i="1483"/>
  <c r="T807" i="1483"/>
  <c r="T808" i="1483"/>
  <c r="T809" i="1483"/>
  <c r="T810" i="1483"/>
  <c r="T811" i="1483"/>
  <c r="T812" i="1483"/>
  <c r="T813" i="1483"/>
  <c r="T814" i="1483"/>
  <c r="T815" i="1483"/>
  <c r="T816" i="1483"/>
  <c r="T817" i="1483"/>
  <c r="T818" i="1483"/>
  <c r="T819" i="1483"/>
  <c r="T820" i="1483"/>
  <c r="T821" i="1483"/>
  <c r="T822" i="1483"/>
  <c r="T823" i="1483"/>
  <c r="T824" i="1483"/>
  <c r="T825" i="1483"/>
  <c r="T826" i="1483"/>
  <c r="T827" i="1483"/>
  <c r="T828" i="1483"/>
  <c r="T829" i="1483"/>
  <c r="T830" i="1483"/>
  <c r="T831" i="1483"/>
  <c r="T832" i="1483"/>
  <c r="T833" i="1483"/>
  <c r="T834" i="1483"/>
  <c r="T835" i="1483"/>
  <c r="T836" i="1483"/>
  <c r="T837" i="1483"/>
  <c r="T838" i="1483"/>
  <c r="T839" i="1483"/>
  <c r="T840" i="1483"/>
  <c r="T841" i="1483"/>
  <c r="T842" i="1483"/>
  <c r="T843" i="1483"/>
  <c r="T844" i="1483"/>
  <c r="T845" i="1483"/>
  <c r="T846" i="1483"/>
  <c r="T847" i="1483"/>
  <c r="T848" i="1483"/>
  <c r="T849" i="1483"/>
  <c r="T850" i="1483"/>
  <c r="T851" i="1483"/>
  <c r="T852" i="1483"/>
  <c r="T853" i="1483"/>
  <c r="T854" i="1483"/>
  <c r="T855" i="1483"/>
  <c r="T856" i="1483"/>
  <c r="T857" i="1483"/>
  <c r="T858" i="1483"/>
  <c r="T859" i="1483"/>
  <c r="T860" i="1483"/>
  <c r="T861" i="1483"/>
  <c r="T862" i="1483"/>
  <c r="T863" i="1483"/>
  <c r="T864" i="1483"/>
  <c r="T865" i="1483"/>
  <c r="T866" i="1483"/>
  <c r="T867" i="1483"/>
  <c r="T868" i="1483"/>
  <c r="T869" i="1483"/>
  <c r="T870" i="1483"/>
  <c r="T871" i="1483"/>
  <c r="T872" i="1483"/>
  <c r="T873" i="1483"/>
  <c r="T874" i="1483"/>
  <c r="T875" i="1483"/>
  <c r="T876" i="1483"/>
  <c r="T877" i="1483"/>
  <c r="T878" i="1483"/>
  <c r="T879" i="1483"/>
  <c r="T880" i="1483"/>
  <c r="T881" i="1483"/>
  <c r="T882" i="1483"/>
  <c r="T883" i="1483"/>
  <c r="T884" i="1483"/>
  <c r="T885" i="1483"/>
  <c r="T886" i="1483"/>
  <c r="T887" i="1483"/>
  <c r="T888" i="1483"/>
  <c r="T889" i="1483"/>
  <c r="T890" i="1483"/>
  <c r="T891" i="1483"/>
  <c r="T892" i="1483"/>
  <c r="T893" i="1483"/>
  <c r="T894" i="1483"/>
  <c r="T895" i="1483"/>
  <c r="T896" i="1483"/>
  <c r="T897" i="1483"/>
  <c r="T898" i="1483"/>
  <c r="T899" i="1483"/>
  <c r="T900" i="1483"/>
  <c r="T901" i="1483"/>
  <c r="T902" i="1483"/>
  <c r="T903" i="1483"/>
  <c r="T904" i="1483"/>
  <c r="T905" i="1483"/>
  <c r="T906" i="1483"/>
  <c r="T907" i="1483"/>
  <c r="T908" i="1483"/>
  <c r="T909" i="1483"/>
  <c r="T910" i="1483"/>
  <c r="T911" i="1483"/>
  <c r="T912" i="1483"/>
  <c r="T913" i="1483"/>
  <c r="T914" i="1483"/>
  <c r="T915" i="1483"/>
  <c r="T916" i="1483"/>
  <c r="T917" i="1483"/>
  <c r="T918" i="1483"/>
  <c r="T919" i="1483"/>
  <c r="T920" i="1483"/>
  <c r="T921" i="1483"/>
  <c r="T922" i="1483"/>
  <c r="T923" i="1483"/>
  <c r="T924" i="1483"/>
  <c r="T925" i="1483"/>
  <c r="T926" i="1483"/>
  <c r="T927" i="1483"/>
  <c r="T928" i="1483"/>
  <c r="T929" i="1483"/>
  <c r="T930" i="1483"/>
  <c r="T931" i="1483"/>
  <c r="T932" i="1483"/>
  <c r="T933" i="1483"/>
  <c r="T934" i="1483"/>
  <c r="T935" i="1483"/>
  <c r="T936" i="1483"/>
  <c r="T937" i="1483"/>
  <c r="T938" i="1483"/>
  <c r="T939" i="1483"/>
  <c r="T940" i="1483"/>
  <c r="T941" i="1483"/>
  <c r="T942" i="1483"/>
  <c r="T943" i="1483"/>
  <c r="T944" i="1483"/>
  <c r="T945" i="1483"/>
  <c r="T946" i="1483"/>
  <c r="T947" i="1483"/>
  <c r="T948" i="1483"/>
  <c r="T949" i="1483"/>
  <c r="T950" i="1483"/>
  <c r="T951" i="1483"/>
  <c r="T952" i="1483"/>
  <c r="T953" i="1483"/>
  <c r="T954" i="1483"/>
  <c r="T955" i="1483"/>
  <c r="T956" i="1483"/>
  <c r="T957" i="1483"/>
  <c r="T958" i="1483"/>
  <c r="T959" i="1483"/>
  <c r="T960" i="1483"/>
  <c r="T961" i="1483"/>
  <c r="T962" i="1483"/>
  <c r="T963" i="1483"/>
  <c r="T964" i="1483"/>
  <c r="T965" i="1483"/>
  <c r="T966" i="1483"/>
  <c r="T967" i="1483"/>
  <c r="T968" i="1483"/>
  <c r="T969" i="1483"/>
  <c r="T970" i="1483"/>
  <c r="T971" i="1483"/>
  <c r="T972" i="1483"/>
  <c r="T973" i="1483"/>
  <c r="T974" i="1483"/>
  <c r="T975" i="1483"/>
  <c r="T976" i="1483"/>
  <c r="T977" i="1483"/>
  <c r="T978" i="1483"/>
  <c r="T979" i="1483"/>
  <c r="T980" i="1483"/>
  <c r="T981" i="1483"/>
  <c r="T982" i="1483"/>
  <c r="T983" i="1483"/>
  <c r="T984" i="1483"/>
  <c r="T985" i="1483"/>
  <c r="T986" i="1483"/>
  <c r="T987" i="1483"/>
  <c r="T988" i="1483"/>
  <c r="T989" i="1483"/>
  <c r="T990" i="1483"/>
  <c r="T991" i="1483"/>
  <c r="T992" i="1483"/>
  <c r="T993" i="1483"/>
  <c r="T994" i="1483"/>
  <c r="T995" i="1483"/>
  <c r="T996" i="1483"/>
  <c r="T997" i="1483"/>
  <c r="T998" i="1483"/>
  <c r="T999" i="1483"/>
  <c r="T1000" i="1483"/>
  <c r="T1001" i="1483"/>
  <c r="T1002" i="1483"/>
  <c r="T1003" i="1483"/>
  <c r="T1004" i="1483"/>
  <c r="T1005" i="1483"/>
  <c r="T1006" i="1483"/>
  <c r="T1007" i="1483"/>
  <c r="T1008" i="1483"/>
  <c r="T1009" i="1483"/>
  <c r="T1010" i="1483"/>
  <c r="T1011" i="1483"/>
  <c r="T1012" i="1483"/>
  <c r="T1013" i="1483"/>
  <c r="T1014" i="1483"/>
  <c r="T1015" i="1483"/>
  <c r="T1016" i="1483"/>
  <c r="T1017" i="1483"/>
  <c r="T1018" i="1483"/>
  <c r="T1019" i="1483"/>
  <c r="T1020" i="1483"/>
  <c r="T1021" i="1483"/>
  <c r="T1022" i="1483"/>
  <c r="T1023" i="1483"/>
  <c r="T1024" i="1483"/>
  <c r="T1025" i="1483"/>
  <c r="T1026" i="1483"/>
  <c r="T1027" i="1483"/>
  <c r="T1028" i="1483"/>
  <c r="T1029" i="1483"/>
  <c r="T1030" i="1483"/>
  <c r="T1031" i="1483"/>
  <c r="T1032" i="1483"/>
  <c r="T1033" i="1483"/>
  <c r="T1034" i="1483"/>
  <c r="T1035" i="1483"/>
  <c r="T1036" i="1483"/>
  <c r="T1037" i="1483"/>
  <c r="T1038" i="1483"/>
  <c r="T1039" i="1483"/>
  <c r="T1040" i="1483"/>
  <c r="T1041" i="1483"/>
  <c r="T1042" i="1483"/>
  <c r="T1043" i="1483"/>
  <c r="T1044" i="1483"/>
  <c r="T1045" i="1483"/>
  <c r="T1046" i="1483"/>
  <c r="T1047" i="1483"/>
  <c r="T1048" i="1483"/>
  <c r="T1049" i="1483"/>
  <c r="T1050" i="1483"/>
  <c r="T1051" i="1483"/>
  <c r="T1052" i="1483"/>
  <c r="T1053" i="1483"/>
  <c r="T1054" i="1483"/>
  <c r="T1055" i="1483"/>
  <c r="T1056" i="1483"/>
  <c r="T1057" i="1483"/>
  <c r="T1058" i="1483"/>
  <c r="T1059" i="1483"/>
  <c r="T1060" i="1483"/>
  <c r="T1061" i="1483"/>
  <c r="T1062" i="1483"/>
  <c r="T1063" i="1483"/>
  <c r="T1064" i="1483"/>
  <c r="T1065" i="1483"/>
  <c r="T1066" i="1483"/>
  <c r="T1067" i="1483"/>
  <c r="T1068" i="1483"/>
  <c r="T1069" i="1483"/>
  <c r="T1070" i="1483"/>
  <c r="T1071" i="1483"/>
  <c r="T1072" i="1483"/>
  <c r="T1073" i="1483"/>
  <c r="T1074" i="1483"/>
  <c r="T1075" i="1483"/>
  <c r="T1076" i="1483"/>
  <c r="T1077" i="1483"/>
  <c r="T1078" i="1483"/>
  <c r="T1079" i="1483"/>
  <c r="T1080" i="1483"/>
  <c r="T1081" i="1483"/>
  <c r="T1082" i="1483"/>
  <c r="T1083" i="1483"/>
  <c r="T1084" i="1483"/>
  <c r="T1085" i="1483"/>
  <c r="T1086" i="1483"/>
  <c r="T1087" i="1483"/>
  <c r="T1088" i="1483"/>
  <c r="T1089" i="1483"/>
  <c r="T1090" i="1483"/>
  <c r="T1091" i="1483"/>
  <c r="T1092" i="1483"/>
  <c r="T1093" i="1483"/>
  <c r="T1094" i="1483"/>
  <c r="T1095" i="1483"/>
  <c r="T1096" i="1483"/>
  <c r="T1097" i="1483"/>
  <c r="T1098" i="1483"/>
  <c r="T1099" i="1483"/>
  <c r="T1100" i="1483"/>
  <c r="T1101" i="1483"/>
  <c r="T1102" i="1483"/>
  <c r="T1103" i="1483"/>
  <c r="T1104" i="1483"/>
  <c r="T1105" i="1483"/>
  <c r="T1106" i="1483"/>
  <c r="T1107" i="1483"/>
  <c r="T1108" i="1483"/>
  <c r="T1109" i="1483"/>
  <c r="T1110" i="1483"/>
  <c r="T1111" i="1483"/>
  <c r="T1112" i="1483"/>
  <c r="T1113" i="1483"/>
  <c r="T1114" i="1483"/>
  <c r="T1115" i="1483"/>
  <c r="T1116" i="1483"/>
  <c r="T1117" i="1483"/>
  <c r="T1118" i="1483"/>
  <c r="T1119" i="1483"/>
  <c r="T1120" i="1483"/>
  <c r="T1121" i="1483"/>
  <c r="T1122" i="1483"/>
  <c r="T1123" i="1483"/>
  <c r="T1124" i="1483"/>
  <c r="T1125" i="1483"/>
  <c r="T1126" i="1483"/>
  <c r="T1127" i="1483"/>
  <c r="T1128" i="1483"/>
  <c r="T1129" i="1483"/>
  <c r="T1130" i="1483"/>
  <c r="T1131" i="1483"/>
  <c r="T1132" i="1483"/>
  <c r="T1133" i="1483"/>
  <c r="T1134" i="1483"/>
  <c r="T1135" i="1483"/>
  <c r="T1136" i="1483"/>
  <c r="T1137" i="1483"/>
  <c r="T1138" i="1483"/>
  <c r="T1139" i="1483"/>
  <c r="T1140" i="1483"/>
  <c r="T1141" i="1483"/>
  <c r="T1142" i="1483"/>
  <c r="T1143" i="1483"/>
  <c r="T1144" i="1483"/>
  <c r="T1145" i="1483"/>
  <c r="T1146" i="1483"/>
  <c r="T1147" i="1483"/>
  <c r="T1148" i="1483"/>
  <c r="T1149" i="1483"/>
  <c r="T1150" i="1483"/>
  <c r="T1151" i="1483"/>
  <c r="T1152" i="1483"/>
  <c r="T1153" i="1483"/>
  <c r="T1154" i="1483"/>
  <c r="T1155" i="1483"/>
  <c r="T1156" i="1483"/>
  <c r="T1157" i="1483"/>
  <c r="T1158" i="1483"/>
  <c r="T1159" i="1483"/>
  <c r="T1160" i="1483"/>
  <c r="T1161" i="1483"/>
  <c r="T1162" i="1483"/>
  <c r="T1163" i="1483"/>
  <c r="T1164" i="1483"/>
  <c r="T1165" i="1483"/>
  <c r="T1166" i="1483"/>
  <c r="T1167" i="1483"/>
  <c r="T1168" i="1483"/>
  <c r="T1169" i="1483"/>
  <c r="T1170" i="1483"/>
  <c r="T1171" i="1483"/>
  <c r="T1172" i="1483"/>
  <c r="T1173" i="1483"/>
  <c r="T1174" i="1483"/>
  <c r="T1175" i="1483"/>
  <c r="T1176" i="1483"/>
  <c r="T1177" i="1483"/>
  <c r="T1178" i="1483"/>
  <c r="T1179" i="1483"/>
  <c r="T1180" i="1483"/>
  <c r="T1181" i="1483"/>
  <c r="T1182" i="1483"/>
  <c r="T1183" i="1483"/>
  <c r="T1184" i="1483"/>
  <c r="T1185" i="1483"/>
  <c r="T1186" i="1483"/>
  <c r="T1187" i="1483"/>
  <c r="T1188" i="1483"/>
  <c r="T1189" i="1483"/>
  <c r="T1190" i="1483"/>
  <c r="T1191" i="1483"/>
  <c r="T1192" i="1483"/>
  <c r="T1193" i="1483"/>
  <c r="T1194" i="1483"/>
  <c r="T1195" i="1483"/>
  <c r="T1196" i="1483"/>
  <c r="T1197" i="1483"/>
  <c r="T1198" i="1483"/>
  <c r="T1199" i="1483"/>
  <c r="T1200" i="1483"/>
  <c r="T1201" i="1483"/>
  <c r="T1202" i="1483"/>
  <c r="T1203" i="1483"/>
  <c r="T1204" i="1483"/>
  <c r="T1205" i="1483"/>
  <c r="T1206" i="1483"/>
  <c r="T1207" i="1483"/>
  <c r="T1208" i="1483"/>
  <c r="T1209" i="1483"/>
  <c r="T1210" i="1483"/>
  <c r="T1211" i="1483"/>
  <c r="T1212" i="1483"/>
  <c r="T1213" i="1483"/>
  <c r="T1214" i="1483"/>
  <c r="T1215" i="1483"/>
  <c r="T1216" i="1483"/>
  <c r="T1217" i="1483"/>
  <c r="T1218" i="1483"/>
  <c r="T1219" i="1483"/>
  <c r="T1220" i="1483"/>
  <c r="T1221" i="1483"/>
  <c r="T1222" i="1483"/>
  <c r="T1223" i="1483"/>
  <c r="T1224" i="1483"/>
  <c r="T1225" i="1483"/>
  <c r="T1226" i="1483"/>
  <c r="T1227" i="1483"/>
  <c r="T1228" i="1483"/>
  <c r="T1229" i="1483"/>
  <c r="T1230" i="1483"/>
  <c r="T1231" i="1483"/>
  <c r="T1232" i="1483"/>
  <c r="T1233" i="1483"/>
  <c r="T1234" i="1483"/>
  <c r="T1235" i="1483"/>
  <c r="T1236" i="1483"/>
  <c r="T1237" i="1483"/>
  <c r="T1238" i="1483"/>
  <c r="T1239" i="1483"/>
  <c r="T1240" i="1483"/>
  <c r="T1241" i="1483"/>
  <c r="T1242" i="1483"/>
  <c r="T1243" i="1483"/>
  <c r="T1244" i="1483"/>
  <c r="T1245" i="1483"/>
  <c r="T1246" i="1483"/>
  <c r="T1247" i="1483"/>
  <c r="T1248" i="1483"/>
  <c r="T1249" i="1483"/>
  <c r="T1250" i="1483"/>
  <c r="T1251" i="1483"/>
  <c r="T1252" i="1483"/>
  <c r="T1253" i="1483"/>
  <c r="T1254" i="1483"/>
  <c r="T1255" i="1483"/>
  <c r="T1256" i="1483"/>
  <c r="T1257" i="1483"/>
  <c r="T1258" i="1483"/>
  <c r="T1259" i="1483"/>
  <c r="T1260" i="1483"/>
  <c r="T1261" i="1483"/>
  <c r="T1262" i="1483"/>
  <c r="T1263" i="1483"/>
  <c r="T1264" i="1483"/>
  <c r="T1265" i="1483"/>
  <c r="T1266" i="1483"/>
  <c r="T1267" i="1483"/>
  <c r="T1268" i="1483"/>
  <c r="T1269" i="1483"/>
  <c r="T1270" i="1483"/>
  <c r="T1271" i="1483"/>
  <c r="T1272" i="1483"/>
  <c r="T1273" i="1483"/>
  <c r="T1274" i="1483"/>
  <c r="T1275" i="1483"/>
  <c r="T1276" i="1483"/>
  <c r="T1277" i="1483"/>
  <c r="T1278" i="1483"/>
  <c r="T1279" i="1483"/>
  <c r="T1280" i="1483"/>
  <c r="T1281" i="1483"/>
  <c r="T1282" i="1483"/>
  <c r="T1283" i="1483"/>
  <c r="T1284" i="1483"/>
  <c r="T1285" i="1483"/>
  <c r="T1286" i="1483"/>
  <c r="T1287" i="1483"/>
  <c r="T1288" i="1483"/>
  <c r="T1289" i="1483"/>
  <c r="T1290" i="1483"/>
  <c r="T1291" i="1483"/>
  <c r="T1292" i="1483"/>
  <c r="T1293" i="1483"/>
  <c r="T1294" i="1483"/>
  <c r="T1295" i="1483"/>
  <c r="T1296" i="1483"/>
  <c r="T1297" i="1483"/>
  <c r="T1298" i="1483"/>
  <c r="T1299" i="1483"/>
  <c r="T1300" i="1483"/>
  <c r="T1301" i="1483"/>
  <c r="T1302" i="1483"/>
  <c r="T1303" i="1483"/>
  <c r="T1304" i="1483"/>
  <c r="T1305" i="1483"/>
  <c r="T1306" i="1483"/>
  <c r="T1307" i="1483"/>
  <c r="T1308" i="1483"/>
  <c r="T1309" i="1483"/>
  <c r="T1310" i="1483"/>
  <c r="T1311" i="1483"/>
  <c r="T1312" i="1483"/>
  <c r="T1313" i="1483"/>
  <c r="T1314" i="1483"/>
  <c r="T1315" i="1483"/>
  <c r="T1316" i="1483"/>
  <c r="T1317" i="1483"/>
  <c r="T1318" i="1483"/>
  <c r="T1319" i="1483"/>
  <c r="T1320" i="1483"/>
  <c r="T1321" i="1483"/>
  <c r="T1322" i="1483"/>
  <c r="T1323" i="1483"/>
  <c r="T1324" i="1483"/>
  <c r="T1325" i="1483"/>
  <c r="T1326" i="1483"/>
  <c r="T1327" i="1483"/>
  <c r="T1328" i="1483"/>
  <c r="T1329" i="1483"/>
  <c r="T1330" i="1483"/>
  <c r="T1331" i="1483"/>
  <c r="T1332" i="1483"/>
  <c r="T1333" i="1483"/>
  <c r="T1334" i="1483"/>
  <c r="T1335" i="1483"/>
  <c r="T1336" i="1483"/>
  <c r="T1337" i="1483"/>
  <c r="T1338" i="1483"/>
  <c r="T1339" i="1483"/>
  <c r="T1340" i="1483"/>
  <c r="T1341" i="1483"/>
  <c r="T1342" i="1483"/>
  <c r="T1343" i="1483"/>
  <c r="T1344" i="1483"/>
  <c r="T1345" i="1483"/>
  <c r="T1346" i="1483"/>
  <c r="T1347" i="1483"/>
  <c r="T1348" i="1483"/>
  <c r="T1349" i="1483"/>
  <c r="T1350" i="1483"/>
  <c r="T1351" i="1483"/>
  <c r="T1352" i="1483"/>
  <c r="T1353" i="1483"/>
  <c r="T1354" i="1483"/>
  <c r="T1355" i="1483"/>
  <c r="T1356" i="1483"/>
  <c r="T1357" i="1483"/>
  <c r="T1358" i="1483"/>
  <c r="T1359" i="1483"/>
  <c r="T1360" i="1483"/>
  <c r="T1361" i="1483"/>
  <c r="T1362" i="1483"/>
  <c r="T1363" i="1483"/>
  <c r="T1364" i="1483"/>
  <c r="T1365" i="1483"/>
  <c r="T1366" i="1483"/>
  <c r="T1367" i="1483"/>
  <c r="T1368" i="1483"/>
  <c r="T1369" i="1483"/>
  <c r="T1370" i="1483"/>
  <c r="T1371" i="1483"/>
  <c r="T1372" i="1483"/>
  <c r="T1373" i="1483"/>
  <c r="T1374" i="1483"/>
  <c r="T1375" i="1483"/>
  <c r="T1376" i="1483"/>
  <c r="T1377" i="1483"/>
  <c r="T1378" i="1483"/>
  <c r="T1379" i="1483"/>
  <c r="T1380" i="1483"/>
  <c r="T1381" i="1483"/>
  <c r="T1382" i="1483"/>
  <c r="T1383" i="1483"/>
  <c r="T1384" i="1483"/>
  <c r="T1385" i="1483"/>
  <c r="T1386" i="1483"/>
  <c r="T1387" i="1483"/>
  <c r="T1388" i="1483"/>
  <c r="T1389" i="1483"/>
  <c r="T1390" i="1483"/>
  <c r="T1391" i="1483"/>
  <c r="T1392" i="1483"/>
  <c r="T1393" i="1483"/>
  <c r="T1394" i="1483"/>
  <c r="T1395" i="1483"/>
  <c r="T1396" i="1483"/>
  <c r="T1397" i="1483"/>
  <c r="T1398" i="1483"/>
  <c r="T1399" i="1483"/>
  <c r="T1400" i="1483"/>
  <c r="T1401" i="1483"/>
  <c r="T1402" i="1483"/>
  <c r="T1403" i="1483"/>
  <c r="T1404" i="1483"/>
  <c r="T1405" i="1483"/>
  <c r="T1406" i="1483"/>
  <c r="T1407" i="1483"/>
  <c r="T1408" i="1483"/>
  <c r="T1409" i="1483"/>
  <c r="T1410" i="1483"/>
  <c r="T1411" i="1483"/>
  <c r="T1412" i="1483"/>
  <c r="T1413" i="1483"/>
  <c r="T1414" i="1483"/>
  <c r="T1415" i="1483"/>
  <c r="T1416" i="1483"/>
  <c r="T1417" i="1483"/>
  <c r="T1418" i="1483"/>
  <c r="T1419" i="1483"/>
  <c r="T1420" i="1483"/>
  <c r="T1421" i="1483"/>
  <c r="T1422" i="1483"/>
  <c r="T1423" i="1483"/>
  <c r="T1424" i="1483"/>
  <c r="T1425" i="1483"/>
  <c r="T1426" i="1483"/>
  <c r="T1427" i="1483"/>
  <c r="T1428" i="1483"/>
  <c r="T1429" i="1483"/>
  <c r="T1430" i="1483"/>
  <c r="T1431" i="1483"/>
  <c r="T1432" i="1483"/>
  <c r="T1433" i="1483"/>
  <c r="T1434" i="1483"/>
  <c r="T1435" i="1483"/>
  <c r="T1436" i="1483"/>
  <c r="T1437" i="1483"/>
  <c r="T1438" i="1483"/>
  <c r="T1439" i="1483"/>
  <c r="T1440" i="1483"/>
  <c r="T1441" i="1483"/>
  <c r="T1442" i="1483"/>
  <c r="T1443" i="1483"/>
  <c r="T1444" i="1483"/>
  <c r="T1445" i="1483"/>
  <c r="T1446" i="1483"/>
  <c r="T1447" i="1483"/>
  <c r="T1448" i="1483"/>
  <c r="T1449" i="1483"/>
  <c r="T1450" i="1483"/>
  <c r="T1451" i="1483"/>
  <c r="T1452" i="1483"/>
  <c r="T1453" i="1483"/>
  <c r="T1454" i="1483"/>
  <c r="T1455" i="1483"/>
  <c r="T1456" i="1483"/>
  <c r="T1457" i="1483"/>
  <c r="T1458" i="1483"/>
  <c r="T1459" i="1483"/>
  <c r="T1460" i="1483"/>
  <c r="T1461" i="1483"/>
  <c r="T1462" i="1483"/>
  <c r="T1463" i="1483"/>
  <c r="T1464" i="1483"/>
  <c r="T1465" i="1483"/>
  <c r="T1466" i="1483"/>
  <c r="T1467" i="1483"/>
  <c r="T1468" i="1483"/>
  <c r="T1469" i="1483"/>
  <c r="T1470" i="1483"/>
  <c r="T1471" i="1483"/>
  <c r="T1472" i="1483"/>
  <c r="T1473" i="1483"/>
  <c r="T1474" i="1483"/>
  <c r="T1475" i="1483"/>
  <c r="T1476" i="1483"/>
  <c r="T1477" i="1483"/>
  <c r="T1478" i="1483"/>
  <c r="T1479" i="1483"/>
  <c r="T1480" i="1483"/>
  <c r="T1481" i="1483"/>
  <c r="T1482" i="1483"/>
  <c r="T1483" i="1483"/>
  <c r="T1484" i="1483"/>
  <c r="T1485" i="1483"/>
  <c r="T1486" i="1483"/>
  <c r="T1487" i="1483"/>
  <c r="T1488" i="1483"/>
  <c r="T1489" i="1483"/>
  <c r="T1490" i="1483"/>
  <c r="T1491" i="1483"/>
  <c r="T1492" i="1483"/>
  <c r="T1493" i="1483"/>
  <c r="T1494" i="1483"/>
  <c r="T1495" i="1483"/>
  <c r="T1496" i="1483"/>
  <c r="T1497" i="1483"/>
  <c r="T1498" i="1483"/>
  <c r="T1499" i="1483"/>
  <c r="T1500" i="1483"/>
  <c r="T1501" i="1483"/>
  <c r="T1502" i="1483"/>
  <c r="T1503" i="1483"/>
  <c r="T1504" i="1483"/>
  <c r="T1505" i="1483"/>
  <c r="T1506" i="1483"/>
  <c r="T1507" i="1483"/>
  <c r="T1508" i="1483"/>
  <c r="T1509" i="1483"/>
  <c r="T1510" i="1483"/>
  <c r="T1511" i="1483"/>
  <c r="T1512" i="1483"/>
  <c r="T1513" i="1483"/>
  <c r="T1514" i="1483"/>
  <c r="T1515" i="1483"/>
  <c r="T1516" i="1483"/>
  <c r="T1517" i="1483"/>
  <c r="T1518" i="1483"/>
  <c r="T1519" i="1483"/>
  <c r="T1520" i="1483"/>
  <c r="T1521" i="1483"/>
  <c r="T1522" i="1483"/>
  <c r="T1523" i="1483"/>
  <c r="T1524" i="1483"/>
  <c r="T1525" i="1483"/>
  <c r="T1526" i="1483"/>
  <c r="T1527" i="1483"/>
  <c r="T1528" i="1483"/>
  <c r="T1529" i="1483"/>
  <c r="T1530" i="1483"/>
  <c r="T1531" i="1483"/>
  <c r="T1532" i="1483"/>
  <c r="T1533" i="1483"/>
  <c r="T1534" i="1483"/>
  <c r="T1535" i="1483"/>
  <c r="T1536" i="1483"/>
  <c r="T1537" i="1483"/>
  <c r="T1538" i="1483"/>
  <c r="T1539" i="1483"/>
  <c r="T1540" i="1483"/>
  <c r="T1541" i="1483"/>
  <c r="T1542" i="1483"/>
  <c r="T1543" i="1483"/>
  <c r="T1544" i="1483"/>
  <c r="T1545" i="1483"/>
  <c r="T1546" i="1483"/>
  <c r="T1547" i="1483"/>
  <c r="T1548" i="1483"/>
  <c r="T1549" i="1483"/>
  <c r="T1550" i="1483"/>
  <c r="T1551" i="1483"/>
  <c r="T1552" i="1483"/>
  <c r="T1553" i="1483"/>
  <c r="T1554" i="1483"/>
  <c r="T1555" i="1483"/>
  <c r="T1556" i="1483"/>
  <c r="T1557" i="1483"/>
  <c r="T1558" i="1483"/>
  <c r="T1559" i="1483"/>
  <c r="T1560" i="1483"/>
  <c r="T1561" i="1483"/>
  <c r="T1562" i="1483"/>
  <c r="T1563" i="1483"/>
  <c r="T1564" i="1483"/>
  <c r="T1565" i="1483"/>
  <c r="T1566" i="1483"/>
  <c r="T1567" i="1483"/>
  <c r="T1568" i="1483"/>
  <c r="T1569" i="1483"/>
  <c r="T1570" i="1483"/>
  <c r="T1571" i="1483"/>
  <c r="T1572" i="1483"/>
  <c r="T1573" i="1483"/>
  <c r="T1574" i="1483"/>
  <c r="T1575" i="1483"/>
  <c r="T1576" i="1483"/>
  <c r="T1577" i="1483"/>
  <c r="T1578" i="1483"/>
  <c r="T1579" i="1483"/>
  <c r="T1580" i="1483"/>
  <c r="T1581" i="1483"/>
  <c r="T1582" i="1483"/>
  <c r="T1583" i="1483"/>
  <c r="T1584" i="1483"/>
  <c r="T1585" i="1483"/>
  <c r="T1586" i="1483"/>
  <c r="T1587" i="1483"/>
  <c r="T1588" i="1483"/>
  <c r="T1589" i="1483"/>
  <c r="T1590" i="1483"/>
  <c r="T1591" i="1483"/>
  <c r="T1592" i="1483"/>
  <c r="T1593" i="1483"/>
  <c r="T1594" i="1483"/>
  <c r="T1595" i="1483"/>
  <c r="T1596" i="1483"/>
  <c r="T1597" i="1483"/>
  <c r="T1598" i="1483"/>
  <c r="T1599" i="1483"/>
  <c r="T1600" i="1483"/>
  <c r="T1601" i="1483"/>
  <c r="T1602" i="1483"/>
  <c r="T1603" i="1483"/>
  <c r="T1604" i="1483"/>
  <c r="T1605" i="1483"/>
  <c r="T1606" i="1483"/>
  <c r="T1607" i="1483"/>
  <c r="T1608" i="1483"/>
  <c r="T1609" i="1483"/>
  <c r="T1610" i="1483"/>
  <c r="T1611" i="1483"/>
  <c r="T1612" i="1483"/>
  <c r="T1613" i="1483"/>
  <c r="T1614" i="1483"/>
  <c r="T1615" i="1483"/>
  <c r="T1616" i="1483"/>
  <c r="T1617" i="1483"/>
  <c r="T1618" i="1483"/>
  <c r="T1619" i="1483"/>
  <c r="T1620" i="1483"/>
  <c r="T1621" i="1483"/>
  <c r="T1622" i="1483"/>
  <c r="T1623" i="1483"/>
  <c r="T1624" i="1483"/>
  <c r="T1625" i="1483"/>
  <c r="T1626" i="1483"/>
  <c r="T1627" i="1483"/>
  <c r="T1628" i="1483"/>
  <c r="T1629" i="1483"/>
  <c r="T1630" i="1483"/>
  <c r="T1631" i="1483"/>
  <c r="T1632" i="1483"/>
  <c r="T1633" i="1483"/>
  <c r="T1634" i="1483"/>
  <c r="T1635" i="1483"/>
  <c r="T1636" i="1483"/>
  <c r="T1637" i="1483"/>
  <c r="T1638" i="1483"/>
  <c r="T1639" i="1483"/>
  <c r="T1640" i="1483"/>
  <c r="T1641" i="1483"/>
  <c r="T1642" i="1483"/>
  <c r="T1643" i="1483"/>
  <c r="T1644" i="1483"/>
  <c r="T1645" i="1483"/>
  <c r="T1646" i="1483"/>
  <c r="T1647" i="1483"/>
  <c r="T1648" i="1483"/>
  <c r="T1649" i="1483"/>
  <c r="T1650" i="1483"/>
  <c r="T1651" i="1483"/>
  <c r="T1652" i="1483"/>
  <c r="T1653" i="1483"/>
  <c r="T1654" i="1483"/>
  <c r="T1655" i="1483"/>
  <c r="T1656" i="1483"/>
  <c r="T1657" i="1483"/>
  <c r="T1658" i="1483"/>
  <c r="T1659" i="1483"/>
  <c r="T1660" i="1483"/>
  <c r="T1661" i="1483"/>
  <c r="T1662" i="1483"/>
  <c r="T1663" i="1483"/>
  <c r="T1664" i="1483"/>
  <c r="T1665" i="1483"/>
  <c r="T1666" i="1483"/>
  <c r="T1667" i="1483"/>
  <c r="T1668" i="1483"/>
  <c r="T1669" i="1483"/>
  <c r="T1670" i="1483"/>
  <c r="T1671" i="1483"/>
  <c r="T1672" i="1483"/>
  <c r="T1673" i="1483"/>
  <c r="T1674" i="1483"/>
  <c r="T1675" i="1483"/>
  <c r="T1676" i="1483"/>
  <c r="T1677" i="1483"/>
  <c r="T1678" i="1483"/>
  <c r="T1679" i="1483"/>
  <c r="T1680" i="1483"/>
  <c r="T1681" i="1483"/>
  <c r="T1682" i="1483"/>
  <c r="T1683" i="1483"/>
  <c r="T1684" i="1483"/>
  <c r="T1685" i="1483"/>
  <c r="T1686" i="1483"/>
  <c r="T1687" i="1483"/>
  <c r="T1688" i="1483"/>
  <c r="T1689" i="1483"/>
  <c r="T1690" i="1483"/>
  <c r="T1691" i="1483"/>
  <c r="T1692" i="1483"/>
  <c r="T1693" i="1483"/>
  <c r="T1694" i="1483"/>
  <c r="T1695" i="1483"/>
  <c r="T1696" i="1483"/>
  <c r="T1697" i="1483"/>
  <c r="T1698" i="1483"/>
  <c r="T1699" i="1483"/>
  <c r="T1700" i="1483"/>
  <c r="T1701" i="1483"/>
  <c r="T1702" i="1483"/>
  <c r="T1703" i="1483"/>
  <c r="T1704" i="1483"/>
  <c r="T1705" i="1483"/>
  <c r="T1706" i="1483"/>
  <c r="T1707" i="1483"/>
  <c r="T1708" i="1483"/>
  <c r="T1709" i="1483"/>
  <c r="T1710" i="1483"/>
  <c r="T1711" i="1483"/>
  <c r="T1712" i="1483"/>
  <c r="T1713" i="1483"/>
  <c r="T1714" i="1483"/>
  <c r="T1715" i="1483"/>
  <c r="T1716" i="1483"/>
  <c r="T1717" i="1483"/>
  <c r="T1718" i="1483"/>
  <c r="T1719" i="1483"/>
  <c r="T1720" i="1483"/>
  <c r="T1721" i="1483"/>
  <c r="T1722" i="1483"/>
  <c r="T1723" i="1483"/>
  <c r="T1724" i="1483"/>
  <c r="T1725" i="1483"/>
  <c r="T1726" i="1483"/>
  <c r="T1727" i="1483"/>
  <c r="T1728" i="1483"/>
  <c r="T1729" i="1483"/>
  <c r="T1730" i="1483"/>
  <c r="T1731" i="1483"/>
  <c r="T1732" i="1483"/>
  <c r="T1733" i="1483"/>
  <c r="T1734" i="1483"/>
  <c r="T1735" i="1483"/>
  <c r="T1736" i="1483"/>
  <c r="T1737" i="1483"/>
  <c r="T1738" i="1483"/>
  <c r="T1739" i="1483"/>
  <c r="T1740" i="1483"/>
  <c r="T1741" i="1483"/>
  <c r="T1742" i="1483"/>
  <c r="T1743" i="1483"/>
  <c r="T1744" i="1483"/>
  <c r="T1745" i="1483"/>
  <c r="T1746" i="1483"/>
  <c r="T1747" i="1483"/>
  <c r="T1748" i="1483"/>
  <c r="T1749" i="1483"/>
  <c r="T1750" i="1483"/>
  <c r="T1751" i="1483"/>
  <c r="T1752" i="1483"/>
  <c r="T1753" i="1483"/>
  <c r="T1754" i="1483"/>
  <c r="T1755" i="1483"/>
  <c r="T1756" i="1483"/>
  <c r="T1757" i="1483"/>
  <c r="T1758" i="1483"/>
  <c r="T1759" i="1483"/>
  <c r="T1760" i="1483"/>
  <c r="T1761" i="1483"/>
  <c r="T1762" i="1483"/>
  <c r="T1763" i="1483"/>
  <c r="T1764" i="1483"/>
  <c r="T1765" i="1483"/>
  <c r="T1766" i="1483"/>
  <c r="T1767" i="1483"/>
  <c r="T1768" i="1483"/>
  <c r="T1769" i="1483"/>
  <c r="T1770" i="1483"/>
  <c r="T1771" i="1483"/>
  <c r="T1772" i="1483"/>
  <c r="T1773" i="1483"/>
  <c r="T1774" i="1483"/>
  <c r="T1775" i="1483"/>
  <c r="T1776" i="1483"/>
  <c r="T1777" i="1483"/>
  <c r="T1778" i="1483"/>
  <c r="T1779" i="1483"/>
  <c r="T1780" i="1483"/>
  <c r="T1781" i="1483"/>
  <c r="T1782" i="1483"/>
  <c r="T1783" i="1483"/>
  <c r="T1784" i="1483"/>
  <c r="T1785" i="1483"/>
  <c r="T1786" i="1483"/>
  <c r="T1787" i="1483"/>
  <c r="T1788" i="1483"/>
  <c r="T1789" i="1483"/>
  <c r="T1790" i="1483"/>
  <c r="T1791" i="1483"/>
  <c r="T1792" i="1483"/>
  <c r="T1793" i="1483"/>
  <c r="T1794" i="1483"/>
  <c r="T1795" i="1483"/>
  <c r="T1796" i="1483"/>
  <c r="T1797" i="1483"/>
  <c r="T1798" i="1483"/>
  <c r="T1799" i="1483"/>
  <c r="T1800" i="1483"/>
  <c r="T1801" i="1483"/>
  <c r="T1802" i="1483"/>
  <c r="T1803" i="1483"/>
  <c r="T1804" i="1483"/>
  <c r="T1805" i="1483"/>
  <c r="T1806" i="1483"/>
  <c r="T1807" i="1483"/>
  <c r="T1808" i="1483"/>
  <c r="T1809" i="1483"/>
  <c r="T1810" i="1483"/>
  <c r="T1811" i="1483"/>
  <c r="T1812" i="1483"/>
  <c r="T1813" i="1483"/>
  <c r="T1814" i="1483"/>
  <c r="T1815" i="1483"/>
  <c r="T1816" i="1483"/>
  <c r="T1817" i="1483"/>
  <c r="T1818" i="1483"/>
  <c r="T1819" i="1483"/>
  <c r="T1820" i="1483"/>
  <c r="T1821" i="1483"/>
  <c r="T1822" i="1483"/>
  <c r="T1823" i="1483"/>
  <c r="T1824" i="1483"/>
  <c r="T1825" i="1483"/>
  <c r="T1826" i="1483"/>
  <c r="T1827" i="1483"/>
  <c r="T1828" i="1483"/>
  <c r="T1829" i="1483"/>
  <c r="T1830" i="1483"/>
  <c r="T1831" i="1483"/>
  <c r="T1832" i="1483"/>
  <c r="T1833" i="1483"/>
  <c r="T1834" i="1483"/>
  <c r="T1835" i="1483"/>
  <c r="T1836" i="1483"/>
  <c r="T1837" i="1483"/>
  <c r="T1838" i="1483"/>
  <c r="T1839" i="1483"/>
  <c r="T1840" i="1483"/>
  <c r="T1841" i="1483"/>
  <c r="T1842" i="1483"/>
  <c r="T1843" i="1483"/>
  <c r="T1844" i="1483"/>
  <c r="T1845" i="1483"/>
  <c r="T1846" i="1483"/>
  <c r="T1847" i="1483"/>
  <c r="T1848" i="1483"/>
  <c r="T1849" i="1483"/>
  <c r="T1850" i="1483"/>
  <c r="T1851" i="1483"/>
  <c r="T1852" i="1483"/>
  <c r="T1853" i="1483"/>
  <c r="T1854" i="1483"/>
  <c r="T1855" i="1483"/>
  <c r="T1856" i="1483"/>
  <c r="T1857" i="1483"/>
  <c r="T1858" i="1483"/>
  <c r="T1859" i="1483"/>
  <c r="T1860" i="1483"/>
  <c r="T1861" i="1483"/>
  <c r="T1862" i="1483"/>
  <c r="T1863" i="1483"/>
  <c r="T1864" i="1483"/>
  <c r="T1865" i="1483"/>
  <c r="T1866" i="1483"/>
  <c r="T1867" i="1483"/>
  <c r="T1868" i="1483"/>
  <c r="T1869" i="1483"/>
  <c r="T1870" i="1483"/>
  <c r="T1871" i="1483"/>
  <c r="T1872" i="1483"/>
  <c r="T1873" i="1483"/>
  <c r="T1874" i="1483"/>
  <c r="T1875" i="1483"/>
  <c r="T1876" i="1483"/>
  <c r="T1877" i="1483"/>
  <c r="T1878" i="1483"/>
  <c r="T1879" i="1483"/>
  <c r="T1880" i="1483"/>
  <c r="T1881" i="1483"/>
  <c r="T1882" i="1483"/>
  <c r="T1883" i="1483"/>
  <c r="T1884" i="1483"/>
  <c r="T1885" i="1483"/>
  <c r="T1886" i="1483"/>
  <c r="T1887" i="1483"/>
  <c r="T1888" i="1483"/>
  <c r="T1889" i="1483"/>
  <c r="T1890" i="1483"/>
  <c r="T1891" i="1483"/>
  <c r="T1892" i="1483"/>
  <c r="T1893" i="1483"/>
  <c r="T1894" i="1483"/>
  <c r="T1895" i="1483"/>
  <c r="T1896" i="1483"/>
  <c r="T1897" i="1483"/>
  <c r="T1898" i="1483"/>
  <c r="T1899" i="1483"/>
  <c r="T1900" i="1483"/>
  <c r="T1901" i="1483"/>
  <c r="T1902" i="1483"/>
  <c r="T1903" i="1483"/>
  <c r="S2" i="1483"/>
  <c r="S3" i="1483"/>
  <c r="S4" i="1483"/>
  <c r="S5" i="1483"/>
  <c r="S6" i="1483"/>
  <c r="S7" i="1483"/>
  <c r="S8" i="1483"/>
  <c r="S9" i="1483"/>
  <c r="S10" i="1483"/>
  <c r="S11" i="1483"/>
  <c r="S12" i="1483"/>
  <c r="S13" i="1483"/>
  <c r="S14" i="1483"/>
  <c r="S15" i="1483"/>
  <c r="S16" i="1483"/>
  <c r="S17" i="1483"/>
  <c r="S18" i="1483"/>
  <c r="S19" i="1483"/>
  <c r="S20" i="1483"/>
  <c r="S21" i="1483"/>
  <c r="S22" i="1483"/>
  <c r="S23" i="1483"/>
  <c r="S24" i="1483"/>
  <c r="S25" i="1483"/>
  <c r="S26" i="1483"/>
  <c r="S27" i="1483"/>
  <c r="S28" i="1483"/>
  <c r="S29" i="1483"/>
  <c r="S30" i="1483"/>
  <c r="S31" i="1483"/>
  <c r="S32" i="1483"/>
  <c r="S33" i="1483"/>
  <c r="S34" i="1483"/>
  <c r="S35" i="1483"/>
  <c r="S36" i="1483"/>
  <c r="S37" i="1483"/>
  <c r="S38" i="1483"/>
  <c r="S39" i="1483"/>
  <c r="S40" i="1483"/>
  <c r="S41" i="1483"/>
  <c r="S42" i="1483"/>
  <c r="S43" i="1483"/>
  <c r="S44" i="1483"/>
  <c r="S45" i="1483"/>
  <c r="S46" i="1483"/>
  <c r="S47" i="1483"/>
  <c r="S48" i="1483"/>
  <c r="S49" i="1483"/>
  <c r="S50" i="1483"/>
  <c r="S51" i="1483"/>
  <c r="S52" i="1483"/>
  <c r="S53" i="1483"/>
  <c r="S54" i="1483"/>
  <c r="S55" i="1483"/>
  <c r="S56" i="1483"/>
  <c r="S57" i="1483"/>
  <c r="S58" i="1483"/>
  <c r="S59" i="1483"/>
  <c r="S60" i="1483"/>
  <c r="S61" i="1483"/>
  <c r="S62" i="1483"/>
  <c r="S63" i="1483"/>
  <c r="S64" i="1483"/>
  <c r="S65" i="1483"/>
  <c r="S66" i="1483"/>
  <c r="S67" i="1483"/>
  <c r="S68" i="1483"/>
  <c r="S69" i="1483"/>
  <c r="S70" i="1483"/>
  <c r="S71" i="1483"/>
  <c r="S72" i="1483"/>
  <c r="S73" i="1483"/>
  <c r="S74" i="1483"/>
  <c r="S75" i="1483"/>
  <c r="S76" i="1483"/>
  <c r="S77" i="1483"/>
  <c r="S78" i="1483"/>
  <c r="S79" i="1483"/>
  <c r="S80" i="1483"/>
  <c r="S81" i="1483"/>
  <c r="S82" i="1483"/>
  <c r="S83" i="1483"/>
  <c r="S84" i="1483"/>
  <c r="S85" i="1483"/>
  <c r="S86" i="1483"/>
  <c r="S87" i="1483"/>
  <c r="S88" i="1483"/>
  <c r="S89" i="1483"/>
  <c r="S90" i="1483"/>
  <c r="S91" i="1483"/>
  <c r="S92" i="1483"/>
  <c r="S93" i="1483"/>
  <c r="S94" i="1483"/>
  <c r="S95" i="1483"/>
  <c r="S96" i="1483"/>
  <c r="S97" i="1483"/>
  <c r="S98" i="1483"/>
  <c r="S99" i="1483"/>
  <c r="S100" i="1483"/>
  <c r="S101" i="1483"/>
  <c r="S102" i="1483"/>
  <c r="S103" i="1483"/>
  <c r="S104" i="1483"/>
  <c r="S105" i="1483"/>
  <c r="S106" i="1483"/>
  <c r="S107" i="1483"/>
  <c r="S108" i="1483"/>
  <c r="S109" i="1483"/>
  <c r="S110" i="1483"/>
  <c r="S111" i="1483"/>
  <c r="S112" i="1483"/>
  <c r="S113" i="1483"/>
  <c r="S114" i="1483"/>
  <c r="S115" i="1483"/>
  <c r="S116" i="1483"/>
  <c r="S117" i="1483"/>
  <c r="S118" i="1483"/>
  <c r="S119" i="1483"/>
  <c r="S120" i="1483"/>
  <c r="S121" i="1483"/>
  <c r="S122" i="1483"/>
  <c r="S123" i="1483"/>
  <c r="S124" i="1483"/>
  <c r="S125" i="1483"/>
  <c r="S126" i="1483"/>
  <c r="S127" i="1483"/>
  <c r="S128" i="1483"/>
  <c r="S129" i="1483"/>
  <c r="S130" i="1483"/>
  <c r="S131" i="1483"/>
  <c r="S132" i="1483"/>
  <c r="S133" i="1483"/>
  <c r="S134" i="1483"/>
  <c r="S135" i="1483"/>
  <c r="S136" i="1483"/>
  <c r="S137" i="1483"/>
  <c r="S138" i="1483"/>
  <c r="S139" i="1483"/>
  <c r="S140" i="1483"/>
  <c r="S141" i="1483"/>
  <c r="S142" i="1483"/>
  <c r="S143" i="1483"/>
  <c r="S144" i="1483"/>
  <c r="S145" i="1483"/>
  <c r="S146" i="1483"/>
  <c r="S147" i="1483"/>
  <c r="S148" i="1483"/>
  <c r="S149" i="1483"/>
  <c r="S150" i="1483"/>
  <c r="S151" i="1483"/>
  <c r="S152" i="1483"/>
  <c r="S153" i="1483"/>
  <c r="S154" i="1483"/>
  <c r="S155" i="1483"/>
  <c r="S156" i="1483"/>
  <c r="S157" i="1483"/>
  <c r="S158" i="1483"/>
  <c r="S159" i="1483"/>
  <c r="S160" i="1483"/>
  <c r="S161" i="1483"/>
  <c r="S162" i="1483"/>
  <c r="S163" i="1483"/>
  <c r="S164" i="1483"/>
  <c r="S165" i="1483"/>
  <c r="S166" i="1483"/>
  <c r="S167" i="1483"/>
  <c r="S168" i="1483"/>
  <c r="S169" i="1483"/>
  <c r="S170" i="1483"/>
  <c r="S171" i="1483"/>
  <c r="S172" i="1483"/>
  <c r="S173" i="1483"/>
  <c r="S174" i="1483"/>
  <c r="S175" i="1483"/>
  <c r="S176" i="1483"/>
  <c r="S177" i="1483"/>
  <c r="S178" i="1483"/>
  <c r="S179" i="1483"/>
  <c r="S180" i="1483"/>
  <c r="S181" i="1483"/>
  <c r="S182" i="1483"/>
  <c r="S183" i="1483"/>
  <c r="S184" i="1483"/>
  <c r="S185" i="1483"/>
  <c r="S186" i="1483"/>
  <c r="S187" i="1483"/>
  <c r="S188" i="1483"/>
  <c r="S189" i="1483"/>
  <c r="S190" i="1483"/>
  <c r="S191" i="1483"/>
  <c r="S192" i="1483"/>
  <c r="S193" i="1483"/>
  <c r="S194" i="1483"/>
  <c r="S195" i="1483"/>
  <c r="S196" i="1483"/>
  <c r="S197" i="1483"/>
  <c r="S198" i="1483"/>
  <c r="S199" i="1483"/>
  <c r="S200" i="1483"/>
  <c r="S201" i="1483"/>
  <c r="S202" i="1483"/>
  <c r="S203" i="1483"/>
  <c r="S204" i="1483"/>
  <c r="S205" i="1483"/>
  <c r="S206" i="1483"/>
  <c r="S207" i="1483"/>
  <c r="S208" i="1483"/>
  <c r="S209" i="1483"/>
  <c r="S210" i="1483"/>
  <c r="S211" i="1483"/>
  <c r="S212" i="1483"/>
  <c r="S213" i="1483"/>
  <c r="S214" i="1483"/>
  <c r="S215" i="1483"/>
  <c r="S216" i="1483"/>
  <c r="S217" i="1483"/>
  <c r="S218" i="1483"/>
  <c r="S219" i="1483"/>
  <c r="S220" i="1483"/>
  <c r="S221" i="1483"/>
  <c r="S222" i="1483"/>
  <c r="S223" i="1483"/>
  <c r="S224" i="1483"/>
  <c r="S225" i="1483"/>
  <c r="S226" i="1483"/>
  <c r="S227" i="1483"/>
  <c r="S228" i="1483"/>
  <c r="S229" i="1483"/>
  <c r="S230" i="1483"/>
  <c r="S231" i="1483"/>
  <c r="S232" i="1483"/>
  <c r="S233" i="1483"/>
  <c r="S234" i="1483"/>
  <c r="S235" i="1483"/>
  <c r="S236" i="1483"/>
  <c r="S237" i="1483"/>
  <c r="S238" i="1483"/>
  <c r="S239" i="1483"/>
  <c r="S240" i="1483"/>
  <c r="S241" i="1483"/>
  <c r="S242" i="1483"/>
  <c r="S243" i="1483"/>
  <c r="S244" i="1483"/>
  <c r="S245" i="1483"/>
  <c r="S246" i="1483"/>
  <c r="S247" i="1483"/>
  <c r="S248" i="1483"/>
  <c r="S249" i="1483"/>
  <c r="S250" i="1483"/>
  <c r="S251" i="1483"/>
  <c r="S252" i="1483"/>
  <c r="S253" i="1483"/>
  <c r="S254" i="1483"/>
  <c r="S255" i="1483"/>
  <c r="S256" i="1483"/>
  <c r="S257" i="1483"/>
  <c r="S258" i="1483"/>
  <c r="S259" i="1483"/>
  <c r="S260" i="1483"/>
  <c r="S261" i="1483"/>
  <c r="S262" i="1483"/>
  <c r="S263" i="1483"/>
  <c r="S264" i="1483"/>
  <c r="S265" i="1483"/>
  <c r="S266" i="1483"/>
  <c r="S267" i="1483"/>
  <c r="S268" i="1483"/>
  <c r="S269" i="1483"/>
  <c r="S270" i="1483"/>
  <c r="S271" i="1483"/>
  <c r="S272" i="1483"/>
  <c r="S273" i="1483"/>
  <c r="S274" i="1483"/>
  <c r="S275" i="1483"/>
  <c r="S276" i="1483"/>
  <c r="S277" i="1483"/>
  <c r="S278" i="1483"/>
  <c r="S279" i="1483"/>
  <c r="S280" i="1483"/>
  <c r="S281" i="1483"/>
  <c r="S282" i="1483"/>
  <c r="S283" i="1483"/>
  <c r="S284" i="1483"/>
  <c r="S285" i="1483"/>
  <c r="S286" i="1483"/>
  <c r="S287" i="1483"/>
  <c r="S288" i="1483"/>
  <c r="S289" i="1483"/>
  <c r="S290" i="1483"/>
  <c r="S291" i="1483"/>
  <c r="S292" i="1483"/>
  <c r="S293" i="1483"/>
  <c r="S294" i="1483"/>
  <c r="S295" i="1483"/>
  <c r="S296" i="1483"/>
  <c r="S297" i="1483"/>
  <c r="S298" i="1483"/>
  <c r="S299" i="1483"/>
  <c r="S300" i="1483"/>
  <c r="S301" i="1483"/>
  <c r="S302" i="1483"/>
  <c r="S303" i="1483"/>
  <c r="S304" i="1483"/>
  <c r="S305" i="1483"/>
  <c r="S306" i="1483"/>
  <c r="S307" i="1483"/>
  <c r="S308" i="1483"/>
  <c r="S309" i="1483"/>
  <c r="S310" i="1483"/>
  <c r="S311" i="1483"/>
  <c r="S312" i="1483"/>
  <c r="S313" i="1483"/>
  <c r="S314" i="1483"/>
  <c r="S315" i="1483"/>
  <c r="S316" i="1483"/>
  <c r="S317" i="1483"/>
  <c r="S318" i="1483"/>
  <c r="S319" i="1483"/>
  <c r="S320" i="1483"/>
  <c r="S321" i="1483"/>
  <c r="S322" i="1483"/>
  <c r="S323" i="1483"/>
  <c r="S324" i="1483"/>
  <c r="S325" i="1483"/>
  <c r="S326" i="1483"/>
  <c r="S327" i="1483"/>
  <c r="S328" i="1483"/>
  <c r="S329" i="1483"/>
  <c r="S330" i="1483"/>
  <c r="S331" i="1483"/>
  <c r="S332" i="1483"/>
  <c r="S333" i="1483"/>
  <c r="S334" i="1483"/>
  <c r="S335" i="1483"/>
  <c r="S336" i="1483"/>
  <c r="S337" i="1483"/>
  <c r="S338" i="1483"/>
  <c r="S339" i="1483"/>
  <c r="S340" i="1483"/>
  <c r="S341" i="1483"/>
  <c r="S342" i="1483"/>
  <c r="S343" i="1483"/>
  <c r="S344" i="1483"/>
  <c r="S345" i="1483"/>
  <c r="S346" i="1483"/>
  <c r="S347" i="1483"/>
  <c r="S348" i="1483"/>
  <c r="S349" i="1483"/>
  <c r="S350" i="1483"/>
  <c r="S351" i="1483"/>
  <c r="S352" i="1483"/>
  <c r="S353" i="1483"/>
  <c r="S354" i="1483"/>
  <c r="S355" i="1483"/>
  <c r="S356" i="1483"/>
  <c r="S357" i="1483"/>
  <c r="S358" i="1483"/>
  <c r="S359" i="1483"/>
  <c r="S360" i="1483"/>
  <c r="S361" i="1483"/>
  <c r="S362" i="1483"/>
  <c r="S363" i="1483"/>
  <c r="S364" i="1483"/>
  <c r="S365" i="1483"/>
  <c r="S366" i="1483"/>
  <c r="S367" i="1483"/>
  <c r="S368" i="1483"/>
  <c r="S369" i="1483"/>
  <c r="S370" i="1483"/>
  <c r="S371" i="1483"/>
  <c r="S372" i="1483"/>
  <c r="S373" i="1483"/>
  <c r="S374" i="1483"/>
  <c r="S375" i="1483"/>
  <c r="S376" i="1483"/>
  <c r="S377" i="1483"/>
  <c r="S378" i="1483"/>
  <c r="S379" i="1483"/>
  <c r="S380" i="1483"/>
  <c r="S381" i="1483"/>
  <c r="S382" i="1483"/>
  <c r="S383" i="1483"/>
  <c r="S384" i="1483"/>
  <c r="S385" i="1483"/>
  <c r="S386" i="1483"/>
  <c r="S387" i="1483"/>
  <c r="S388" i="1483"/>
  <c r="S389" i="1483"/>
  <c r="S390" i="1483"/>
  <c r="S391" i="1483"/>
  <c r="S392" i="1483"/>
  <c r="S393" i="1483"/>
  <c r="S394" i="1483"/>
  <c r="S395" i="1483"/>
  <c r="S396" i="1483"/>
  <c r="S397" i="1483"/>
  <c r="S398" i="1483"/>
  <c r="S399" i="1483"/>
  <c r="S400" i="1483"/>
  <c r="S401" i="1483"/>
  <c r="S402" i="1483"/>
  <c r="S403" i="1483"/>
  <c r="S404" i="1483"/>
  <c r="S405" i="1483"/>
  <c r="S406" i="1483"/>
  <c r="S407" i="1483"/>
  <c r="S408" i="1483"/>
  <c r="S409" i="1483"/>
  <c r="S410" i="1483"/>
  <c r="S411" i="1483"/>
  <c r="S412" i="1483"/>
  <c r="S413" i="1483"/>
  <c r="S414" i="1483"/>
  <c r="S415" i="1483"/>
  <c r="S416" i="1483"/>
  <c r="S417" i="1483"/>
  <c r="S418" i="1483"/>
  <c r="S419" i="1483"/>
  <c r="S420" i="1483"/>
  <c r="S421" i="1483"/>
  <c r="S422" i="1483"/>
  <c r="S423" i="1483"/>
  <c r="S424" i="1483"/>
  <c r="S425" i="1483"/>
  <c r="S426" i="1483"/>
  <c r="S427" i="1483"/>
  <c r="S428" i="1483"/>
  <c r="S429" i="1483"/>
  <c r="S430" i="1483"/>
  <c r="S431" i="1483"/>
  <c r="S432" i="1483"/>
  <c r="S433" i="1483"/>
  <c r="S434" i="1483"/>
  <c r="S435" i="1483"/>
  <c r="S436" i="1483"/>
  <c r="S437" i="1483"/>
  <c r="S438" i="1483"/>
  <c r="S439" i="1483"/>
  <c r="S440" i="1483"/>
  <c r="S441" i="1483"/>
  <c r="S442" i="1483"/>
  <c r="S443" i="1483"/>
  <c r="S444" i="1483"/>
  <c r="S445" i="1483"/>
  <c r="S446" i="1483"/>
  <c r="S447" i="1483"/>
  <c r="S448" i="1483"/>
  <c r="S449" i="1483"/>
  <c r="S450" i="1483"/>
  <c r="S451" i="1483"/>
  <c r="S452" i="1483"/>
  <c r="S453" i="1483"/>
  <c r="S454" i="1483"/>
  <c r="S455" i="1483"/>
  <c r="S456" i="1483"/>
  <c r="S457" i="1483"/>
  <c r="S458" i="1483"/>
  <c r="S459" i="1483"/>
  <c r="S460" i="1483"/>
  <c r="S461" i="1483"/>
  <c r="S462" i="1483"/>
  <c r="S463" i="1483"/>
  <c r="S464" i="1483"/>
  <c r="S465" i="1483"/>
  <c r="S466" i="1483"/>
  <c r="S467" i="1483"/>
  <c r="S468" i="1483"/>
  <c r="S469" i="1483"/>
  <c r="S470" i="1483"/>
  <c r="S471" i="1483"/>
  <c r="S472" i="1483"/>
  <c r="S473" i="1483"/>
  <c r="S474" i="1483"/>
  <c r="S475" i="1483"/>
  <c r="S476" i="1483"/>
  <c r="S477" i="1483"/>
  <c r="S478" i="1483"/>
  <c r="S479" i="1483"/>
  <c r="S480" i="1483"/>
  <c r="S481" i="1483"/>
  <c r="S482" i="1483"/>
  <c r="S483" i="1483"/>
  <c r="S484" i="1483"/>
  <c r="S485" i="1483"/>
  <c r="S486" i="1483"/>
  <c r="S487" i="1483"/>
  <c r="S488" i="1483"/>
  <c r="S489" i="1483"/>
  <c r="S490" i="1483"/>
  <c r="S491" i="1483"/>
  <c r="S492" i="1483"/>
  <c r="S493" i="1483"/>
  <c r="S494" i="1483"/>
  <c r="S495" i="1483"/>
  <c r="S496" i="1483"/>
  <c r="S497" i="1483"/>
  <c r="S498" i="1483"/>
  <c r="S499" i="1483"/>
  <c r="S500" i="1483"/>
  <c r="S501" i="1483"/>
  <c r="S502" i="1483"/>
  <c r="S503" i="1483"/>
  <c r="S504" i="1483"/>
  <c r="S505" i="1483"/>
  <c r="S506" i="1483"/>
  <c r="S507" i="1483"/>
  <c r="S508" i="1483"/>
  <c r="S509" i="1483"/>
  <c r="S510" i="1483"/>
  <c r="S511" i="1483"/>
  <c r="S512" i="1483"/>
  <c r="S513" i="1483"/>
  <c r="S514" i="1483"/>
  <c r="S515" i="1483"/>
  <c r="S516" i="1483"/>
  <c r="S517" i="1483"/>
  <c r="S518" i="1483"/>
  <c r="S519" i="1483"/>
  <c r="S520" i="1483"/>
  <c r="S521" i="1483"/>
  <c r="S522" i="1483"/>
  <c r="S523" i="1483"/>
  <c r="S524" i="1483"/>
  <c r="S525" i="1483"/>
  <c r="S526" i="1483"/>
  <c r="S527" i="1483"/>
  <c r="S528" i="1483"/>
  <c r="S529" i="1483"/>
  <c r="S530" i="1483"/>
  <c r="S531" i="1483"/>
  <c r="S532" i="1483"/>
  <c r="S533" i="1483"/>
  <c r="S534" i="1483"/>
  <c r="S535" i="1483"/>
  <c r="S536" i="1483"/>
  <c r="S537" i="1483"/>
  <c r="S538" i="1483"/>
  <c r="S539" i="1483"/>
  <c r="S540" i="1483"/>
  <c r="S541" i="1483"/>
  <c r="S542" i="1483"/>
  <c r="S543" i="1483"/>
  <c r="S544" i="1483"/>
  <c r="S545" i="1483"/>
  <c r="S546" i="1483"/>
  <c r="S547" i="1483"/>
  <c r="S548" i="1483"/>
  <c r="S549" i="1483"/>
  <c r="S550" i="1483"/>
  <c r="S551" i="1483"/>
  <c r="S552" i="1483"/>
  <c r="S553" i="1483"/>
  <c r="S554" i="1483"/>
  <c r="S555" i="1483"/>
  <c r="S556" i="1483"/>
  <c r="S557" i="1483"/>
  <c r="S558" i="1483"/>
  <c r="S559" i="1483"/>
  <c r="S560" i="1483"/>
  <c r="S561" i="1483"/>
  <c r="S562" i="1483"/>
  <c r="S563" i="1483"/>
  <c r="S564" i="1483"/>
  <c r="S565" i="1483"/>
  <c r="S566" i="1483"/>
  <c r="S567" i="1483"/>
  <c r="S568" i="1483"/>
  <c r="S569" i="1483"/>
  <c r="S570" i="1483"/>
  <c r="S571" i="1483"/>
  <c r="S572" i="1483"/>
  <c r="S573" i="1483"/>
  <c r="S574" i="1483"/>
  <c r="S575" i="1483"/>
  <c r="S576" i="1483"/>
  <c r="S577" i="1483"/>
  <c r="S578" i="1483"/>
  <c r="S579" i="1483"/>
  <c r="S580" i="1483"/>
  <c r="S581" i="1483"/>
  <c r="S582" i="1483"/>
  <c r="S583" i="1483"/>
  <c r="S584" i="1483"/>
  <c r="S585" i="1483"/>
  <c r="S586" i="1483"/>
  <c r="S587" i="1483"/>
  <c r="S588" i="1483"/>
  <c r="S589" i="1483"/>
  <c r="S590" i="1483"/>
  <c r="S591" i="1483"/>
  <c r="S592" i="1483"/>
  <c r="S593" i="1483"/>
  <c r="S594" i="1483"/>
  <c r="S595" i="1483"/>
  <c r="S596" i="1483"/>
  <c r="S597" i="1483"/>
  <c r="S598" i="1483"/>
  <c r="S599" i="1483"/>
  <c r="S600" i="1483"/>
  <c r="S601" i="1483"/>
  <c r="S602" i="1483"/>
  <c r="S603" i="1483"/>
  <c r="S604" i="1483"/>
  <c r="S605" i="1483"/>
  <c r="S606" i="1483"/>
  <c r="S607" i="1483"/>
  <c r="S608" i="1483"/>
  <c r="S609" i="1483"/>
  <c r="S610" i="1483"/>
  <c r="S611" i="1483"/>
  <c r="S612" i="1483"/>
  <c r="S613" i="1483"/>
  <c r="S614" i="1483"/>
  <c r="S615" i="1483"/>
  <c r="S616" i="1483"/>
  <c r="S617" i="1483"/>
  <c r="S618" i="1483"/>
  <c r="S619" i="1483"/>
  <c r="S620" i="1483"/>
  <c r="S621" i="1483"/>
  <c r="S622" i="1483"/>
  <c r="S623" i="1483"/>
  <c r="S624" i="1483"/>
  <c r="S625" i="1483"/>
  <c r="S626" i="1483"/>
  <c r="S627" i="1483"/>
  <c r="S628" i="1483"/>
  <c r="S629" i="1483"/>
  <c r="S630" i="1483"/>
  <c r="S631" i="1483"/>
  <c r="S632" i="1483"/>
  <c r="S633" i="1483"/>
  <c r="S634" i="1483"/>
  <c r="S635" i="1483"/>
  <c r="S636" i="1483"/>
  <c r="S637" i="1483"/>
  <c r="S638" i="1483"/>
  <c r="S639" i="1483"/>
  <c r="S640" i="1483"/>
  <c r="S641" i="1483"/>
  <c r="S642" i="1483"/>
  <c r="S643" i="1483"/>
  <c r="S644" i="1483"/>
  <c r="S645" i="1483"/>
  <c r="S646" i="1483"/>
  <c r="S647" i="1483"/>
  <c r="S648" i="1483"/>
  <c r="S649" i="1483"/>
  <c r="S650" i="1483"/>
  <c r="S651" i="1483"/>
  <c r="S652" i="1483"/>
  <c r="S653" i="1483"/>
  <c r="S654" i="1483"/>
  <c r="S655" i="1483"/>
  <c r="S656" i="1483"/>
  <c r="S657" i="1483"/>
  <c r="S658" i="1483"/>
  <c r="S659" i="1483"/>
  <c r="S660" i="1483"/>
  <c r="S661" i="1483"/>
  <c r="S662" i="1483"/>
  <c r="S663" i="1483"/>
  <c r="S664" i="1483"/>
  <c r="S665" i="1483"/>
  <c r="S666" i="1483"/>
  <c r="S667" i="1483"/>
  <c r="S668" i="1483"/>
  <c r="S669" i="1483"/>
  <c r="S670" i="1483"/>
  <c r="S671" i="1483"/>
  <c r="S672" i="1483"/>
  <c r="S673" i="1483"/>
  <c r="S674" i="1483"/>
  <c r="S675" i="1483"/>
  <c r="S676" i="1483"/>
  <c r="S677" i="1483"/>
  <c r="S678" i="1483"/>
  <c r="S679" i="1483"/>
  <c r="S680" i="1483"/>
  <c r="S681" i="1483"/>
  <c r="S682" i="1483"/>
  <c r="S683" i="1483"/>
  <c r="S684" i="1483"/>
  <c r="S685" i="1483"/>
  <c r="S686" i="1483"/>
  <c r="S687" i="1483"/>
  <c r="S688" i="1483"/>
  <c r="S689" i="1483"/>
  <c r="S690" i="1483"/>
  <c r="S691" i="1483"/>
  <c r="S692" i="1483"/>
  <c r="S693" i="1483"/>
  <c r="S694" i="1483"/>
  <c r="S695" i="1483"/>
  <c r="S696" i="1483"/>
  <c r="S697" i="1483"/>
  <c r="S698" i="1483"/>
  <c r="S699" i="1483"/>
  <c r="S700" i="1483"/>
  <c r="S701" i="1483"/>
  <c r="S702" i="1483"/>
  <c r="S703" i="1483"/>
  <c r="S704" i="1483"/>
  <c r="S705" i="1483"/>
  <c r="S706" i="1483"/>
  <c r="S707" i="1483"/>
  <c r="S708" i="1483"/>
  <c r="S709" i="1483"/>
  <c r="S710" i="1483"/>
  <c r="S711" i="1483"/>
  <c r="S712" i="1483"/>
  <c r="S713" i="1483"/>
  <c r="S714" i="1483"/>
  <c r="S715" i="1483"/>
  <c r="S716" i="1483"/>
  <c r="S717" i="1483"/>
  <c r="S718" i="1483"/>
  <c r="S719" i="1483"/>
  <c r="S720" i="1483"/>
  <c r="S721" i="1483"/>
  <c r="S722" i="1483"/>
  <c r="S723" i="1483"/>
  <c r="S724" i="1483"/>
  <c r="S725" i="1483"/>
  <c r="S726" i="1483"/>
  <c r="S727" i="1483"/>
  <c r="S728" i="1483"/>
  <c r="S729" i="1483"/>
  <c r="S730" i="1483"/>
  <c r="S731" i="1483"/>
  <c r="S732" i="1483"/>
  <c r="S733" i="1483"/>
  <c r="S734" i="1483"/>
  <c r="S735" i="1483"/>
  <c r="S736" i="1483"/>
  <c r="S737" i="1483"/>
  <c r="S738" i="1483"/>
  <c r="S739" i="1483"/>
  <c r="S740" i="1483"/>
  <c r="S741" i="1483"/>
  <c r="S742" i="1483"/>
  <c r="S743" i="1483"/>
  <c r="S744" i="1483"/>
  <c r="S745" i="1483"/>
  <c r="S746" i="1483"/>
  <c r="S747" i="1483"/>
  <c r="S748" i="1483"/>
  <c r="S749" i="1483"/>
  <c r="S750" i="1483"/>
  <c r="S751" i="1483"/>
  <c r="S752" i="1483"/>
  <c r="S753" i="1483"/>
  <c r="S754" i="1483"/>
  <c r="S755" i="1483"/>
  <c r="S756" i="1483"/>
  <c r="S757" i="1483"/>
  <c r="S758" i="1483"/>
  <c r="S759" i="1483"/>
  <c r="S760" i="1483"/>
  <c r="S761" i="1483"/>
  <c r="S762" i="1483"/>
  <c r="S763" i="1483"/>
  <c r="S764" i="1483"/>
  <c r="S765" i="1483"/>
  <c r="S766" i="1483"/>
  <c r="S767" i="1483"/>
  <c r="S768" i="1483"/>
  <c r="S769" i="1483"/>
  <c r="S770" i="1483"/>
  <c r="S771" i="1483"/>
  <c r="S772" i="1483"/>
  <c r="S773" i="1483"/>
  <c r="S774" i="1483"/>
  <c r="S775" i="1483"/>
  <c r="S776" i="1483"/>
  <c r="S777" i="1483"/>
  <c r="S778" i="1483"/>
  <c r="S779" i="1483"/>
  <c r="S780" i="1483"/>
  <c r="S781" i="1483"/>
  <c r="S782" i="1483"/>
  <c r="S783" i="1483"/>
  <c r="S784" i="1483"/>
  <c r="S785" i="1483"/>
  <c r="S786" i="1483"/>
  <c r="S787" i="1483"/>
  <c r="S788" i="1483"/>
  <c r="S789" i="1483"/>
  <c r="S790" i="1483"/>
  <c r="S791" i="1483"/>
  <c r="S792" i="1483"/>
  <c r="S793" i="1483"/>
  <c r="S794" i="1483"/>
  <c r="S795" i="1483"/>
  <c r="S796" i="1483"/>
  <c r="S797" i="1483"/>
  <c r="S798" i="1483"/>
  <c r="S799" i="1483"/>
  <c r="S800" i="1483"/>
  <c r="S801" i="1483"/>
  <c r="S802" i="1483"/>
  <c r="S803" i="1483"/>
  <c r="S804" i="1483"/>
  <c r="S805" i="1483"/>
  <c r="S806" i="1483"/>
  <c r="S807" i="1483"/>
  <c r="S808" i="1483"/>
  <c r="S809" i="1483"/>
  <c r="S810" i="1483"/>
  <c r="S811" i="1483"/>
  <c r="S812" i="1483"/>
  <c r="S813" i="1483"/>
  <c r="S814" i="1483"/>
  <c r="S815" i="1483"/>
  <c r="S816" i="1483"/>
  <c r="S817" i="1483"/>
  <c r="S818" i="1483"/>
  <c r="S819" i="1483"/>
  <c r="S820" i="1483"/>
  <c r="S821" i="1483"/>
  <c r="S822" i="1483"/>
  <c r="S823" i="1483"/>
  <c r="S824" i="1483"/>
  <c r="S825" i="1483"/>
  <c r="S826" i="1483"/>
  <c r="S827" i="1483"/>
  <c r="S828" i="1483"/>
  <c r="S829" i="1483"/>
  <c r="S830" i="1483"/>
  <c r="S831" i="1483"/>
  <c r="S832" i="1483"/>
  <c r="S833" i="1483"/>
  <c r="S834" i="1483"/>
  <c r="S835" i="1483"/>
  <c r="S836" i="1483"/>
  <c r="S837" i="1483"/>
  <c r="S838" i="1483"/>
  <c r="S839" i="1483"/>
  <c r="S840" i="1483"/>
  <c r="S841" i="1483"/>
  <c r="S842" i="1483"/>
  <c r="S843" i="1483"/>
  <c r="S844" i="1483"/>
  <c r="S845" i="1483"/>
  <c r="S846" i="1483"/>
  <c r="S847" i="1483"/>
  <c r="S848" i="1483"/>
  <c r="S849" i="1483"/>
  <c r="S850" i="1483"/>
  <c r="S851" i="1483"/>
  <c r="S852" i="1483"/>
  <c r="S853" i="1483"/>
  <c r="S854" i="1483"/>
  <c r="S855" i="1483"/>
  <c r="S856" i="1483"/>
  <c r="S857" i="1483"/>
  <c r="S858" i="1483"/>
  <c r="S859" i="1483"/>
  <c r="S860" i="1483"/>
  <c r="S861" i="1483"/>
  <c r="S862" i="1483"/>
  <c r="S863" i="1483"/>
  <c r="S864" i="1483"/>
  <c r="S865" i="1483"/>
  <c r="S866" i="1483"/>
  <c r="S867" i="1483"/>
  <c r="S868" i="1483"/>
  <c r="S869" i="1483"/>
  <c r="S870" i="1483"/>
  <c r="S871" i="1483"/>
  <c r="S872" i="1483"/>
  <c r="S873" i="1483"/>
  <c r="S874" i="1483"/>
  <c r="S875" i="1483"/>
  <c r="S876" i="1483"/>
  <c r="S877" i="1483"/>
  <c r="S878" i="1483"/>
  <c r="S879" i="1483"/>
  <c r="S880" i="1483"/>
  <c r="S881" i="1483"/>
  <c r="S882" i="1483"/>
  <c r="S883" i="1483"/>
  <c r="S884" i="1483"/>
  <c r="S885" i="1483"/>
  <c r="S886" i="1483"/>
  <c r="S887" i="1483"/>
  <c r="S888" i="1483"/>
  <c r="S889" i="1483"/>
  <c r="S890" i="1483"/>
  <c r="S891" i="1483"/>
  <c r="S892" i="1483"/>
  <c r="S893" i="1483"/>
  <c r="S894" i="1483"/>
  <c r="S895" i="1483"/>
  <c r="S896" i="1483"/>
  <c r="S897" i="1483"/>
  <c r="S898" i="1483"/>
  <c r="S899" i="1483"/>
  <c r="S900" i="1483"/>
  <c r="S901" i="1483"/>
  <c r="S902" i="1483"/>
  <c r="S903" i="1483"/>
  <c r="S904" i="1483"/>
  <c r="S905" i="1483"/>
  <c r="S906" i="1483"/>
  <c r="S907" i="1483"/>
  <c r="S908" i="1483"/>
  <c r="S909" i="1483"/>
  <c r="S910" i="1483"/>
  <c r="S911" i="1483"/>
  <c r="S912" i="1483"/>
  <c r="S913" i="1483"/>
  <c r="S914" i="1483"/>
  <c r="S915" i="1483"/>
  <c r="S916" i="1483"/>
  <c r="S917" i="1483"/>
  <c r="S918" i="1483"/>
  <c r="S919" i="1483"/>
  <c r="S920" i="1483"/>
  <c r="S921" i="1483"/>
  <c r="S922" i="1483"/>
  <c r="S923" i="1483"/>
  <c r="S924" i="1483"/>
  <c r="S925" i="1483"/>
  <c r="S926" i="1483"/>
  <c r="S927" i="1483"/>
  <c r="S928" i="1483"/>
  <c r="S929" i="1483"/>
  <c r="S930" i="1483"/>
  <c r="S931" i="1483"/>
  <c r="S932" i="1483"/>
  <c r="S933" i="1483"/>
  <c r="S934" i="1483"/>
  <c r="S935" i="1483"/>
  <c r="S936" i="1483"/>
  <c r="S937" i="1483"/>
  <c r="S938" i="1483"/>
  <c r="S939" i="1483"/>
  <c r="S940" i="1483"/>
  <c r="S941" i="1483"/>
  <c r="S942" i="1483"/>
  <c r="S943" i="1483"/>
  <c r="S944" i="1483"/>
  <c r="S945" i="1483"/>
  <c r="S946" i="1483"/>
  <c r="S947" i="1483"/>
  <c r="S948" i="1483"/>
  <c r="S949" i="1483"/>
  <c r="S950" i="1483"/>
  <c r="S951" i="1483"/>
  <c r="S952" i="1483"/>
  <c r="S953" i="1483"/>
  <c r="S954" i="1483"/>
  <c r="S955" i="1483"/>
  <c r="S956" i="1483"/>
  <c r="S957" i="1483"/>
  <c r="S958" i="1483"/>
  <c r="S959" i="1483"/>
  <c r="S960" i="1483"/>
  <c r="S961" i="1483"/>
  <c r="S962" i="1483"/>
  <c r="S963" i="1483"/>
  <c r="S964" i="1483"/>
  <c r="S965" i="1483"/>
  <c r="S966" i="1483"/>
  <c r="S967" i="1483"/>
  <c r="S968" i="1483"/>
  <c r="S969" i="1483"/>
  <c r="S970" i="1483"/>
  <c r="S971" i="1483"/>
  <c r="S972" i="1483"/>
  <c r="S973" i="1483"/>
  <c r="S974" i="1483"/>
  <c r="S975" i="1483"/>
  <c r="S976" i="1483"/>
  <c r="S977" i="1483"/>
  <c r="S978" i="1483"/>
  <c r="S979" i="1483"/>
  <c r="S980" i="1483"/>
  <c r="S981" i="1483"/>
  <c r="S982" i="1483"/>
  <c r="S983" i="1483"/>
  <c r="S984" i="1483"/>
  <c r="S985" i="1483"/>
  <c r="S986" i="1483"/>
  <c r="S987" i="1483"/>
  <c r="S988" i="1483"/>
  <c r="S989" i="1483"/>
  <c r="S990" i="1483"/>
  <c r="S991" i="1483"/>
  <c r="S992" i="1483"/>
  <c r="S993" i="1483"/>
  <c r="S994" i="1483"/>
  <c r="S995" i="1483"/>
  <c r="S996" i="1483"/>
  <c r="S997" i="1483"/>
  <c r="S998" i="1483"/>
  <c r="S999" i="1483"/>
  <c r="S1000" i="1483"/>
  <c r="S1001" i="1483"/>
  <c r="S1002" i="1483"/>
  <c r="S1003" i="1483"/>
  <c r="S1004" i="1483"/>
  <c r="S1005" i="1483"/>
  <c r="S1006" i="1483"/>
  <c r="S1007" i="1483"/>
  <c r="S1008" i="1483"/>
  <c r="S1009" i="1483"/>
  <c r="S1010" i="1483"/>
  <c r="S1011" i="1483"/>
  <c r="S1012" i="1483"/>
  <c r="S1013" i="1483"/>
  <c r="S1014" i="1483"/>
  <c r="S1015" i="1483"/>
  <c r="S1016" i="1483"/>
  <c r="S1017" i="1483"/>
  <c r="S1018" i="1483"/>
  <c r="S1019" i="1483"/>
  <c r="S1020" i="1483"/>
  <c r="S1021" i="1483"/>
  <c r="S1022" i="1483"/>
  <c r="S1023" i="1483"/>
  <c r="S1024" i="1483"/>
  <c r="S1025" i="1483"/>
  <c r="S1026" i="1483"/>
  <c r="S1027" i="1483"/>
  <c r="S1028" i="1483"/>
  <c r="S1029" i="1483"/>
  <c r="S1030" i="1483"/>
  <c r="S1031" i="1483"/>
  <c r="S1032" i="1483"/>
  <c r="S1033" i="1483"/>
  <c r="S1034" i="1483"/>
  <c r="S1035" i="1483"/>
  <c r="S1036" i="1483"/>
  <c r="S1037" i="1483"/>
  <c r="S1038" i="1483"/>
  <c r="S1039" i="1483"/>
  <c r="S1040" i="1483"/>
  <c r="S1041" i="1483"/>
  <c r="S1042" i="1483"/>
  <c r="S1043" i="1483"/>
  <c r="S1044" i="1483"/>
  <c r="S1045" i="1483"/>
  <c r="S1046" i="1483"/>
  <c r="S1047" i="1483"/>
  <c r="S1048" i="1483"/>
  <c r="S1049" i="1483"/>
  <c r="S1050" i="1483"/>
  <c r="S1051" i="1483"/>
  <c r="S1052" i="1483"/>
  <c r="S1053" i="1483"/>
  <c r="S1054" i="1483"/>
  <c r="S1055" i="1483"/>
  <c r="S1056" i="1483"/>
  <c r="S1057" i="1483"/>
  <c r="S1058" i="1483"/>
  <c r="S1059" i="1483"/>
  <c r="S1060" i="1483"/>
  <c r="S1061" i="1483"/>
  <c r="S1062" i="1483"/>
  <c r="S1063" i="1483"/>
  <c r="S1064" i="1483"/>
  <c r="S1065" i="1483"/>
  <c r="S1066" i="1483"/>
  <c r="S1067" i="1483"/>
  <c r="S1068" i="1483"/>
  <c r="S1069" i="1483"/>
  <c r="S1070" i="1483"/>
  <c r="S1071" i="1483"/>
  <c r="S1072" i="1483"/>
  <c r="S1073" i="1483"/>
  <c r="S1074" i="1483"/>
  <c r="S1075" i="1483"/>
  <c r="S1076" i="1483"/>
  <c r="S1077" i="1483"/>
  <c r="S1078" i="1483"/>
  <c r="S1079" i="1483"/>
  <c r="S1080" i="1483"/>
  <c r="S1081" i="1483"/>
  <c r="S1082" i="1483"/>
  <c r="S1083" i="1483"/>
  <c r="S1084" i="1483"/>
  <c r="S1085" i="1483"/>
  <c r="S1086" i="1483"/>
  <c r="S1087" i="1483"/>
  <c r="S1088" i="1483"/>
  <c r="S1089" i="1483"/>
  <c r="S1090" i="1483"/>
  <c r="S1091" i="1483"/>
  <c r="S1092" i="1483"/>
  <c r="S1093" i="1483"/>
  <c r="S1094" i="1483"/>
  <c r="S1095" i="1483"/>
  <c r="S1096" i="1483"/>
  <c r="S1097" i="1483"/>
  <c r="S1098" i="1483"/>
  <c r="S1099" i="1483"/>
  <c r="S1100" i="1483"/>
  <c r="S1101" i="1483"/>
  <c r="S1102" i="1483"/>
  <c r="S1103" i="1483"/>
  <c r="S1104" i="1483"/>
  <c r="S1105" i="1483"/>
  <c r="S1106" i="1483"/>
  <c r="S1107" i="1483"/>
  <c r="S1108" i="1483"/>
  <c r="S1109" i="1483"/>
  <c r="S1110" i="1483"/>
  <c r="S1111" i="1483"/>
  <c r="S1112" i="1483"/>
  <c r="S1113" i="1483"/>
  <c r="S1114" i="1483"/>
  <c r="S1115" i="1483"/>
  <c r="S1116" i="1483"/>
  <c r="S1117" i="1483"/>
  <c r="S1118" i="1483"/>
  <c r="S1119" i="1483"/>
  <c r="S1120" i="1483"/>
  <c r="S1121" i="1483"/>
  <c r="S1122" i="1483"/>
  <c r="S1123" i="1483"/>
  <c r="S1124" i="1483"/>
  <c r="S1125" i="1483"/>
  <c r="S1126" i="1483"/>
  <c r="S1127" i="1483"/>
  <c r="S1128" i="1483"/>
  <c r="S1129" i="1483"/>
  <c r="S1130" i="1483"/>
  <c r="S1131" i="1483"/>
  <c r="S1132" i="1483"/>
  <c r="S1133" i="1483"/>
  <c r="S1134" i="1483"/>
  <c r="S1135" i="1483"/>
  <c r="S1136" i="1483"/>
  <c r="S1137" i="1483"/>
  <c r="S1138" i="1483"/>
  <c r="S1139" i="1483"/>
  <c r="S1140" i="1483"/>
  <c r="S1141" i="1483"/>
  <c r="S1142" i="1483"/>
  <c r="S1143" i="1483"/>
  <c r="S1144" i="1483"/>
  <c r="S1145" i="1483"/>
  <c r="S1146" i="1483"/>
  <c r="S1147" i="1483"/>
  <c r="S1148" i="1483"/>
  <c r="S1149" i="1483"/>
  <c r="S1150" i="1483"/>
  <c r="S1151" i="1483"/>
  <c r="S1152" i="1483"/>
  <c r="S1153" i="1483"/>
  <c r="S1154" i="1483"/>
  <c r="S1155" i="1483"/>
  <c r="S1156" i="1483"/>
  <c r="S1157" i="1483"/>
  <c r="S1158" i="1483"/>
  <c r="S1159" i="1483"/>
  <c r="S1160" i="1483"/>
  <c r="S1161" i="1483"/>
  <c r="S1162" i="1483"/>
  <c r="S1163" i="1483"/>
  <c r="S1164" i="1483"/>
  <c r="S1165" i="1483"/>
  <c r="S1166" i="1483"/>
  <c r="S1167" i="1483"/>
  <c r="S1168" i="1483"/>
  <c r="S1169" i="1483"/>
  <c r="S1170" i="1483"/>
  <c r="S1171" i="1483"/>
  <c r="S1172" i="1483"/>
  <c r="S1173" i="1483"/>
  <c r="S1174" i="1483"/>
  <c r="S1175" i="1483"/>
  <c r="S1176" i="1483"/>
  <c r="S1177" i="1483"/>
  <c r="S1178" i="1483"/>
  <c r="S1179" i="1483"/>
  <c r="S1180" i="1483"/>
  <c r="S1181" i="1483"/>
  <c r="S1182" i="1483"/>
  <c r="S1183" i="1483"/>
  <c r="S1184" i="1483"/>
  <c r="S1185" i="1483"/>
  <c r="S1186" i="1483"/>
  <c r="S1187" i="1483"/>
  <c r="S1188" i="1483"/>
  <c r="S1189" i="1483"/>
  <c r="S1190" i="1483"/>
  <c r="S1191" i="1483"/>
  <c r="S1192" i="1483"/>
  <c r="S1193" i="1483"/>
  <c r="S1194" i="1483"/>
  <c r="S1195" i="1483"/>
  <c r="S1196" i="1483"/>
  <c r="S1197" i="1483"/>
  <c r="S1198" i="1483"/>
  <c r="S1199" i="1483"/>
  <c r="S1200" i="1483"/>
  <c r="S1201" i="1483"/>
  <c r="S1202" i="1483"/>
  <c r="S1203" i="1483"/>
  <c r="S1204" i="1483"/>
  <c r="S1205" i="1483"/>
  <c r="S1206" i="1483"/>
  <c r="S1207" i="1483"/>
  <c r="S1208" i="1483"/>
  <c r="S1209" i="1483"/>
  <c r="S1210" i="1483"/>
  <c r="S1211" i="1483"/>
  <c r="S1212" i="1483"/>
  <c r="S1213" i="1483"/>
  <c r="S1214" i="1483"/>
  <c r="S1215" i="1483"/>
  <c r="S1216" i="1483"/>
  <c r="S1217" i="1483"/>
  <c r="S1218" i="1483"/>
  <c r="S1219" i="1483"/>
  <c r="S1220" i="1483"/>
  <c r="S1221" i="1483"/>
  <c r="S1222" i="1483"/>
  <c r="S1223" i="1483"/>
  <c r="S1224" i="1483"/>
  <c r="S1225" i="1483"/>
  <c r="S1226" i="1483"/>
  <c r="S1227" i="1483"/>
  <c r="S1228" i="1483"/>
  <c r="S1229" i="1483"/>
  <c r="S1230" i="1483"/>
  <c r="S1231" i="1483"/>
  <c r="S1232" i="1483"/>
  <c r="S1233" i="1483"/>
  <c r="S1234" i="1483"/>
  <c r="S1235" i="1483"/>
  <c r="S1236" i="1483"/>
  <c r="S1237" i="1483"/>
  <c r="S1238" i="1483"/>
  <c r="S1239" i="1483"/>
  <c r="S1240" i="1483"/>
  <c r="S1241" i="1483"/>
  <c r="S1242" i="1483"/>
  <c r="S1243" i="1483"/>
  <c r="S1244" i="1483"/>
  <c r="S1245" i="1483"/>
  <c r="S1246" i="1483"/>
  <c r="S1247" i="1483"/>
  <c r="S1248" i="1483"/>
  <c r="S1249" i="1483"/>
  <c r="S1250" i="1483"/>
  <c r="S1251" i="1483"/>
  <c r="S1252" i="1483"/>
  <c r="S1253" i="1483"/>
  <c r="S1254" i="1483"/>
  <c r="S1255" i="1483"/>
  <c r="S1256" i="1483"/>
  <c r="S1257" i="1483"/>
  <c r="S1258" i="1483"/>
  <c r="S1259" i="1483"/>
  <c r="S1260" i="1483"/>
  <c r="S1261" i="1483"/>
  <c r="S1262" i="1483"/>
  <c r="S1263" i="1483"/>
  <c r="S1264" i="1483"/>
  <c r="S1265" i="1483"/>
  <c r="S1266" i="1483"/>
  <c r="S1267" i="1483"/>
  <c r="S1268" i="1483"/>
  <c r="S1269" i="1483"/>
  <c r="S1270" i="1483"/>
  <c r="S1271" i="1483"/>
  <c r="S1272" i="1483"/>
  <c r="S1273" i="1483"/>
  <c r="S1274" i="1483"/>
  <c r="S1275" i="1483"/>
  <c r="S1276" i="1483"/>
  <c r="S1277" i="1483"/>
  <c r="S1278" i="1483"/>
  <c r="S1279" i="1483"/>
  <c r="S1280" i="1483"/>
  <c r="S1281" i="1483"/>
  <c r="S1282" i="1483"/>
  <c r="S1283" i="1483"/>
  <c r="S1284" i="1483"/>
  <c r="S1285" i="1483"/>
  <c r="S1286" i="1483"/>
  <c r="S1287" i="1483"/>
  <c r="S1288" i="1483"/>
  <c r="S1289" i="1483"/>
  <c r="S1290" i="1483"/>
  <c r="S1291" i="1483"/>
  <c r="S1292" i="1483"/>
  <c r="S1293" i="1483"/>
  <c r="S1294" i="1483"/>
  <c r="S1295" i="1483"/>
  <c r="S1296" i="1483"/>
  <c r="S1297" i="1483"/>
  <c r="S1298" i="1483"/>
  <c r="S1299" i="1483"/>
  <c r="S1300" i="1483"/>
  <c r="S1301" i="1483"/>
  <c r="S1302" i="1483"/>
  <c r="S1303" i="1483"/>
  <c r="S1304" i="1483"/>
  <c r="S1305" i="1483"/>
  <c r="S1306" i="1483"/>
  <c r="S1307" i="1483"/>
  <c r="S1308" i="1483"/>
  <c r="S1309" i="1483"/>
  <c r="S1310" i="1483"/>
  <c r="S1311" i="1483"/>
  <c r="S1312" i="1483"/>
  <c r="S1313" i="1483"/>
  <c r="S1314" i="1483"/>
  <c r="S1315" i="1483"/>
  <c r="S1316" i="1483"/>
  <c r="S1317" i="1483"/>
  <c r="S1318" i="1483"/>
  <c r="S1319" i="1483"/>
  <c r="S1320" i="1483"/>
  <c r="S1321" i="1483"/>
  <c r="S1322" i="1483"/>
  <c r="S1323" i="1483"/>
  <c r="S1324" i="1483"/>
  <c r="S1325" i="1483"/>
  <c r="S1326" i="1483"/>
  <c r="S1327" i="1483"/>
  <c r="S1328" i="1483"/>
  <c r="S1329" i="1483"/>
  <c r="S1330" i="1483"/>
  <c r="S1331" i="1483"/>
  <c r="S1332" i="1483"/>
  <c r="S1333" i="1483"/>
  <c r="S1334" i="1483"/>
  <c r="S1335" i="1483"/>
  <c r="S1336" i="1483"/>
  <c r="S1337" i="1483"/>
  <c r="S1338" i="1483"/>
  <c r="S1339" i="1483"/>
  <c r="S1340" i="1483"/>
  <c r="S1341" i="1483"/>
  <c r="S1342" i="1483"/>
  <c r="S1343" i="1483"/>
  <c r="S1344" i="1483"/>
  <c r="S1345" i="1483"/>
  <c r="S1346" i="1483"/>
  <c r="S1347" i="1483"/>
  <c r="S1348" i="1483"/>
  <c r="S1349" i="1483"/>
  <c r="S1350" i="1483"/>
  <c r="S1351" i="1483"/>
  <c r="S1352" i="1483"/>
  <c r="S1353" i="1483"/>
  <c r="S1354" i="1483"/>
  <c r="S1355" i="1483"/>
  <c r="S1356" i="1483"/>
  <c r="S1357" i="1483"/>
  <c r="S1358" i="1483"/>
  <c r="S1359" i="1483"/>
  <c r="S1360" i="1483"/>
  <c r="S1361" i="1483"/>
  <c r="S1362" i="1483"/>
  <c r="S1363" i="1483"/>
  <c r="S1364" i="1483"/>
  <c r="S1365" i="1483"/>
  <c r="S1366" i="1483"/>
  <c r="S1367" i="1483"/>
  <c r="S1368" i="1483"/>
  <c r="S1369" i="1483"/>
  <c r="S1370" i="1483"/>
  <c r="S1371" i="1483"/>
  <c r="S1372" i="1483"/>
  <c r="S1373" i="1483"/>
  <c r="S1374" i="1483"/>
  <c r="S1375" i="1483"/>
  <c r="S1376" i="1483"/>
  <c r="S1377" i="1483"/>
  <c r="S1378" i="1483"/>
  <c r="S1379" i="1483"/>
  <c r="S1380" i="1483"/>
  <c r="S1381" i="1483"/>
  <c r="S1382" i="1483"/>
  <c r="S1383" i="1483"/>
  <c r="S1384" i="1483"/>
  <c r="S1385" i="1483"/>
  <c r="S1386" i="1483"/>
  <c r="S1387" i="1483"/>
  <c r="S1388" i="1483"/>
  <c r="S1389" i="1483"/>
  <c r="S1390" i="1483"/>
  <c r="S1391" i="1483"/>
  <c r="S1392" i="1483"/>
  <c r="S1393" i="1483"/>
  <c r="S1394" i="1483"/>
  <c r="S1395" i="1483"/>
  <c r="S1396" i="1483"/>
  <c r="S1397" i="1483"/>
  <c r="S1398" i="1483"/>
  <c r="S1399" i="1483"/>
  <c r="S1400" i="1483"/>
  <c r="S1401" i="1483"/>
  <c r="S1402" i="1483"/>
  <c r="S1403" i="1483"/>
  <c r="S1404" i="1483"/>
  <c r="S1405" i="1483"/>
  <c r="S1406" i="1483"/>
  <c r="S1407" i="1483"/>
  <c r="S1408" i="1483"/>
  <c r="S1409" i="1483"/>
  <c r="S1410" i="1483"/>
  <c r="S1411" i="1483"/>
  <c r="S1412" i="1483"/>
  <c r="S1413" i="1483"/>
  <c r="S1414" i="1483"/>
  <c r="S1415" i="1483"/>
  <c r="S1416" i="1483"/>
  <c r="S1417" i="1483"/>
  <c r="S1418" i="1483"/>
  <c r="S1419" i="1483"/>
  <c r="S1420" i="1483"/>
  <c r="S1421" i="1483"/>
  <c r="S1422" i="1483"/>
  <c r="S1423" i="1483"/>
  <c r="S1424" i="1483"/>
  <c r="S1425" i="1483"/>
  <c r="S1426" i="1483"/>
  <c r="S1427" i="1483"/>
  <c r="S1428" i="1483"/>
  <c r="S1429" i="1483"/>
  <c r="S1430" i="1483"/>
  <c r="S1431" i="1483"/>
  <c r="S1432" i="1483"/>
  <c r="S1433" i="1483"/>
  <c r="S1434" i="1483"/>
  <c r="S1435" i="1483"/>
  <c r="S1436" i="1483"/>
  <c r="S1437" i="1483"/>
  <c r="S1438" i="1483"/>
  <c r="S1439" i="1483"/>
  <c r="S1440" i="1483"/>
  <c r="S1441" i="1483"/>
  <c r="S1442" i="1483"/>
  <c r="S1443" i="1483"/>
  <c r="S1444" i="1483"/>
  <c r="S1445" i="1483"/>
  <c r="S1446" i="1483"/>
  <c r="S1447" i="1483"/>
  <c r="S1448" i="1483"/>
  <c r="S1449" i="1483"/>
  <c r="S1450" i="1483"/>
  <c r="S1451" i="1483"/>
  <c r="S1452" i="1483"/>
  <c r="S1453" i="1483"/>
  <c r="S1454" i="1483"/>
  <c r="S1455" i="1483"/>
  <c r="S1456" i="1483"/>
  <c r="S1457" i="1483"/>
  <c r="S1458" i="1483"/>
  <c r="S1459" i="1483"/>
  <c r="S1460" i="1483"/>
  <c r="S1461" i="1483"/>
  <c r="S1462" i="1483"/>
  <c r="S1463" i="1483"/>
  <c r="S1464" i="1483"/>
  <c r="S1465" i="1483"/>
  <c r="S1466" i="1483"/>
  <c r="S1467" i="1483"/>
  <c r="S1468" i="1483"/>
  <c r="S1469" i="1483"/>
  <c r="S1470" i="1483"/>
  <c r="S1471" i="1483"/>
  <c r="S1472" i="1483"/>
  <c r="S1473" i="1483"/>
  <c r="S1474" i="1483"/>
  <c r="S1475" i="1483"/>
  <c r="S1476" i="1483"/>
  <c r="S1477" i="1483"/>
  <c r="S1478" i="1483"/>
  <c r="S1479" i="1483"/>
  <c r="S1480" i="1483"/>
  <c r="S1481" i="1483"/>
  <c r="S1482" i="1483"/>
  <c r="S1483" i="1483"/>
  <c r="S1484" i="1483"/>
  <c r="S1485" i="1483"/>
  <c r="S1486" i="1483"/>
  <c r="S1487" i="1483"/>
  <c r="S1488" i="1483"/>
  <c r="S1489" i="1483"/>
  <c r="S1490" i="1483"/>
  <c r="S1491" i="1483"/>
  <c r="S1492" i="1483"/>
  <c r="S1493" i="1483"/>
  <c r="S1494" i="1483"/>
  <c r="S1495" i="1483"/>
  <c r="S1496" i="1483"/>
  <c r="S1497" i="1483"/>
  <c r="S1498" i="1483"/>
  <c r="S1499" i="1483"/>
  <c r="S1500" i="1483"/>
  <c r="S1501" i="1483"/>
  <c r="S1502" i="1483"/>
  <c r="S1503" i="1483"/>
  <c r="S1504" i="1483"/>
  <c r="S1505" i="1483"/>
  <c r="S1506" i="1483"/>
  <c r="S1507" i="1483"/>
  <c r="S1508" i="1483"/>
  <c r="S1509" i="1483"/>
  <c r="S1510" i="1483"/>
  <c r="S1511" i="1483"/>
  <c r="S1512" i="1483"/>
  <c r="S1513" i="1483"/>
  <c r="S1514" i="1483"/>
  <c r="S1515" i="1483"/>
  <c r="S1516" i="1483"/>
  <c r="S1517" i="1483"/>
  <c r="S1518" i="1483"/>
  <c r="S1519" i="1483"/>
  <c r="S1520" i="1483"/>
  <c r="S1521" i="1483"/>
  <c r="S1522" i="1483"/>
  <c r="S1523" i="1483"/>
  <c r="S1524" i="1483"/>
  <c r="S1525" i="1483"/>
  <c r="S1526" i="1483"/>
  <c r="S1527" i="1483"/>
  <c r="S1528" i="1483"/>
  <c r="S1529" i="1483"/>
  <c r="S1530" i="1483"/>
  <c r="S1531" i="1483"/>
  <c r="S1532" i="1483"/>
  <c r="S1533" i="1483"/>
  <c r="S1534" i="1483"/>
  <c r="S1535" i="1483"/>
  <c r="S1536" i="1483"/>
  <c r="S1537" i="1483"/>
  <c r="S1538" i="1483"/>
  <c r="S1539" i="1483"/>
  <c r="S1540" i="1483"/>
  <c r="S1541" i="1483"/>
  <c r="S1542" i="1483"/>
  <c r="S1543" i="1483"/>
  <c r="S1544" i="1483"/>
  <c r="S1545" i="1483"/>
  <c r="S1546" i="1483"/>
  <c r="S1547" i="1483"/>
  <c r="S1548" i="1483"/>
  <c r="S1549" i="1483"/>
  <c r="S1550" i="1483"/>
  <c r="S1551" i="1483"/>
  <c r="S1552" i="1483"/>
  <c r="S1553" i="1483"/>
  <c r="S1554" i="1483"/>
  <c r="S1555" i="1483"/>
  <c r="S1556" i="1483"/>
  <c r="S1557" i="1483"/>
  <c r="S1558" i="1483"/>
  <c r="S1559" i="1483"/>
  <c r="S1560" i="1483"/>
  <c r="S1561" i="1483"/>
  <c r="S1562" i="1483"/>
  <c r="S1563" i="1483"/>
  <c r="S1564" i="1483"/>
  <c r="S1565" i="1483"/>
  <c r="S1566" i="1483"/>
  <c r="S1567" i="1483"/>
  <c r="S1568" i="1483"/>
  <c r="S1569" i="1483"/>
  <c r="S1570" i="1483"/>
  <c r="S1571" i="1483"/>
  <c r="S1572" i="1483"/>
  <c r="S1573" i="1483"/>
  <c r="S1574" i="1483"/>
  <c r="S1575" i="1483"/>
  <c r="S1576" i="1483"/>
  <c r="S1577" i="1483"/>
  <c r="S1578" i="1483"/>
  <c r="S1579" i="1483"/>
  <c r="S1580" i="1483"/>
  <c r="S1581" i="1483"/>
  <c r="S1582" i="1483"/>
  <c r="S1583" i="1483"/>
  <c r="S1584" i="1483"/>
  <c r="S1585" i="1483"/>
  <c r="S1586" i="1483"/>
  <c r="S1587" i="1483"/>
  <c r="S1588" i="1483"/>
  <c r="S1589" i="1483"/>
  <c r="S1590" i="1483"/>
  <c r="S1591" i="1483"/>
  <c r="S1592" i="1483"/>
  <c r="S1593" i="1483"/>
  <c r="S1594" i="1483"/>
  <c r="S1595" i="1483"/>
  <c r="S1596" i="1483"/>
  <c r="S1597" i="1483"/>
  <c r="S1598" i="1483"/>
  <c r="S1599" i="1483"/>
  <c r="S1600" i="1483"/>
  <c r="S1601" i="1483"/>
  <c r="S1602" i="1483"/>
  <c r="S1603" i="1483"/>
  <c r="S1604" i="1483"/>
  <c r="S1605" i="1483"/>
  <c r="S1606" i="1483"/>
  <c r="S1607" i="1483"/>
  <c r="S1608" i="1483"/>
  <c r="S1609" i="1483"/>
  <c r="S1610" i="1483"/>
  <c r="S1611" i="1483"/>
  <c r="S1612" i="1483"/>
  <c r="S1613" i="1483"/>
  <c r="S1614" i="1483"/>
  <c r="S1615" i="1483"/>
  <c r="S1616" i="1483"/>
  <c r="S1617" i="1483"/>
  <c r="S1618" i="1483"/>
  <c r="S1619" i="1483"/>
  <c r="S1620" i="1483"/>
  <c r="S1621" i="1483"/>
  <c r="S1622" i="1483"/>
  <c r="S1623" i="1483"/>
  <c r="S1624" i="1483"/>
  <c r="S1625" i="1483"/>
  <c r="S1626" i="1483"/>
  <c r="S1627" i="1483"/>
  <c r="S1628" i="1483"/>
  <c r="S1629" i="1483"/>
  <c r="S1630" i="1483"/>
  <c r="S1631" i="1483"/>
  <c r="S1632" i="1483"/>
  <c r="S1633" i="1483"/>
  <c r="S1634" i="1483"/>
  <c r="S1635" i="1483"/>
  <c r="S1636" i="1483"/>
  <c r="S1637" i="1483"/>
  <c r="S1638" i="1483"/>
  <c r="S1639" i="1483"/>
  <c r="S1640" i="1483"/>
  <c r="S1641" i="1483"/>
  <c r="S1642" i="1483"/>
  <c r="S1643" i="1483"/>
  <c r="S1644" i="1483"/>
  <c r="S1645" i="1483"/>
  <c r="S1646" i="1483"/>
  <c r="S1647" i="1483"/>
  <c r="S1648" i="1483"/>
  <c r="S1649" i="1483"/>
  <c r="S1650" i="1483"/>
  <c r="S1651" i="1483"/>
  <c r="S1652" i="1483"/>
  <c r="S1653" i="1483"/>
  <c r="S1654" i="1483"/>
  <c r="S1655" i="1483"/>
  <c r="S1656" i="1483"/>
  <c r="S1657" i="1483"/>
  <c r="S1658" i="1483"/>
  <c r="S1659" i="1483"/>
  <c r="S1660" i="1483"/>
  <c r="S1661" i="1483"/>
  <c r="S1662" i="1483"/>
  <c r="S1663" i="1483"/>
  <c r="S1664" i="1483"/>
  <c r="S1665" i="1483"/>
  <c r="S1666" i="1483"/>
  <c r="S1667" i="1483"/>
  <c r="S1668" i="1483"/>
  <c r="S1669" i="1483"/>
  <c r="S1670" i="1483"/>
  <c r="S1671" i="1483"/>
  <c r="S1672" i="1483"/>
  <c r="S1673" i="1483"/>
  <c r="S1674" i="1483"/>
  <c r="S1675" i="1483"/>
  <c r="S1676" i="1483"/>
  <c r="S1677" i="1483"/>
  <c r="S1678" i="1483"/>
  <c r="S1679" i="1483"/>
  <c r="S1680" i="1483"/>
  <c r="S1681" i="1483"/>
  <c r="S1682" i="1483"/>
  <c r="S1683" i="1483"/>
  <c r="S1684" i="1483"/>
  <c r="S1685" i="1483"/>
  <c r="S1686" i="1483"/>
  <c r="S1687" i="1483"/>
  <c r="S1688" i="1483"/>
  <c r="S1689" i="1483"/>
  <c r="S1690" i="1483"/>
  <c r="S1691" i="1483"/>
  <c r="S1692" i="1483"/>
  <c r="S1693" i="1483"/>
  <c r="S1694" i="1483"/>
  <c r="S1695" i="1483"/>
  <c r="S1696" i="1483"/>
  <c r="S1697" i="1483"/>
  <c r="S1698" i="1483"/>
  <c r="S1699" i="1483"/>
  <c r="S1700" i="1483"/>
  <c r="S1701" i="1483"/>
  <c r="S1702" i="1483"/>
  <c r="S1703" i="1483"/>
  <c r="S1704" i="1483"/>
  <c r="S1705" i="1483"/>
  <c r="S1706" i="1483"/>
  <c r="S1707" i="1483"/>
  <c r="S1708" i="1483"/>
  <c r="S1709" i="1483"/>
  <c r="S1710" i="1483"/>
  <c r="S1711" i="1483"/>
  <c r="S1712" i="1483"/>
  <c r="S1713" i="1483"/>
  <c r="S1714" i="1483"/>
  <c r="S1715" i="1483"/>
  <c r="S1716" i="1483"/>
  <c r="S1717" i="1483"/>
  <c r="S1718" i="1483"/>
  <c r="S1719" i="1483"/>
  <c r="S1720" i="1483"/>
  <c r="S1721" i="1483"/>
  <c r="S1722" i="1483"/>
  <c r="S1723" i="1483"/>
  <c r="S1724" i="1483"/>
  <c r="S1725" i="1483"/>
  <c r="S1726" i="1483"/>
  <c r="S1727" i="1483"/>
  <c r="S1728" i="1483"/>
  <c r="S1729" i="1483"/>
  <c r="S1730" i="1483"/>
  <c r="S1731" i="1483"/>
  <c r="S1732" i="1483"/>
  <c r="S1733" i="1483"/>
  <c r="S1734" i="1483"/>
  <c r="S1735" i="1483"/>
  <c r="S1736" i="1483"/>
  <c r="S1737" i="1483"/>
  <c r="S1738" i="1483"/>
  <c r="S1739" i="1483"/>
  <c r="S1740" i="1483"/>
  <c r="S1741" i="1483"/>
  <c r="S1742" i="1483"/>
  <c r="S1743" i="1483"/>
  <c r="S1744" i="1483"/>
  <c r="S1745" i="1483"/>
  <c r="S1746" i="1483"/>
  <c r="S1747" i="1483"/>
  <c r="S1748" i="1483"/>
  <c r="S1749" i="1483"/>
  <c r="S1750" i="1483"/>
  <c r="S1751" i="1483"/>
  <c r="S1752" i="1483"/>
  <c r="S1753" i="1483"/>
  <c r="S1754" i="1483"/>
  <c r="S1755" i="1483"/>
  <c r="S1756" i="1483"/>
  <c r="S1757" i="1483"/>
  <c r="S1758" i="1483"/>
  <c r="S1759" i="1483"/>
  <c r="S1760" i="1483"/>
  <c r="S1761" i="1483"/>
  <c r="S1762" i="1483"/>
  <c r="S1763" i="1483"/>
  <c r="S1764" i="1483"/>
  <c r="S1765" i="1483"/>
  <c r="S1766" i="1483"/>
  <c r="S1767" i="1483"/>
  <c r="S1768" i="1483"/>
  <c r="S1769" i="1483"/>
  <c r="S1770" i="1483"/>
  <c r="S1771" i="1483"/>
  <c r="S1772" i="1483"/>
  <c r="S1773" i="1483"/>
  <c r="S1774" i="1483"/>
  <c r="S1775" i="1483"/>
  <c r="S1776" i="1483"/>
  <c r="S1777" i="1483"/>
  <c r="S1778" i="1483"/>
  <c r="S1779" i="1483"/>
  <c r="S1780" i="1483"/>
  <c r="S1781" i="1483"/>
  <c r="S1782" i="1483"/>
  <c r="S1783" i="1483"/>
  <c r="S1784" i="1483"/>
  <c r="S1785" i="1483"/>
  <c r="S1786" i="1483"/>
  <c r="S1787" i="1483"/>
  <c r="S1788" i="1483"/>
  <c r="S1789" i="1483"/>
  <c r="S1790" i="1483"/>
  <c r="S1791" i="1483"/>
  <c r="S1792" i="1483"/>
  <c r="S1793" i="1483"/>
  <c r="S1794" i="1483"/>
  <c r="S1795" i="1483"/>
  <c r="S1796" i="1483"/>
  <c r="S1797" i="1483"/>
  <c r="S1798" i="1483"/>
  <c r="S1799" i="1483"/>
  <c r="S1800" i="1483"/>
  <c r="S1801" i="1483"/>
  <c r="S1802" i="1483"/>
  <c r="S1803" i="1483"/>
  <c r="S1804" i="1483"/>
  <c r="S1805" i="1483"/>
  <c r="S1806" i="1483"/>
  <c r="S1807" i="1483"/>
  <c r="S1808" i="1483"/>
  <c r="S1809" i="1483"/>
  <c r="S1810" i="1483"/>
  <c r="S1811" i="1483"/>
  <c r="S1812" i="1483"/>
  <c r="S1813" i="1483"/>
  <c r="S1814" i="1483"/>
  <c r="S1815" i="1483"/>
  <c r="S1816" i="1483"/>
  <c r="S1817" i="1483"/>
  <c r="S1818" i="1483"/>
  <c r="S1819" i="1483"/>
  <c r="S1820" i="1483"/>
  <c r="S1821" i="1483"/>
  <c r="S1822" i="1483"/>
  <c r="S1823" i="1483"/>
  <c r="S1824" i="1483"/>
  <c r="S1825" i="1483"/>
  <c r="S1826" i="1483"/>
  <c r="S1827" i="1483"/>
  <c r="S1828" i="1483"/>
  <c r="S1829" i="1483"/>
  <c r="S1830" i="1483"/>
  <c r="S1831" i="1483"/>
  <c r="S1832" i="1483"/>
  <c r="S1833" i="1483"/>
  <c r="S1834" i="1483"/>
  <c r="S1835" i="1483"/>
  <c r="S1836" i="1483"/>
  <c r="S1837" i="1483"/>
  <c r="S1838" i="1483"/>
  <c r="S1839" i="1483"/>
  <c r="S1840" i="1483"/>
  <c r="S1841" i="1483"/>
  <c r="S1842" i="1483"/>
  <c r="S1843" i="1483"/>
  <c r="S1844" i="1483"/>
  <c r="S1845" i="1483"/>
  <c r="S1846" i="1483"/>
  <c r="S1847" i="1483"/>
  <c r="S1848" i="1483"/>
  <c r="S1849" i="1483"/>
  <c r="S1850" i="1483"/>
  <c r="S1851" i="1483"/>
  <c r="S1852" i="1483"/>
  <c r="S1853" i="1483"/>
  <c r="S1854" i="1483"/>
  <c r="S1855" i="1483"/>
  <c r="S1856" i="1483"/>
  <c r="S1857" i="1483"/>
  <c r="S1858" i="1483"/>
  <c r="S1859" i="1483"/>
  <c r="S1860" i="1483"/>
  <c r="S1861" i="1483"/>
  <c r="S1862" i="1483"/>
  <c r="S1863" i="1483"/>
  <c r="S1864" i="1483"/>
  <c r="S1865" i="1483"/>
  <c r="S1866" i="1483"/>
  <c r="S1867" i="1483"/>
  <c r="S1868" i="1483"/>
  <c r="S1869" i="1483"/>
  <c r="S1870" i="1483"/>
  <c r="S1871" i="1483"/>
  <c r="S1872" i="1483"/>
  <c r="S1873" i="1483"/>
  <c r="S1874" i="1483"/>
  <c r="S1875" i="1483"/>
  <c r="S1876" i="1483"/>
  <c r="S1877" i="1483"/>
  <c r="S1878" i="1483"/>
  <c r="S1879" i="1483"/>
  <c r="S1880" i="1483"/>
  <c r="S1881" i="1483"/>
  <c r="S1882" i="1483"/>
  <c r="S1883" i="1483"/>
  <c r="S1884" i="1483"/>
  <c r="S1885" i="1483"/>
  <c r="S1886" i="1483"/>
  <c r="S1887" i="1483"/>
  <c r="S1888" i="1483"/>
  <c r="S1889" i="1483"/>
  <c r="S1890" i="1483"/>
  <c r="S1891" i="1483"/>
  <c r="S1892" i="1483"/>
  <c r="S1893" i="1483"/>
  <c r="S1894" i="1483"/>
  <c r="S1895" i="1483"/>
  <c r="S1896" i="1483"/>
  <c r="S1897" i="1483"/>
  <c r="S1898" i="1483"/>
  <c r="S1899" i="1483"/>
  <c r="S1900" i="1483"/>
  <c r="S1901" i="1483"/>
  <c r="S1902" i="1483"/>
  <c r="S1903" i="1483"/>
  <c r="W2" i="1483"/>
  <c r="W3" i="1483"/>
  <c r="W4" i="1483"/>
  <c r="W5" i="1483"/>
  <c r="W6" i="1483"/>
  <c r="W7" i="1483"/>
  <c r="W8" i="1483"/>
  <c r="W9" i="1483"/>
  <c r="W10" i="1483"/>
  <c r="W11" i="1483"/>
  <c r="W12" i="1483"/>
  <c r="W13" i="1483"/>
  <c r="W14" i="1483"/>
  <c r="W15" i="1483"/>
  <c r="W16" i="1483"/>
  <c r="W17" i="1483"/>
  <c r="W18" i="1483"/>
  <c r="W19" i="1483"/>
  <c r="W20" i="1483"/>
  <c r="W21" i="1483"/>
  <c r="W22" i="1483"/>
  <c r="W23" i="1483"/>
  <c r="W24" i="1483"/>
  <c r="W25" i="1483"/>
  <c r="W26" i="1483"/>
  <c r="W27" i="1483"/>
  <c r="W28" i="1483"/>
  <c r="W29" i="1483"/>
  <c r="W30" i="1483"/>
  <c r="W31" i="1483"/>
  <c r="W32" i="1483"/>
  <c r="W33" i="1483"/>
  <c r="W34" i="1483"/>
  <c r="W35" i="1483"/>
  <c r="W36" i="1483"/>
  <c r="W37" i="1483"/>
  <c r="W38" i="1483"/>
  <c r="W39" i="1483"/>
  <c r="W40" i="1483"/>
  <c r="W41" i="1483"/>
  <c r="W42" i="1483"/>
  <c r="W43" i="1483"/>
  <c r="W44" i="1483"/>
  <c r="W45" i="1483"/>
  <c r="W46" i="1483"/>
  <c r="W47" i="1483"/>
  <c r="W48" i="1483"/>
  <c r="W49" i="1483"/>
  <c r="W50" i="1483"/>
  <c r="W51" i="1483"/>
  <c r="W52" i="1483"/>
  <c r="W53" i="1483"/>
  <c r="W54" i="1483"/>
  <c r="W55" i="1483"/>
  <c r="W56" i="1483"/>
  <c r="W57" i="1483"/>
  <c r="W58" i="1483"/>
  <c r="W59" i="1483"/>
  <c r="W60" i="1483"/>
  <c r="W61" i="1483"/>
  <c r="W62" i="1483"/>
  <c r="W63" i="1483"/>
  <c r="W64" i="1483"/>
  <c r="W65" i="1483"/>
  <c r="W66" i="1483"/>
  <c r="W67" i="1483"/>
  <c r="W68" i="1483"/>
  <c r="W69" i="1483"/>
  <c r="W70" i="1483"/>
  <c r="W71" i="1483"/>
  <c r="W72" i="1483"/>
  <c r="W73" i="1483"/>
  <c r="W74" i="1483"/>
  <c r="W75" i="1483"/>
  <c r="W76" i="1483"/>
  <c r="W77" i="1483"/>
  <c r="W78" i="1483"/>
  <c r="W79" i="1483"/>
  <c r="W80" i="1483"/>
  <c r="W81" i="1483"/>
  <c r="W82" i="1483"/>
  <c r="W83" i="1483"/>
  <c r="W84" i="1483"/>
  <c r="W85" i="1483"/>
  <c r="W86" i="1483"/>
  <c r="W87" i="1483"/>
  <c r="W88" i="1483"/>
  <c r="W89" i="1483"/>
  <c r="W90" i="1483"/>
  <c r="W91" i="1483"/>
  <c r="W92" i="1483"/>
  <c r="W93" i="1483"/>
  <c r="W94" i="1483"/>
  <c r="W95" i="1483"/>
  <c r="W96" i="1483"/>
  <c r="W97" i="1483"/>
  <c r="W98" i="1483"/>
  <c r="W99" i="1483"/>
  <c r="W100" i="1483"/>
  <c r="W101" i="1483"/>
  <c r="W102" i="1483"/>
  <c r="W103" i="1483"/>
  <c r="W104" i="1483"/>
  <c r="W105" i="1483"/>
  <c r="W106" i="1483"/>
  <c r="W107" i="1483"/>
  <c r="W108" i="1483"/>
  <c r="W109" i="1483"/>
  <c r="W110" i="1483"/>
  <c r="W111" i="1483"/>
  <c r="W112" i="1483"/>
  <c r="W113" i="1483"/>
  <c r="W114" i="1483"/>
  <c r="W115" i="1483"/>
  <c r="W116" i="1483"/>
  <c r="W117" i="1483"/>
  <c r="W118" i="1483"/>
  <c r="W119" i="1483"/>
  <c r="W120" i="1483"/>
  <c r="W121" i="1483"/>
  <c r="W122" i="1483"/>
  <c r="W123" i="1483"/>
  <c r="W124" i="1483"/>
  <c r="W125" i="1483"/>
  <c r="W126" i="1483"/>
  <c r="W127" i="1483"/>
  <c r="W128" i="1483"/>
  <c r="W129" i="1483"/>
  <c r="W130" i="1483"/>
  <c r="W131" i="1483"/>
  <c r="W132" i="1483"/>
  <c r="W133" i="1483"/>
  <c r="W134" i="1483"/>
  <c r="W135" i="1483"/>
  <c r="W136" i="1483"/>
  <c r="W137" i="1483"/>
  <c r="W138" i="1483"/>
  <c r="W139" i="1483"/>
  <c r="W140" i="1483"/>
  <c r="W141" i="1483"/>
  <c r="W142" i="1483"/>
  <c r="W143" i="1483"/>
  <c r="W144" i="1483"/>
  <c r="W145" i="1483"/>
  <c r="W146" i="1483"/>
  <c r="W147" i="1483"/>
  <c r="W148" i="1483"/>
  <c r="W149" i="1483"/>
  <c r="W150" i="1483"/>
  <c r="W151" i="1483"/>
  <c r="W152" i="1483"/>
  <c r="W153" i="1483"/>
  <c r="W154" i="1483"/>
  <c r="W155" i="1483"/>
  <c r="W156" i="1483"/>
  <c r="W157" i="1483"/>
  <c r="W158" i="1483"/>
  <c r="W159" i="1483"/>
  <c r="W160" i="1483"/>
  <c r="W161" i="1483"/>
  <c r="W162" i="1483"/>
  <c r="W163" i="1483"/>
  <c r="W164" i="1483"/>
  <c r="W165" i="1483"/>
  <c r="W166" i="1483"/>
  <c r="W167" i="1483"/>
  <c r="W168" i="1483"/>
  <c r="W169" i="1483"/>
  <c r="W170" i="1483"/>
  <c r="W171" i="1483"/>
  <c r="W172" i="1483"/>
  <c r="W173" i="1483"/>
  <c r="W174" i="1483"/>
  <c r="W175" i="1483"/>
  <c r="W176" i="1483"/>
  <c r="W177" i="1483"/>
  <c r="W178" i="1483"/>
  <c r="W179" i="1483"/>
  <c r="W180" i="1483"/>
  <c r="W181" i="1483"/>
  <c r="W182" i="1483"/>
  <c r="W183" i="1483"/>
  <c r="W184" i="1483"/>
  <c r="W185" i="1483"/>
  <c r="W186" i="1483"/>
  <c r="W187" i="1483"/>
  <c r="W188" i="1483"/>
  <c r="W189" i="1483"/>
  <c r="W190" i="1483"/>
  <c r="W191" i="1483"/>
  <c r="W192" i="1483"/>
  <c r="W193" i="1483"/>
  <c r="W194" i="1483"/>
  <c r="W195" i="1483"/>
  <c r="W196" i="1483"/>
  <c r="W197" i="1483"/>
  <c r="W198" i="1483"/>
  <c r="W199" i="1483"/>
  <c r="W200" i="1483"/>
  <c r="W201" i="1483"/>
  <c r="W202" i="1483"/>
  <c r="W203" i="1483"/>
  <c r="W204" i="1483"/>
  <c r="W205" i="1483"/>
  <c r="W206" i="1483"/>
  <c r="W207" i="1483"/>
  <c r="W208" i="1483"/>
  <c r="W209" i="1483"/>
  <c r="W210" i="1483"/>
  <c r="W211" i="1483"/>
  <c r="W212" i="1483"/>
  <c r="W213" i="1483"/>
  <c r="W214" i="1483"/>
  <c r="W215" i="1483"/>
  <c r="W216" i="1483"/>
  <c r="W217" i="1483"/>
  <c r="W218" i="1483"/>
  <c r="W219" i="1483"/>
  <c r="W220" i="1483"/>
  <c r="W221" i="1483"/>
  <c r="W222" i="1483"/>
  <c r="W223" i="1483"/>
  <c r="W224" i="1483"/>
  <c r="W225" i="1483"/>
  <c r="W226" i="1483"/>
  <c r="W227" i="1483"/>
  <c r="W228" i="1483"/>
  <c r="W229" i="1483"/>
  <c r="W230" i="1483"/>
  <c r="W231" i="1483"/>
  <c r="W232" i="1483"/>
  <c r="W233" i="1483"/>
  <c r="W234" i="1483"/>
  <c r="W235" i="1483"/>
  <c r="W236" i="1483"/>
  <c r="W237" i="1483"/>
  <c r="W238" i="1483"/>
  <c r="W239" i="1483"/>
  <c r="W240" i="1483"/>
  <c r="W241" i="1483"/>
  <c r="W242" i="1483"/>
  <c r="W243" i="1483"/>
  <c r="W244" i="1483"/>
  <c r="W245" i="1483"/>
  <c r="W246" i="1483"/>
  <c r="W247" i="1483"/>
  <c r="W248" i="1483"/>
  <c r="W249" i="1483"/>
  <c r="W250" i="1483"/>
  <c r="W251" i="1483"/>
  <c r="W252" i="1483"/>
  <c r="W253" i="1483"/>
  <c r="W254" i="1483"/>
  <c r="W255" i="1483"/>
  <c r="W256" i="1483"/>
  <c r="W257" i="1483"/>
  <c r="W258" i="1483"/>
  <c r="W259" i="1483"/>
  <c r="W260" i="1483"/>
  <c r="W261" i="1483"/>
  <c r="W262" i="1483"/>
  <c r="W263" i="1483"/>
  <c r="W264" i="1483"/>
  <c r="W265" i="1483"/>
  <c r="W266" i="1483"/>
  <c r="W267" i="1483"/>
  <c r="W268" i="1483"/>
  <c r="W269" i="1483"/>
  <c r="W270" i="1483"/>
  <c r="W271" i="1483"/>
  <c r="W272" i="1483"/>
  <c r="W273" i="1483"/>
  <c r="W274" i="1483"/>
  <c r="W275" i="1483"/>
  <c r="W276" i="1483"/>
  <c r="W277" i="1483"/>
  <c r="W278" i="1483"/>
  <c r="W279" i="1483"/>
  <c r="W280" i="1483"/>
  <c r="W281" i="1483"/>
  <c r="W282" i="1483"/>
  <c r="W283" i="1483"/>
  <c r="W284" i="1483"/>
  <c r="W285" i="1483"/>
  <c r="W286" i="1483"/>
  <c r="W287" i="1483"/>
  <c r="W288" i="1483"/>
  <c r="W289" i="1483"/>
  <c r="W290" i="1483"/>
  <c r="W291" i="1483"/>
  <c r="W292" i="1483"/>
  <c r="W293" i="1483"/>
  <c r="W294" i="1483"/>
  <c r="W295" i="1483"/>
  <c r="W296" i="1483"/>
  <c r="W297" i="1483"/>
  <c r="W298" i="1483"/>
  <c r="W299" i="1483"/>
  <c r="W300" i="1483"/>
  <c r="W301" i="1483"/>
  <c r="W302" i="1483"/>
  <c r="W303" i="1483"/>
  <c r="W304" i="1483"/>
  <c r="W305" i="1483"/>
  <c r="W306" i="1483"/>
  <c r="W307" i="1483"/>
  <c r="W308" i="1483"/>
  <c r="W309" i="1483"/>
  <c r="W310" i="1483"/>
  <c r="W311" i="1483"/>
  <c r="W312" i="1483"/>
  <c r="W313" i="1483"/>
  <c r="W314" i="1483"/>
  <c r="W315" i="1483"/>
  <c r="W316" i="1483"/>
  <c r="W317" i="1483"/>
  <c r="W318" i="1483"/>
  <c r="W319" i="1483"/>
  <c r="W320" i="1483"/>
  <c r="W321" i="1483"/>
  <c r="W322" i="1483"/>
  <c r="W323" i="1483"/>
  <c r="W324" i="1483"/>
  <c r="W325" i="1483"/>
  <c r="W326" i="1483"/>
  <c r="W327" i="1483"/>
  <c r="W328" i="1483"/>
  <c r="W329" i="1483"/>
  <c r="W330" i="1483"/>
  <c r="W331" i="1483"/>
  <c r="W332" i="1483"/>
  <c r="W333" i="1483"/>
  <c r="W334" i="1483"/>
  <c r="W335" i="1483"/>
  <c r="W336" i="1483"/>
  <c r="W337" i="1483"/>
  <c r="W338" i="1483"/>
  <c r="W339" i="1483"/>
  <c r="W340" i="1483"/>
  <c r="W341" i="1483"/>
  <c r="W342" i="1483"/>
  <c r="W343" i="1483"/>
  <c r="W344" i="1483"/>
  <c r="W345" i="1483"/>
  <c r="W346" i="1483"/>
  <c r="W347" i="1483"/>
  <c r="W348" i="1483"/>
  <c r="W349" i="1483"/>
  <c r="W350" i="1483"/>
  <c r="W351" i="1483"/>
  <c r="W352" i="1483"/>
  <c r="W353" i="1483"/>
  <c r="W354" i="1483"/>
  <c r="W355" i="1483"/>
  <c r="W356" i="1483"/>
  <c r="W357" i="1483"/>
  <c r="W358" i="1483"/>
  <c r="W359" i="1483"/>
  <c r="W360" i="1483"/>
  <c r="W361" i="1483"/>
  <c r="W362" i="1483"/>
  <c r="W363" i="1483"/>
  <c r="W364" i="1483"/>
  <c r="W365" i="1483"/>
  <c r="W366" i="1483"/>
  <c r="W367" i="1483"/>
  <c r="W368" i="1483"/>
  <c r="W369" i="1483"/>
  <c r="W370" i="1483"/>
  <c r="W371" i="1483"/>
  <c r="W372" i="1483"/>
  <c r="W373" i="1483"/>
  <c r="W374" i="1483"/>
  <c r="W375" i="1483"/>
  <c r="W376" i="1483"/>
  <c r="W377" i="1483"/>
  <c r="W378" i="1483"/>
  <c r="W379" i="1483"/>
  <c r="W380" i="1483"/>
  <c r="W381" i="1483"/>
  <c r="W382" i="1483"/>
  <c r="W383" i="1483"/>
  <c r="W384" i="1483"/>
  <c r="W385" i="1483"/>
  <c r="W386" i="1483"/>
  <c r="W387" i="1483"/>
  <c r="W388" i="1483"/>
  <c r="W389" i="1483"/>
  <c r="W390" i="1483"/>
  <c r="W391" i="1483"/>
  <c r="W392" i="1483"/>
  <c r="W393" i="1483"/>
  <c r="W394" i="1483"/>
  <c r="W395" i="1483"/>
  <c r="W396" i="1483"/>
  <c r="W397" i="1483"/>
  <c r="W398" i="1483"/>
  <c r="W399" i="1483"/>
  <c r="W400" i="1483"/>
  <c r="W401" i="1483"/>
  <c r="W402" i="1483"/>
  <c r="W403" i="1483"/>
  <c r="W404" i="1483"/>
  <c r="W405" i="1483"/>
  <c r="W406" i="1483"/>
  <c r="W407" i="1483"/>
  <c r="W408" i="1483"/>
  <c r="W409" i="1483"/>
  <c r="W410" i="1483"/>
  <c r="W411" i="1483"/>
  <c r="W412" i="1483"/>
  <c r="W413" i="1483"/>
  <c r="W414" i="1483"/>
  <c r="W415" i="1483"/>
  <c r="W416" i="1483"/>
  <c r="W417" i="1483"/>
  <c r="W418" i="1483"/>
  <c r="W419" i="1483"/>
  <c r="W420" i="1483"/>
  <c r="W421" i="1483"/>
  <c r="W422" i="1483"/>
  <c r="W423" i="1483"/>
  <c r="W424" i="1483"/>
  <c r="W425" i="1483"/>
  <c r="W426" i="1483"/>
  <c r="W427" i="1483"/>
  <c r="W428" i="1483"/>
  <c r="W429" i="1483"/>
  <c r="W430" i="1483"/>
  <c r="W431" i="1483"/>
  <c r="W432" i="1483"/>
  <c r="W433" i="1483"/>
  <c r="W434" i="1483"/>
  <c r="W435" i="1483"/>
  <c r="W436" i="1483"/>
  <c r="W437" i="1483"/>
  <c r="W438" i="1483"/>
  <c r="W439" i="1483"/>
  <c r="W440" i="1483"/>
  <c r="W441" i="1483"/>
  <c r="W442" i="1483"/>
  <c r="W443" i="1483"/>
  <c r="W444" i="1483"/>
  <c r="W445" i="1483"/>
  <c r="W446" i="1483"/>
  <c r="W447" i="1483"/>
  <c r="W448" i="1483"/>
  <c r="W449" i="1483"/>
  <c r="W450" i="1483"/>
  <c r="W451" i="1483"/>
  <c r="W452" i="1483"/>
  <c r="W453" i="1483"/>
  <c r="W454" i="1483"/>
  <c r="W455" i="1483"/>
  <c r="W456" i="1483"/>
  <c r="W457" i="1483"/>
  <c r="W458" i="1483"/>
  <c r="W459" i="1483"/>
  <c r="W460" i="1483"/>
  <c r="W461" i="1483"/>
  <c r="W462" i="1483"/>
  <c r="W463" i="1483"/>
  <c r="W464" i="1483"/>
  <c r="W465" i="1483"/>
  <c r="W466" i="1483"/>
  <c r="W467" i="1483"/>
  <c r="W468" i="1483"/>
  <c r="W469" i="1483"/>
  <c r="W470" i="1483"/>
  <c r="W471" i="1483"/>
  <c r="W472" i="1483"/>
  <c r="W473" i="1483"/>
  <c r="W474" i="1483"/>
  <c r="W475" i="1483"/>
  <c r="W476" i="1483"/>
  <c r="W477" i="1483"/>
  <c r="W478" i="1483"/>
  <c r="W479" i="1483"/>
  <c r="W480" i="1483"/>
  <c r="W481" i="1483"/>
  <c r="W482" i="1483"/>
  <c r="W483" i="1483"/>
  <c r="W484" i="1483"/>
  <c r="W485" i="1483"/>
  <c r="W486" i="1483"/>
  <c r="W487" i="1483"/>
  <c r="W488" i="1483"/>
  <c r="W489" i="1483"/>
  <c r="W490" i="1483"/>
  <c r="W491" i="1483"/>
  <c r="W492" i="1483"/>
  <c r="W493" i="1483"/>
  <c r="W494" i="1483"/>
  <c r="W495" i="1483"/>
  <c r="W496" i="1483"/>
  <c r="W497" i="1483"/>
  <c r="W498" i="1483"/>
  <c r="W499" i="1483"/>
  <c r="W500" i="1483"/>
  <c r="W501" i="1483"/>
  <c r="W502" i="1483"/>
  <c r="W503" i="1483"/>
  <c r="W504" i="1483"/>
  <c r="W505" i="1483"/>
  <c r="W506" i="1483"/>
  <c r="W507" i="1483"/>
  <c r="W508" i="1483"/>
  <c r="W509" i="1483"/>
  <c r="W510" i="1483"/>
  <c r="W511" i="1483"/>
  <c r="W512" i="1483"/>
  <c r="W513" i="1483"/>
  <c r="W514" i="1483"/>
  <c r="W515" i="1483"/>
  <c r="W516" i="1483"/>
  <c r="W517" i="1483"/>
  <c r="W518" i="1483"/>
  <c r="W519" i="1483"/>
  <c r="W520" i="1483"/>
  <c r="W521" i="1483"/>
  <c r="W522" i="1483"/>
  <c r="W523" i="1483"/>
  <c r="W524" i="1483"/>
  <c r="W525" i="1483"/>
  <c r="W526" i="1483"/>
  <c r="W527" i="1483"/>
  <c r="W528" i="1483"/>
  <c r="W529" i="1483"/>
  <c r="W530" i="1483"/>
  <c r="W531" i="1483"/>
  <c r="W532" i="1483"/>
  <c r="W533" i="1483"/>
  <c r="W534" i="1483"/>
  <c r="W535" i="1483"/>
  <c r="W536" i="1483"/>
  <c r="W537" i="1483"/>
  <c r="W538" i="1483"/>
  <c r="W539" i="1483"/>
  <c r="W540" i="1483"/>
  <c r="W541" i="1483"/>
  <c r="W542" i="1483"/>
  <c r="W543" i="1483"/>
  <c r="W544" i="1483"/>
  <c r="W545" i="1483"/>
  <c r="W546" i="1483"/>
  <c r="W547" i="1483"/>
  <c r="W548" i="1483"/>
  <c r="W549" i="1483"/>
  <c r="W550" i="1483"/>
  <c r="W551" i="1483"/>
  <c r="W552" i="1483"/>
  <c r="W553" i="1483"/>
  <c r="W554" i="1483"/>
  <c r="W555" i="1483"/>
  <c r="W556" i="1483"/>
  <c r="W557" i="1483"/>
  <c r="W558" i="1483"/>
  <c r="W559" i="1483"/>
  <c r="W560" i="1483"/>
  <c r="W561" i="1483"/>
  <c r="W562" i="1483"/>
  <c r="W563" i="1483"/>
  <c r="W564" i="1483"/>
  <c r="W565" i="1483"/>
  <c r="W566" i="1483"/>
  <c r="W567" i="1483"/>
  <c r="W568" i="1483"/>
  <c r="W569" i="1483"/>
  <c r="W570" i="1483"/>
  <c r="W571" i="1483"/>
  <c r="W572" i="1483"/>
  <c r="W573" i="1483"/>
  <c r="W574" i="1483"/>
  <c r="W575" i="1483"/>
  <c r="W576" i="1483"/>
  <c r="W577" i="1483"/>
  <c r="W578" i="1483"/>
  <c r="W579" i="1483"/>
  <c r="W580" i="1483"/>
  <c r="W581" i="1483"/>
  <c r="W582" i="1483"/>
  <c r="W583" i="1483"/>
  <c r="W584" i="1483"/>
  <c r="W585" i="1483"/>
  <c r="W586" i="1483"/>
  <c r="W587" i="1483"/>
  <c r="W588" i="1483"/>
  <c r="W589" i="1483"/>
  <c r="W590" i="1483"/>
  <c r="W591" i="1483"/>
  <c r="W592" i="1483"/>
  <c r="W593" i="1483"/>
  <c r="W594" i="1483"/>
  <c r="W595" i="1483"/>
  <c r="W596" i="1483"/>
  <c r="W597" i="1483"/>
  <c r="W598" i="1483"/>
  <c r="W599" i="1483"/>
  <c r="W600" i="1483"/>
  <c r="W601" i="1483"/>
  <c r="W602" i="1483"/>
  <c r="W603" i="1483"/>
  <c r="W604" i="1483"/>
  <c r="W605" i="1483"/>
  <c r="W606" i="1483"/>
  <c r="W607" i="1483"/>
  <c r="W608" i="1483"/>
  <c r="W609" i="1483"/>
  <c r="W610" i="1483"/>
  <c r="W611" i="1483"/>
  <c r="W612" i="1483"/>
  <c r="W613" i="1483"/>
  <c r="W614" i="1483"/>
  <c r="W615" i="1483"/>
  <c r="W616" i="1483"/>
  <c r="W617" i="1483"/>
  <c r="W618" i="1483"/>
  <c r="W619" i="1483"/>
  <c r="W620" i="1483"/>
  <c r="W621" i="1483"/>
  <c r="W622" i="1483"/>
  <c r="W623" i="1483"/>
  <c r="W624" i="1483"/>
  <c r="W625" i="1483"/>
  <c r="W626" i="1483"/>
  <c r="W627" i="1483"/>
  <c r="W628" i="1483"/>
  <c r="W629" i="1483"/>
  <c r="W630" i="1483"/>
  <c r="W631" i="1483"/>
  <c r="W632" i="1483"/>
  <c r="W633" i="1483"/>
  <c r="W634" i="1483"/>
  <c r="W635" i="1483"/>
  <c r="W636" i="1483"/>
  <c r="W637" i="1483"/>
  <c r="W638" i="1483"/>
  <c r="W639" i="1483"/>
  <c r="W640" i="1483"/>
  <c r="W641" i="1483"/>
  <c r="W642" i="1483"/>
  <c r="W643" i="1483"/>
  <c r="W644" i="1483"/>
  <c r="W645" i="1483"/>
  <c r="W646" i="1483"/>
  <c r="W647" i="1483"/>
  <c r="W648" i="1483"/>
  <c r="W649" i="1483"/>
  <c r="W650" i="1483"/>
  <c r="W651" i="1483"/>
  <c r="W652" i="1483"/>
  <c r="W653" i="1483"/>
  <c r="W654" i="1483"/>
  <c r="W655" i="1483"/>
  <c r="W656" i="1483"/>
  <c r="W657" i="1483"/>
  <c r="W658" i="1483"/>
  <c r="W659" i="1483"/>
  <c r="W660" i="1483"/>
  <c r="W661" i="1483"/>
  <c r="W662" i="1483"/>
  <c r="W663" i="1483"/>
  <c r="W664" i="1483"/>
  <c r="W665" i="1483"/>
  <c r="W666" i="1483"/>
  <c r="W667" i="1483"/>
  <c r="W668" i="1483"/>
  <c r="W669" i="1483"/>
  <c r="W670" i="1483"/>
  <c r="W671" i="1483"/>
  <c r="W672" i="1483"/>
  <c r="W673" i="1483"/>
  <c r="W674" i="1483"/>
  <c r="W675" i="1483"/>
  <c r="W676" i="1483"/>
  <c r="W677" i="1483"/>
  <c r="W678" i="1483"/>
  <c r="W679" i="1483"/>
  <c r="W680" i="1483"/>
  <c r="W681" i="1483"/>
  <c r="W682" i="1483"/>
  <c r="W683" i="1483"/>
  <c r="W684" i="1483"/>
  <c r="W685" i="1483"/>
  <c r="W686" i="1483"/>
  <c r="W687" i="1483"/>
  <c r="W688" i="1483"/>
  <c r="W689" i="1483"/>
  <c r="W690" i="1483"/>
  <c r="W691" i="1483"/>
  <c r="W692" i="1483"/>
  <c r="W693" i="1483"/>
  <c r="W694" i="1483"/>
  <c r="W695" i="1483"/>
  <c r="W696" i="1483"/>
  <c r="W697" i="1483"/>
  <c r="W698" i="1483"/>
  <c r="W699" i="1483"/>
  <c r="W700" i="1483"/>
  <c r="W701" i="1483"/>
  <c r="W702" i="1483"/>
  <c r="W703" i="1483"/>
  <c r="W704" i="1483"/>
  <c r="W705" i="1483"/>
  <c r="W706" i="1483"/>
  <c r="W707" i="1483"/>
  <c r="W708" i="1483"/>
  <c r="W709" i="1483"/>
  <c r="W710" i="1483"/>
  <c r="W711" i="1483"/>
  <c r="W712" i="1483"/>
  <c r="W713" i="1483"/>
  <c r="W714" i="1483"/>
  <c r="W715" i="1483"/>
  <c r="W716" i="1483"/>
  <c r="W717" i="1483"/>
  <c r="W718" i="1483"/>
  <c r="W719" i="1483"/>
  <c r="W720" i="1483"/>
  <c r="W721" i="1483"/>
  <c r="W722" i="1483"/>
  <c r="W723" i="1483"/>
  <c r="W724" i="1483"/>
  <c r="W725" i="1483"/>
  <c r="W726" i="1483"/>
  <c r="W727" i="1483"/>
  <c r="W728" i="1483"/>
  <c r="W729" i="1483"/>
  <c r="W730" i="1483"/>
  <c r="W731" i="1483"/>
  <c r="W732" i="1483"/>
  <c r="W733" i="1483"/>
  <c r="W734" i="1483"/>
  <c r="W735" i="1483"/>
  <c r="W736" i="1483"/>
  <c r="W737" i="1483"/>
  <c r="W738" i="1483"/>
  <c r="W739" i="1483"/>
  <c r="W740" i="1483"/>
  <c r="W741" i="1483"/>
  <c r="W742" i="1483"/>
  <c r="W743" i="1483"/>
  <c r="W744" i="1483"/>
  <c r="W745" i="1483"/>
  <c r="W746" i="1483"/>
  <c r="W747" i="1483"/>
  <c r="W748" i="1483"/>
  <c r="W749" i="1483"/>
  <c r="W750" i="1483"/>
  <c r="W751" i="1483"/>
  <c r="W752" i="1483"/>
  <c r="W753" i="1483"/>
  <c r="W754" i="1483"/>
  <c r="W755" i="1483"/>
  <c r="W756" i="1483"/>
  <c r="W757" i="1483"/>
  <c r="W758" i="1483"/>
  <c r="W759" i="1483"/>
  <c r="W760" i="1483"/>
  <c r="W761" i="1483"/>
  <c r="W762" i="1483"/>
  <c r="W763" i="1483"/>
  <c r="W764" i="1483"/>
  <c r="W765" i="1483"/>
  <c r="W766" i="1483"/>
  <c r="W767" i="1483"/>
  <c r="W768" i="1483"/>
  <c r="W769" i="1483"/>
  <c r="W770" i="1483"/>
  <c r="W771" i="1483"/>
  <c r="W772" i="1483"/>
  <c r="W773" i="1483"/>
  <c r="W774" i="1483"/>
  <c r="W775" i="1483"/>
  <c r="W776" i="1483"/>
  <c r="W777" i="1483"/>
  <c r="W778" i="1483"/>
  <c r="W779" i="1483"/>
  <c r="W780" i="1483"/>
  <c r="W781" i="1483"/>
  <c r="W782" i="1483"/>
  <c r="W783" i="1483"/>
  <c r="W784" i="1483"/>
  <c r="W785" i="1483"/>
  <c r="W786" i="1483"/>
  <c r="W787" i="1483"/>
  <c r="W788" i="1483"/>
  <c r="W789" i="1483"/>
  <c r="W790" i="1483"/>
  <c r="W791" i="1483"/>
  <c r="W792" i="1483"/>
  <c r="W793" i="1483"/>
  <c r="W794" i="1483"/>
  <c r="W795" i="1483"/>
  <c r="W796" i="1483"/>
  <c r="W797" i="1483"/>
  <c r="W798" i="1483"/>
  <c r="W799" i="1483"/>
  <c r="W800" i="1483"/>
  <c r="W801" i="1483"/>
  <c r="W802" i="1483"/>
  <c r="W803" i="1483"/>
  <c r="W804" i="1483"/>
  <c r="W805" i="1483"/>
  <c r="W806" i="1483"/>
  <c r="W807" i="1483"/>
  <c r="W808" i="1483"/>
  <c r="W809" i="1483"/>
  <c r="W810" i="1483"/>
  <c r="W811" i="1483"/>
  <c r="W812" i="1483"/>
  <c r="W813" i="1483"/>
  <c r="W814" i="1483"/>
  <c r="W815" i="1483"/>
  <c r="W816" i="1483"/>
  <c r="W817" i="1483"/>
  <c r="W818" i="1483"/>
  <c r="W819" i="1483"/>
  <c r="W820" i="1483"/>
  <c r="W821" i="1483"/>
  <c r="W822" i="1483"/>
  <c r="W823" i="1483"/>
  <c r="W824" i="1483"/>
  <c r="W825" i="1483"/>
  <c r="W826" i="1483"/>
  <c r="W827" i="1483"/>
  <c r="W828" i="1483"/>
  <c r="W829" i="1483"/>
  <c r="W830" i="1483"/>
  <c r="W831" i="1483"/>
  <c r="W832" i="1483"/>
  <c r="W833" i="1483"/>
  <c r="W834" i="1483"/>
  <c r="W835" i="1483"/>
  <c r="W836" i="1483"/>
  <c r="W837" i="1483"/>
  <c r="W838" i="1483"/>
  <c r="W839" i="1483"/>
  <c r="W840" i="1483"/>
  <c r="W841" i="1483"/>
  <c r="W842" i="1483"/>
  <c r="W843" i="1483"/>
  <c r="W844" i="1483"/>
  <c r="W845" i="1483"/>
  <c r="W846" i="1483"/>
  <c r="W847" i="1483"/>
  <c r="W848" i="1483"/>
  <c r="W849" i="1483"/>
  <c r="W850" i="1483"/>
  <c r="W851" i="1483"/>
  <c r="W852" i="1483"/>
  <c r="W853" i="1483"/>
  <c r="W854" i="1483"/>
  <c r="W855" i="1483"/>
  <c r="W856" i="1483"/>
  <c r="W857" i="1483"/>
  <c r="W858" i="1483"/>
  <c r="W859" i="1483"/>
  <c r="W860" i="1483"/>
  <c r="W861" i="1483"/>
  <c r="W862" i="1483"/>
  <c r="W863" i="1483"/>
  <c r="W864" i="1483"/>
  <c r="W865" i="1483"/>
  <c r="W866" i="1483"/>
  <c r="W867" i="1483"/>
  <c r="W868" i="1483"/>
  <c r="W869" i="1483"/>
  <c r="W870" i="1483"/>
  <c r="W871" i="1483"/>
  <c r="W872" i="1483"/>
  <c r="W873" i="1483"/>
  <c r="W874" i="1483"/>
  <c r="W875" i="1483"/>
  <c r="W876" i="1483"/>
  <c r="W877" i="1483"/>
  <c r="W878" i="1483"/>
  <c r="W879" i="1483"/>
  <c r="W880" i="1483"/>
  <c r="W881" i="1483"/>
  <c r="W882" i="1483"/>
  <c r="W883" i="1483"/>
  <c r="W884" i="1483"/>
  <c r="W885" i="1483"/>
  <c r="W886" i="1483"/>
  <c r="W887" i="1483"/>
  <c r="W888" i="1483"/>
  <c r="W889" i="1483"/>
  <c r="W890" i="1483"/>
  <c r="W891" i="1483"/>
  <c r="W892" i="1483"/>
  <c r="W893" i="1483"/>
  <c r="W894" i="1483"/>
  <c r="W895" i="1483"/>
  <c r="W896" i="1483"/>
  <c r="W897" i="1483"/>
  <c r="W898" i="1483"/>
  <c r="W899" i="1483"/>
  <c r="W900" i="1483"/>
  <c r="W901" i="1483"/>
  <c r="W902" i="1483"/>
  <c r="W903" i="1483"/>
  <c r="W904" i="1483"/>
  <c r="W905" i="1483"/>
  <c r="W906" i="1483"/>
  <c r="W907" i="1483"/>
  <c r="W908" i="1483"/>
  <c r="W909" i="1483"/>
  <c r="W910" i="1483"/>
  <c r="W911" i="1483"/>
  <c r="W912" i="1483"/>
  <c r="W913" i="1483"/>
  <c r="W914" i="1483"/>
  <c r="W915" i="1483"/>
  <c r="W916" i="1483"/>
  <c r="W917" i="1483"/>
  <c r="W918" i="1483"/>
  <c r="W919" i="1483"/>
  <c r="W920" i="1483"/>
  <c r="W921" i="1483"/>
  <c r="W922" i="1483"/>
  <c r="W923" i="1483"/>
  <c r="W924" i="1483"/>
  <c r="W925" i="1483"/>
  <c r="W926" i="1483"/>
  <c r="W927" i="1483"/>
  <c r="W928" i="1483"/>
  <c r="W929" i="1483"/>
  <c r="W930" i="1483"/>
  <c r="W931" i="1483"/>
  <c r="W932" i="1483"/>
  <c r="W933" i="1483"/>
  <c r="W934" i="1483"/>
  <c r="W935" i="1483"/>
  <c r="W936" i="1483"/>
  <c r="W937" i="1483"/>
  <c r="W938" i="1483"/>
  <c r="W939" i="1483"/>
  <c r="W940" i="1483"/>
  <c r="W941" i="1483"/>
  <c r="W942" i="1483"/>
  <c r="W943" i="1483"/>
  <c r="W944" i="1483"/>
  <c r="W945" i="1483"/>
  <c r="W946" i="1483"/>
  <c r="W947" i="1483"/>
  <c r="W948" i="1483"/>
  <c r="W949" i="1483"/>
  <c r="W950" i="1483"/>
  <c r="W951" i="1483"/>
  <c r="W952" i="1483"/>
  <c r="W953" i="1483"/>
  <c r="W954" i="1483"/>
  <c r="W955" i="1483"/>
  <c r="W956" i="1483"/>
  <c r="W957" i="1483"/>
  <c r="W958" i="1483"/>
  <c r="W959" i="1483"/>
  <c r="W960" i="1483"/>
  <c r="W961" i="1483"/>
  <c r="W962" i="1483"/>
  <c r="W963" i="1483"/>
  <c r="W964" i="1483"/>
  <c r="W965" i="1483"/>
  <c r="W966" i="1483"/>
  <c r="W967" i="1483"/>
  <c r="W968" i="1483"/>
  <c r="W969" i="1483"/>
  <c r="W970" i="1483"/>
  <c r="W971" i="1483"/>
  <c r="W972" i="1483"/>
  <c r="W973" i="1483"/>
  <c r="W974" i="1483"/>
  <c r="W975" i="1483"/>
  <c r="W976" i="1483"/>
  <c r="W977" i="1483"/>
  <c r="W978" i="1483"/>
  <c r="W979" i="1483"/>
  <c r="W980" i="1483"/>
  <c r="W981" i="1483"/>
  <c r="W982" i="1483"/>
  <c r="W983" i="1483"/>
  <c r="W984" i="1483"/>
  <c r="W985" i="1483"/>
  <c r="W986" i="1483"/>
  <c r="W987" i="1483"/>
  <c r="W988" i="1483"/>
  <c r="W989" i="1483"/>
  <c r="W990" i="1483"/>
  <c r="W991" i="1483"/>
  <c r="W992" i="1483"/>
  <c r="W993" i="1483"/>
  <c r="W994" i="1483"/>
  <c r="W995" i="1483"/>
  <c r="W996" i="1483"/>
  <c r="W997" i="1483"/>
  <c r="W998" i="1483"/>
  <c r="W999" i="1483"/>
  <c r="W1000" i="1483"/>
  <c r="W1001" i="1483"/>
  <c r="W1002" i="1483"/>
  <c r="W1003" i="1483"/>
  <c r="W1004" i="1483"/>
  <c r="W1005" i="1483"/>
  <c r="W1006" i="1483"/>
  <c r="W1007" i="1483"/>
  <c r="W1008" i="1483"/>
  <c r="W1009" i="1483"/>
  <c r="W1010" i="1483"/>
  <c r="W1011" i="1483"/>
  <c r="W1012" i="1483"/>
  <c r="W1013" i="1483"/>
  <c r="W1014" i="1483"/>
  <c r="W1015" i="1483"/>
  <c r="W1016" i="1483"/>
  <c r="W1017" i="1483"/>
  <c r="W1018" i="1483"/>
  <c r="W1019" i="1483"/>
  <c r="W1020" i="1483"/>
  <c r="W1021" i="1483"/>
  <c r="W1022" i="1483"/>
  <c r="W1023" i="1483"/>
  <c r="W1024" i="1483"/>
  <c r="W1025" i="1483"/>
  <c r="W1026" i="1483"/>
  <c r="W1027" i="1483"/>
  <c r="W1028" i="1483"/>
  <c r="W1029" i="1483"/>
  <c r="W1030" i="1483"/>
  <c r="W1031" i="1483"/>
  <c r="W1032" i="1483"/>
  <c r="W1033" i="1483"/>
  <c r="W1034" i="1483"/>
  <c r="W1035" i="1483"/>
  <c r="W1036" i="1483"/>
  <c r="W1037" i="1483"/>
  <c r="W1038" i="1483"/>
  <c r="W1039" i="1483"/>
  <c r="W1040" i="1483"/>
  <c r="W1041" i="1483"/>
  <c r="W1042" i="1483"/>
  <c r="W1043" i="1483"/>
  <c r="W1044" i="1483"/>
  <c r="W1045" i="1483"/>
  <c r="W1046" i="1483"/>
  <c r="W1047" i="1483"/>
  <c r="W1048" i="1483"/>
  <c r="W1049" i="1483"/>
  <c r="W1050" i="1483"/>
  <c r="W1051" i="1483"/>
  <c r="W1052" i="1483"/>
  <c r="W1053" i="1483"/>
  <c r="W1054" i="1483"/>
  <c r="W1055" i="1483"/>
  <c r="W1056" i="1483"/>
  <c r="W1057" i="1483"/>
  <c r="W1058" i="1483"/>
  <c r="W1059" i="1483"/>
  <c r="W1060" i="1483"/>
  <c r="W1061" i="1483"/>
  <c r="W1062" i="1483"/>
  <c r="W1063" i="1483"/>
  <c r="W1064" i="1483"/>
  <c r="W1065" i="1483"/>
  <c r="W1066" i="1483"/>
  <c r="W1067" i="1483"/>
  <c r="W1068" i="1483"/>
  <c r="W1069" i="1483"/>
  <c r="W1070" i="1483"/>
  <c r="W1071" i="1483"/>
  <c r="W1072" i="1483"/>
  <c r="W1073" i="1483"/>
  <c r="W1074" i="1483"/>
  <c r="W1075" i="1483"/>
  <c r="W1076" i="1483"/>
  <c r="W1077" i="1483"/>
  <c r="W1078" i="1483"/>
  <c r="W1079" i="1483"/>
  <c r="W1080" i="1483"/>
  <c r="W1081" i="1483"/>
  <c r="W1082" i="1483"/>
  <c r="W1083" i="1483"/>
  <c r="W1084" i="1483"/>
  <c r="W1085" i="1483"/>
  <c r="W1086" i="1483"/>
  <c r="W1087" i="1483"/>
  <c r="W1088" i="1483"/>
  <c r="W1089" i="1483"/>
  <c r="W1090" i="1483"/>
  <c r="W1091" i="1483"/>
  <c r="W1092" i="1483"/>
  <c r="W1093" i="1483"/>
  <c r="W1094" i="1483"/>
  <c r="W1095" i="1483"/>
  <c r="W1096" i="1483"/>
  <c r="W1097" i="1483"/>
  <c r="W1098" i="1483"/>
  <c r="W1099" i="1483"/>
  <c r="W1100" i="1483"/>
  <c r="W1101" i="1483"/>
  <c r="W1102" i="1483"/>
  <c r="W1103" i="1483"/>
  <c r="W1104" i="1483"/>
  <c r="W1105" i="1483"/>
  <c r="W1106" i="1483"/>
  <c r="W1107" i="1483"/>
  <c r="W1108" i="1483"/>
  <c r="W1109" i="1483"/>
  <c r="W1110" i="1483"/>
  <c r="W1111" i="1483"/>
  <c r="W1112" i="1483"/>
  <c r="W1113" i="1483"/>
  <c r="W1114" i="1483"/>
  <c r="W1115" i="1483"/>
  <c r="W1116" i="1483"/>
  <c r="W1117" i="1483"/>
  <c r="W1118" i="1483"/>
  <c r="W1119" i="1483"/>
  <c r="W1120" i="1483"/>
  <c r="W1121" i="1483"/>
  <c r="W1122" i="1483"/>
  <c r="W1123" i="1483"/>
  <c r="W1124" i="1483"/>
  <c r="W1125" i="1483"/>
  <c r="W1126" i="1483"/>
  <c r="W1127" i="1483"/>
  <c r="W1128" i="1483"/>
  <c r="W1129" i="1483"/>
  <c r="W1130" i="1483"/>
  <c r="W1131" i="1483"/>
  <c r="W1132" i="1483"/>
  <c r="W1133" i="1483"/>
  <c r="W1134" i="1483"/>
  <c r="W1135" i="1483"/>
  <c r="W1136" i="1483"/>
  <c r="W1137" i="1483"/>
  <c r="W1138" i="1483"/>
  <c r="W1139" i="1483"/>
  <c r="W1140" i="1483"/>
  <c r="W1141" i="1483"/>
  <c r="W1142" i="1483"/>
  <c r="W1143" i="1483"/>
  <c r="W1144" i="1483"/>
  <c r="W1145" i="1483"/>
  <c r="W1146" i="1483"/>
  <c r="W1147" i="1483"/>
  <c r="W1148" i="1483"/>
  <c r="W1149" i="1483"/>
  <c r="W1150" i="1483"/>
  <c r="W1151" i="1483"/>
  <c r="W1152" i="1483"/>
  <c r="W1153" i="1483"/>
  <c r="W1154" i="1483"/>
  <c r="W1155" i="1483"/>
  <c r="W1156" i="1483"/>
  <c r="W1157" i="1483"/>
  <c r="W1158" i="1483"/>
  <c r="W1159" i="1483"/>
  <c r="W1160" i="1483"/>
  <c r="W1161" i="1483"/>
  <c r="W1162" i="1483"/>
  <c r="W1163" i="1483"/>
  <c r="W1164" i="1483"/>
  <c r="W1165" i="1483"/>
  <c r="W1166" i="1483"/>
  <c r="W1167" i="1483"/>
  <c r="W1168" i="1483"/>
  <c r="W1169" i="1483"/>
  <c r="W1170" i="1483"/>
  <c r="W1171" i="1483"/>
  <c r="W1172" i="1483"/>
  <c r="W1173" i="1483"/>
  <c r="W1174" i="1483"/>
  <c r="W1175" i="1483"/>
  <c r="W1176" i="1483"/>
  <c r="W1177" i="1483"/>
  <c r="W1178" i="1483"/>
  <c r="W1179" i="1483"/>
  <c r="W1180" i="1483"/>
  <c r="W1181" i="1483"/>
  <c r="W1182" i="1483"/>
  <c r="W1183" i="1483"/>
  <c r="W1184" i="1483"/>
  <c r="W1185" i="1483"/>
  <c r="W1186" i="1483"/>
  <c r="W1187" i="1483"/>
  <c r="W1188" i="1483"/>
  <c r="W1189" i="1483"/>
  <c r="W1190" i="1483"/>
  <c r="W1191" i="1483"/>
  <c r="W1192" i="1483"/>
  <c r="W1193" i="1483"/>
  <c r="W1194" i="1483"/>
  <c r="W1195" i="1483"/>
  <c r="W1196" i="1483"/>
  <c r="W1197" i="1483"/>
  <c r="W1198" i="1483"/>
  <c r="W1199" i="1483"/>
  <c r="W1200" i="1483"/>
  <c r="W1201" i="1483"/>
  <c r="W1202" i="1483"/>
  <c r="W1203" i="1483"/>
  <c r="W1204" i="1483"/>
  <c r="W1205" i="1483"/>
  <c r="W1206" i="1483"/>
  <c r="W1207" i="1483"/>
  <c r="W1208" i="1483"/>
  <c r="W1209" i="1483"/>
  <c r="W1210" i="1483"/>
  <c r="W1211" i="1483"/>
  <c r="W1212" i="1483"/>
  <c r="W1213" i="1483"/>
  <c r="W1214" i="1483"/>
  <c r="W1215" i="1483"/>
  <c r="W1216" i="1483"/>
  <c r="W1217" i="1483"/>
  <c r="W1218" i="1483"/>
  <c r="W1219" i="1483"/>
  <c r="W1220" i="1483"/>
  <c r="W1221" i="1483"/>
  <c r="W1222" i="1483"/>
  <c r="W1223" i="1483"/>
  <c r="W1224" i="1483"/>
  <c r="W1225" i="1483"/>
  <c r="W1226" i="1483"/>
  <c r="W1227" i="1483"/>
  <c r="W1228" i="1483"/>
  <c r="W1229" i="1483"/>
  <c r="W1230" i="1483"/>
  <c r="W1231" i="1483"/>
  <c r="W1232" i="1483"/>
  <c r="W1233" i="1483"/>
  <c r="W1234" i="1483"/>
  <c r="W1235" i="1483"/>
  <c r="W1236" i="1483"/>
  <c r="W1237" i="1483"/>
  <c r="W1238" i="1483"/>
  <c r="W1239" i="1483"/>
  <c r="W1240" i="1483"/>
  <c r="W1241" i="1483"/>
  <c r="W1242" i="1483"/>
  <c r="W1243" i="1483"/>
  <c r="W1244" i="1483"/>
  <c r="W1245" i="1483"/>
  <c r="W1246" i="1483"/>
  <c r="W1247" i="1483"/>
  <c r="W1248" i="1483"/>
  <c r="W1249" i="1483"/>
  <c r="W1250" i="1483"/>
  <c r="W1251" i="1483"/>
  <c r="W1252" i="1483"/>
  <c r="W1253" i="1483"/>
  <c r="W1254" i="1483"/>
  <c r="W1255" i="1483"/>
  <c r="W1256" i="1483"/>
  <c r="W1257" i="1483"/>
  <c r="W1258" i="1483"/>
  <c r="W1259" i="1483"/>
  <c r="W1260" i="1483"/>
  <c r="W1261" i="1483"/>
  <c r="W1262" i="1483"/>
  <c r="W1263" i="1483"/>
  <c r="W1264" i="1483"/>
  <c r="W1265" i="1483"/>
  <c r="W1266" i="1483"/>
  <c r="W1267" i="1483"/>
  <c r="W1268" i="1483"/>
  <c r="W1269" i="1483"/>
  <c r="W1270" i="1483"/>
  <c r="W1271" i="1483"/>
  <c r="W1272" i="1483"/>
  <c r="W1273" i="1483"/>
  <c r="W1274" i="1483"/>
  <c r="W1275" i="1483"/>
  <c r="W1276" i="1483"/>
  <c r="W1277" i="1483"/>
  <c r="W1278" i="1483"/>
  <c r="W1279" i="1483"/>
  <c r="W1280" i="1483"/>
  <c r="W1281" i="1483"/>
  <c r="W1282" i="1483"/>
  <c r="W1283" i="1483"/>
  <c r="W1284" i="1483"/>
  <c r="W1285" i="1483"/>
  <c r="W1286" i="1483"/>
  <c r="W1287" i="1483"/>
  <c r="W1288" i="1483"/>
  <c r="W1289" i="1483"/>
  <c r="W1290" i="1483"/>
  <c r="W1291" i="1483"/>
  <c r="W1292" i="1483"/>
  <c r="W1293" i="1483"/>
  <c r="W1294" i="1483"/>
  <c r="W1295" i="1483"/>
  <c r="W1296" i="1483"/>
  <c r="W1297" i="1483"/>
  <c r="W1298" i="1483"/>
  <c r="W1299" i="1483"/>
  <c r="W1300" i="1483"/>
  <c r="W1301" i="1483"/>
  <c r="W1302" i="1483"/>
  <c r="W1303" i="1483"/>
  <c r="W1304" i="1483"/>
  <c r="W1305" i="1483"/>
  <c r="W1306" i="1483"/>
  <c r="W1307" i="1483"/>
  <c r="W1308" i="1483"/>
  <c r="W1309" i="1483"/>
  <c r="W1310" i="1483"/>
  <c r="W1311" i="1483"/>
  <c r="W1312" i="1483"/>
  <c r="W1313" i="1483"/>
  <c r="W1314" i="1483"/>
  <c r="W1315" i="1483"/>
  <c r="W1316" i="1483"/>
  <c r="W1317" i="1483"/>
  <c r="W1318" i="1483"/>
  <c r="W1319" i="1483"/>
  <c r="W1320" i="1483"/>
  <c r="W1321" i="1483"/>
  <c r="W1322" i="1483"/>
  <c r="W1323" i="1483"/>
  <c r="W1324" i="1483"/>
  <c r="W1325" i="1483"/>
  <c r="W1326" i="1483"/>
  <c r="W1327" i="1483"/>
  <c r="W1328" i="1483"/>
  <c r="W1329" i="1483"/>
  <c r="W1330" i="1483"/>
  <c r="W1331" i="1483"/>
  <c r="W1332" i="1483"/>
  <c r="W1333" i="1483"/>
  <c r="W1334" i="1483"/>
  <c r="W1335" i="1483"/>
  <c r="W1336" i="1483"/>
  <c r="W1337" i="1483"/>
  <c r="W1338" i="1483"/>
  <c r="W1339" i="1483"/>
  <c r="W1340" i="1483"/>
  <c r="W1341" i="1483"/>
  <c r="W1342" i="1483"/>
  <c r="W1343" i="1483"/>
  <c r="W1344" i="1483"/>
  <c r="W1345" i="1483"/>
  <c r="W1346" i="1483"/>
  <c r="W1347" i="1483"/>
  <c r="W1348" i="1483"/>
  <c r="W1349" i="1483"/>
  <c r="W1350" i="1483"/>
  <c r="W1351" i="1483"/>
  <c r="W1352" i="1483"/>
  <c r="W1353" i="1483"/>
  <c r="W1354" i="1483"/>
  <c r="W1355" i="1483"/>
  <c r="W1356" i="1483"/>
  <c r="W1357" i="1483"/>
  <c r="W1358" i="1483"/>
  <c r="W1359" i="1483"/>
  <c r="W1360" i="1483"/>
  <c r="W1361" i="1483"/>
  <c r="W1362" i="1483"/>
  <c r="W1363" i="1483"/>
  <c r="W1364" i="1483"/>
  <c r="W1365" i="1483"/>
  <c r="W1366" i="1483"/>
  <c r="W1367" i="1483"/>
  <c r="W1368" i="1483"/>
  <c r="W1369" i="1483"/>
  <c r="W1370" i="1483"/>
  <c r="W1371" i="1483"/>
  <c r="W1372" i="1483"/>
  <c r="W1373" i="1483"/>
  <c r="W1374" i="1483"/>
  <c r="W1375" i="1483"/>
  <c r="W1376" i="1483"/>
  <c r="W1377" i="1483"/>
  <c r="W1378" i="1483"/>
  <c r="W1379" i="1483"/>
  <c r="W1380" i="1483"/>
  <c r="W1381" i="1483"/>
  <c r="W1382" i="1483"/>
  <c r="W1383" i="1483"/>
  <c r="W1384" i="1483"/>
  <c r="W1385" i="1483"/>
  <c r="W1386" i="1483"/>
  <c r="W1387" i="1483"/>
  <c r="W1388" i="1483"/>
  <c r="W1389" i="1483"/>
  <c r="W1390" i="1483"/>
  <c r="W1391" i="1483"/>
  <c r="W1392" i="1483"/>
  <c r="W1393" i="1483"/>
  <c r="W1394" i="1483"/>
  <c r="W1395" i="1483"/>
  <c r="W1396" i="1483"/>
  <c r="W1397" i="1483"/>
  <c r="W1398" i="1483"/>
  <c r="W1399" i="1483"/>
  <c r="W1400" i="1483"/>
  <c r="W1401" i="1483"/>
  <c r="W1402" i="1483"/>
  <c r="W1403" i="1483"/>
  <c r="W1404" i="1483"/>
  <c r="W1405" i="1483"/>
  <c r="W1406" i="1483"/>
  <c r="W1407" i="1483"/>
  <c r="W1408" i="1483"/>
  <c r="W1409" i="1483"/>
  <c r="W1410" i="1483"/>
  <c r="W1411" i="1483"/>
  <c r="W1412" i="1483"/>
  <c r="W1413" i="1483"/>
  <c r="W1414" i="1483"/>
  <c r="W1415" i="1483"/>
  <c r="W1416" i="1483"/>
  <c r="W1417" i="1483"/>
  <c r="W1418" i="1483"/>
  <c r="W1419" i="1483"/>
  <c r="W1420" i="1483"/>
  <c r="W1421" i="1483"/>
  <c r="W1422" i="1483"/>
  <c r="W1423" i="1483"/>
  <c r="W1424" i="1483"/>
  <c r="W1425" i="1483"/>
  <c r="W1426" i="1483"/>
  <c r="W1427" i="1483"/>
  <c r="W1428" i="1483"/>
  <c r="W1429" i="1483"/>
  <c r="W1430" i="1483"/>
  <c r="W1431" i="1483"/>
  <c r="W1432" i="1483"/>
  <c r="W1433" i="1483"/>
  <c r="W1434" i="1483"/>
  <c r="W1435" i="1483"/>
  <c r="W1436" i="1483"/>
  <c r="W1437" i="1483"/>
  <c r="W1438" i="1483"/>
  <c r="W1439" i="1483"/>
  <c r="W1440" i="1483"/>
  <c r="W1441" i="1483"/>
  <c r="W1442" i="1483"/>
  <c r="W1443" i="1483"/>
  <c r="W1444" i="1483"/>
  <c r="W1445" i="1483"/>
  <c r="W1446" i="1483"/>
  <c r="W1447" i="1483"/>
  <c r="W1448" i="1483"/>
  <c r="W1449" i="1483"/>
  <c r="W1450" i="1483"/>
  <c r="W1451" i="1483"/>
  <c r="W1452" i="1483"/>
  <c r="W1453" i="1483"/>
  <c r="W1454" i="1483"/>
  <c r="W1455" i="1483"/>
  <c r="W1456" i="1483"/>
  <c r="W1457" i="1483"/>
  <c r="W1458" i="1483"/>
  <c r="W1459" i="1483"/>
  <c r="W1460" i="1483"/>
  <c r="W1461" i="1483"/>
  <c r="W1462" i="1483"/>
  <c r="W1463" i="1483"/>
  <c r="W1464" i="1483"/>
  <c r="W1465" i="1483"/>
  <c r="W1466" i="1483"/>
  <c r="W1467" i="1483"/>
  <c r="W1468" i="1483"/>
  <c r="W1469" i="1483"/>
  <c r="W1470" i="1483"/>
  <c r="W1471" i="1483"/>
  <c r="W1472" i="1483"/>
  <c r="W1473" i="1483"/>
  <c r="W1474" i="1483"/>
  <c r="W1475" i="1483"/>
  <c r="W1476" i="1483"/>
  <c r="W1477" i="1483"/>
  <c r="W1478" i="1483"/>
  <c r="W1479" i="1483"/>
  <c r="W1480" i="1483"/>
  <c r="W1481" i="1483"/>
  <c r="W1482" i="1483"/>
  <c r="W1483" i="1483"/>
  <c r="W1484" i="1483"/>
  <c r="W1485" i="1483"/>
  <c r="W1486" i="1483"/>
  <c r="W1487" i="1483"/>
  <c r="W1488" i="1483"/>
  <c r="W1489" i="1483"/>
  <c r="W1490" i="1483"/>
  <c r="W1491" i="1483"/>
  <c r="W1492" i="1483"/>
  <c r="W1493" i="1483"/>
  <c r="W1494" i="1483"/>
  <c r="W1495" i="1483"/>
  <c r="W1496" i="1483"/>
  <c r="W1497" i="1483"/>
  <c r="W1498" i="1483"/>
  <c r="W1499" i="1483"/>
  <c r="W1500" i="1483"/>
  <c r="W1501" i="1483"/>
  <c r="W1502" i="1483"/>
  <c r="W1503" i="1483"/>
  <c r="W1504" i="1483"/>
  <c r="W1505" i="1483"/>
  <c r="W1506" i="1483"/>
  <c r="W1507" i="1483"/>
  <c r="W1508" i="1483"/>
  <c r="W1509" i="1483"/>
  <c r="W1510" i="1483"/>
  <c r="W1511" i="1483"/>
  <c r="W1512" i="1483"/>
  <c r="W1513" i="1483"/>
  <c r="W1514" i="1483"/>
  <c r="W1515" i="1483"/>
  <c r="W1516" i="1483"/>
  <c r="W1517" i="1483"/>
  <c r="W1518" i="1483"/>
  <c r="W1519" i="1483"/>
  <c r="W1520" i="1483"/>
  <c r="W1521" i="1483"/>
  <c r="W1522" i="1483"/>
  <c r="W1523" i="1483"/>
  <c r="W1524" i="1483"/>
  <c r="W1525" i="1483"/>
  <c r="W1526" i="1483"/>
  <c r="W1527" i="1483"/>
  <c r="W1528" i="1483"/>
  <c r="W1529" i="1483"/>
  <c r="W1530" i="1483"/>
  <c r="W1531" i="1483"/>
  <c r="W1532" i="1483"/>
  <c r="W1533" i="1483"/>
  <c r="W1534" i="1483"/>
  <c r="W1535" i="1483"/>
  <c r="W1536" i="1483"/>
  <c r="W1537" i="1483"/>
  <c r="W1538" i="1483"/>
  <c r="W1539" i="1483"/>
  <c r="W1540" i="1483"/>
  <c r="W1541" i="1483"/>
  <c r="W1542" i="1483"/>
  <c r="W1543" i="1483"/>
  <c r="W1544" i="1483"/>
  <c r="W1545" i="1483"/>
  <c r="W1546" i="1483"/>
  <c r="W1547" i="1483"/>
  <c r="W1548" i="1483"/>
  <c r="W1549" i="1483"/>
  <c r="W1550" i="1483"/>
  <c r="W1551" i="1483"/>
  <c r="W1552" i="1483"/>
  <c r="W1553" i="1483"/>
  <c r="W1554" i="1483"/>
  <c r="W1555" i="1483"/>
  <c r="W1556" i="1483"/>
  <c r="W1557" i="1483"/>
  <c r="W1558" i="1483"/>
  <c r="W1559" i="1483"/>
  <c r="W1560" i="1483"/>
  <c r="W1561" i="1483"/>
  <c r="W1562" i="1483"/>
  <c r="W1563" i="1483"/>
  <c r="W1564" i="1483"/>
  <c r="W1565" i="1483"/>
  <c r="W1566" i="1483"/>
  <c r="W1567" i="1483"/>
  <c r="W1568" i="1483"/>
  <c r="W1569" i="1483"/>
  <c r="W1570" i="1483"/>
  <c r="W1571" i="1483"/>
  <c r="W1572" i="1483"/>
  <c r="W1573" i="1483"/>
  <c r="W1574" i="1483"/>
  <c r="W1575" i="1483"/>
  <c r="W1576" i="1483"/>
  <c r="W1577" i="1483"/>
  <c r="W1578" i="1483"/>
  <c r="W1579" i="1483"/>
  <c r="W1580" i="1483"/>
  <c r="W1581" i="1483"/>
  <c r="W1582" i="1483"/>
  <c r="W1583" i="1483"/>
  <c r="W1584" i="1483"/>
  <c r="W1585" i="1483"/>
  <c r="W1586" i="1483"/>
  <c r="W1587" i="1483"/>
  <c r="W1588" i="1483"/>
  <c r="W1589" i="1483"/>
  <c r="W1590" i="1483"/>
  <c r="W1591" i="1483"/>
  <c r="W1592" i="1483"/>
  <c r="W1593" i="1483"/>
  <c r="W1594" i="1483"/>
  <c r="W1595" i="1483"/>
  <c r="W1596" i="1483"/>
  <c r="W1597" i="1483"/>
  <c r="W1598" i="1483"/>
  <c r="W1599" i="1483"/>
  <c r="W1600" i="1483"/>
  <c r="W1601" i="1483"/>
  <c r="W1602" i="1483"/>
  <c r="W1603" i="1483"/>
  <c r="W1604" i="1483"/>
  <c r="W1605" i="1483"/>
  <c r="W1606" i="1483"/>
  <c r="W1607" i="1483"/>
  <c r="W1608" i="1483"/>
  <c r="W1609" i="1483"/>
  <c r="W1610" i="1483"/>
  <c r="W1611" i="1483"/>
  <c r="W1612" i="1483"/>
  <c r="W1613" i="1483"/>
  <c r="W1614" i="1483"/>
  <c r="W1615" i="1483"/>
  <c r="W1616" i="1483"/>
  <c r="W1617" i="1483"/>
  <c r="W1618" i="1483"/>
  <c r="W1619" i="1483"/>
  <c r="W1620" i="1483"/>
  <c r="W1621" i="1483"/>
  <c r="W1622" i="1483"/>
  <c r="W1623" i="1483"/>
  <c r="W1624" i="1483"/>
  <c r="W1625" i="1483"/>
  <c r="W1626" i="1483"/>
  <c r="W1627" i="1483"/>
  <c r="W1628" i="1483"/>
  <c r="W1629" i="1483"/>
  <c r="W1630" i="1483"/>
  <c r="W1631" i="1483"/>
  <c r="W1632" i="1483"/>
  <c r="W1633" i="1483"/>
  <c r="W1634" i="1483"/>
  <c r="W1635" i="1483"/>
  <c r="W1636" i="1483"/>
  <c r="W1637" i="1483"/>
  <c r="W1638" i="1483"/>
  <c r="W1639" i="1483"/>
  <c r="W1640" i="1483"/>
  <c r="W1641" i="1483"/>
  <c r="W1642" i="1483"/>
  <c r="W1643" i="1483"/>
  <c r="W1644" i="1483"/>
  <c r="W1645" i="1483"/>
  <c r="W1646" i="1483"/>
  <c r="W1647" i="1483"/>
  <c r="W1648" i="1483"/>
  <c r="W1649" i="1483"/>
  <c r="W1650" i="1483"/>
  <c r="W1651" i="1483"/>
  <c r="W1652" i="1483"/>
  <c r="W1653" i="1483"/>
  <c r="W1654" i="1483"/>
  <c r="W1655" i="1483"/>
  <c r="W1656" i="1483"/>
  <c r="W1657" i="1483"/>
  <c r="W1658" i="1483"/>
  <c r="W1659" i="1483"/>
  <c r="W1660" i="1483"/>
  <c r="W1661" i="1483"/>
  <c r="W1662" i="1483"/>
  <c r="W1663" i="1483"/>
  <c r="W1664" i="1483"/>
  <c r="W1665" i="1483"/>
  <c r="W1666" i="1483"/>
  <c r="W1667" i="1483"/>
  <c r="W1668" i="1483"/>
  <c r="W1669" i="1483"/>
  <c r="W1670" i="1483"/>
  <c r="W1671" i="1483"/>
  <c r="W1672" i="1483"/>
  <c r="W1673" i="1483"/>
  <c r="W1674" i="1483"/>
  <c r="W1675" i="1483"/>
  <c r="W1676" i="1483"/>
  <c r="W1677" i="1483"/>
  <c r="W1678" i="1483"/>
  <c r="W1679" i="1483"/>
  <c r="W1680" i="1483"/>
  <c r="W1681" i="1483"/>
  <c r="W1682" i="1483"/>
  <c r="W1683" i="1483"/>
  <c r="W1684" i="1483"/>
  <c r="W1685" i="1483"/>
  <c r="W1686" i="1483"/>
  <c r="W1687" i="1483"/>
  <c r="W1688" i="1483"/>
  <c r="W1689" i="1483"/>
  <c r="W1690" i="1483"/>
  <c r="W1691" i="1483"/>
  <c r="W1692" i="1483"/>
  <c r="W1693" i="1483"/>
  <c r="W1694" i="1483"/>
  <c r="W1695" i="1483"/>
  <c r="W1696" i="1483"/>
  <c r="W1697" i="1483"/>
  <c r="W1698" i="1483"/>
  <c r="W1699" i="1483"/>
  <c r="W1700" i="1483"/>
  <c r="W1701" i="1483"/>
  <c r="W1702" i="1483"/>
  <c r="W1703" i="1483"/>
  <c r="W1704" i="1483"/>
  <c r="W1705" i="1483"/>
  <c r="W1706" i="1483"/>
  <c r="W1707" i="1483"/>
  <c r="W1708" i="1483"/>
  <c r="W1709" i="1483"/>
  <c r="W1710" i="1483"/>
  <c r="W1711" i="1483"/>
  <c r="W1712" i="1483"/>
  <c r="W1713" i="1483"/>
  <c r="W1714" i="1483"/>
  <c r="W1715" i="1483"/>
  <c r="W1716" i="1483"/>
  <c r="W1717" i="1483"/>
  <c r="W1718" i="1483"/>
  <c r="W1719" i="1483"/>
  <c r="W1720" i="1483"/>
  <c r="W1721" i="1483"/>
  <c r="W1722" i="1483"/>
  <c r="W1723" i="1483"/>
  <c r="W1724" i="1483"/>
  <c r="W1725" i="1483"/>
  <c r="W1726" i="1483"/>
  <c r="W1727" i="1483"/>
  <c r="W1728" i="1483"/>
  <c r="W1729" i="1483"/>
  <c r="W1730" i="1483"/>
  <c r="W1731" i="1483"/>
  <c r="W1732" i="1483"/>
  <c r="W1733" i="1483"/>
  <c r="W1734" i="1483"/>
  <c r="W1735" i="1483"/>
  <c r="W1736" i="1483"/>
  <c r="W1737" i="1483"/>
  <c r="W1738" i="1483"/>
  <c r="W1739" i="1483"/>
  <c r="W1740" i="1483"/>
  <c r="W1741" i="1483"/>
  <c r="W1742" i="1483"/>
  <c r="W1743" i="1483"/>
  <c r="W1744" i="1483"/>
  <c r="W1745" i="1483"/>
  <c r="W1746" i="1483"/>
  <c r="W1747" i="1483"/>
  <c r="W1748" i="1483"/>
  <c r="W1749" i="1483"/>
  <c r="W1750" i="1483"/>
  <c r="W1751" i="1483"/>
  <c r="W1752" i="1483"/>
  <c r="W1753" i="1483"/>
  <c r="W1754" i="1483"/>
  <c r="W1755" i="1483"/>
  <c r="W1756" i="1483"/>
  <c r="W1757" i="1483"/>
  <c r="W1758" i="1483"/>
  <c r="W1759" i="1483"/>
  <c r="W1760" i="1483"/>
  <c r="W1761" i="1483"/>
  <c r="W1762" i="1483"/>
  <c r="W1763" i="1483"/>
  <c r="W1764" i="1483"/>
  <c r="W1765" i="1483"/>
  <c r="W1766" i="1483"/>
  <c r="W1767" i="1483"/>
  <c r="W1768" i="1483"/>
  <c r="W1769" i="1483"/>
  <c r="W1770" i="1483"/>
  <c r="W1771" i="1483"/>
  <c r="W1772" i="1483"/>
  <c r="W1773" i="1483"/>
  <c r="W1774" i="1483"/>
  <c r="W1775" i="1483"/>
  <c r="W1776" i="1483"/>
  <c r="W1777" i="1483"/>
  <c r="W1778" i="1483"/>
  <c r="W1779" i="1483"/>
  <c r="W1780" i="1483"/>
  <c r="W1781" i="1483"/>
  <c r="W1782" i="1483"/>
  <c r="W1783" i="1483"/>
  <c r="W1784" i="1483"/>
  <c r="W1785" i="1483"/>
  <c r="W1786" i="1483"/>
  <c r="W1787" i="1483"/>
  <c r="W1788" i="1483"/>
  <c r="W1789" i="1483"/>
  <c r="W1790" i="1483"/>
  <c r="W1791" i="1483"/>
  <c r="W1792" i="1483"/>
  <c r="W1793" i="1483"/>
  <c r="W1794" i="1483"/>
  <c r="W1795" i="1483"/>
  <c r="W1796" i="1483"/>
  <c r="W1797" i="1483"/>
  <c r="W1798" i="1483"/>
  <c r="W1799" i="1483"/>
  <c r="W1800" i="1483"/>
  <c r="W1801" i="1483"/>
  <c r="W1802" i="1483"/>
  <c r="W1803" i="1483"/>
  <c r="W1804" i="1483"/>
  <c r="W1805" i="1483"/>
  <c r="W1806" i="1483"/>
  <c r="W1807" i="1483"/>
  <c r="W1808" i="1483"/>
  <c r="W1809" i="1483"/>
  <c r="W1810" i="1483"/>
  <c r="W1811" i="1483"/>
  <c r="W1812" i="1483"/>
  <c r="W1813" i="1483"/>
  <c r="W1814" i="1483"/>
  <c r="W1815" i="1483"/>
  <c r="W1816" i="1483"/>
  <c r="W1817" i="1483"/>
  <c r="W1818" i="1483"/>
  <c r="W1819" i="1483"/>
  <c r="W1820" i="1483"/>
  <c r="W1821" i="1483"/>
  <c r="W1822" i="1483"/>
  <c r="W1823" i="1483"/>
  <c r="W1824" i="1483"/>
  <c r="W1825" i="1483"/>
  <c r="W1826" i="1483"/>
  <c r="W1827" i="1483"/>
  <c r="W1828" i="1483"/>
  <c r="W1829" i="1483"/>
  <c r="W1830" i="1483"/>
  <c r="W1831" i="1483"/>
  <c r="W1832" i="1483"/>
  <c r="W1833" i="1483"/>
  <c r="W1834" i="1483"/>
  <c r="W1835" i="1483"/>
  <c r="W1836" i="1483"/>
  <c r="W1837" i="1483"/>
  <c r="W1838" i="1483"/>
  <c r="W1839" i="1483"/>
  <c r="W1840" i="1483"/>
  <c r="W1841" i="1483"/>
  <c r="W1842" i="1483"/>
  <c r="W1843" i="1483"/>
  <c r="W1844" i="1483"/>
  <c r="W1845" i="1483"/>
  <c r="W1846" i="1483"/>
  <c r="W1847" i="1483"/>
  <c r="W1848" i="1483"/>
  <c r="W1849" i="1483"/>
  <c r="W1850" i="1483"/>
  <c r="W1851" i="1483"/>
  <c r="W1852" i="1483"/>
  <c r="W1853" i="1483"/>
  <c r="W1854" i="1483"/>
  <c r="W1855" i="1483"/>
  <c r="W1856" i="1483"/>
  <c r="W1857" i="1483"/>
  <c r="W1858" i="1483"/>
  <c r="W1859" i="1483"/>
  <c r="W1860" i="1483"/>
  <c r="W1861" i="1483"/>
  <c r="W1862" i="1483"/>
  <c r="W1863" i="1483"/>
  <c r="W1864" i="1483"/>
  <c r="W1865" i="1483"/>
  <c r="W1866" i="1483"/>
  <c r="W1867" i="1483"/>
  <c r="W1868" i="1483"/>
  <c r="W1869" i="1483"/>
  <c r="W1870" i="1483"/>
  <c r="W1871" i="1483"/>
  <c r="W1872" i="1483"/>
  <c r="W1873" i="1483"/>
  <c r="W1874" i="1483"/>
  <c r="W1875" i="1483"/>
  <c r="W1876" i="1483"/>
  <c r="W1877" i="1483"/>
  <c r="W1878" i="1483"/>
  <c r="W1879" i="1483"/>
  <c r="W1880" i="1483"/>
  <c r="W1881" i="1483"/>
  <c r="W1882" i="1483"/>
  <c r="W1883" i="1483"/>
  <c r="W1884" i="1483"/>
  <c r="W1885" i="1483"/>
  <c r="W1886" i="1483"/>
  <c r="W1887" i="1483"/>
  <c r="W1888" i="1483"/>
  <c r="W1889" i="1483"/>
  <c r="W1890" i="1483"/>
  <c r="W1891" i="1483"/>
  <c r="W1892" i="1483"/>
  <c r="W1893" i="1483"/>
  <c r="W1894" i="1483"/>
  <c r="W1895" i="1483"/>
  <c r="W1896" i="1483"/>
  <c r="W1897" i="1483"/>
  <c r="W1898" i="1483"/>
  <c r="W1899" i="1483"/>
  <c r="W1900" i="1483"/>
  <c r="W1901" i="1483"/>
  <c r="W1902" i="1483"/>
  <c r="W1903" i="1483"/>
  <c r="B1902" i="1483"/>
  <c r="B1903" i="1483"/>
  <c r="B1900" i="1483"/>
  <c r="B1901" i="1483"/>
  <c r="B1898" i="1483"/>
  <c r="B1899" i="1483"/>
  <c r="B1896" i="1483"/>
  <c r="B1897" i="1483"/>
  <c r="B1894" i="1483"/>
  <c r="B1895" i="1483"/>
  <c r="B1892" i="1483"/>
  <c r="B1893" i="1483"/>
  <c r="B1890" i="1483"/>
  <c r="B1891" i="1483"/>
  <c r="B1888" i="1483"/>
  <c r="B1889" i="1483"/>
  <c r="B1886" i="1483"/>
  <c r="B1887" i="1483"/>
  <c r="B1884" i="1483"/>
  <c r="B1885" i="1483"/>
  <c r="B1882" i="1483"/>
  <c r="B1883" i="1483"/>
  <c r="B1880" i="1483"/>
  <c r="B1881" i="1483"/>
  <c r="B1878" i="1483"/>
  <c r="B1879" i="1483"/>
  <c r="B1876" i="1483"/>
  <c r="B1877" i="1483"/>
  <c r="B1874" i="1483"/>
  <c r="B1875" i="1483"/>
  <c r="B1872" i="1483"/>
  <c r="B1873" i="1483"/>
  <c r="B1870" i="1483"/>
  <c r="B1871" i="1483"/>
  <c r="B1868" i="1483"/>
  <c r="B1869" i="1483"/>
  <c r="B1866" i="1483"/>
  <c r="B1867" i="1483"/>
  <c r="B1864" i="1483"/>
  <c r="B1865" i="1483"/>
  <c r="B1862" i="1483"/>
  <c r="B1863" i="1483"/>
  <c r="B1860" i="1483"/>
  <c r="B1861" i="1483"/>
  <c r="B1858" i="1483"/>
  <c r="B1859" i="1483"/>
  <c r="B1856" i="1483"/>
  <c r="B1857" i="1483"/>
  <c r="B1854" i="1483"/>
  <c r="B1855" i="1483"/>
  <c r="B1852" i="1483"/>
  <c r="B1853" i="1483"/>
  <c r="B1850" i="1483"/>
  <c r="B1851" i="1483"/>
  <c r="B1848" i="1483"/>
  <c r="B1849" i="1483"/>
  <c r="B1846" i="1483"/>
  <c r="B1847" i="1483"/>
  <c r="B1844" i="1483"/>
  <c r="B1845" i="1483"/>
  <c r="B1842" i="1483"/>
  <c r="B1843" i="1483"/>
  <c r="B1840" i="1483"/>
  <c r="B1841" i="1483"/>
  <c r="B1838" i="1483"/>
  <c r="B1839" i="1483"/>
  <c r="B1836" i="1483"/>
  <c r="B1837" i="1483"/>
  <c r="B1834" i="1483"/>
  <c r="B1835" i="1483"/>
  <c r="B1832" i="1483"/>
  <c r="B1833" i="1483"/>
  <c r="B1830" i="1483"/>
  <c r="B1831" i="1483"/>
  <c r="B1828" i="1483"/>
  <c r="B1829" i="1483"/>
  <c r="B1826" i="1483"/>
  <c r="B1827" i="1483"/>
  <c r="B1824" i="1483"/>
  <c r="B1825" i="1483"/>
  <c r="B1822" i="1483"/>
  <c r="B1823" i="1483"/>
  <c r="B1820" i="1483"/>
  <c r="B1821" i="1483"/>
  <c r="B1818" i="1483"/>
  <c r="B1819" i="1483"/>
  <c r="B1816" i="1483"/>
  <c r="B1817" i="1483"/>
  <c r="B1814" i="1483"/>
  <c r="B1815" i="1483"/>
  <c r="B1812" i="1483"/>
  <c r="B1813" i="1483"/>
  <c r="B1810" i="1483"/>
  <c r="B1811" i="1483"/>
  <c r="B1808" i="1483"/>
  <c r="B1809" i="1483"/>
  <c r="B1806" i="1483"/>
  <c r="B1807" i="1483"/>
  <c r="B1804" i="1483"/>
  <c r="B1805" i="1483"/>
  <c r="B1802" i="1483"/>
  <c r="B1803" i="1483"/>
  <c r="B1800" i="1483"/>
  <c r="B1801" i="1483"/>
  <c r="B1798" i="1483"/>
  <c r="B1799" i="1483"/>
  <c r="B1796" i="1483"/>
  <c r="B1797" i="1483"/>
  <c r="B1794" i="1483"/>
  <c r="B1795" i="1483"/>
  <c r="B1792" i="1483"/>
  <c r="B1793" i="1483"/>
  <c r="R2" i="1483"/>
  <c r="R3" i="1483"/>
  <c r="R4" i="1483"/>
  <c r="R5" i="1483"/>
  <c r="R6" i="1483"/>
  <c r="R7" i="1483"/>
  <c r="R8" i="1483"/>
  <c r="R9" i="1483"/>
  <c r="R10" i="1483"/>
  <c r="R11" i="1483"/>
  <c r="R12" i="1483"/>
  <c r="R13" i="1483"/>
  <c r="R14" i="1483"/>
  <c r="R15" i="1483"/>
  <c r="R16" i="1483"/>
  <c r="R17" i="1483"/>
  <c r="R18" i="1483"/>
  <c r="R19" i="1483"/>
  <c r="R20" i="1483"/>
  <c r="R21" i="1483"/>
  <c r="R22" i="1483"/>
  <c r="R23" i="1483"/>
  <c r="R24" i="1483"/>
  <c r="R25" i="1483"/>
  <c r="R26" i="1483"/>
  <c r="R27" i="1483"/>
  <c r="R28" i="1483"/>
  <c r="R29" i="1483"/>
  <c r="R30" i="1483"/>
  <c r="R31" i="1483"/>
  <c r="R32" i="1483"/>
  <c r="R33" i="1483"/>
  <c r="R34" i="1483"/>
  <c r="R35" i="1483"/>
  <c r="R36" i="1483"/>
  <c r="R37" i="1483"/>
  <c r="R38" i="1483"/>
  <c r="R39" i="1483"/>
  <c r="R40" i="1483"/>
  <c r="R41" i="1483"/>
  <c r="R42" i="1483"/>
  <c r="R43" i="1483"/>
  <c r="R44" i="1483"/>
  <c r="R45" i="1483"/>
  <c r="R46" i="1483"/>
  <c r="R47" i="1483"/>
  <c r="R48" i="1483"/>
  <c r="R49" i="1483"/>
  <c r="R50" i="1483"/>
  <c r="R51" i="1483"/>
  <c r="R52" i="1483"/>
  <c r="R53" i="1483"/>
  <c r="R54" i="1483"/>
  <c r="R55" i="1483"/>
  <c r="R56" i="1483"/>
  <c r="R57" i="1483"/>
  <c r="R58" i="1483"/>
  <c r="R59" i="1483"/>
  <c r="R60" i="1483"/>
  <c r="R61" i="1483"/>
  <c r="R62" i="1483"/>
  <c r="R63" i="1483"/>
  <c r="R64" i="1483"/>
  <c r="R65" i="1483"/>
  <c r="R66" i="1483"/>
  <c r="R67" i="1483"/>
  <c r="R68" i="1483"/>
  <c r="R69" i="1483"/>
  <c r="R70" i="1483"/>
  <c r="R71" i="1483"/>
  <c r="R72" i="1483"/>
  <c r="R73" i="1483"/>
  <c r="R74" i="1483"/>
  <c r="R75" i="1483"/>
  <c r="R76" i="1483"/>
  <c r="R77" i="1483"/>
  <c r="R78" i="1483"/>
  <c r="R79" i="1483"/>
  <c r="R80" i="1483"/>
  <c r="R81" i="1483"/>
  <c r="R82" i="1483"/>
  <c r="R83" i="1483"/>
  <c r="R84" i="1483"/>
  <c r="R85" i="1483"/>
  <c r="R86" i="1483"/>
  <c r="R87" i="1483"/>
  <c r="R88" i="1483"/>
  <c r="R89" i="1483"/>
  <c r="R90" i="1483"/>
  <c r="R91" i="1483"/>
  <c r="R92" i="1483"/>
  <c r="R93" i="1483"/>
  <c r="R94" i="1483"/>
  <c r="R95" i="1483"/>
  <c r="R96" i="1483"/>
  <c r="R97" i="1483"/>
  <c r="R98" i="1483"/>
  <c r="R99" i="1483"/>
  <c r="R100" i="1483"/>
  <c r="R101" i="1483"/>
  <c r="R102" i="1483"/>
  <c r="R103" i="1483"/>
  <c r="R104" i="1483"/>
  <c r="R105" i="1483"/>
  <c r="R106" i="1483"/>
  <c r="R107" i="1483"/>
  <c r="R108" i="1483"/>
  <c r="R109" i="1483"/>
  <c r="R110" i="1483"/>
  <c r="R111" i="1483"/>
  <c r="R112" i="1483"/>
  <c r="R113" i="1483"/>
  <c r="R114" i="1483"/>
  <c r="R115" i="1483"/>
  <c r="R116" i="1483"/>
  <c r="R117" i="1483"/>
  <c r="R118" i="1483"/>
  <c r="R119" i="1483"/>
  <c r="R120" i="1483"/>
  <c r="R121" i="1483"/>
  <c r="R122" i="1483"/>
  <c r="R123" i="1483"/>
  <c r="R124" i="1483"/>
  <c r="R125" i="1483"/>
  <c r="R126" i="1483"/>
  <c r="R127" i="1483"/>
  <c r="R128" i="1483"/>
  <c r="R129" i="1483"/>
  <c r="R130" i="1483"/>
  <c r="R131" i="1483"/>
  <c r="R132" i="1483"/>
  <c r="R133" i="1483"/>
  <c r="R134" i="1483"/>
  <c r="R135" i="1483"/>
  <c r="R136" i="1483"/>
  <c r="R137" i="1483"/>
  <c r="R138" i="1483"/>
  <c r="R139" i="1483"/>
  <c r="R140" i="1483"/>
  <c r="R141" i="1483"/>
  <c r="R142" i="1483"/>
  <c r="R143" i="1483"/>
  <c r="R144" i="1483"/>
  <c r="R145" i="1483"/>
  <c r="R146" i="1483"/>
  <c r="R147" i="1483"/>
  <c r="R148" i="1483"/>
  <c r="R149" i="1483"/>
  <c r="R150" i="1483"/>
  <c r="R151" i="1483"/>
  <c r="R152" i="1483"/>
  <c r="R153" i="1483"/>
  <c r="R154" i="1483"/>
  <c r="R155" i="1483"/>
  <c r="R156" i="1483"/>
  <c r="R157" i="1483"/>
  <c r="R158" i="1483"/>
  <c r="R159" i="1483"/>
  <c r="R160" i="1483"/>
  <c r="R161" i="1483"/>
  <c r="R162" i="1483"/>
  <c r="R163" i="1483"/>
  <c r="R164" i="1483"/>
  <c r="R165" i="1483"/>
  <c r="R166" i="1483"/>
  <c r="R167" i="1483"/>
  <c r="R168" i="1483"/>
  <c r="R169" i="1483"/>
  <c r="R170" i="1483"/>
  <c r="R171" i="1483"/>
  <c r="R172" i="1483"/>
  <c r="R173" i="1483"/>
  <c r="R174" i="1483"/>
  <c r="R175" i="1483"/>
  <c r="R176" i="1483"/>
  <c r="R177" i="1483"/>
  <c r="R178" i="1483"/>
  <c r="R179" i="1483"/>
  <c r="R180" i="1483"/>
  <c r="R181" i="1483"/>
  <c r="R182" i="1483"/>
  <c r="R183" i="1483"/>
  <c r="R184" i="1483"/>
  <c r="R185" i="1483"/>
  <c r="R186" i="1483"/>
  <c r="R187" i="1483"/>
  <c r="R188" i="1483"/>
  <c r="R189" i="1483"/>
  <c r="R190" i="1483"/>
  <c r="R191" i="1483"/>
  <c r="R192" i="1483"/>
  <c r="R193" i="1483"/>
  <c r="R194" i="1483"/>
  <c r="R195" i="1483"/>
  <c r="R196" i="1483"/>
  <c r="R197" i="1483"/>
  <c r="R198" i="1483"/>
  <c r="R199" i="1483"/>
  <c r="R200" i="1483"/>
  <c r="R201" i="1483"/>
  <c r="R202" i="1483"/>
  <c r="R203" i="1483"/>
  <c r="R204" i="1483"/>
  <c r="R205" i="1483"/>
  <c r="R206" i="1483"/>
  <c r="R207" i="1483"/>
  <c r="R208" i="1483"/>
  <c r="R209" i="1483"/>
  <c r="R210" i="1483"/>
  <c r="R211" i="1483"/>
  <c r="R212" i="1483"/>
  <c r="R213" i="1483"/>
  <c r="R214" i="1483"/>
  <c r="R215" i="1483"/>
  <c r="R216" i="1483"/>
  <c r="R217" i="1483"/>
  <c r="R218" i="1483"/>
  <c r="R219" i="1483"/>
  <c r="R220" i="1483"/>
  <c r="R221" i="1483"/>
  <c r="R222" i="1483"/>
  <c r="R223" i="1483"/>
  <c r="R224" i="1483"/>
  <c r="R225" i="1483"/>
  <c r="R226" i="1483"/>
  <c r="R227" i="1483"/>
  <c r="R228" i="1483"/>
  <c r="R229" i="1483"/>
  <c r="R230" i="1483"/>
  <c r="R231" i="1483"/>
  <c r="R232" i="1483"/>
  <c r="R233" i="1483"/>
  <c r="R234" i="1483"/>
  <c r="R235" i="1483"/>
  <c r="R236" i="1483"/>
  <c r="R237" i="1483"/>
  <c r="R238" i="1483"/>
  <c r="R239" i="1483"/>
  <c r="R240" i="1483"/>
  <c r="R241" i="1483"/>
  <c r="R242" i="1483"/>
  <c r="R243" i="1483"/>
  <c r="R244" i="1483"/>
  <c r="R245" i="1483"/>
  <c r="R246" i="1483"/>
  <c r="R247" i="1483"/>
  <c r="R248" i="1483"/>
  <c r="R249" i="1483"/>
  <c r="R250" i="1483"/>
  <c r="R251" i="1483"/>
  <c r="R252" i="1483"/>
  <c r="R253" i="1483"/>
  <c r="R254" i="1483"/>
  <c r="R255" i="1483"/>
  <c r="R256" i="1483"/>
  <c r="R257" i="1483"/>
  <c r="R258" i="1483"/>
  <c r="R259" i="1483"/>
  <c r="R260" i="1483"/>
  <c r="R261" i="1483"/>
  <c r="R262" i="1483"/>
  <c r="R263" i="1483"/>
  <c r="R264" i="1483"/>
  <c r="R265" i="1483"/>
  <c r="R266" i="1483"/>
  <c r="R267" i="1483"/>
  <c r="R268" i="1483"/>
  <c r="R269" i="1483"/>
  <c r="R270" i="1483"/>
  <c r="R271" i="1483"/>
  <c r="R272" i="1483"/>
  <c r="R273" i="1483"/>
  <c r="R274" i="1483"/>
  <c r="R275" i="1483"/>
  <c r="R276" i="1483"/>
  <c r="R277" i="1483"/>
  <c r="R278" i="1483"/>
  <c r="R279" i="1483"/>
  <c r="R280" i="1483"/>
  <c r="R281" i="1483"/>
  <c r="R282" i="1483"/>
  <c r="R283" i="1483"/>
  <c r="R284" i="1483"/>
  <c r="R285" i="1483"/>
  <c r="R286" i="1483"/>
  <c r="R287" i="1483"/>
  <c r="R288" i="1483"/>
  <c r="R289" i="1483"/>
  <c r="R290" i="1483"/>
  <c r="R291" i="1483"/>
  <c r="R292" i="1483"/>
  <c r="R293" i="1483"/>
  <c r="R294" i="1483"/>
  <c r="R295" i="1483"/>
  <c r="R296" i="1483"/>
  <c r="R297" i="1483"/>
  <c r="R298" i="1483"/>
  <c r="R299" i="1483"/>
  <c r="R300" i="1483"/>
  <c r="R301" i="1483"/>
  <c r="R302" i="1483"/>
  <c r="R303" i="1483"/>
  <c r="R304" i="1483"/>
  <c r="R305" i="1483"/>
  <c r="R306" i="1483"/>
  <c r="R307" i="1483"/>
  <c r="R308" i="1483"/>
  <c r="R309" i="1483"/>
  <c r="R310" i="1483"/>
  <c r="R311" i="1483"/>
  <c r="R312" i="1483"/>
  <c r="R313" i="1483"/>
  <c r="R314" i="1483"/>
  <c r="R315" i="1483"/>
  <c r="R316" i="1483"/>
  <c r="R317" i="1483"/>
  <c r="R318" i="1483"/>
  <c r="R319" i="1483"/>
  <c r="R320" i="1483"/>
  <c r="R321" i="1483"/>
  <c r="R322" i="1483"/>
  <c r="R323" i="1483"/>
  <c r="R324" i="1483"/>
  <c r="R325" i="1483"/>
  <c r="R326" i="1483"/>
  <c r="R327" i="1483"/>
  <c r="R328" i="1483"/>
  <c r="R329" i="1483"/>
  <c r="R330" i="1483"/>
  <c r="R331" i="1483"/>
  <c r="R332" i="1483"/>
  <c r="R333" i="1483"/>
  <c r="R334" i="1483"/>
  <c r="R335" i="1483"/>
  <c r="R336" i="1483"/>
  <c r="R337" i="1483"/>
  <c r="R338" i="1483"/>
  <c r="R339" i="1483"/>
  <c r="R340" i="1483"/>
  <c r="R341" i="1483"/>
  <c r="R342" i="1483"/>
  <c r="R343" i="1483"/>
  <c r="R344" i="1483"/>
  <c r="R345" i="1483"/>
  <c r="R346" i="1483"/>
  <c r="R347" i="1483"/>
  <c r="R348" i="1483"/>
  <c r="R349" i="1483"/>
  <c r="R350" i="1483"/>
  <c r="R351" i="1483"/>
  <c r="R352" i="1483"/>
  <c r="R353" i="1483"/>
  <c r="R354" i="1483"/>
  <c r="R355" i="1483"/>
  <c r="R356" i="1483"/>
  <c r="R357" i="1483"/>
  <c r="R358" i="1483"/>
  <c r="R359" i="1483"/>
  <c r="R360" i="1483"/>
  <c r="R361" i="1483"/>
  <c r="R362" i="1483"/>
  <c r="R363" i="1483"/>
  <c r="R364" i="1483"/>
  <c r="R365" i="1483"/>
  <c r="R366" i="1483"/>
  <c r="R367" i="1483"/>
  <c r="R368" i="1483"/>
  <c r="R369" i="1483"/>
  <c r="R370" i="1483"/>
  <c r="R371" i="1483"/>
  <c r="R372" i="1483"/>
  <c r="R373" i="1483"/>
  <c r="R374" i="1483"/>
  <c r="R375" i="1483"/>
  <c r="R376" i="1483"/>
  <c r="R377" i="1483"/>
  <c r="R378" i="1483"/>
  <c r="R379" i="1483"/>
  <c r="R380" i="1483"/>
  <c r="R381" i="1483"/>
  <c r="R382" i="1483"/>
  <c r="R383" i="1483"/>
  <c r="R384" i="1483"/>
  <c r="R385" i="1483"/>
  <c r="R386" i="1483"/>
  <c r="R387" i="1483"/>
  <c r="R388" i="1483"/>
  <c r="R389" i="1483"/>
  <c r="R390" i="1483"/>
  <c r="R391" i="1483"/>
  <c r="R392" i="1483"/>
  <c r="R393" i="1483"/>
  <c r="R394" i="1483"/>
  <c r="R395" i="1483"/>
  <c r="R396" i="1483"/>
  <c r="R397" i="1483"/>
  <c r="R398" i="1483"/>
  <c r="R399" i="1483"/>
  <c r="R400" i="1483"/>
  <c r="R401" i="1483"/>
  <c r="R402" i="1483"/>
  <c r="R403" i="1483"/>
  <c r="R404" i="1483"/>
  <c r="R405" i="1483"/>
  <c r="R406" i="1483"/>
  <c r="R407" i="1483"/>
  <c r="R408" i="1483"/>
  <c r="R409" i="1483"/>
  <c r="R410" i="1483"/>
  <c r="R411" i="1483"/>
  <c r="R412" i="1483"/>
  <c r="R413" i="1483"/>
  <c r="R414" i="1483"/>
  <c r="R415" i="1483"/>
  <c r="R416" i="1483"/>
  <c r="R417" i="1483"/>
  <c r="R418" i="1483"/>
  <c r="R419" i="1483"/>
  <c r="R420" i="1483"/>
  <c r="R421" i="1483"/>
  <c r="R422" i="1483"/>
  <c r="R423" i="1483"/>
  <c r="R424" i="1483"/>
  <c r="R425" i="1483"/>
  <c r="R426" i="1483"/>
  <c r="R427" i="1483"/>
  <c r="R428" i="1483"/>
  <c r="R429" i="1483"/>
  <c r="R430" i="1483"/>
  <c r="R431" i="1483"/>
  <c r="R432" i="1483"/>
  <c r="R433" i="1483"/>
  <c r="R434" i="1483"/>
  <c r="R435" i="1483"/>
  <c r="R436" i="1483"/>
  <c r="R437" i="1483"/>
  <c r="R438" i="1483"/>
  <c r="R439" i="1483"/>
  <c r="R440" i="1483"/>
  <c r="R441" i="1483"/>
  <c r="R442" i="1483"/>
  <c r="R443" i="1483"/>
  <c r="R444" i="1483"/>
  <c r="R445" i="1483"/>
  <c r="R446" i="1483"/>
  <c r="R447" i="1483"/>
  <c r="R448" i="1483"/>
  <c r="R449" i="1483"/>
  <c r="R450" i="1483"/>
  <c r="R451" i="1483"/>
  <c r="R452" i="1483"/>
  <c r="R453" i="1483"/>
  <c r="R454" i="1483"/>
  <c r="R455" i="1483"/>
  <c r="R456" i="1483"/>
  <c r="R457" i="1483"/>
  <c r="R458" i="1483"/>
  <c r="R459" i="1483"/>
  <c r="R460" i="1483"/>
  <c r="R461" i="1483"/>
  <c r="R462" i="1483"/>
  <c r="R463" i="1483"/>
  <c r="R464" i="1483"/>
  <c r="R465" i="1483"/>
  <c r="R466" i="1483"/>
  <c r="R467" i="1483"/>
  <c r="R468" i="1483"/>
  <c r="R469" i="1483"/>
  <c r="R470" i="1483"/>
  <c r="R471" i="1483"/>
  <c r="R472" i="1483"/>
  <c r="R473" i="1483"/>
  <c r="R474" i="1483"/>
  <c r="R475" i="1483"/>
  <c r="R476" i="1483"/>
  <c r="R477" i="1483"/>
  <c r="R478" i="1483"/>
  <c r="R479" i="1483"/>
  <c r="R480" i="1483"/>
  <c r="R481" i="1483"/>
  <c r="R482" i="1483"/>
  <c r="R483" i="1483"/>
  <c r="R484" i="1483"/>
  <c r="R485" i="1483"/>
  <c r="R486" i="1483"/>
  <c r="R487" i="1483"/>
  <c r="R488" i="1483"/>
  <c r="R489" i="1483"/>
  <c r="R490" i="1483"/>
  <c r="R491" i="1483"/>
  <c r="R492" i="1483"/>
  <c r="R493" i="1483"/>
  <c r="R494" i="1483"/>
  <c r="R495" i="1483"/>
  <c r="R496" i="1483"/>
  <c r="R497" i="1483"/>
  <c r="R498" i="1483"/>
  <c r="R499" i="1483"/>
  <c r="R500" i="1483"/>
  <c r="R501" i="1483"/>
  <c r="R502" i="1483"/>
  <c r="R503" i="1483"/>
  <c r="R504" i="1483"/>
  <c r="R505" i="1483"/>
  <c r="R506" i="1483"/>
  <c r="R507" i="1483"/>
  <c r="R508" i="1483"/>
  <c r="R509" i="1483"/>
  <c r="R510" i="1483"/>
  <c r="R511" i="1483"/>
  <c r="R512" i="1483"/>
  <c r="R513" i="1483"/>
  <c r="R514" i="1483"/>
  <c r="R515" i="1483"/>
  <c r="R516" i="1483"/>
  <c r="R517" i="1483"/>
  <c r="R518" i="1483"/>
  <c r="R519" i="1483"/>
  <c r="R520" i="1483"/>
  <c r="R521" i="1483"/>
  <c r="R522" i="1483"/>
  <c r="R523" i="1483"/>
  <c r="R524" i="1483"/>
  <c r="R525" i="1483"/>
  <c r="R526" i="1483"/>
  <c r="R527" i="1483"/>
  <c r="R528" i="1483"/>
  <c r="R529" i="1483"/>
  <c r="R530" i="1483"/>
  <c r="R531" i="1483"/>
  <c r="R532" i="1483"/>
  <c r="R533" i="1483"/>
  <c r="R534" i="1483"/>
  <c r="R535" i="1483"/>
  <c r="R536" i="1483"/>
  <c r="R537" i="1483"/>
  <c r="R538" i="1483"/>
  <c r="R539" i="1483"/>
  <c r="R540" i="1483"/>
  <c r="R541" i="1483"/>
  <c r="R542" i="1483"/>
  <c r="R543" i="1483"/>
  <c r="R544" i="1483"/>
  <c r="R545" i="1483"/>
  <c r="R546" i="1483"/>
  <c r="R547" i="1483"/>
  <c r="R548" i="1483"/>
  <c r="R549" i="1483"/>
  <c r="R550" i="1483"/>
  <c r="R551" i="1483"/>
  <c r="R552" i="1483"/>
  <c r="R553" i="1483"/>
  <c r="R554" i="1483"/>
  <c r="R555" i="1483"/>
  <c r="R556" i="1483"/>
  <c r="R557" i="1483"/>
  <c r="R558" i="1483"/>
  <c r="R559" i="1483"/>
  <c r="R560" i="1483"/>
  <c r="R561" i="1483"/>
  <c r="R562" i="1483"/>
  <c r="R563" i="1483"/>
  <c r="R564" i="1483"/>
  <c r="R565" i="1483"/>
  <c r="R566" i="1483"/>
  <c r="R567" i="1483"/>
  <c r="R568" i="1483"/>
  <c r="R569" i="1483"/>
  <c r="R570" i="1483"/>
  <c r="R571" i="1483"/>
  <c r="R572" i="1483"/>
  <c r="R573" i="1483"/>
  <c r="R574" i="1483"/>
  <c r="R575" i="1483"/>
  <c r="R576" i="1483"/>
  <c r="R577" i="1483"/>
  <c r="R578" i="1483"/>
  <c r="R579" i="1483"/>
  <c r="R580" i="1483"/>
  <c r="R581" i="1483"/>
  <c r="R582" i="1483"/>
  <c r="R583" i="1483"/>
  <c r="R584" i="1483"/>
  <c r="R585" i="1483"/>
  <c r="R586" i="1483"/>
  <c r="R587" i="1483"/>
  <c r="R588" i="1483"/>
  <c r="R589" i="1483"/>
  <c r="R590" i="1483"/>
  <c r="R591" i="1483"/>
  <c r="R592" i="1483"/>
  <c r="R593" i="1483"/>
  <c r="R594" i="1483"/>
  <c r="R595" i="1483"/>
  <c r="R596" i="1483"/>
  <c r="R597" i="1483"/>
  <c r="R598" i="1483"/>
  <c r="R599" i="1483"/>
  <c r="R600" i="1483"/>
  <c r="R601" i="1483"/>
  <c r="R602" i="1483"/>
  <c r="R603" i="1483"/>
  <c r="R604" i="1483"/>
  <c r="R605" i="1483"/>
  <c r="R606" i="1483"/>
  <c r="R607" i="1483"/>
  <c r="R608" i="1483"/>
  <c r="R609" i="1483"/>
  <c r="R610" i="1483"/>
  <c r="R611" i="1483"/>
  <c r="R612" i="1483"/>
  <c r="R613" i="1483"/>
  <c r="R614" i="1483"/>
  <c r="R615" i="1483"/>
  <c r="R616" i="1483"/>
  <c r="R617" i="1483"/>
  <c r="R618" i="1483"/>
  <c r="R619" i="1483"/>
  <c r="R620" i="1483"/>
  <c r="R621" i="1483"/>
  <c r="R622" i="1483"/>
  <c r="R623" i="1483"/>
  <c r="R624" i="1483"/>
  <c r="R625" i="1483"/>
  <c r="R626" i="1483"/>
  <c r="R627" i="1483"/>
  <c r="R628" i="1483"/>
  <c r="R629" i="1483"/>
  <c r="R630" i="1483"/>
  <c r="R631" i="1483"/>
  <c r="R632" i="1483"/>
  <c r="R633" i="1483"/>
  <c r="R634" i="1483"/>
  <c r="R635" i="1483"/>
  <c r="R636" i="1483"/>
  <c r="R637" i="1483"/>
  <c r="R638" i="1483"/>
  <c r="R639" i="1483"/>
  <c r="R640" i="1483"/>
  <c r="R641" i="1483"/>
  <c r="R642" i="1483"/>
  <c r="R643" i="1483"/>
  <c r="R644" i="1483"/>
  <c r="R645" i="1483"/>
  <c r="R646" i="1483"/>
  <c r="R647" i="1483"/>
  <c r="R648" i="1483"/>
  <c r="R649" i="1483"/>
  <c r="R650" i="1483"/>
  <c r="R651" i="1483"/>
  <c r="R652" i="1483"/>
  <c r="R653" i="1483"/>
  <c r="R654" i="1483"/>
  <c r="R655" i="1483"/>
  <c r="R656" i="1483"/>
  <c r="R657" i="1483"/>
  <c r="R658" i="1483"/>
  <c r="R659" i="1483"/>
  <c r="R660" i="1483"/>
  <c r="R661" i="1483"/>
  <c r="R662" i="1483"/>
  <c r="R663" i="1483"/>
  <c r="R664" i="1483"/>
  <c r="R665" i="1483"/>
  <c r="R666" i="1483"/>
  <c r="R667" i="1483"/>
  <c r="R668" i="1483"/>
  <c r="R669" i="1483"/>
  <c r="R670" i="1483"/>
  <c r="R671" i="1483"/>
  <c r="R672" i="1483"/>
  <c r="R673" i="1483"/>
  <c r="R674" i="1483"/>
  <c r="R675" i="1483"/>
  <c r="R676" i="1483"/>
  <c r="R677" i="1483"/>
  <c r="R678" i="1483"/>
  <c r="R679" i="1483"/>
  <c r="R680" i="1483"/>
  <c r="R681" i="1483"/>
  <c r="R682" i="1483"/>
  <c r="R683" i="1483"/>
  <c r="R684" i="1483"/>
  <c r="R685" i="1483"/>
  <c r="R686" i="1483"/>
  <c r="R687" i="1483"/>
  <c r="R688" i="1483"/>
  <c r="R689" i="1483"/>
  <c r="R690" i="1483"/>
  <c r="R691" i="1483"/>
  <c r="R692" i="1483"/>
  <c r="R693" i="1483"/>
  <c r="R694" i="1483"/>
  <c r="R695" i="1483"/>
  <c r="R696" i="1483"/>
  <c r="R697" i="1483"/>
  <c r="R698" i="1483"/>
  <c r="R699" i="1483"/>
  <c r="R700" i="1483"/>
  <c r="R701" i="1483"/>
  <c r="R702" i="1483"/>
  <c r="R703" i="1483"/>
  <c r="R704" i="1483"/>
  <c r="R705" i="1483"/>
  <c r="R706" i="1483"/>
  <c r="R707" i="1483"/>
  <c r="R708" i="1483"/>
  <c r="R709" i="1483"/>
  <c r="R710" i="1483"/>
  <c r="R711" i="1483"/>
  <c r="R712" i="1483"/>
  <c r="R713" i="1483"/>
  <c r="R714" i="1483"/>
  <c r="R715" i="1483"/>
  <c r="R716" i="1483"/>
  <c r="R717" i="1483"/>
  <c r="R718" i="1483"/>
  <c r="R719" i="1483"/>
  <c r="R720" i="1483"/>
  <c r="R721" i="1483"/>
  <c r="R722" i="1483"/>
  <c r="R723" i="1483"/>
  <c r="R724" i="1483"/>
  <c r="R725" i="1483"/>
  <c r="R726" i="1483"/>
  <c r="R727" i="1483"/>
  <c r="R728" i="1483"/>
  <c r="R729" i="1483"/>
  <c r="R730" i="1483"/>
  <c r="R731" i="1483"/>
  <c r="R732" i="1483"/>
  <c r="R733" i="1483"/>
  <c r="R734" i="1483"/>
  <c r="R735" i="1483"/>
  <c r="R736" i="1483"/>
  <c r="R737" i="1483"/>
  <c r="R738" i="1483"/>
  <c r="R739" i="1483"/>
  <c r="R740" i="1483"/>
  <c r="R741" i="1483"/>
  <c r="R742" i="1483"/>
  <c r="R743" i="1483"/>
  <c r="R744" i="1483"/>
  <c r="R745" i="1483"/>
  <c r="R746" i="1483"/>
  <c r="R747" i="1483"/>
  <c r="R748" i="1483"/>
  <c r="R749" i="1483"/>
  <c r="R750" i="1483"/>
  <c r="R751" i="1483"/>
  <c r="R752" i="1483"/>
  <c r="R753" i="1483"/>
  <c r="R754" i="1483"/>
  <c r="R755" i="1483"/>
  <c r="R756" i="1483"/>
  <c r="R757" i="1483"/>
  <c r="R758" i="1483"/>
  <c r="R759" i="1483"/>
  <c r="R760" i="1483"/>
  <c r="R761" i="1483"/>
  <c r="R762" i="1483"/>
  <c r="R763" i="1483"/>
  <c r="R764" i="1483"/>
  <c r="R765" i="1483"/>
  <c r="R766" i="1483"/>
  <c r="R767" i="1483"/>
  <c r="R768" i="1483"/>
  <c r="R769" i="1483"/>
  <c r="R770" i="1483"/>
  <c r="R771" i="1483"/>
  <c r="R772" i="1483"/>
  <c r="R773" i="1483"/>
  <c r="R774" i="1483"/>
  <c r="R775" i="1483"/>
  <c r="R776" i="1483"/>
  <c r="R777" i="1483"/>
  <c r="R778" i="1483"/>
  <c r="R779" i="1483"/>
  <c r="R780" i="1483"/>
  <c r="R781" i="1483"/>
  <c r="R782" i="1483"/>
  <c r="R783" i="1483"/>
  <c r="R784" i="1483"/>
  <c r="R785" i="1483"/>
  <c r="R786" i="1483"/>
  <c r="R787" i="1483"/>
  <c r="R788" i="1483"/>
  <c r="R789" i="1483"/>
  <c r="R790" i="1483"/>
  <c r="R791" i="1483"/>
  <c r="R792" i="1483"/>
  <c r="R793" i="1483"/>
  <c r="R794" i="1483"/>
  <c r="R795" i="1483"/>
  <c r="R796" i="1483"/>
  <c r="R797" i="1483"/>
  <c r="R798" i="1483"/>
  <c r="R799" i="1483"/>
  <c r="R800" i="1483"/>
  <c r="R801" i="1483"/>
  <c r="R802" i="1483"/>
  <c r="R803" i="1483"/>
  <c r="R804" i="1483"/>
  <c r="R805" i="1483"/>
  <c r="R806" i="1483"/>
  <c r="R807" i="1483"/>
  <c r="R808" i="1483"/>
  <c r="R809" i="1483"/>
  <c r="R810" i="1483"/>
  <c r="R811" i="1483"/>
  <c r="R812" i="1483"/>
  <c r="R813" i="1483"/>
  <c r="R814" i="1483"/>
  <c r="R815" i="1483"/>
  <c r="R816" i="1483"/>
  <c r="R817" i="1483"/>
  <c r="R818" i="1483"/>
  <c r="R819" i="1483"/>
  <c r="R820" i="1483"/>
  <c r="R821" i="1483"/>
  <c r="R822" i="1483"/>
  <c r="R823" i="1483"/>
  <c r="R824" i="1483"/>
  <c r="R825" i="1483"/>
  <c r="R826" i="1483"/>
  <c r="R827" i="1483"/>
  <c r="R828" i="1483"/>
  <c r="R829" i="1483"/>
  <c r="R830" i="1483"/>
  <c r="R831" i="1483"/>
  <c r="R832" i="1483"/>
  <c r="R833" i="1483"/>
  <c r="R834" i="1483"/>
  <c r="R835" i="1483"/>
  <c r="R836" i="1483"/>
  <c r="R837" i="1483"/>
  <c r="R838" i="1483"/>
  <c r="R839" i="1483"/>
  <c r="R840" i="1483"/>
  <c r="R841" i="1483"/>
  <c r="R842" i="1483"/>
  <c r="R843" i="1483"/>
  <c r="R844" i="1483"/>
  <c r="R845" i="1483"/>
  <c r="R846" i="1483"/>
  <c r="R847" i="1483"/>
  <c r="R848" i="1483"/>
  <c r="R849" i="1483"/>
  <c r="R850" i="1483"/>
  <c r="R851" i="1483"/>
  <c r="R852" i="1483"/>
  <c r="R853" i="1483"/>
  <c r="R854" i="1483"/>
  <c r="R855" i="1483"/>
  <c r="R856" i="1483"/>
  <c r="R857" i="1483"/>
  <c r="R858" i="1483"/>
  <c r="R859" i="1483"/>
  <c r="R860" i="1483"/>
  <c r="R861" i="1483"/>
  <c r="R862" i="1483"/>
  <c r="R863" i="1483"/>
  <c r="R864" i="1483"/>
  <c r="R865" i="1483"/>
  <c r="R866" i="1483"/>
  <c r="R867" i="1483"/>
  <c r="R868" i="1483"/>
  <c r="R869" i="1483"/>
  <c r="R870" i="1483"/>
  <c r="R871" i="1483"/>
  <c r="R872" i="1483"/>
  <c r="R873" i="1483"/>
  <c r="R874" i="1483"/>
  <c r="R875" i="1483"/>
  <c r="R876" i="1483"/>
  <c r="R877" i="1483"/>
  <c r="R878" i="1483"/>
  <c r="R879" i="1483"/>
  <c r="R880" i="1483"/>
  <c r="R881" i="1483"/>
  <c r="R882" i="1483"/>
  <c r="R883" i="1483"/>
  <c r="R884" i="1483"/>
  <c r="R885" i="1483"/>
  <c r="R886" i="1483"/>
  <c r="R887" i="1483"/>
  <c r="R888" i="1483"/>
  <c r="R889" i="1483"/>
  <c r="R890" i="1483"/>
  <c r="R891" i="1483"/>
  <c r="R892" i="1483"/>
  <c r="R893" i="1483"/>
  <c r="R894" i="1483"/>
  <c r="R895" i="1483"/>
  <c r="R896" i="1483"/>
  <c r="R897" i="1483"/>
  <c r="R898" i="1483"/>
  <c r="R899" i="1483"/>
  <c r="R900" i="1483"/>
  <c r="R901" i="1483"/>
  <c r="R902" i="1483"/>
  <c r="R903" i="1483"/>
  <c r="R904" i="1483"/>
  <c r="R905" i="1483"/>
  <c r="R906" i="1483"/>
  <c r="R907" i="1483"/>
  <c r="R908" i="1483"/>
  <c r="R909" i="1483"/>
  <c r="R910" i="1483"/>
  <c r="R911" i="1483"/>
  <c r="R912" i="1483"/>
  <c r="R913" i="1483"/>
  <c r="R914" i="1483"/>
  <c r="R915" i="1483"/>
  <c r="R916" i="1483"/>
  <c r="R917" i="1483"/>
  <c r="R918" i="1483"/>
  <c r="R919" i="1483"/>
  <c r="R920" i="1483"/>
  <c r="R921" i="1483"/>
  <c r="R922" i="1483"/>
  <c r="R923" i="1483"/>
  <c r="R924" i="1483"/>
  <c r="R925" i="1483"/>
  <c r="R926" i="1483"/>
  <c r="R927" i="1483"/>
  <c r="R928" i="1483"/>
  <c r="R929" i="1483"/>
  <c r="R930" i="1483"/>
  <c r="R931" i="1483"/>
  <c r="R932" i="1483"/>
  <c r="R933" i="1483"/>
  <c r="R934" i="1483"/>
  <c r="R935" i="1483"/>
  <c r="R936" i="1483"/>
  <c r="R937" i="1483"/>
  <c r="R938" i="1483"/>
  <c r="R939" i="1483"/>
  <c r="R940" i="1483"/>
  <c r="R941" i="1483"/>
  <c r="R942" i="1483"/>
  <c r="R943" i="1483"/>
  <c r="R944" i="1483"/>
  <c r="R945" i="1483"/>
  <c r="R946" i="1483"/>
  <c r="R947" i="1483"/>
  <c r="R948" i="1483"/>
  <c r="R949" i="1483"/>
  <c r="R950" i="1483"/>
  <c r="R951" i="1483"/>
  <c r="R952" i="1483"/>
  <c r="R953" i="1483"/>
  <c r="R954" i="1483"/>
  <c r="R955" i="1483"/>
  <c r="R956" i="1483"/>
  <c r="R957" i="1483"/>
  <c r="R958" i="1483"/>
  <c r="R959" i="1483"/>
  <c r="R960" i="1483"/>
  <c r="R961" i="1483"/>
  <c r="R962" i="1483"/>
  <c r="R963" i="1483"/>
  <c r="R964" i="1483"/>
  <c r="R965" i="1483"/>
  <c r="R966" i="1483"/>
  <c r="R967" i="1483"/>
  <c r="R968" i="1483"/>
  <c r="R969" i="1483"/>
  <c r="R970" i="1483"/>
  <c r="R971" i="1483"/>
  <c r="R972" i="1483"/>
  <c r="R973" i="1483"/>
  <c r="R974" i="1483"/>
  <c r="R975" i="1483"/>
  <c r="R976" i="1483"/>
  <c r="R977" i="1483"/>
  <c r="R978" i="1483"/>
  <c r="R979" i="1483"/>
  <c r="R980" i="1483"/>
  <c r="R981" i="1483"/>
  <c r="R982" i="1483"/>
  <c r="R983" i="1483"/>
  <c r="R984" i="1483"/>
  <c r="R985" i="1483"/>
  <c r="R986" i="1483"/>
  <c r="R987" i="1483"/>
  <c r="R988" i="1483"/>
  <c r="R989" i="1483"/>
  <c r="R990" i="1483"/>
  <c r="R991" i="1483"/>
  <c r="R992" i="1483"/>
  <c r="R993" i="1483"/>
  <c r="R994" i="1483"/>
  <c r="R995" i="1483"/>
  <c r="R996" i="1483"/>
  <c r="R997" i="1483"/>
  <c r="R998" i="1483"/>
  <c r="R999" i="1483"/>
  <c r="R1000" i="1483"/>
  <c r="R1001" i="1483"/>
  <c r="R1002" i="1483"/>
  <c r="R1003" i="1483"/>
  <c r="R1004" i="1483"/>
  <c r="R1005" i="1483"/>
  <c r="R1006" i="1483"/>
  <c r="R1007" i="1483"/>
  <c r="R1008" i="1483"/>
  <c r="R1009" i="1483"/>
  <c r="R1010" i="1483"/>
  <c r="R1011" i="1483"/>
  <c r="R1012" i="1483"/>
  <c r="R1013" i="1483"/>
  <c r="R1014" i="1483"/>
  <c r="R1015" i="1483"/>
  <c r="R1016" i="1483"/>
  <c r="R1017" i="1483"/>
  <c r="R1018" i="1483"/>
  <c r="R1019" i="1483"/>
  <c r="R1020" i="1483"/>
  <c r="R1021" i="1483"/>
  <c r="R1022" i="1483"/>
  <c r="R1023" i="1483"/>
  <c r="R1024" i="1483"/>
  <c r="R1025" i="1483"/>
  <c r="R1026" i="1483"/>
  <c r="R1027" i="1483"/>
  <c r="R1028" i="1483"/>
  <c r="R1029" i="1483"/>
  <c r="R1030" i="1483"/>
  <c r="R1031" i="1483"/>
  <c r="R1032" i="1483"/>
  <c r="R1033" i="1483"/>
  <c r="R1034" i="1483"/>
  <c r="R1035" i="1483"/>
  <c r="R1036" i="1483"/>
  <c r="R1037" i="1483"/>
  <c r="R1038" i="1483"/>
  <c r="R1039" i="1483"/>
  <c r="R1040" i="1483"/>
  <c r="R1041" i="1483"/>
  <c r="R1042" i="1483"/>
  <c r="R1043" i="1483"/>
  <c r="R1044" i="1483"/>
  <c r="R1045" i="1483"/>
  <c r="R1046" i="1483"/>
  <c r="R1047" i="1483"/>
  <c r="R1048" i="1483"/>
  <c r="R1049" i="1483"/>
  <c r="R1050" i="1483"/>
  <c r="R1051" i="1483"/>
  <c r="R1052" i="1483"/>
  <c r="R1053" i="1483"/>
  <c r="R1054" i="1483"/>
  <c r="R1055" i="1483"/>
  <c r="R1056" i="1483"/>
  <c r="R1057" i="1483"/>
  <c r="R1058" i="1483"/>
  <c r="R1059" i="1483"/>
  <c r="R1060" i="1483"/>
  <c r="R1061" i="1483"/>
  <c r="R1062" i="1483"/>
  <c r="R1063" i="1483"/>
  <c r="R1064" i="1483"/>
  <c r="R1065" i="1483"/>
  <c r="R1066" i="1483"/>
  <c r="R1067" i="1483"/>
  <c r="R1068" i="1483"/>
  <c r="R1069" i="1483"/>
  <c r="R1070" i="1483"/>
  <c r="R1071" i="1483"/>
  <c r="R1072" i="1483"/>
  <c r="R1073" i="1483"/>
  <c r="R1074" i="1483"/>
  <c r="R1075" i="1483"/>
  <c r="R1076" i="1483"/>
  <c r="R1077" i="1483"/>
  <c r="R1078" i="1483"/>
  <c r="R1079" i="1483"/>
  <c r="R1080" i="1483"/>
  <c r="R1081" i="1483"/>
  <c r="R1082" i="1483"/>
  <c r="R1083" i="1483"/>
  <c r="R1084" i="1483"/>
  <c r="R1085" i="1483"/>
  <c r="R1086" i="1483"/>
  <c r="R1087" i="1483"/>
  <c r="R1088" i="1483"/>
  <c r="R1089" i="1483"/>
  <c r="R1090" i="1483"/>
  <c r="R1091" i="1483"/>
  <c r="R1092" i="1483"/>
  <c r="R1093" i="1483"/>
  <c r="R1094" i="1483"/>
  <c r="R1095" i="1483"/>
  <c r="R1096" i="1483"/>
  <c r="R1097" i="1483"/>
  <c r="R1098" i="1483"/>
  <c r="R1099" i="1483"/>
  <c r="R1100" i="1483"/>
  <c r="R1101" i="1483"/>
  <c r="R1102" i="1483"/>
  <c r="R1103" i="1483"/>
  <c r="R1104" i="1483"/>
  <c r="R1105" i="1483"/>
  <c r="R1106" i="1483"/>
  <c r="R1107" i="1483"/>
  <c r="R1108" i="1483"/>
  <c r="R1109" i="1483"/>
  <c r="R1110" i="1483"/>
  <c r="R1111" i="1483"/>
  <c r="R1112" i="1483"/>
  <c r="R1113" i="1483"/>
  <c r="R1114" i="1483"/>
  <c r="R1115" i="1483"/>
  <c r="R1116" i="1483"/>
  <c r="R1117" i="1483"/>
  <c r="R1118" i="1483"/>
  <c r="R1119" i="1483"/>
  <c r="R1120" i="1483"/>
  <c r="R1121" i="1483"/>
  <c r="R1122" i="1483"/>
  <c r="R1123" i="1483"/>
  <c r="R1124" i="1483"/>
  <c r="R1125" i="1483"/>
  <c r="R1126" i="1483"/>
  <c r="R1127" i="1483"/>
  <c r="R1128" i="1483"/>
  <c r="R1129" i="1483"/>
  <c r="R1130" i="1483"/>
  <c r="R1131" i="1483"/>
  <c r="R1132" i="1483"/>
  <c r="R1133" i="1483"/>
  <c r="R1134" i="1483"/>
  <c r="R1135" i="1483"/>
  <c r="R1136" i="1483"/>
  <c r="R1137" i="1483"/>
  <c r="R1138" i="1483"/>
  <c r="R1139" i="1483"/>
  <c r="R1140" i="1483"/>
  <c r="R1141" i="1483"/>
  <c r="R1142" i="1483"/>
  <c r="R1143" i="1483"/>
  <c r="R1144" i="1483"/>
  <c r="R1145" i="1483"/>
  <c r="R1146" i="1483"/>
  <c r="R1147" i="1483"/>
  <c r="R1148" i="1483"/>
  <c r="R1149" i="1483"/>
  <c r="R1150" i="1483"/>
  <c r="R1151" i="1483"/>
  <c r="R1152" i="1483"/>
  <c r="R1153" i="1483"/>
  <c r="R1154" i="1483"/>
  <c r="R1155" i="1483"/>
  <c r="R1156" i="1483"/>
  <c r="R1157" i="1483"/>
  <c r="R1158" i="1483"/>
  <c r="R1159" i="1483"/>
  <c r="R1160" i="1483"/>
  <c r="R1161" i="1483"/>
  <c r="R1162" i="1483"/>
  <c r="R1163" i="1483"/>
  <c r="R1164" i="1483"/>
  <c r="R1165" i="1483"/>
  <c r="R1166" i="1483"/>
  <c r="R1167" i="1483"/>
  <c r="R1168" i="1483"/>
  <c r="R1169" i="1483"/>
  <c r="R1170" i="1483"/>
  <c r="R1171" i="1483"/>
  <c r="R1172" i="1483"/>
  <c r="R1173" i="1483"/>
  <c r="R1174" i="1483"/>
  <c r="R1175" i="1483"/>
  <c r="R1176" i="1483"/>
  <c r="R1177" i="1483"/>
  <c r="R1178" i="1483"/>
  <c r="R1179" i="1483"/>
  <c r="R1180" i="1483"/>
  <c r="R1181" i="1483"/>
  <c r="R1182" i="1483"/>
  <c r="R1183" i="1483"/>
  <c r="R1184" i="1483"/>
  <c r="R1185" i="1483"/>
  <c r="R1186" i="1483"/>
  <c r="R1187" i="1483"/>
  <c r="R1188" i="1483"/>
  <c r="R1189" i="1483"/>
  <c r="R1190" i="1483"/>
  <c r="R1191" i="1483"/>
  <c r="R1192" i="1483"/>
  <c r="R1193" i="1483"/>
  <c r="R1194" i="1483"/>
  <c r="R1195" i="1483"/>
  <c r="R1196" i="1483"/>
  <c r="R1197" i="1483"/>
  <c r="R1198" i="1483"/>
  <c r="R1199" i="1483"/>
  <c r="R1200" i="1483"/>
  <c r="R1201" i="1483"/>
  <c r="R1202" i="1483"/>
  <c r="R1203" i="1483"/>
  <c r="R1204" i="1483"/>
  <c r="R1205" i="1483"/>
  <c r="R1206" i="1483"/>
  <c r="R1207" i="1483"/>
  <c r="R1208" i="1483"/>
  <c r="R1209" i="1483"/>
  <c r="R1210" i="1483"/>
  <c r="R1211" i="1483"/>
  <c r="R1212" i="1483"/>
  <c r="R1213" i="1483"/>
  <c r="R1214" i="1483"/>
  <c r="R1215" i="1483"/>
  <c r="R1216" i="1483"/>
  <c r="R1217" i="1483"/>
  <c r="R1218" i="1483"/>
  <c r="R1219" i="1483"/>
  <c r="R1220" i="1483"/>
  <c r="R1221" i="1483"/>
  <c r="R1222" i="1483"/>
  <c r="R1223" i="1483"/>
  <c r="R1224" i="1483"/>
  <c r="R1225" i="1483"/>
  <c r="R1226" i="1483"/>
  <c r="R1227" i="1483"/>
  <c r="R1228" i="1483"/>
  <c r="R1229" i="1483"/>
  <c r="R1230" i="1483"/>
  <c r="R1231" i="1483"/>
  <c r="R1232" i="1483"/>
  <c r="R1233" i="1483"/>
  <c r="R1234" i="1483"/>
  <c r="R1235" i="1483"/>
  <c r="R1236" i="1483"/>
  <c r="R1237" i="1483"/>
  <c r="R1238" i="1483"/>
  <c r="R1239" i="1483"/>
  <c r="R1240" i="1483"/>
  <c r="R1241" i="1483"/>
  <c r="R1242" i="1483"/>
  <c r="R1243" i="1483"/>
  <c r="R1244" i="1483"/>
  <c r="R1245" i="1483"/>
  <c r="R1246" i="1483"/>
  <c r="R1247" i="1483"/>
  <c r="R1248" i="1483"/>
  <c r="R1249" i="1483"/>
  <c r="R1250" i="1483"/>
  <c r="R1251" i="1483"/>
  <c r="R1252" i="1483"/>
  <c r="R1253" i="1483"/>
  <c r="R1254" i="1483"/>
  <c r="R1255" i="1483"/>
  <c r="R1256" i="1483"/>
  <c r="R1257" i="1483"/>
  <c r="R1258" i="1483"/>
  <c r="R1259" i="1483"/>
  <c r="R1260" i="1483"/>
  <c r="R1261" i="1483"/>
  <c r="R1262" i="1483"/>
  <c r="R1263" i="1483"/>
  <c r="R1264" i="1483"/>
  <c r="R1265" i="1483"/>
  <c r="R1266" i="1483"/>
  <c r="R1267" i="1483"/>
  <c r="R1268" i="1483"/>
  <c r="R1269" i="1483"/>
  <c r="R1270" i="1483"/>
  <c r="R1271" i="1483"/>
  <c r="R1272" i="1483"/>
  <c r="R1273" i="1483"/>
  <c r="R1274" i="1483"/>
  <c r="R1275" i="1483"/>
  <c r="R1276" i="1483"/>
  <c r="R1277" i="1483"/>
  <c r="R1278" i="1483"/>
  <c r="R1279" i="1483"/>
  <c r="R1280" i="1483"/>
  <c r="R1281" i="1483"/>
  <c r="R1282" i="1483"/>
  <c r="R1283" i="1483"/>
  <c r="R1284" i="1483"/>
  <c r="R1285" i="1483"/>
  <c r="R1286" i="1483"/>
  <c r="R1287" i="1483"/>
  <c r="R1288" i="1483"/>
  <c r="R1289" i="1483"/>
  <c r="R1290" i="1483"/>
  <c r="R1291" i="1483"/>
  <c r="R1292" i="1483"/>
  <c r="R1293" i="1483"/>
  <c r="R1294" i="1483"/>
  <c r="R1295" i="1483"/>
  <c r="R1296" i="1483"/>
  <c r="R1297" i="1483"/>
  <c r="R1298" i="1483"/>
  <c r="R1299" i="1483"/>
  <c r="R1300" i="1483"/>
  <c r="R1301" i="1483"/>
  <c r="R1302" i="1483"/>
  <c r="R1303" i="1483"/>
  <c r="R1304" i="1483"/>
  <c r="R1305" i="1483"/>
  <c r="R1306" i="1483"/>
  <c r="R1307" i="1483"/>
  <c r="R1308" i="1483"/>
  <c r="R1309" i="1483"/>
  <c r="R1310" i="1483"/>
  <c r="R1311" i="1483"/>
  <c r="R1312" i="1483"/>
  <c r="R1313" i="1483"/>
  <c r="R1314" i="1483"/>
  <c r="R1315" i="1483"/>
  <c r="R1316" i="1483"/>
  <c r="R1317" i="1483"/>
  <c r="R1318" i="1483"/>
  <c r="R1319" i="1483"/>
  <c r="R1320" i="1483"/>
  <c r="R1321" i="1483"/>
  <c r="R1322" i="1483"/>
  <c r="R1323" i="1483"/>
  <c r="R1324" i="1483"/>
  <c r="R1325" i="1483"/>
  <c r="R1326" i="1483"/>
  <c r="R1327" i="1483"/>
  <c r="R1328" i="1483"/>
  <c r="R1329" i="1483"/>
  <c r="R1330" i="1483"/>
  <c r="R1331" i="1483"/>
  <c r="R1332" i="1483"/>
  <c r="R1333" i="1483"/>
  <c r="R1334" i="1483"/>
  <c r="R1335" i="1483"/>
  <c r="R1336" i="1483"/>
  <c r="R1337" i="1483"/>
  <c r="R1338" i="1483"/>
  <c r="R1339" i="1483"/>
  <c r="R1340" i="1483"/>
  <c r="R1341" i="1483"/>
  <c r="R1342" i="1483"/>
  <c r="R1343" i="1483"/>
  <c r="R1344" i="1483"/>
  <c r="R1345" i="1483"/>
  <c r="R1346" i="1483"/>
  <c r="R1347" i="1483"/>
  <c r="R1348" i="1483"/>
  <c r="R1349" i="1483"/>
  <c r="R1350" i="1483"/>
  <c r="R1351" i="1483"/>
  <c r="R1352" i="1483"/>
  <c r="R1353" i="1483"/>
  <c r="R1354" i="1483"/>
  <c r="R1355" i="1483"/>
  <c r="R1356" i="1483"/>
  <c r="R1357" i="1483"/>
  <c r="R1358" i="1483"/>
  <c r="R1359" i="1483"/>
  <c r="R1360" i="1483"/>
  <c r="R1361" i="1483"/>
  <c r="R1362" i="1483"/>
  <c r="R1363" i="1483"/>
  <c r="R1364" i="1483"/>
  <c r="R1365" i="1483"/>
  <c r="R1366" i="1483"/>
  <c r="R1367" i="1483"/>
  <c r="R1368" i="1483"/>
  <c r="R1369" i="1483"/>
  <c r="R1370" i="1483"/>
  <c r="R1371" i="1483"/>
  <c r="R1372" i="1483"/>
  <c r="R1373" i="1483"/>
  <c r="R1374" i="1483"/>
  <c r="R1375" i="1483"/>
  <c r="R1376" i="1483"/>
  <c r="R1377" i="1483"/>
  <c r="R1378" i="1483"/>
  <c r="R1379" i="1483"/>
  <c r="R1380" i="1483"/>
  <c r="R1381" i="1483"/>
  <c r="R1382" i="1483"/>
  <c r="R1383" i="1483"/>
  <c r="R1384" i="1483"/>
  <c r="R1385" i="1483"/>
  <c r="R1386" i="1483"/>
  <c r="R1387" i="1483"/>
  <c r="R1388" i="1483"/>
  <c r="R1389" i="1483"/>
  <c r="R1390" i="1483"/>
  <c r="R1391" i="1483"/>
  <c r="R1392" i="1483"/>
  <c r="R1393" i="1483"/>
  <c r="R1394" i="1483"/>
  <c r="R1395" i="1483"/>
  <c r="R1396" i="1483"/>
  <c r="R1397" i="1483"/>
  <c r="R1398" i="1483"/>
  <c r="R1399" i="1483"/>
  <c r="R1400" i="1483"/>
  <c r="R1401" i="1483"/>
  <c r="R1402" i="1483"/>
  <c r="R1403" i="1483"/>
  <c r="R1404" i="1483"/>
  <c r="R1405" i="1483"/>
  <c r="R1406" i="1483"/>
  <c r="R1407" i="1483"/>
  <c r="R1408" i="1483"/>
  <c r="R1409" i="1483"/>
  <c r="R1410" i="1483"/>
  <c r="R1411" i="1483"/>
  <c r="R1412" i="1483"/>
  <c r="R1413" i="1483"/>
  <c r="R1414" i="1483"/>
  <c r="R1415" i="1483"/>
  <c r="R1416" i="1483"/>
  <c r="R1417" i="1483"/>
  <c r="R1418" i="1483"/>
  <c r="R1419" i="1483"/>
  <c r="R1420" i="1483"/>
  <c r="R1421" i="1483"/>
  <c r="R1422" i="1483"/>
  <c r="R1423" i="1483"/>
  <c r="R1424" i="1483"/>
  <c r="R1425" i="1483"/>
  <c r="R1426" i="1483"/>
  <c r="R1427" i="1483"/>
  <c r="R1428" i="1483"/>
  <c r="R1429" i="1483"/>
  <c r="R1430" i="1483"/>
  <c r="R1431" i="1483"/>
  <c r="R1432" i="1483"/>
  <c r="R1433" i="1483"/>
  <c r="R1434" i="1483"/>
  <c r="R1435" i="1483"/>
  <c r="R1436" i="1483"/>
  <c r="R1437" i="1483"/>
  <c r="R1438" i="1483"/>
  <c r="R1439" i="1483"/>
  <c r="R1440" i="1483"/>
  <c r="R1441" i="1483"/>
  <c r="R1442" i="1483"/>
  <c r="R1443" i="1483"/>
  <c r="R1444" i="1483"/>
  <c r="R1445" i="1483"/>
  <c r="R1446" i="1483"/>
  <c r="R1447" i="1483"/>
  <c r="R1448" i="1483"/>
  <c r="R1449" i="1483"/>
  <c r="R1450" i="1483"/>
  <c r="R1451" i="1483"/>
  <c r="R1452" i="1483"/>
  <c r="R1453" i="1483"/>
  <c r="R1454" i="1483"/>
  <c r="R1455" i="1483"/>
  <c r="R1456" i="1483"/>
  <c r="R1457" i="1483"/>
  <c r="R1458" i="1483"/>
  <c r="R1459" i="1483"/>
  <c r="R1460" i="1483"/>
  <c r="R1461" i="1483"/>
  <c r="R1462" i="1483"/>
  <c r="R1463" i="1483"/>
  <c r="R1464" i="1483"/>
  <c r="R1465" i="1483"/>
  <c r="R1466" i="1483"/>
  <c r="R1467" i="1483"/>
  <c r="R1468" i="1483"/>
  <c r="R1469" i="1483"/>
  <c r="R1470" i="1483"/>
  <c r="R1471" i="1483"/>
  <c r="R1472" i="1483"/>
  <c r="R1473" i="1483"/>
  <c r="R1474" i="1483"/>
  <c r="R1475" i="1483"/>
  <c r="R1476" i="1483"/>
  <c r="R1477" i="1483"/>
  <c r="R1478" i="1483"/>
  <c r="R1479" i="1483"/>
  <c r="R1480" i="1483"/>
  <c r="R1481" i="1483"/>
  <c r="R1482" i="1483"/>
  <c r="R1483" i="1483"/>
  <c r="R1484" i="1483"/>
  <c r="R1485" i="1483"/>
  <c r="R1486" i="1483"/>
  <c r="R1487" i="1483"/>
  <c r="R1488" i="1483"/>
  <c r="R1489" i="1483"/>
  <c r="R1490" i="1483"/>
  <c r="R1491" i="1483"/>
  <c r="R1492" i="1483"/>
  <c r="R1493" i="1483"/>
  <c r="R1494" i="1483"/>
  <c r="R1495" i="1483"/>
  <c r="R1496" i="1483"/>
  <c r="R1497" i="1483"/>
  <c r="R1498" i="1483"/>
  <c r="R1499" i="1483"/>
  <c r="R1500" i="1483"/>
  <c r="R1501" i="1483"/>
  <c r="R1502" i="1483"/>
  <c r="R1503" i="1483"/>
  <c r="R1504" i="1483"/>
  <c r="R1505" i="1483"/>
  <c r="R1506" i="1483"/>
  <c r="R1507" i="1483"/>
  <c r="R1508" i="1483"/>
  <c r="R1509" i="1483"/>
  <c r="R1510" i="1483"/>
  <c r="R1511" i="1483"/>
  <c r="R1512" i="1483"/>
  <c r="R1513" i="1483"/>
  <c r="R1514" i="1483"/>
  <c r="R1515" i="1483"/>
  <c r="R1516" i="1483"/>
  <c r="R1517" i="1483"/>
  <c r="R1518" i="1483"/>
  <c r="R1519" i="1483"/>
  <c r="R1520" i="1483"/>
  <c r="R1521" i="1483"/>
  <c r="R1522" i="1483"/>
  <c r="R1523" i="1483"/>
  <c r="R1524" i="1483"/>
  <c r="R1525" i="1483"/>
  <c r="R1526" i="1483"/>
  <c r="R1527" i="1483"/>
  <c r="R1528" i="1483"/>
  <c r="R1529" i="1483"/>
  <c r="R1530" i="1483"/>
  <c r="R1531" i="1483"/>
  <c r="R1532" i="1483"/>
  <c r="R1533" i="1483"/>
  <c r="R1534" i="1483"/>
  <c r="R1535" i="1483"/>
  <c r="R1536" i="1483"/>
  <c r="R1537" i="1483"/>
  <c r="R1538" i="1483"/>
  <c r="R1539" i="1483"/>
  <c r="R1540" i="1483"/>
  <c r="R1541" i="1483"/>
  <c r="R1542" i="1483"/>
  <c r="R1543" i="1483"/>
  <c r="R1544" i="1483"/>
  <c r="R1545" i="1483"/>
  <c r="R1546" i="1483"/>
  <c r="R1547" i="1483"/>
  <c r="R1548" i="1483"/>
  <c r="R1549" i="1483"/>
  <c r="R1550" i="1483"/>
  <c r="R1551" i="1483"/>
  <c r="R1552" i="1483"/>
  <c r="R1553" i="1483"/>
  <c r="R1554" i="1483"/>
  <c r="R1555" i="1483"/>
  <c r="R1556" i="1483"/>
  <c r="R1557" i="1483"/>
  <c r="R1558" i="1483"/>
  <c r="R1559" i="1483"/>
  <c r="R1560" i="1483"/>
  <c r="R1561" i="1483"/>
  <c r="R1562" i="1483"/>
  <c r="R1563" i="1483"/>
  <c r="R1564" i="1483"/>
  <c r="R1565" i="1483"/>
  <c r="R1566" i="1483"/>
  <c r="R1567" i="1483"/>
  <c r="R1568" i="1483"/>
  <c r="R1569" i="1483"/>
  <c r="R1570" i="1483"/>
  <c r="R1571" i="1483"/>
  <c r="R1572" i="1483"/>
  <c r="R1573" i="1483"/>
  <c r="R1574" i="1483"/>
  <c r="R1575" i="1483"/>
  <c r="R1576" i="1483"/>
  <c r="R1577" i="1483"/>
  <c r="R1578" i="1483"/>
  <c r="R1579" i="1483"/>
  <c r="R1580" i="1483"/>
  <c r="R1581" i="1483"/>
  <c r="R1582" i="1483"/>
  <c r="R1583" i="1483"/>
  <c r="R1584" i="1483"/>
  <c r="R1585" i="1483"/>
  <c r="R1586" i="1483"/>
  <c r="R1587" i="1483"/>
  <c r="R1588" i="1483"/>
  <c r="R1589" i="1483"/>
  <c r="R1590" i="1483"/>
  <c r="R1591" i="1483"/>
  <c r="R1592" i="1483"/>
  <c r="R1593" i="1483"/>
  <c r="R1594" i="1483"/>
  <c r="R1595" i="1483"/>
  <c r="R1596" i="1483"/>
  <c r="R1597" i="1483"/>
  <c r="R1598" i="1483"/>
  <c r="R1599" i="1483"/>
  <c r="R1600" i="1483"/>
  <c r="R1601" i="1483"/>
  <c r="R1602" i="1483"/>
  <c r="R1603" i="1483"/>
  <c r="R1604" i="1483"/>
  <c r="R1605" i="1483"/>
  <c r="R1606" i="1483"/>
  <c r="R1607" i="1483"/>
  <c r="R1608" i="1483"/>
  <c r="R1609" i="1483"/>
  <c r="R1610" i="1483"/>
  <c r="R1611" i="1483"/>
  <c r="R1612" i="1483"/>
  <c r="R1613" i="1483"/>
  <c r="R1614" i="1483"/>
  <c r="R1615" i="1483"/>
  <c r="R1616" i="1483"/>
  <c r="R1617" i="1483"/>
  <c r="R1618" i="1483"/>
  <c r="R1619" i="1483"/>
  <c r="R1620" i="1483"/>
  <c r="R1621" i="1483"/>
  <c r="R1622" i="1483"/>
  <c r="R1623" i="1483"/>
  <c r="R1624" i="1483"/>
  <c r="R1625" i="1483"/>
  <c r="R1626" i="1483"/>
  <c r="R1627" i="1483"/>
  <c r="R1628" i="1483"/>
  <c r="R1629" i="1483"/>
  <c r="R1630" i="1483"/>
  <c r="R1631" i="1483"/>
  <c r="R1632" i="1483"/>
  <c r="R1633" i="1483"/>
  <c r="R1634" i="1483"/>
  <c r="R1635" i="1483"/>
  <c r="R1636" i="1483"/>
  <c r="R1637" i="1483"/>
  <c r="R1638" i="1483"/>
  <c r="R1639" i="1483"/>
  <c r="R1640" i="1483"/>
  <c r="R1641" i="1483"/>
  <c r="R1642" i="1483"/>
  <c r="R1643" i="1483"/>
  <c r="R1644" i="1483"/>
  <c r="R1645" i="1483"/>
  <c r="R1646" i="1483"/>
  <c r="R1647" i="1483"/>
  <c r="R1648" i="1483"/>
  <c r="R1649" i="1483"/>
  <c r="R1650" i="1483"/>
  <c r="R1651" i="1483"/>
  <c r="R1652" i="1483"/>
  <c r="R1653" i="1483"/>
  <c r="R1654" i="1483"/>
  <c r="R1655" i="1483"/>
  <c r="R1656" i="1483"/>
  <c r="R1657" i="1483"/>
  <c r="R1658" i="1483"/>
  <c r="R1659" i="1483"/>
  <c r="R1660" i="1483"/>
  <c r="R1661" i="1483"/>
  <c r="R1662" i="1483"/>
  <c r="R1663" i="1483"/>
  <c r="R1664" i="1483"/>
  <c r="R1665" i="1483"/>
  <c r="R1666" i="1483"/>
  <c r="R1667" i="1483"/>
  <c r="R1668" i="1483"/>
  <c r="R1669" i="1483"/>
  <c r="R1670" i="1483"/>
  <c r="R1671" i="1483"/>
  <c r="R1672" i="1483"/>
  <c r="R1673" i="1483"/>
  <c r="R1674" i="1483"/>
  <c r="R1675" i="1483"/>
  <c r="R1676" i="1483"/>
  <c r="R1677" i="1483"/>
  <c r="R1678" i="1483"/>
  <c r="R1679" i="1483"/>
  <c r="R1680" i="1483"/>
  <c r="R1681" i="1483"/>
  <c r="R1682" i="1483"/>
  <c r="R1683" i="1483"/>
  <c r="R1684" i="1483"/>
  <c r="R1685" i="1483"/>
  <c r="R1686" i="1483"/>
  <c r="R1687" i="1483"/>
  <c r="R1688" i="1483"/>
  <c r="R1689" i="1483"/>
  <c r="R1690" i="1483"/>
  <c r="R1691" i="1483"/>
  <c r="R1692" i="1483"/>
  <c r="R1693" i="1483"/>
  <c r="R1694" i="1483"/>
  <c r="R1695" i="1483"/>
  <c r="R1696" i="1483"/>
  <c r="R1697" i="1483"/>
  <c r="R1698" i="1483"/>
  <c r="R1699" i="1483"/>
  <c r="R1700" i="1483"/>
  <c r="R1701" i="1483"/>
  <c r="R1702" i="1483"/>
  <c r="R1703" i="1483"/>
  <c r="R1704" i="1483"/>
  <c r="R1705" i="1483"/>
  <c r="R1706" i="1483"/>
  <c r="R1707" i="1483"/>
  <c r="R1708" i="1483"/>
  <c r="R1709" i="1483"/>
  <c r="R1710" i="1483"/>
  <c r="R1711" i="1483"/>
  <c r="R1712" i="1483"/>
  <c r="R1713" i="1483"/>
  <c r="R1714" i="1483"/>
  <c r="R1715" i="1483"/>
  <c r="R1716" i="1483"/>
  <c r="R1717" i="1483"/>
  <c r="R1718" i="1483"/>
  <c r="R1719" i="1483"/>
  <c r="R1720" i="1483"/>
  <c r="R1721" i="1483"/>
  <c r="R1722" i="1483"/>
  <c r="R1723" i="1483"/>
  <c r="R1724" i="1483"/>
  <c r="R1725" i="1483"/>
  <c r="R1726" i="1483"/>
  <c r="R1727" i="1483"/>
  <c r="R1728" i="1483"/>
  <c r="R1729" i="1483"/>
  <c r="R1730" i="1483"/>
  <c r="R1731" i="1483"/>
  <c r="R1732" i="1483"/>
  <c r="R1733" i="1483"/>
  <c r="R1734" i="1483"/>
  <c r="R1735" i="1483"/>
  <c r="R1736" i="1483"/>
  <c r="R1737" i="1483"/>
  <c r="R1738" i="1483"/>
  <c r="R1739" i="1483"/>
  <c r="R1740" i="1483"/>
  <c r="R1741" i="1483"/>
  <c r="R1742" i="1483"/>
  <c r="R1743" i="1483"/>
  <c r="R1744" i="1483"/>
  <c r="R1745" i="1483"/>
  <c r="R1746" i="1483"/>
  <c r="R1747" i="1483"/>
  <c r="R1748" i="1483"/>
  <c r="R1749" i="1483"/>
  <c r="R1750" i="1483"/>
  <c r="R1751" i="1483"/>
  <c r="R1752" i="1483"/>
  <c r="R1753" i="1483"/>
  <c r="R1754" i="1483"/>
  <c r="R1755" i="1483"/>
  <c r="R1756" i="1483"/>
  <c r="R1757" i="1483"/>
  <c r="R1758" i="1483"/>
  <c r="R1759" i="1483"/>
  <c r="R1760" i="1483"/>
  <c r="R1761" i="1483"/>
  <c r="R1762" i="1483"/>
  <c r="R1763" i="1483"/>
  <c r="R1764" i="1483"/>
  <c r="R1765" i="1483"/>
  <c r="R1766" i="1483"/>
  <c r="R1767" i="1483"/>
  <c r="R1768" i="1483"/>
  <c r="R1769" i="1483"/>
  <c r="R1770" i="1483"/>
  <c r="R1771" i="1483"/>
  <c r="R1772" i="1483"/>
  <c r="R1773" i="1483"/>
  <c r="R1774" i="1483"/>
  <c r="R1775" i="1483"/>
  <c r="R1776" i="1483"/>
  <c r="R1777" i="1483"/>
  <c r="R1778" i="1483"/>
  <c r="R1779" i="1483"/>
  <c r="R1780" i="1483"/>
  <c r="R1781" i="1483"/>
  <c r="R1782" i="1483"/>
  <c r="R1783" i="1483"/>
  <c r="R1784" i="1483"/>
  <c r="R1785" i="1483"/>
  <c r="R1786" i="1483"/>
  <c r="R1787" i="1483"/>
  <c r="R1788" i="1483"/>
  <c r="R1789" i="1483"/>
  <c r="R1790" i="1483"/>
  <c r="R1791" i="1483"/>
  <c r="Q2" i="1483"/>
  <c r="Q3" i="1483"/>
  <c r="Q4" i="1483"/>
  <c r="Q5" i="1483"/>
  <c r="Q6" i="1483"/>
  <c r="Q7" i="1483"/>
  <c r="Q8" i="1483"/>
  <c r="Q9" i="1483"/>
  <c r="Q10" i="1483"/>
  <c r="Q11" i="1483"/>
  <c r="Q12" i="1483"/>
  <c r="Q13" i="1483"/>
  <c r="Q14" i="1483"/>
  <c r="Q15" i="1483"/>
  <c r="Q16" i="1483"/>
  <c r="Q17" i="1483"/>
  <c r="Q18" i="1483"/>
  <c r="Q19" i="1483"/>
  <c r="Q20" i="1483"/>
  <c r="Q21" i="1483"/>
  <c r="Q22" i="1483"/>
  <c r="Q23" i="1483"/>
  <c r="Q24" i="1483"/>
  <c r="Q25" i="1483"/>
  <c r="Q26" i="1483"/>
  <c r="Q27" i="1483"/>
  <c r="Q28" i="1483"/>
  <c r="Q29" i="1483"/>
  <c r="Q30" i="1483"/>
  <c r="Q31" i="1483"/>
  <c r="Q32" i="1483"/>
  <c r="Q33" i="1483"/>
  <c r="Q34" i="1483"/>
  <c r="Q35" i="1483"/>
  <c r="Q36" i="1483"/>
  <c r="Q37" i="1483"/>
  <c r="Q38" i="1483"/>
  <c r="Q39" i="1483"/>
  <c r="Q40" i="1483"/>
  <c r="Q41" i="1483"/>
  <c r="Q42" i="1483"/>
  <c r="Q43" i="1483"/>
  <c r="Q44" i="1483"/>
  <c r="Q45" i="1483"/>
  <c r="Q46" i="1483"/>
  <c r="Q47" i="1483"/>
  <c r="Q48" i="1483"/>
  <c r="Q49" i="1483"/>
  <c r="Q50" i="1483"/>
  <c r="Q51" i="1483"/>
  <c r="Q52" i="1483"/>
  <c r="Q53" i="1483"/>
  <c r="Q54" i="1483"/>
  <c r="Q55" i="1483"/>
  <c r="Q56" i="1483"/>
  <c r="Q57" i="1483"/>
  <c r="Q58" i="1483"/>
  <c r="Q59" i="1483"/>
  <c r="Q60" i="1483"/>
  <c r="Q61" i="1483"/>
  <c r="Q62" i="1483"/>
  <c r="Q63" i="1483"/>
  <c r="Q64" i="1483"/>
  <c r="Q65" i="1483"/>
  <c r="Q66" i="1483"/>
  <c r="Q67" i="1483"/>
  <c r="Q68" i="1483"/>
  <c r="Q69" i="1483"/>
  <c r="Q70" i="1483"/>
  <c r="Q71" i="1483"/>
  <c r="Q72" i="1483"/>
  <c r="Q73" i="1483"/>
  <c r="Q74" i="1483"/>
  <c r="Q75" i="1483"/>
  <c r="Q76" i="1483"/>
  <c r="Q77" i="1483"/>
  <c r="Q78" i="1483"/>
  <c r="Q79" i="1483"/>
  <c r="Q80" i="1483"/>
  <c r="Q81" i="1483"/>
  <c r="Q82" i="1483"/>
  <c r="Q83" i="1483"/>
  <c r="Q84" i="1483"/>
  <c r="Q85" i="1483"/>
  <c r="Q86" i="1483"/>
  <c r="Q87" i="1483"/>
  <c r="Q88" i="1483"/>
  <c r="Q89" i="1483"/>
  <c r="Q90" i="1483"/>
  <c r="Q91" i="1483"/>
  <c r="Q92" i="1483"/>
  <c r="Q93" i="1483"/>
  <c r="Q94" i="1483"/>
  <c r="Q95" i="1483"/>
  <c r="Q96" i="1483"/>
  <c r="Q97" i="1483"/>
  <c r="Q98" i="1483"/>
  <c r="Q99" i="1483"/>
  <c r="Q100" i="1483"/>
  <c r="Q101" i="1483"/>
  <c r="Q102" i="1483"/>
  <c r="Q103" i="1483"/>
  <c r="Q104" i="1483"/>
  <c r="Q105" i="1483"/>
  <c r="Q106" i="1483"/>
  <c r="Q107" i="1483"/>
  <c r="Q108" i="1483"/>
  <c r="Q109" i="1483"/>
  <c r="Q110" i="1483"/>
  <c r="Q111" i="1483"/>
  <c r="Q112" i="1483"/>
  <c r="Q113" i="1483"/>
  <c r="Q114" i="1483"/>
  <c r="Q115" i="1483"/>
  <c r="Q116" i="1483"/>
  <c r="Q117" i="1483"/>
  <c r="Q118" i="1483"/>
  <c r="Q119" i="1483"/>
  <c r="Q120" i="1483"/>
  <c r="Q121" i="1483"/>
  <c r="Q122" i="1483"/>
  <c r="Q123" i="1483"/>
  <c r="Q124" i="1483"/>
  <c r="Q125" i="1483"/>
  <c r="Q126" i="1483"/>
  <c r="Q127" i="1483"/>
  <c r="Q128" i="1483"/>
  <c r="Q129" i="1483"/>
  <c r="Q130" i="1483"/>
  <c r="Q131" i="1483"/>
  <c r="Q132" i="1483"/>
  <c r="Q133" i="1483"/>
  <c r="Q134" i="1483"/>
  <c r="Q135" i="1483"/>
  <c r="Q136" i="1483"/>
  <c r="Q137" i="1483"/>
  <c r="Q138" i="1483"/>
  <c r="Q139" i="1483"/>
  <c r="Q140" i="1483"/>
  <c r="Q141" i="1483"/>
  <c r="Q142" i="1483"/>
  <c r="Q143" i="1483"/>
  <c r="Q144" i="1483"/>
  <c r="Q145" i="1483"/>
  <c r="Q146" i="1483"/>
  <c r="Q147" i="1483"/>
  <c r="Q148" i="1483"/>
  <c r="Q149" i="1483"/>
  <c r="Q150" i="1483"/>
  <c r="Q151" i="1483"/>
  <c r="Q152" i="1483"/>
  <c r="Q153" i="1483"/>
  <c r="Q154" i="1483"/>
  <c r="Q155" i="1483"/>
  <c r="Q156" i="1483"/>
  <c r="Q157" i="1483"/>
  <c r="Q158" i="1483"/>
  <c r="Q159" i="1483"/>
  <c r="Q160" i="1483"/>
  <c r="Q161" i="1483"/>
  <c r="Q162" i="1483"/>
  <c r="Q163" i="1483"/>
  <c r="Q164" i="1483"/>
  <c r="Q165" i="1483"/>
  <c r="Q166" i="1483"/>
  <c r="Q167" i="1483"/>
  <c r="Q168" i="1483"/>
  <c r="Q169" i="1483"/>
  <c r="Q170" i="1483"/>
  <c r="Q171" i="1483"/>
  <c r="Q172" i="1483"/>
  <c r="Q173" i="1483"/>
  <c r="Q174" i="1483"/>
  <c r="Q175" i="1483"/>
  <c r="Q176" i="1483"/>
  <c r="Q177" i="1483"/>
  <c r="Q178" i="1483"/>
  <c r="Q179" i="1483"/>
  <c r="Q180" i="1483"/>
  <c r="Q181" i="1483"/>
  <c r="Q182" i="1483"/>
  <c r="Q183" i="1483"/>
  <c r="Q184" i="1483"/>
  <c r="Q185" i="1483"/>
  <c r="Q186" i="1483"/>
  <c r="Q187" i="1483"/>
  <c r="Q188" i="1483"/>
  <c r="Q189" i="1483"/>
  <c r="Q190" i="1483"/>
  <c r="Q191" i="1483"/>
  <c r="Q192" i="1483"/>
  <c r="Q193" i="1483"/>
  <c r="Q194" i="1483"/>
  <c r="Q195" i="1483"/>
  <c r="Q196" i="1483"/>
  <c r="Q197" i="1483"/>
  <c r="Q198" i="1483"/>
  <c r="Q199" i="1483"/>
  <c r="Q200" i="1483"/>
  <c r="Q201" i="1483"/>
  <c r="Q202" i="1483"/>
  <c r="Q203" i="1483"/>
  <c r="Q204" i="1483"/>
  <c r="Q205" i="1483"/>
  <c r="Q206" i="1483"/>
  <c r="Q207" i="1483"/>
  <c r="Q208" i="1483"/>
  <c r="Q209" i="1483"/>
  <c r="Q210" i="1483"/>
  <c r="Q211" i="1483"/>
  <c r="Q212" i="1483"/>
  <c r="Q213" i="1483"/>
  <c r="Q214" i="1483"/>
  <c r="Q215" i="1483"/>
  <c r="Q216" i="1483"/>
  <c r="Q217" i="1483"/>
  <c r="Q218" i="1483"/>
  <c r="Q219" i="1483"/>
  <c r="Q220" i="1483"/>
  <c r="Q221" i="1483"/>
  <c r="Q222" i="1483"/>
  <c r="Q223" i="1483"/>
  <c r="Q224" i="1483"/>
  <c r="Q225" i="1483"/>
  <c r="Q226" i="1483"/>
  <c r="Q227" i="1483"/>
  <c r="Q228" i="1483"/>
  <c r="Q229" i="1483"/>
  <c r="Q230" i="1483"/>
  <c r="Q231" i="1483"/>
  <c r="Q232" i="1483"/>
  <c r="Q233" i="1483"/>
  <c r="Q234" i="1483"/>
  <c r="Q235" i="1483"/>
  <c r="Q236" i="1483"/>
  <c r="Q237" i="1483"/>
  <c r="Q238" i="1483"/>
  <c r="Q239" i="1483"/>
  <c r="Q240" i="1483"/>
  <c r="Q241" i="1483"/>
  <c r="Q242" i="1483"/>
  <c r="Q243" i="1483"/>
  <c r="Q244" i="1483"/>
  <c r="Q245" i="1483"/>
  <c r="Q246" i="1483"/>
  <c r="Q247" i="1483"/>
  <c r="Q248" i="1483"/>
  <c r="Q249" i="1483"/>
  <c r="Q250" i="1483"/>
  <c r="Q251" i="1483"/>
  <c r="Q252" i="1483"/>
  <c r="Q253" i="1483"/>
  <c r="Q254" i="1483"/>
  <c r="Q255" i="1483"/>
  <c r="Q256" i="1483"/>
  <c r="Q257" i="1483"/>
  <c r="Q258" i="1483"/>
  <c r="Q259" i="1483"/>
  <c r="Q260" i="1483"/>
  <c r="Q261" i="1483"/>
  <c r="Q262" i="1483"/>
  <c r="Q263" i="1483"/>
  <c r="Q264" i="1483"/>
  <c r="Q265" i="1483"/>
  <c r="Q266" i="1483"/>
  <c r="Q267" i="1483"/>
  <c r="Q268" i="1483"/>
  <c r="Q269" i="1483"/>
  <c r="Q270" i="1483"/>
  <c r="Q271" i="1483"/>
  <c r="Q272" i="1483"/>
  <c r="Q273" i="1483"/>
  <c r="Q274" i="1483"/>
  <c r="Q275" i="1483"/>
  <c r="Q276" i="1483"/>
  <c r="Q277" i="1483"/>
  <c r="Q278" i="1483"/>
  <c r="Q279" i="1483"/>
  <c r="Q280" i="1483"/>
  <c r="Q281" i="1483"/>
  <c r="Q282" i="1483"/>
  <c r="Q283" i="1483"/>
  <c r="Q284" i="1483"/>
  <c r="Q285" i="1483"/>
  <c r="Q286" i="1483"/>
  <c r="Q287" i="1483"/>
  <c r="Q288" i="1483"/>
  <c r="Q289" i="1483"/>
  <c r="Q290" i="1483"/>
  <c r="Q291" i="1483"/>
  <c r="Q292" i="1483"/>
  <c r="Q293" i="1483"/>
  <c r="Q294" i="1483"/>
  <c r="Q295" i="1483"/>
  <c r="Q296" i="1483"/>
  <c r="Q297" i="1483"/>
  <c r="Q298" i="1483"/>
  <c r="Q299" i="1483"/>
  <c r="Q300" i="1483"/>
  <c r="Q301" i="1483"/>
  <c r="Q302" i="1483"/>
  <c r="Q303" i="1483"/>
  <c r="Q304" i="1483"/>
  <c r="Q305" i="1483"/>
  <c r="Q306" i="1483"/>
  <c r="Q307" i="1483"/>
  <c r="Q308" i="1483"/>
  <c r="Q309" i="1483"/>
  <c r="Q310" i="1483"/>
  <c r="Q311" i="1483"/>
  <c r="Q312" i="1483"/>
  <c r="Q313" i="1483"/>
  <c r="Q314" i="1483"/>
  <c r="Q315" i="1483"/>
  <c r="Q316" i="1483"/>
  <c r="Q317" i="1483"/>
  <c r="Q318" i="1483"/>
  <c r="Q319" i="1483"/>
  <c r="Q320" i="1483"/>
  <c r="Q321" i="1483"/>
  <c r="Q322" i="1483"/>
  <c r="Q323" i="1483"/>
  <c r="Q324" i="1483"/>
  <c r="Q325" i="1483"/>
  <c r="Q326" i="1483"/>
  <c r="Q327" i="1483"/>
  <c r="Q328" i="1483"/>
  <c r="Q329" i="1483"/>
  <c r="Q330" i="1483"/>
  <c r="Q331" i="1483"/>
  <c r="Q332" i="1483"/>
  <c r="Q333" i="1483"/>
  <c r="Q334" i="1483"/>
  <c r="Q335" i="1483"/>
  <c r="Q336" i="1483"/>
  <c r="Q337" i="1483"/>
  <c r="Q338" i="1483"/>
  <c r="Q339" i="1483"/>
  <c r="Q340" i="1483"/>
  <c r="Q341" i="1483"/>
  <c r="Q342" i="1483"/>
  <c r="Q343" i="1483"/>
  <c r="Q344" i="1483"/>
  <c r="Q345" i="1483"/>
  <c r="Q346" i="1483"/>
  <c r="Q347" i="1483"/>
  <c r="Q348" i="1483"/>
  <c r="Q349" i="1483"/>
  <c r="Q350" i="1483"/>
  <c r="Q351" i="1483"/>
  <c r="Q352" i="1483"/>
  <c r="Q353" i="1483"/>
  <c r="Q354" i="1483"/>
  <c r="Q355" i="1483"/>
  <c r="Q356" i="1483"/>
  <c r="Q357" i="1483"/>
  <c r="Q358" i="1483"/>
  <c r="Q359" i="1483"/>
  <c r="Q360" i="1483"/>
  <c r="Q361" i="1483"/>
  <c r="Q362" i="1483"/>
  <c r="Q363" i="1483"/>
  <c r="Q364" i="1483"/>
  <c r="Q365" i="1483"/>
  <c r="Q366" i="1483"/>
  <c r="Q367" i="1483"/>
  <c r="Q368" i="1483"/>
  <c r="Q369" i="1483"/>
  <c r="Q370" i="1483"/>
  <c r="Q371" i="1483"/>
  <c r="Q372" i="1483"/>
  <c r="Q373" i="1483"/>
  <c r="Q374" i="1483"/>
  <c r="Q375" i="1483"/>
  <c r="Q376" i="1483"/>
  <c r="Q377" i="1483"/>
  <c r="Q378" i="1483"/>
  <c r="Q379" i="1483"/>
  <c r="Q380" i="1483"/>
  <c r="Q381" i="1483"/>
  <c r="Q382" i="1483"/>
  <c r="Q383" i="1483"/>
  <c r="Q384" i="1483"/>
  <c r="Q385" i="1483"/>
  <c r="Q386" i="1483"/>
  <c r="Q387" i="1483"/>
  <c r="Q388" i="1483"/>
  <c r="Q389" i="1483"/>
  <c r="Q390" i="1483"/>
  <c r="Q391" i="1483"/>
  <c r="Q392" i="1483"/>
  <c r="Q393" i="1483"/>
  <c r="Q394" i="1483"/>
  <c r="Q395" i="1483"/>
  <c r="Q396" i="1483"/>
  <c r="Q397" i="1483"/>
  <c r="Q398" i="1483"/>
  <c r="Q399" i="1483"/>
  <c r="Q400" i="1483"/>
  <c r="Q401" i="1483"/>
  <c r="Q402" i="1483"/>
  <c r="Q403" i="1483"/>
  <c r="Q404" i="1483"/>
  <c r="Q405" i="1483"/>
  <c r="Q406" i="1483"/>
  <c r="Q407" i="1483"/>
  <c r="Q408" i="1483"/>
  <c r="Q409" i="1483"/>
  <c r="Q410" i="1483"/>
  <c r="Q411" i="1483"/>
  <c r="Q412" i="1483"/>
  <c r="Q413" i="1483"/>
  <c r="Q414" i="1483"/>
  <c r="Q415" i="1483"/>
  <c r="Q416" i="1483"/>
  <c r="Q417" i="1483"/>
  <c r="Q418" i="1483"/>
  <c r="Q419" i="1483"/>
  <c r="Q420" i="1483"/>
  <c r="Q421" i="1483"/>
  <c r="Q422" i="1483"/>
  <c r="Q423" i="1483"/>
  <c r="Q424" i="1483"/>
  <c r="Q425" i="1483"/>
  <c r="Q426" i="1483"/>
  <c r="Q427" i="1483"/>
  <c r="Q428" i="1483"/>
  <c r="Q429" i="1483"/>
  <c r="Q430" i="1483"/>
  <c r="Q431" i="1483"/>
  <c r="Q432" i="1483"/>
  <c r="Q433" i="1483"/>
  <c r="Q434" i="1483"/>
  <c r="Q435" i="1483"/>
  <c r="Q436" i="1483"/>
  <c r="Q437" i="1483"/>
  <c r="Q438" i="1483"/>
  <c r="Q439" i="1483"/>
  <c r="Q440" i="1483"/>
  <c r="Q441" i="1483"/>
  <c r="Q442" i="1483"/>
  <c r="Q443" i="1483"/>
  <c r="Q444" i="1483"/>
  <c r="Q445" i="1483"/>
  <c r="Q446" i="1483"/>
  <c r="Q447" i="1483"/>
  <c r="Q448" i="1483"/>
  <c r="Q449" i="1483"/>
  <c r="Q450" i="1483"/>
  <c r="Q451" i="1483"/>
  <c r="Q452" i="1483"/>
  <c r="Q453" i="1483"/>
  <c r="Q454" i="1483"/>
  <c r="Q455" i="1483"/>
  <c r="Q456" i="1483"/>
  <c r="Q457" i="1483"/>
  <c r="Q458" i="1483"/>
  <c r="Q459" i="1483"/>
  <c r="Q460" i="1483"/>
  <c r="Q461" i="1483"/>
  <c r="Q462" i="1483"/>
  <c r="Q463" i="1483"/>
  <c r="Q464" i="1483"/>
  <c r="Q465" i="1483"/>
  <c r="Q466" i="1483"/>
  <c r="Q467" i="1483"/>
  <c r="Q468" i="1483"/>
  <c r="Q469" i="1483"/>
  <c r="Q470" i="1483"/>
  <c r="Q471" i="1483"/>
  <c r="Q472" i="1483"/>
  <c r="Q473" i="1483"/>
  <c r="Q474" i="1483"/>
  <c r="Q475" i="1483"/>
  <c r="Q476" i="1483"/>
  <c r="Q477" i="1483"/>
  <c r="Q478" i="1483"/>
  <c r="Q479" i="1483"/>
  <c r="Q480" i="1483"/>
  <c r="Q481" i="1483"/>
  <c r="Q482" i="1483"/>
  <c r="Q483" i="1483"/>
  <c r="Q484" i="1483"/>
  <c r="Q485" i="1483"/>
  <c r="Q486" i="1483"/>
  <c r="Q487" i="1483"/>
  <c r="Q488" i="1483"/>
  <c r="Q489" i="1483"/>
  <c r="Q490" i="1483"/>
  <c r="Q491" i="1483"/>
  <c r="Q492" i="1483"/>
  <c r="Q493" i="1483"/>
  <c r="Q494" i="1483"/>
  <c r="Q495" i="1483"/>
  <c r="Q496" i="1483"/>
  <c r="Q497" i="1483"/>
  <c r="Q498" i="1483"/>
  <c r="Q499" i="1483"/>
  <c r="Q500" i="1483"/>
  <c r="Q501" i="1483"/>
  <c r="Q502" i="1483"/>
  <c r="Q503" i="1483"/>
  <c r="Q504" i="1483"/>
  <c r="Q505" i="1483"/>
  <c r="Q506" i="1483"/>
  <c r="Q507" i="1483"/>
  <c r="Q508" i="1483"/>
  <c r="Q509" i="1483"/>
  <c r="Q510" i="1483"/>
  <c r="Q511" i="1483"/>
  <c r="Q512" i="1483"/>
  <c r="Q513" i="1483"/>
  <c r="Q514" i="1483"/>
  <c r="Q515" i="1483"/>
  <c r="Q516" i="1483"/>
  <c r="Q517" i="1483"/>
  <c r="Q518" i="1483"/>
  <c r="Q519" i="1483"/>
  <c r="Q520" i="1483"/>
  <c r="Q521" i="1483"/>
  <c r="Q522" i="1483"/>
  <c r="Q523" i="1483"/>
  <c r="Q524" i="1483"/>
  <c r="Q525" i="1483"/>
  <c r="Q526" i="1483"/>
  <c r="Q527" i="1483"/>
  <c r="Q528" i="1483"/>
  <c r="Q529" i="1483"/>
  <c r="Q530" i="1483"/>
  <c r="Q531" i="1483"/>
  <c r="Q532" i="1483"/>
  <c r="Q533" i="1483"/>
  <c r="Q534" i="1483"/>
  <c r="Q535" i="1483"/>
  <c r="Q536" i="1483"/>
  <c r="Q537" i="1483"/>
  <c r="Q538" i="1483"/>
  <c r="Q539" i="1483"/>
  <c r="Q540" i="1483"/>
  <c r="Q541" i="1483"/>
  <c r="Q542" i="1483"/>
  <c r="Q543" i="1483"/>
  <c r="Q544" i="1483"/>
  <c r="Q545" i="1483"/>
  <c r="Q546" i="1483"/>
  <c r="Q547" i="1483"/>
  <c r="Q548" i="1483"/>
  <c r="Q549" i="1483"/>
  <c r="Q550" i="1483"/>
  <c r="Q551" i="1483"/>
  <c r="Q552" i="1483"/>
  <c r="Q553" i="1483"/>
  <c r="Q554" i="1483"/>
  <c r="Q555" i="1483"/>
  <c r="Q556" i="1483"/>
  <c r="Q557" i="1483"/>
  <c r="Q558" i="1483"/>
  <c r="Q559" i="1483"/>
  <c r="Q560" i="1483"/>
  <c r="Q561" i="1483"/>
  <c r="Q562" i="1483"/>
  <c r="Q563" i="1483"/>
  <c r="Q564" i="1483"/>
  <c r="Q565" i="1483"/>
  <c r="Q566" i="1483"/>
  <c r="Q567" i="1483"/>
  <c r="Q568" i="1483"/>
  <c r="Q569" i="1483"/>
  <c r="Q570" i="1483"/>
  <c r="Q571" i="1483"/>
  <c r="Q572" i="1483"/>
  <c r="Q573" i="1483"/>
  <c r="Q574" i="1483"/>
  <c r="Q575" i="1483"/>
  <c r="Q576" i="1483"/>
  <c r="Q577" i="1483"/>
  <c r="Q578" i="1483"/>
  <c r="Q579" i="1483"/>
  <c r="Q580" i="1483"/>
  <c r="Q581" i="1483"/>
  <c r="Q582" i="1483"/>
  <c r="Q583" i="1483"/>
  <c r="Q584" i="1483"/>
  <c r="Q585" i="1483"/>
  <c r="Q586" i="1483"/>
  <c r="Q587" i="1483"/>
  <c r="Q588" i="1483"/>
  <c r="Q589" i="1483"/>
  <c r="Q590" i="1483"/>
  <c r="Q591" i="1483"/>
  <c r="Q592" i="1483"/>
  <c r="Q593" i="1483"/>
  <c r="Q594" i="1483"/>
  <c r="Q595" i="1483"/>
  <c r="Q596" i="1483"/>
  <c r="Q597" i="1483"/>
  <c r="Q598" i="1483"/>
  <c r="Q599" i="1483"/>
  <c r="Q600" i="1483"/>
  <c r="Q601" i="1483"/>
  <c r="Q602" i="1483"/>
  <c r="Q603" i="1483"/>
  <c r="Q604" i="1483"/>
  <c r="Q605" i="1483"/>
  <c r="Q606" i="1483"/>
  <c r="Q607" i="1483"/>
  <c r="Q608" i="1483"/>
  <c r="Q609" i="1483"/>
  <c r="Q610" i="1483"/>
  <c r="Q611" i="1483"/>
  <c r="Q612" i="1483"/>
  <c r="Q613" i="1483"/>
  <c r="Q614" i="1483"/>
  <c r="Q615" i="1483"/>
  <c r="Q616" i="1483"/>
  <c r="Q617" i="1483"/>
  <c r="Q618" i="1483"/>
  <c r="Q619" i="1483"/>
  <c r="Q620" i="1483"/>
  <c r="Q621" i="1483"/>
  <c r="Q622" i="1483"/>
  <c r="Q623" i="1483"/>
  <c r="Q624" i="1483"/>
  <c r="Q625" i="1483"/>
  <c r="Q626" i="1483"/>
  <c r="Q627" i="1483"/>
  <c r="Q628" i="1483"/>
  <c r="Q629" i="1483"/>
  <c r="Q630" i="1483"/>
  <c r="Q631" i="1483"/>
  <c r="Q632" i="1483"/>
  <c r="Q633" i="1483"/>
  <c r="Q634" i="1483"/>
  <c r="Q635" i="1483"/>
  <c r="Q636" i="1483"/>
  <c r="Q637" i="1483"/>
  <c r="Q638" i="1483"/>
  <c r="Q639" i="1483"/>
  <c r="Q640" i="1483"/>
  <c r="Q641" i="1483"/>
  <c r="Q642" i="1483"/>
  <c r="Q643" i="1483"/>
  <c r="Q644" i="1483"/>
  <c r="Q645" i="1483"/>
  <c r="Q646" i="1483"/>
  <c r="Q647" i="1483"/>
  <c r="Q648" i="1483"/>
  <c r="Q649" i="1483"/>
  <c r="Q650" i="1483"/>
  <c r="Q651" i="1483"/>
  <c r="Q652" i="1483"/>
  <c r="Q653" i="1483"/>
  <c r="Q654" i="1483"/>
  <c r="Q655" i="1483"/>
  <c r="Q656" i="1483"/>
  <c r="Q657" i="1483"/>
  <c r="Q658" i="1483"/>
  <c r="Q659" i="1483"/>
  <c r="Q660" i="1483"/>
  <c r="Q661" i="1483"/>
  <c r="Q662" i="1483"/>
  <c r="Q663" i="1483"/>
  <c r="Q664" i="1483"/>
  <c r="Q665" i="1483"/>
  <c r="Q666" i="1483"/>
  <c r="Q667" i="1483"/>
  <c r="Q668" i="1483"/>
  <c r="Q669" i="1483"/>
  <c r="Q670" i="1483"/>
  <c r="Q671" i="1483"/>
  <c r="Q672" i="1483"/>
  <c r="Q673" i="1483"/>
  <c r="Q674" i="1483"/>
  <c r="Q675" i="1483"/>
  <c r="Q676" i="1483"/>
  <c r="Q677" i="1483"/>
  <c r="Q678" i="1483"/>
  <c r="Q679" i="1483"/>
  <c r="Q680" i="1483"/>
  <c r="Q681" i="1483"/>
  <c r="Q682" i="1483"/>
  <c r="Q683" i="1483"/>
  <c r="Q684" i="1483"/>
  <c r="Q685" i="1483"/>
  <c r="Q686" i="1483"/>
  <c r="Q687" i="1483"/>
  <c r="Q688" i="1483"/>
  <c r="Q689" i="1483"/>
  <c r="Q690" i="1483"/>
  <c r="Q691" i="1483"/>
  <c r="Q692" i="1483"/>
  <c r="Q693" i="1483"/>
  <c r="Q694" i="1483"/>
  <c r="Q695" i="1483"/>
  <c r="Q696" i="1483"/>
  <c r="Q697" i="1483"/>
  <c r="Q698" i="1483"/>
  <c r="Q699" i="1483"/>
  <c r="Q700" i="1483"/>
  <c r="Q701" i="1483"/>
  <c r="Q702" i="1483"/>
  <c r="Q703" i="1483"/>
  <c r="Q704" i="1483"/>
  <c r="Q705" i="1483"/>
  <c r="Q706" i="1483"/>
  <c r="Q707" i="1483"/>
  <c r="Q708" i="1483"/>
  <c r="Q709" i="1483"/>
  <c r="Q710" i="1483"/>
  <c r="Q711" i="1483"/>
  <c r="Q712" i="1483"/>
  <c r="Q713" i="1483"/>
  <c r="Q714" i="1483"/>
  <c r="Q715" i="1483"/>
  <c r="Q716" i="1483"/>
  <c r="Q717" i="1483"/>
  <c r="Q718" i="1483"/>
  <c r="Q719" i="1483"/>
  <c r="Q720" i="1483"/>
  <c r="Q721" i="1483"/>
  <c r="Q722" i="1483"/>
  <c r="Q723" i="1483"/>
  <c r="Q724" i="1483"/>
  <c r="Q725" i="1483"/>
  <c r="Q726" i="1483"/>
  <c r="Q727" i="1483"/>
  <c r="Q728" i="1483"/>
  <c r="Q729" i="1483"/>
  <c r="Q730" i="1483"/>
  <c r="Q731" i="1483"/>
  <c r="Q732" i="1483"/>
  <c r="Q733" i="1483"/>
  <c r="Q734" i="1483"/>
  <c r="Q735" i="1483"/>
  <c r="Q736" i="1483"/>
  <c r="Q737" i="1483"/>
  <c r="Q738" i="1483"/>
  <c r="Q739" i="1483"/>
  <c r="Q740" i="1483"/>
  <c r="Q741" i="1483"/>
  <c r="Q742" i="1483"/>
  <c r="Q743" i="1483"/>
  <c r="Q744" i="1483"/>
  <c r="Q745" i="1483"/>
  <c r="Q746" i="1483"/>
  <c r="Q747" i="1483"/>
  <c r="Q748" i="1483"/>
  <c r="Q749" i="1483"/>
  <c r="Q750" i="1483"/>
  <c r="Q751" i="1483"/>
  <c r="Q752" i="1483"/>
  <c r="Q753" i="1483"/>
  <c r="Q754" i="1483"/>
  <c r="Q755" i="1483"/>
  <c r="Q756" i="1483"/>
  <c r="Q757" i="1483"/>
  <c r="Q758" i="1483"/>
  <c r="Q759" i="1483"/>
  <c r="Q760" i="1483"/>
  <c r="Q761" i="1483"/>
  <c r="Q762" i="1483"/>
  <c r="Q763" i="1483"/>
  <c r="Q764" i="1483"/>
  <c r="Q765" i="1483"/>
  <c r="Q766" i="1483"/>
  <c r="Q767" i="1483"/>
  <c r="Q768" i="1483"/>
  <c r="Q769" i="1483"/>
  <c r="Q770" i="1483"/>
  <c r="Q771" i="1483"/>
  <c r="Q772" i="1483"/>
  <c r="Q773" i="1483"/>
  <c r="Q774" i="1483"/>
  <c r="Q775" i="1483"/>
  <c r="Q776" i="1483"/>
  <c r="Q777" i="1483"/>
  <c r="Q778" i="1483"/>
  <c r="Q779" i="1483"/>
  <c r="Q780" i="1483"/>
  <c r="Q781" i="1483"/>
  <c r="Q782" i="1483"/>
  <c r="Q783" i="1483"/>
  <c r="Q784" i="1483"/>
  <c r="Q785" i="1483"/>
  <c r="Q786" i="1483"/>
  <c r="Q787" i="1483"/>
  <c r="Q788" i="1483"/>
  <c r="Q789" i="1483"/>
  <c r="Q790" i="1483"/>
  <c r="Q791" i="1483"/>
  <c r="Q792" i="1483"/>
  <c r="Q793" i="1483"/>
  <c r="Q794" i="1483"/>
  <c r="Q795" i="1483"/>
  <c r="Q796" i="1483"/>
  <c r="Q797" i="1483"/>
  <c r="Q798" i="1483"/>
  <c r="Q799" i="1483"/>
  <c r="Q800" i="1483"/>
  <c r="Q801" i="1483"/>
  <c r="Q802" i="1483"/>
  <c r="Q803" i="1483"/>
  <c r="Q804" i="1483"/>
  <c r="Q805" i="1483"/>
  <c r="Q806" i="1483"/>
  <c r="Q807" i="1483"/>
  <c r="Q808" i="1483"/>
  <c r="Q809" i="1483"/>
  <c r="Q810" i="1483"/>
  <c r="Q811" i="1483"/>
  <c r="Q812" i="1483"/>
  <c r="Q813" i="1483"/>
  <c r="Q814" i="1483"/>
  <c r="Q815" i="1483"/>
  <c r="Q816" i="1483"/>
  <c r="Q817" i="1483"/>
  <c r="Q818" i="1483"/>
  <c r="Q819" i="1483"/>
  <c r="Q820" i="1483"/>
  <c r="Q821" i="1483"/>
  <c r="Q822" i="1483"/>
  <c r="Q823" i="1483"/>
  <c r="Q824" i="1483"/>
  <c r="Q825" i="1483"/>
  <c r="Q826" i="1483"/>
  <c r="Q827" i="1483"/>
  <c r="Q828" i="1483"/>
  <c r="Q829" i="1483"/>
  <c r="Q830" i="1483"/>
  <c r="Q831" i="1483"/>
  <c r="Q832" i="1483"/>
  <c r="Q833" i="1483"/>
  <c r="Q834" i="1483"/>
  <c r="Q835" i="1483"/>
  <c r="Q836" i="1483"/>
  <c r="Q837" i="1483"/>
  <c r="Q838" i="1483"/>
  <c r="Q839" i="1483"/>
  <c r="Q840" i="1483"/>
  <c r="Q841" i="1483"/>
  <c r="Q842" i="1483"/>
  <c r="Q843" i="1483"/>
  <c r="Q844" i="1483"/>
  <c r="Q845" i="1483"/>
  <c r="Q846" i="1483"/>
  <c r="Q847" i="1483"/>
  <c r="Q848" i="1483"/>
  <c r="Q849" i="1483"/>
  <c r="Q850" i="1483"/>
  <c r="Q851" i="1483"/>
  <c r="Q852" i="1483"/>
  <c r="Q853" i="1483"/>
  <c r="Q854" i="1483"/>
  <c r="Q855" i="1483"/>
  <c r="Q856" i="1483"/>
  <c r="Q857" i="1483"/>
  <c r="Q858" i="1483"/>
  <c r="Q859" i="1483"/>
  <c r="Q860" i="1483"/>
  <c r="Q861" i="1483"/>
  <c r="Q862" i="1483"/>
  <c r="Q863" i="1483"/>
  <c r="Q864" i="1483"/>
  <c r="Q865" i="1483"/>
  <c r="Q866" i="1483"/>
  <c r="Q867" i="1483"/>
  <c r="Q868" i="1483"/>
  <c r="Q869" i="1483"/>
  <c r="Q870" i="1483"/>
  <c r="Q871" i="1483"/>
  <c r="Q872" i="1483"/>
  <c r="Q873" i="1483"/>
  <c r="Q874" i="1483"/>
  <c r="Q875" i="1483"/>
  <c r="Q876" i="1483"/>
  <c r="Q877" i="1483"/>
  <c r="Q878" i="1483"/>
  <c r="Q879" i="1483"/>
  <c r="Q880" i="1483"/>
  <c r="Q881" i="1483"/>
  <c r="Q882" i="1483"/>
  <c r="Q883" i="1483"/>
  <c r="Q884" i="1483"/>
  <c r="Q885" i="1483"/>
  <c r="Q886" i="1483"/>
  <c r="Q887" i="1483"/>
  <c r="Q888" i="1483"/>
  <c r="Q889" i="1483"/>
  <c r="Q890" i="1483"/>
  <c r="Q891" i="1483"/>
  <c r="Q892" i="1483"/>
  <c r="Q893" i="1483"/>
  <c r="Q894" i="1483"/>
  <c r="Q895" i="1483"/>
  <c r="Q896" i="1483"/>
  <c r="Q897" i="1483"/>
  <c r="Q898" i="1483"/>
  <c r="Q899" i="1483"/>
  <c r="Q900" i="1483"/>
  <c r="Q901" i="1483"/>
  <c r="Q902" i="1483"/>
  <c r="Q903" i="1483"/>
  <c r="Q904" i="1483"/>
  <c r="Q905" i="1483"/>
  <c r="Q906" i="1483"/>
  <c r="Q907" i="1483"/>
  <c r="Q908" i="1483"/>
  <c r="Q909" i="1483"/>
  <c r="Q910" i="1483"/>
  <c r="Q911" i="1483"/>
  <c r="Q912" i="1483"/>
  <c r="Q913" i="1483"/>
  <c r="Q914" i="1483"/>
  <c r="Q915" i="1483"/>
  <c r="Q916" i="1483"/>
  <c r="Q917" i="1483"/>
  <c r="Q918" i="1483"/>
  <c r="Q919" i="1483"/>
  <c r="Q920" i="1483"/>
  <c r="Q921" i="1483"/>
  <c r="Q922" i="1483"/>
  <c r="Q923" i="1483"/>
  <c r="Q924" i="1483"/>
  <c r="Q925" i="1483"/>
  <c r="Q926" i="1483"/>
  <c r="Q927" i="1483"/>
  <c r="Q928" i="1483"/>
  <c r="Q929" i="1483"/>
  <c r="Q930" i="1483"/>
  <c r="Q931" i="1483"/>
  <c r="Q932" i="1483"/>
  <c r="Q933" i="1483"/>
  <c r="Q934" i="1483"/>
  <c r="Q935" i="1483"/>
  <c r="Q936" i="1483"/>
  <c r="Q937" i="1483"/>
  <c r="Q938" i="1483"/>
  <c r="Q939" i="1483"/>
  <c r="Q940" i="1483"/>
  <c r="Q941" i="1483"/>
  <c r="Q942" i="1483"/>
  <c r="Q943" i="1483"/>
  <c r="Q944" i="1483"/>
  <c r="Q945" i="1483"/>
  <c r="Q946" i="1483"/>
  <c r="Q947" i="1483"/>
  <c r="Q948" i="1483"/>
  <c r="Q949" i="1483"/>
  <c r="Q950" i="1483"/>
  <c r="Q951" i="1483"/>
  <c r="Q952" i="1483"/>
  <c r="Q953" i="1483"/>
  <c r="Q954" i="1483"/>
  <c r="Q955" i="1483"/>
  <c r="Q956" i="1483"/>
  <c r="Q957" i="1483"/>
  <c r="Q958" i="1483"/>
  <c r="Q959" i="1483"/>
  <c r="Q960" i="1483"/>
  <c r="Q961" i="1483"/>
  <c r="Q962" i="1483"/>
  <c r="Q963" i="1483"/>
  <c r="Q964" i="1483"/>
  <c r="Q965" i="1483"/>
  <c r="Q966" i="1483"/>
  <c r="Q967" i="1483"/>
  <c r="Q968" i="1483"/>
  <c r="Q969" i="1483"/>
  <c r="Q970" i="1483"/>
  <c r="Q971" i="1483"/>
  <c r="Q972" i="1483"/>
  <c r="Q973" i="1483"/>
  <c r="Q974" i="1483"/>
  <c r="Q975" i="1483"/>
  <c r="Q976" i="1483"/>
  <c r="Q977" i="1483"/>
  <c r="Q978" i="1483"/>
  <c r="Q979" i="1483"/>
  <c r="Q980" i="1483"/>
  <c r="Q981" i="1483"/>
  <c r="Q982" i="1483"/>
  <c r="Q983" i="1483"/>
  <c r="Q984" i="1483"/>
  <c r="Q985" i="1483"/>
  <c r="Q986" i="1483"/>
  <c r="Q987" i="1483"/>
  <c r="Q988" i="1483"/>
  <c r="Q989" i="1483"/>
  <c r="Q990" i="1483"/>
  <c r="Q991" i="1483"/>
  <c r="Q992" i="1483"/>
  <c r="Q993" i="1483"/>
  <c r="Q994" i="1483"/>
  <c r="Q995" i="1483"/>
  <c r="Q996" i="1483"/>
  <c r="Q997" i="1483"/>
  <c r="Q998" i="1483"/>
  <c r="Q999" i="1483"/>
  <c r="Q1000" i="1483"/>
  <c r="Q1001" i="1483"/>
  <c r="Q1002" i="1483"/>
  <c r="Q1003" i="1483"/>
  <c r="Q1004" i="1483"/>
  <c r="Q1005" i="1483"/>
  <c r="Q1006" i="1483"/>
  <c r="Q1007" i="1483"/>
  <c r="Q1008" i="1483"/>
  <c r="Q1009" i="1483"/>
  <c r="Q1010" i="1483"/>
  <c r="Q1011" i="1483"/>
  <c r="Q1012" i="1483"/>
  <c r="Q1013" i="1483"/>
  <c r="Q1014" i="1483"/>
  <c r="Q1015" i="1483"/>
  <c r="Q1016" i="1483"/>
  <c r="Q1017" i="1483"/>
  <c r="Q1018" i="1483"/>
  <c r="Q1019" i="1483"/>
  <c r="Q1020" i="1483"/>
  <c r="Q1021" i="1483"/>
  <c r="Q1022" i="1483"/>
  <c r="Q1023" i="1483"/>
  <c r="Q1024" i="1483"/>
  <c r="Q1025" i="1483"/>
  <c r="Q1026" i="1483"/>
  <c r="Q1027" i="1483"/>
  <c r="Q1028" i="1483"/>
  <c r="Q1029" i="1483"/>
  <c r="Q1030" i="1483"/>
  <c r="Q1031" i="1483"/>
  <c r="Q1032" i="1483"/>
  <c r="Q1033" i="1483"/>
  <c r="Q1034" i="1483"/>
  <c r="Q1035" i="1483"/>
  <c r="Q1036" i="1483"/>
  <c r="Q1037" i="1483"/>
  <c r="Q1038" i="1483"/>
  <c r="Q1039" i="1483"/>
  <c r="Q1040" i="1483"/>
  <c r="Q1041" i="1483"/>
  <c r="Q1042" i="1483"/>
  <c r="Q1043" i="1483"/>
  <c r="Q1044" i="1483"/>
  <c r="Q1045" i="1483"/>
  <c r="Q1046" i="1483"/>
  <c r="Q1047" i="1483"/>
  <c r="Q1048" i="1483"/>
  <c r="Q1049" i="1483"/>
  <c r="Q1050" i="1483"/>
  <c r="Q1051" i="1483"/>
  <c r="Q1052" i="1483"/>
  <c r="Q1053" i="1483"/>
  <c r="Q1054" i="1483"/>
  <c r="Q1055" i="1483"/>
  <c r="Q1056" i="1483"/>
  <c r="Q1057" i="1483"/>
  <c r="Q1058" i="1483"/>
  <c r="Q1059" i="1483"/>
  <c r="Q1060" i="1483"/>
  <c r="Q1061" i="1483"/>
  <c r="Q1062" i="1483"/>
  <c r="Q1063" i="1483"/>
  <c r="Q1064" i="1483"/>
  <c r="Q1065" i="1483"/>
  <c r="Q1066" i="1483"/>
  <c r="Q1067" i="1483"/>
  <c r="Q1068" i="1483"/>
  <c r="Q1069" i="1483"/>
  <c r="Q1070" i="1483"/>
  <c r="Q1071" i="1483"/>
  <c r="Q1072" i="1483"/>
  <c r="Q1073" i="1483"/>
  <c r="Q1074" i="1483"/>
  <c r="Q1075" i="1483"/>
  <c r="Q1076" i="1483"/>
  <c r="Q1077" i="1483"/>
  <c r="Q1078" i="1483"/>
  <c r="Q1079" i="1483"/>
  <c r="Q1080" i="1483"/>
  <c r="Q1081" i="1483"/>
  <c r="Q1082" i="1483"/>
  <c r="Q1083" i="1483"/>
  <c r="Q1084" i="1483"/>
  <c r="Q1085" i="1483"/>
  <c r="Q1086" i="1483"/>
  <c r="Q1087" i="1483"/>
  <c r="Q1088" i="1483"/>
  <c r="Q1089" i="1483"/>
  <c r="Q1090" i="1483"/>
  <c r="Q1091" i="1483"/>
  <c r="Q1092" i="1483"/>
  <c r="Q1093" i="1483"/>
  <c r="Q1094" i="1483"/>
  <c r="Q1095" i="1483"/>
  <c r="Q1096" i="1483"/>
  <c r="Q1097" i="1483"/>
  <c r="Q1098" i="1483"/>
  <c r="Q1099" i="1483"/>
  <c r="Q1100" i="1483"/>
  <c r="Q1101" i="1483"/>
  <c r="Q1102" i="1483"/>
  <c r="Q1103" i="1483"/>
  <c r="Q1104" i="1483"/>
  <c r="Q1105" i="1483"/>
  <c r="Q1106" i="1483"/>
  <c r="Q1107" i="1483"/>
  <c r="Q1108" i="1483"/>
  <c r="Q1109" i="1483"/>
  <c r="Q1110" i="1483"/>
  <c r="Q1111" i="1483"/>
  <c r="Q1112" i="1483"/>
  <c r="Q1113" i="1483"/>
  <c r="Q1114" i="1483"/>
  <c r="Q1115" i="1483"/>
  <c r="Q1116" i="1483"/>
  <c r="Q1117" i="1483"/>
  <c r="Q1118" i="1483"/>
  <c r="Q1119" i="1483"/>
  <c r="Q1120" i="1483"/>
  <c r="Q1121" i="1483"/>
  <c r="Q1122" i="1483"/>
  <c r="Q1123" i="1483"/>
  <c r="Q1124" i="1483"/>
  <c r="Q1125" i="1483"/>
  <c r="Q1126" i="1483"/>
  <c r="Q1127" i="1483"/>
  <c r="Q1128" i="1483"/>
  <c r="Q1129" i="1483"/>
  <c r="Q1130" i="1483"/>
  <c r="Q1131" i="1483"/>
  <c r="Q1132" i="1483"/>
  <c r="Q1133" i="1483"/>
  <c r="Q1134" i="1483"/>
  <c r="Q1135" i="1483"/>
  <c r="Q1136" i="1483"/>
  <c r="Q1137" i="1483"/>
  <c r="Q1138" i="1483"/>
  <c r="Q1139" i="1483"/>
  <c r="Q1140" i="1483"/>
  <c r="Q1141" i="1483"/>
  <c r="Q1142" i="1483"/>
  <c r="Q1143" i="1483"/>
  <c r="Q1144" i="1483"/>
  <c r="Q1145" i="1483"/>
  <c r="Q1146" i="1483"/>
  <c r="Q1147" i="1483"/>
  <c r="Q1148" i="1483"/>
  <c r="Q1149" i="1483"/>
  <c r="Q1150" i="1483"/>
  <c r="Q1151" i="1483"/>
  <c r="Q1152" i="1483"/>
  <c r="Q1153" i="1483"/>
  <c r="Q1154" i="1483"/>
  <c r="Q1155" i="1483"/>
  <c r="Q1156" i="1483"/>
  <c r="Q1157" i="1483"/>
  <c r="Q1158" i="1483"/>
  <c r="Q1159" i="1483"/>
  <c r="Q1160" i="1483"/>
  <c r="Q1161" i="1483"/>
  <c r="Q1162" i="1483"/>
  <c r="Q1163" i="1483"/>
  <c r="Q1164" i="1483"/>
  <c r="Q1165" i="1483"/>
  <c r="Q1166" i="1483"/>
  <c r="Q1167" i="1483"/>
  <c r="Q1168" i="1483"/>
  <c r="Q1169" i="1483"/>
  <c r="Q1170" i="1483"/>
  <c r="Q1171" i="1483"/>
  <c r="Q1172" i="1483"/>
  <c r="Q1173" i="1483"/>
  <c r="Q1174" i="1483"/>
  <c r="Q1175" i="1483"/>
  <c r="Q1176" i="1483"/>
  <c r="Q1177" i="1483"/>
  <c r="Q1178" i="1483"/>
  <c r="Q1179" i="1483"/>
  <c r="Q1180" i="1483"/>
  <c r="Q1181" i="1483"/>
  <c r="Q1182" i="1483"/>
  <c r="Q1183" i="1483"/>
  <c r="Q1184" i="1483"/>
  <c r="Q1185" i="1483"/>
  <c r="Q1186" i="1483"/>
  <c r="Q1187" i="1483"/>
  <c r="Q1188" i="1483"/>
  <c r="Q1189" i="1483"/>
  <c r="Q1190" i="1483"/>
  <c r="Q1191" i="1483"/>
  <c r="Q1192" i="1483"/>
  <c r="Q1193" i="1483"/>
  <c r="Q1194" i="1483"/>
  <c r="Q1195" i="1483"/>
  <c r="Q1196" i="1483"/>
  <c r="Q1197" i="1483"/>
  <c r="Q1198" i="1483"/>
  <c r="Q1199" i="1483"/>
  <c r="Q1200" i="1483"/>
  <c r="Q1201" i="1483"/>
  <c r="Q1202" i="1483"/>
  <c r="Q1203" i="1483"/>
  <c r="Q1204" i="1483"/>
  <c r="Q1205" i="1483"/>
  <c r="Q1206" i="1483"/>
  <c r="Q1207" i="1483"/>
  <c r="Q1208" i="1483"/>
  <c r="Q1209" i="1483"/>
  <c r="Q1210" i="1483"/>
  <c r="Q1211" i="1483"/>
  <c r="Q1212" i="1483"/>
  <c r="Q1213" i="1483"/>
  <c r="Q1214" i="1483"/>
  <c r="Q1215" i="1483"/>
  <c r="Q1216" i="1483"/>
  <c r="Q1217" i="1483"/>
  <c r="Q1218" i="1483"/>
  <c r="Q1219" i="1483"/>
  <c r="Q1220" i="1483"/>
  <c r="Q1221" i="1483"/>
  <c r="Q1222" i="1483"/>
  <c r="Q1223" i="1483"/>
  <c r="Q1224" i="1483"/>
  <c r="Q1225" i="1483"/>
  <c r="Q1226" i="1483"/>
  <c r="Q1227" i="1483"/>
  <c r="Q1228" i="1483"/>
  <c r="Q1229" i="1483"/>
  <c r="Q1230" i="1483"/>
  <c r="Q1231" i="1483"/>
  <c r="Q1232" i="1483"/>
  <c r="Q1233" i="1483"/>
  <c r="Q1234" i="1483"/>
  <c r="Q1235" i="1483"/>
  <c r="Q1236" i="1483"/>
  <c r="Q1237" i="1483"/>
  <c r="Q1238" i="1483"/>
  <c r="Q1239" i="1483"/>
  <c r="Q1240" i="1483"/>
  <c r="Q1241" i="1483"/>
  <c r="Q1242" i="1483"/>
  <c r="Q1243" i="1483"/>
  <c r="Q1244" i="1483"/>
  <c r="Q1245" i="1483"/>
  <c r="Q1246" i="1483"/>
  <c r="Q1247" i="1483"/>
  <c r="Q1248" i="1483"/>
  <c r="Q1249" i="1483"/>
  <c r="Q1250" i="1483"/>
  <c r="Q1251" i="1483"/>
  <c r="Q1252" i="1483"/>
  <c r="Q1253" i="1483"/>
  <c r="Q1254" i="1483"/>
  <c r="Q1255" i="1483"/>
  <c r="Q1256" i="1483"/>
  <c r="Q1257" i="1483"/>
  <c r="Q1258" i="1483"/>
  <c r="Q1259" i="1483"/>
  <c r="Q1260" i="1483"/>
  <c r="Q1261" i="1483"/>
  <c r="Q1262" i="1483"/>
  <c r="Q1263" i="1483"/>
  <c r="Q1264" i="1483"/>
  <c r="Q1265" i="1483"/>
  <c r="Q1266" i="1483"/>
  <c r="Q1267" i="1483"/>
  <c r="Q1268" i="1483"/>
  <c r="Q1269" i="1483"/>
  <c r="Q1270" i="1483"/>
  <c r="Q1271" i="1483"/>
  <c r="Q1272" i="1483"/>
  <c r="Q1273" i="1483"/>
  <c r="Q1274" i="1483"/>
  <c r="Q1275" i="1483"/>
  <c r="Q1276" i="1483"/>
  <c r="Q1277" i="1483"/>
  <c r="Q1278" i="1483"/>
  <c r="Q1279" i="1483"/>
  <c r="Q1280" i="1483"/>
  <c r="Q1281" i="1483"/>
  <c r="Q1282" i="1483"/>
  <c r="Q1283" i="1483"/>
  <c r="Q1284" i="1483"/>
  <c r="Q1285" i="1483"/>
  <c r="Q1286" i="1483"/>
  <c r="Q1287" i="1483"/>
  <c r="Q1288" i="1483"/>
  <c r="Q1289" i="1483"/>
  <c r="Q1290" i="1483"/>
  <c r="Q1291" i="1483"/>
  <c r="Q1292" i="1483"/>
  <c r="Q1293" i="1483"/>
  <c r="Q1294" i="1483"/>
  <c r="Q1295" i="1483"/>
  <c r="Q1296" i="1483"/>
  <c r="Q1297" i="1483"/>
  <c r="Q1298" i="1483"/>
  <c r="Q1299" i="1483"/>
  <c r="Q1300" i="1483"/>
  <c r="Q1301" i="1483"/>
  <c r="Q1302" i="1483"/>
  <c r="Q1303" i="1483"/>
  <c r="Q1304" i="1483"/>
  <c r="Q1305" i="1483"/>
  <c r="Q1306" i="1483"/>
  <c r="Q1307" i="1483"/>
  <c r="Q1308" i="1483"/>
  <c r="Q1309" i="1483"/>
  <c r="Q1310" i="1483"/>
  <c r="Q1311" i="1483"/>
  <c r="Q1312" i="1483"/>
  <c r="Q1313" i="1483"/>
  <c r="Q1314" i="1483"/>
  <c r="Q1315" i="1483"/>
  <c r="Q1316" i="1483"/>
  <c r="Q1317" i="1483"/>
  <c r="Q1318" i="1483"/>
  <c r="Q1319" i="1483"/>
  <c r="Q1320" i="1483"/>
  <c r="Q1321" i="1483"/>
  <c r="Q1322" i="1483"/>
  <c r="Q1323" i="1483"/>
  <c r="Q1324" i="1483"/>
  <c r="Q1325" i="1483"/>
  <c r="Q1326" i="1483"/>
  <c r="Q1327" i="1483"/>
  <c r="Q1328" i="1483"/>
  <c r="Q1329" i="1483"/>
  <c r="Q1330" i="1483"/>
  <c r="Q1331" i="1483"/>
  <c r="Q1332" i="1483"/>
  <c r="Q1333" i="1483"/>
  <c r="Q1334" i="1483"/>
  <c r="Q1335" i="1483"/>
  <c r="Q1336" i="1483"/>
  <c r="Q1337" i="1483"/>
  <c r="Q1338" i="1483"/>
  <c r="Q1339" i="1483"/>
  <c r="Q1340" i="1483"/>
  <c r="Q1341" i="1483"/>
  <c r="Q1342" i="1483"/>
  <c r="Q1343" i="1483"/>
  <c r="Q1344" i="1483"/>
  <c r="Q1345" i="1483"/>
  <c r="Q1346" i="1483"/>
  <c r="Q1347" i="1483"/>
  <c r="Q1348" i="1483"/>
  <c r="Q1349" i="1483"/>
  <c r="Q1350" i="1483"/>
  <c r="Q1351" i="1483"/>
  <c r="Q1352" i="1483"/>
  <c r="Q1353" i="1483"/>
  <c r="Q1354" i="1483"/>
  <c r="Q1355" i="1483"/>
  <c r="Q1356" i="1483"/>
  <c r="Q1357" i="1483"/>
  <c r="Q1358" i="1483"/>
  <c r="Q1359" i="1483"/>
  <c r="Q1360" i="1483"/>
  <c r="Q1361" i="1483"/>
  <c r="Q1362" i="1483"/>
  <c r="Q1363" i="1483"/>
  <c r="Q1364" i="1483"/>
  <c r="Q1365" i="1483"/>
  <c r="Q1366" i="1483"/>
  <c r="Q1367" i="1483"/>
  <c r="Q1368" i="1483"/>
  <c r="Q1369" i="1483"/>
  <c r="Q1370" i="1483"/>
  <c r="Q1371" i="1483"/>
  <c r="Q1372" i="1483"/>
  <c r="Q1373" i="1483"/>
  <c r="Q1374" i="1483"/>
  <c r="Q1375" i="1483"/>
  <c r="Q1376" i="1483"/>
  <c r="Q1377" i="1483"/>
  <c r="Q1378" i="1483"/>
  <c r="Q1379" i="1483"/>
  <c r="Q1380" i="1483"/>
  <c r="Q1381" i="1483"/>
  <c r="Q1382" i="1483"/>
  <c r="Q1383" i="1483"/>
  <c r="Q1384" i="1483"/>
  <c r="Q1385" i="1483"/>
  <c r="Q1386" i="1483"/>
  <c r="Q1387" i="1483"/>
  <c r="Q1388" i="1483"/>
  <c r="Q1389" i="1483"/>
  <c r="Q1390" i="1483"/>
  <c r="Q1391" i="1483"/>
  <c r="Q1392" i="1483"/>
  <c r="Q1393" i="1483"/>
  <c r="Q1394" i="1483"/>
  <c r="Q1395" i="1483"/>
  <c r="Q1396" i="1483"/>
  <c r="Q1397" i="1483"/>
  <c r="Q1398" i="1483"/>
  <c r="Q1399" i="1483"/>
  <c r="Q1400" i="1483"/>
  <c r="Q1401" i="1483"/>
  <c r="Q1402" i="1483"/>
  <c r="Q1403" i="1483"/>
  <c r="Q1404" i="1483"/>
  <c r="Q1405" i="1483"/>
  <c r="Q1406" i="1483"/>
  <c r="Q1407" i="1483"/>
  <c r="Q1408" i="1483"/>
  <c r="Q1409" i="1483"/>
  <c r="Q1410" i="1483"/>
  <c r="Q1411" i="1483"/>
  <c r="Q1412" i="1483"/>
  <c r="Q1413" i="1483"/>
  <c r="Q1414" i="1483"/>
  <c r="Q1415" i="1483"/>
  <c r="Q1416" i="1483"/>
  <c r="Q1417" i="1483"/>
  <c r="Q1418" i="1483"/>
  <c r="Q1419" i="1483"/>
  <c r="Q1420" i="1483"/>
  <c r="Q1421" i="1483"/>
  <c r="Q1422" i="1483"/>
  <c r="Q1423" i="1483"/>
  <c r="Q1424" i="1483"/>
  <c r="Q1425" i="1483"/>
  <c r="Q1426" i="1483"/>
  <c r="Q1427" i="1483"/>
  <c r="Q1428" i="1483"/>
  <c r="Q1429" i="1483"/>
  <c r="Q1430" i="1483"/>
  <c r="Q1431" i="1483"/>
  <c r="Q1432" i="1483"/>
  <c r="Q1433" i="1483"/>
  <c r="Q1434" i="1483"/>
  <c r="Q1435" i="1483"/>
  <c r="Q1436" i="1483"/>
  <c r="Q1437" i="1483"/>
  <c r="Q1438" i="1483"/>
  <c r="Q1439" i="1483"/>
  <c r="Q1440" i="1483"/>
  <c r="Q1441" i="1483"/>
  <c r="Q1442" i="1483"/>
  <c r="Q1443" i="1483"/>
  <c r="Q1444" i="1483"/>
  <c r="Q1445" i="1483"/>
  <c r="Q1446" i="1483"/>
  <c r="Q1447" i="1483"/>
  <c r="Q1448" i="1483"/>
  <c r="Q1449" i="1483"/>
  <c r="Q1450" i="1483"/>
  <c r="Q1451" i="1483"/>
  <c r="Q1452" i="1483"/>
  <c r="Q1453" i="1483"/>
  <c r="Q1454" i="1483"/>
  <c r="Q1455" i="1483"/>
  <c r="Q1456" i="1483"/>
  <c r="Q1457" i="1483"/>
  <c r="Q1458" i="1483"/>
  <c r="Q1459" i="1483"/>
  <c r="Q1460" i="1483"/>
  <c r="Q1461" i="1483"/>
  <c r="Q1462" i="1483"/>
  <c r="Q1463" i="1483"/>
  <c r="Q1464" i="1483"/>
  <c r="Q1465" i="1483"/>
  <c r="Q1466" i="1483"/>
  <c r="Q1467" i="1483"/>
  <c r="Q1468" i="1483"/>
  <c r="Q1469" i="1483"/>
  <c r="Q1470" i="1483"/>
  <c r="Q1471" i="1483"/>
  <c r="Q1472" i="1483"/>
  <c r="Q1473" i="1483"/>
  <c r="Q1474" i="1483"/>
  <c r="Q1475" i="1483"/>
  <c r="Q1476" i="1483"/>
  <c r="Q1477" i="1483"/>
  <c r="Q1478" i="1483"/>
  <c r="Q1479" i="1483"/>
  <c r="Q1480" i="1483"/>
  <c r="Q1481" i="1483"/>
  <c r="Q1482" i="1483"/>
  <c r="Q1483" i="1483"/>
  <c r="Q1484" i="1483"/>
  <c r="Q1485" i="1483"/>
  <c r="Q1486" i="1483"/>
  <c r="Q1487" i="1483"/>
  <c r="Q1488" i="1483"/>
  <c r="Q1489" i="1483"/>
  <c r="Q1490" i="1483"/>
  <c r="Q1491" i="1483"/>
  <c r="Q1492" i="1483"/>
  <c r="Q1493" i="1483"/>
  <c r="Q1494" i="1483"/>
  <c r="Q1495" i="1483"/>
  <c r="Q1496" i="1483"/>
  <c r="Q1497" i="1483"/>
  <c r="Q1498" i="1483"/>
  <c r="Q1499" i="1483"/>
  <c r="Q1500" i="1483"/>
  <c r="Q1501" i="1483"/>
  <c r="Q1502" i="1483"/>
  <c r="Q1503" i="1483"/>
  <c r="Q1504" i="1483"/>
  <c r="Q1505" i="1483"/>
  <c r="Q1506" i="1483"/>
  <c r="Q1507" i="1483"/>
  <c r="Q1508" i="1483"/>
  <c r="Q1509" i="1483"/>
  <c r="Q1510" i="1483"/>
  <c r="Q1511" i="1483"/>
  <c r="Q1512" i="1483"/>
  <c r="Q1513" i="1483"/>
  <c r="Q1514" i="1483"/>
  <c r="Q1515" i="1483"/>
  <c r="Q1516" i="1483"/>
  <c r="Q1517" i="1483"/>
  <c r="Q1518" i="1483"/>
  <c r="Q1519" i="1483"/>
  <c r="Q1520" i="1483"/>
  <c r="Q1521" i="1483"/>
  <c r="Q1522" i="1483"/>
  <c r="Q1523" i="1483"/>
  <c r="Q1524" i="1483"/>
  <c r="Q1525" i="1483"/>
  <c r="Q1526" i="1483"/>
  <c r="Q1527" i="1483"/>
  <c r="Q1528" i="1483"/>
  <c r="Q1529" i="1483"/>
  <c r="Q1530" i="1483"/>
  <c r="Q1531" i="1483"/>
  <c r="Q1532" i="1483"/>
  <c r="Q1533" i="1483"/>
  <c r="Q1534" i="1483"/>
  <c r="Q1535" i="1483"/>
  <c r="Q1536" i="1483"/>
  <c r="Q1537" i="1483"/>
  <c r="Q1538" i="1483"/>
  <c r="Q1539" i="1483"/>
  <c r="Q1540" i="1483"/>
  <c r="Q1541" i="1483"/>
  <c r="Q1542" i="1483"/>
  <c r="Q1543" i="1483"/>
  <c r="Q1544" i="1483"/>
  <c r="Q1545" i="1483"/>
  <c r="Q1546" i="1483"/>
  <c r="Q1547" i="1483"/>
  <c r="Q1548" i="1483"/>
  <c r="Q1549" i="1483"/>
  <c r="Q1550" i="1483"/>
  <c r="Q1551" i="1483"/>
  <c r="Q1552" i="1483"/>
  <c r="Q1553" i="1483"/>
  <c r="Q1554" i="1483"/>
  <c r="Q1555" i="1483"/>
  <c r="Q1556" i="1483"/>
  <c r="Q1557" i="1483"/>
  <c r="Q1558" i="1483"/>
  <c r="Q1559" i="1483"/>
  <c r="Q1560" i="1483"/>
  <c r="Q1561" i="1483"/>
  <c r="Q1562" i="1483"/>
  <c r="Q1563" i="1483"/>
  <c r="Q1564" i="1483"/>
  <c r="Q1565" i="1483"/>
  <c r="Q1566" i="1483"/>
  <c r="Q1567" i="1483"/>
  <c r="Q1568" i="1483"/>
  <c r="Q1569" i="1483"/>
  <c r="Q1570" i="1483"/>
  <c r="Q1571" i="1483"/>
  <c r="Q1572" i="1483"/>
  <c r="Q1573" i="1483"/>
  <c r="Q1574" i="1483"/>
  <c r="Q1575" i="1483"/>
  <c r="Q1576" i="1483"/>
  <c r="Q1577" i="1483"/>
  <c r="Q1578" i="1483"/>
  <c r="Q1579" i="1483"/>
  <c r="Q1580" i="1483"/>
  <c r="Q1581" i="1483"/>
  <c r="Q1582" i="1483"/>
  <c r="Q1583" i="1483"/>
  <c r="Q1584" i="1483"/>
  <c r="Q1585" i="1483"/>
  <c r="Q1586" i="1483"/>
  <c r="Q1587" i="1483"/>
  <c r="Q1588" i="1483"/>
  <c r="Q1589" i="1483"/>
  <c r="Q1590" i="1483"/>
  <c r="Q1591" i="1483"/>
  <c r="Q1592" i="1483"/>
  <c r="Q1593" i="1483"/>
  <c r="Q1594" i="1483"/>
  <c r="Q1595" i="1483"/>
  <c r="Q1596" i="1483"/>
  <c r="Q1597" i="1483"/>
  <c r="Q1598" i="1483"/>
  <c r="Q1599" i="1483"/>
  <c r="Q1600" i="1483"/>
  <c r="Q1601" i="1483"/>
  <c r="Q1602" i="1483"/>
  <c r="Q1603" i="1483"/>
  <c r="Q1604" i="1483"/>
  <c r="Q1605" i="1483"/>
  <c r="Q1606" i="1483"/>
  <c r="Q1607" i="1483"/>
  <c r="Q1608" i="1483"/>
  <c r="Q1609" i="1483"/>
  <c r="Q1610" i="1483"/>
  <c r="Q1611" i="1483"/>
  <c r="Q1612" i="1483"/>
  <c r="Q1613" i="1483"/>
  <c r="Q1614" i="1483"/>
  <c r="Q1615" i="1483"/>
  <c r="Q1616" i="1483"/>
  <c r="Q1617" i="1483"/>
  <c r="Q1618" i="1483"/>
  <c r="Q1619" i="1483"/>
  <c r="Q1620" i="1483"/>
  <c r="Q1621" i="1483"/>
  <c r="Q1622" i="1483"/>
  <c r="Q1623" i="1483"/>
  <c r="Q1624" i="1483"/>
  <c r="Q1625" i="1483"/>
  <c r="Q1626" i="1483"/>
  <c r="Q1627" i="1483"/>
  <c r="Q1628" i="1483"/>
  <c r="Q1629" i="1483"/>
  <c r="Q1630" i="1483"/>
  <c r="Q1631" i="1483"/>
  <c r="Q1632" i="1483"/>
  <c r="Q1633" i="1483"/>
  <c r="Q1634" i="1483"/>
  <c r="Q1635" i="1483"/>
  <c r="Q1636" i="1483"/>
  <c r="Q1637" i="1483"/>
  <c r="Q1638" i="1483"/>
  <c r="Q1639" i="1483"/>
  <c r="Q1640" i="1483"/>
  <c r="Q1641" i="1483"/>
  <c r="Q1642" i="1483"/>
  <c r="Q1643" i="1483"/>
  <c r="Q1644" i="1483"/>
  <c r="Q1645" i="1483"/>
  <c r="Q1646" i="1483"/>
  <c r="Q1647" i="1483"/>
  <c r="Q1648" i="1483"/>
  <c r="Q1649" i="1483"/>
  <c r="Q1650" i="1483"/>
  <c r="Q1651" i="1483"/>
  <c r="Q1652" i="1483"/>
  <c r="Q1653" i="1483"/>
  <c r="Q1654" i="1483"/>
  <c r="Q1655" i="1483"/>
  <c r="Q1656" i="1483"/>
  <c r="Q1657" i="1483"/>
  <c r="Q1658" i="1483"/>
  <c r="Q1659" i="1483"/>
  <c r="Q1660" i="1483"/>
  <c r="Q1661" i="1483"/>
  <c r="Q1662" i="1483"/>
  <c r="Q1663" i="1483"/>
  <c r="Q1664" i="1483"/>
  <c r="Q1665" i="1483"/>
  <c r="Q1666" i="1483"/>
  <c r="Q1667" i="1483"/>
  <c r="Q1668" i="1483"/>
  <c r="Q1669" i="1483"/>
  <c r="Q1670" i="1483"/>
  <c r="Q1671" i="1483"/>
  <c r="Q1672" i="1483"/>
  <c r="Q1673" i="1483"/>
  <c r="Q1674" i="1483"/>
  <c r="Q1675" i="1483"/>
  <c r="Q1676" i="1483"/>
  <c r="Q1677" i="1483"/>
  <c r="Q1678" i="1483"/>
  <c r="Q1679" i="1483"/>
  <c r="Q1680" i="1483"/>
  <c r="Q1681" i="1483"/>
  <c r="Q1682" i="1483"/>
  <c r="Q1683" i="1483"/>
  <c r="Q1684" i="1483"/>
  <c r="Q1685" i="1483"/>
  <c r="Q1686" i="1483"/>
  <c r="Q1687" i="1483"/>
  <c r="Q1688" i="1483"/>
  <c r="Q1689" i="1483"/>
  <c r="Q1690" i="1483"/>
  <c r="Q1691" i="1483"/>
  <c r="Q1692" i="1483"/>
  <c r="Q1693" i="1483"/>
  <c r="Q1694" i="1483"/>
  <c r="Q1695" i="1483"/>
  <c r="Q1696" i="1483"/>
  <c r="Q1697" i="1483"/>
  <c r="Q1698" i="1483"/>
  <c r="Q1699" i="1483"/>
  <c r="Q1700" i="1483"/>
  <c r="Q1701" i="1483"/>
  <c r="Q1702" i="1483"/>
  <c r="Q1703" i="1483"/>
  <c r="Q1704" i="1483"/>
  <c r="Q1705" i="1483"/>
  <c r="Q1706" i="1483"/>
  <c r="Q1707" i="1483"/>
  <c r="Q1708" i="1483"/>
  <c r="Q1709" i="1483"/>
  <c r="Q1710" i="1483"/>
  <c r="Q1711" i="1483"/>
  <c r="Q1712" i="1483"/>
  <c r="Q1713" i="1483"/>
  <c r="Q1714" i="1483"/>
  <c r="Q1715" i="1483"/>
  <c r="Q1716" i="1483"/>
  <c r="Q1717" i="1483"/>
  <c r="Q1718" i="1483"/>
  <c r="Q1719" i="1483"/>
  <c r="Q1720" i="1483"/>
  <c r="Q1721" i="1483"/>
  <c r="Q1722" i="1483"/>
  <c r="Q1723" i="1483"/>
  <c r="Q1724" i="1483"/>
  <c r="Q1725" i="1483"/>
  <c r="Q1726" i="1483"/>
  <c r="Q1727" i="1483"/>
  <c r="Q1728" i="1483"/>
  <c r="Q1729" i="1483"/>
  <c r="Q1730" i="1483"/>
  <c r="Q1731" i="1483"/>
  <c r="Q1732" i="1483"/>
  <c r="Q1733" i="1483"/>
  <c r="Q1734" i="1483"/>
  <c r="Q1735" i="1483"/>
  <c r="Q1736" i="1483"/>
  <c r="Q1737" i="1483"/>
  <c r="Q1738" i="1483"/>
  <c r="Q1739" i="1483"/>
  <c r="Q1740" i="1483"/>
  <c r="Q1741" i="1483"/>
  <c r="Q1742" i="1483"/>
  <c r="Q1743" i="1483"/>
  <c r="Q1744" i="1483"/>
  <c r="Q1745" i="1483"/>
  <c r="Q1746" i="1483"/>
  <c r="Q1747" i="1483"/>
  <c r="Q1748" i="1483"/>
  <c r="Q1749" i="1483"/>
  <c r="Q1750" i="1483"/>
  <c r="Q1751" i="1483"/>
  <c r="Q1752" i="1483"/>
  <c r="Q1753" i="1483"/>
  <c r="Q1754" i="1483"/>
  <c r="Q1755" i="1483"/>
  <c r="Q1756" i="1483"/>
  <c r="Q1757" i="1483"/>
  <c r="Q1758" i="1483"/>
  <c r="Q1759" i="1483"/>
  <c r="Q1760" i="1483"/>
  <c r="Q1761" i="1483"/>
  <c r="Q1762" i="1483"/>
  <c r="Q1763" i="1483"/>
  <c r="Q1764" i="1483"/>
  <c r="Q1765" i="1483"/>
  <c r="Q1766" i="1483"/>
  <c r="Q1767" i="1483"/>
  <c r="Q1768" i="1483"/>
  <c r="Q1769" i="1483"/>
  <c r="Q1770" i="1483"/>
  <c r="Q1771" i="1483"/>
  <c r="Q1772" i="1483"/>
  <c r="Q1773" i="1483"/>
  <c r="Q1774" i="1483"/>
  <c r="Q1775" i="1483"/>
  <c r="Q1776" i="1483"/>
  <c r="Q1777" i="1483"/>
  <c r="Q1778" i="1483"/>
  <c r="Q1779" i="1483"/>
  <c r="Q1780" i="1483"/>
  <c r="Q1781" i="1483"/>
  <c r="Q1782" i="1483"/>
  <c r="Q1783" i="1483"/>
  <c r="Q1784" i="1483"/>
  <c r="Q1785" i="1483"/>
  <c r="Q1786" i="1483"/>
  <c r="Q1787" i="1483"/>
  <c r="Q1788" i="1483"/>
  <c r="Q1789" i="1483"/>
  <c r="Q1790" i="1483"/>
  <c r="Q1791" i="1483"/>
  <c r="I3" i="1246" l="1"/>
  <c r="I2" i="1246"/>
  <c r="H3" i="1246"/>
  <c r="H2" i="1246"/>
  <c r="E3" i="1246"/>
  <c r="E4" i="1246"/>
  <c r="E5" i="1246"/>
  <c r="E6" i="1246"/>
  <c r="E2" i="1246"/>
  <c r="D3" i="1246"/>
  <c r="D4" i="1246"/>
  <c r="D5" i="1246"/>
  <c r="D6" i="1246"/>
  <c r="D2" i="1246"/>
  <c r="J2" i="926" l="1"/>
  <c r="I2" i="926"/>
  <c r="K2" i="926" l="1"/>
</calcChain>
</file>

<file path=xl/comments1.xml><?xml version="1.0" encoding="utf-8"?>
<comments xmlns="http://schemas.openxmlformats.org/spreadsheetml/2006/main">
  <authors>
    <author>Dave Smith (WSC)</author>
  </authors>
  <commentList>
    <comment ref="F212" authorId="0" shapeId="0">
      <text>
        <r>
          <rPr>
            <sz val="9"/>
            <color indexed="81"/>
            <rFont val="Tahoma"/>
            <family val="2"/>
          </rPr>
          <t xml:space="preserve">Keyboard for Surface: $150
Tablet/Computer: $450
Digital Camera: $400
Router: $100
Misc: $100
</t>
        </r>
      </text>
    </comment>
  </commentList>
</comments>
</file>

<file path=xl/sharedStrings.xml><?xml version="1.0" encoding="utf-8"?>
<sst xmlns="http://schemas.openxmlformats.org/spreadsheetml/2006/main" count="14258" uniqueCount="1677">
  <si>
    <t>Type</t>
  </si>
  <si>
    <t>Source:</t>
  </si>
  <si>
    <t>Account</t>
  </si>
  <si>
    <t>Category</t>
  </si>
  <si>
    <t>[AmericanWest (1186)]</t>
  </si>
  <si>
    <t>[Capital One - Long Term Emergency (1201)]</t>
  </si>
  <si>
    <t>[Capital One - Investment (6759)]</t>
  </si>
  <si>
    <t>[Capital One - Secondary Savings (3126)]</t>
  </si>
  <si>
    <t>Interest Income</t>
  </si>
  <si>
    <t>[First Tech - Checking (5544)]</t>
  </si>
  <si>
    <t>[Capital One - Vacation (4959)]</t>
  </si>
  <si>
    <t>[Schwab - Checking (9784)]</t>
  </si>
  <si>
    <t>Net Salary</t>
  </si>
  <si>
    <t>[MasterCard (Capital One)]</t>
  </si>
  <si>
    <t>Other Inc</t>
  </si>
  <si>
    <t>[American Express (Costco)]</t>
  </si>
  <si>
    <t>[Mastercard (Angela)]</t>
  </si>
  <si>
    <t>Entertainment</t>
  </si>
  <si>
    <t>[Discover Card]</t>
  </si>
  <si>
    <t>[Morgan Stanley Smith Barney]</t>
  </si>
  <si>
    <t>Gifts</t>
  </si>
  <si>
    <t>[REI Mastercard XX1787]</t>
  </si>
  <si>
    <t>[Premera Health Care Payment]</t>
  </si>
  <si>
    <t>[Target Red Card]</t>
  </si>
  <si>
    <t>[Koolikai - Checking XX2129]</t>
  </si>
  <si>
    <t>[Koolikai - Sec Dep XX1200]</t>
  </si>
  <si>
    <t>Not Sure</t>
  </si>
  <si>
    <t>[First Tech - Secondary Savings (5401)]</t>
  </si>
  <si>
    <t>[First Tech - Savings (5455)]</t>
  </si>
  <si>
    <t>Work Expense</t>
  </si>
  <si>
    <t>[First Tech - Short Term Emergency (5400)]</t>
  </si>
  <si>
    <t>[Koolikai Credit Card]</t>
  </si>
  <si>
    <t>Cash &amp; ATM</t>
  </si>
  <si>
    <t>Business Income (Koolikai)</t>
  </si>
  <si>
    <t>No</t>
  </si>
  <si>
    <t>Income</t>
  </si>
  <si>
    <t>Div Income</t>
  </si>
  <si>
    <t>Net Salary Spouse</t>
  </si>
  <si>
    <t>Other Income (Business)</t>
  </si>
  <si>
    <t>_DivInc</t>
  </si>
  <si>
    <t>_DivIncTaxFree</t>
  </si>
  <si>
    <t>_EmpStkOptInc</t>
  </si>
  <si>
    <t>_EmpStkOptIncSpouse</t>
  </si>
  <si>
    <t>_ESPP Self Income</t>
  </si>
  <si>
    <t>_ESPP Spouse Income</t>
  </si>
  <si>
    <t>_IntInc</t>
  </si>
  <si>
    <t>_IntIncTaxFree</t>
  </si>
  <si>
    <t>_LT CapGnDst</t>
  </si>
  <si>
    <t>_MT CapGnDst</t>
  </si>
  <si>
    <t>_RlzdGain</t>
  </si>
  <si>
    <t>_ST CapGnDst</t>
  </si>
  <si>
    <t>_UnrlzdGain</t>
  </si>
  <si>
    <t>Auto &amp; Transport</t>
  </si>
  <si>
    <t>Bank Fees &amp; Charges</t>
  </si>
  <si>
    <t>Bills &amp; Utilities</t>
  </si>
  <si>
    <t>Business Expenses (Koolikai)</t>
  </si>
  <si>
    <t>Charity</t>
  </si>
  <si>
    <t>Deposit to Savings</t>
  </si>
  <si>
    <t>Education</t>
  </si>
  <si>
    <t>Entertaining</t>
  </si>
  <si>
    <t>Financial</t>
  </si>
  <si>
    <t>Food &amp; Dining</t>
  </si>
  <si>
    <t>Health &amp; Fitness</t>
  </si>
  <si>
    <t>Home</t>
  </si>
  <si>
    <t>Interest Exp</t>
  </si>
  <si>
    <t>IRA Contribution</t>
  </si>
  <si>
    <t>Kids</t>
  </si>
  <si>
    <t>Misc.</t>
  </si>
  <si>
    <t>Not Sure, Biz</t>
  </si>
  <si>
    <t>Parties</t>
  </si>
  <si>
    <t>Personal Care</t>
  </si>
  <si>
    <t>Pets</t>
  </si>
  <si>
    <t>Shopping</t>
  </si>
  <si>
    <t>Subscriptions &amp; Dues</t>
  </si>
  <si>
    <t>Tax</t>
  </si>
  <si>
    <t>Vacation</t>
  </si>
  <si>
    <t>_Accrued Int</t>
  </si>
  <si>
    <t>_Accrued Int TaxFree</t>
  </si>
  <si>
    <t>_IntExp</t>
  </si>
  <si>
    <t>[Overdraft Visa XX4740]</t>
  </si>
  <si>
    <t>Transactions</t>
  </si>
  <si>
    <t>Data Sheet Name:</t>
  </si>
  <si>
    <t>Budget Year:</t>
  </si>
  <si>
    <t>Discretionary</t>
  </si>
  <si>
    <t>Business</t>
  </si>
  <si>
    <t>Tax Status</t>
  </si>
  <si>
    <t>Budget</t>
  </si>
  <si>
    <t>Monthly</t>
  </si>
  <si>
    <t>Annual</t>
  </si>
  <si>
    <t>[Cash Account]</t>
  </si>
  <si>
    <t>Projects</t>
  </si>
  <si>
    <t>Investment Income</t>
  </si>
  <si>
    <t>Business Income (Koolikai)|Consulting Income (Business)</t>
  </si>
  <si>
    <t>Business Income (Koolikai)|Interest (Income)</t>
  </si>
  <si>
    <t>Business Income (Koolikai)|Late Fees</t>
  </si>
  <si>
    <t>Business Income (Koolikai)|Rent</t>
  </si>
  <si>
    <t>Business Income (Koolikai)|Sales (Business)</t>
  </si>
  <si>
    <t>Business Income (Koolikai)|ZZZZZ</t>
  </si>
  <si>
    <t>Auto &amp; Transport|Auto Insurance</t>
  </si>
  <si>
    <t>Auto &amp; Transport|Auto Lease Payment</t>
  </si>
  <si>
    <t>Auto &amp; Transport|Auto Payment</t>
  </si>
  <si>
    <t>Auto &amp; Transport|Car Wash</t>
  </si>
  <si>
    <t>Auto &amp; Transport|Driver's License</t>
  </si>
  <si>
    <t>Auto &amp; Transport|Gas &amp; Fuel</t>
  </si>
  <si>
    <t>Auto &amp; Transport|Parking</t>
  </si>
  <si>
    <t>Auto &amp; Transport|Public Transportation</t>
  </si>
  <si>
    <t>Auto &amp; Transport|Registration</t>
  </si>
  <si>
    <t>Auto &amp; Transport|Service &amp; Parts</t>
  </si>
  <si>
    <t>Auto &amp; Transport|Tolls</t>
  </si>
  <si>
    <t>Auto &amp; Transport|ZZZZZ</t>
  </si>
  <si>
    <t>Bank Fees &amp; Charges|ATM Fee</t>
  </si>
  <si>
    <t>Bank Fees &amp; Charges|Bank Fee</t>
  </si>
  <si>
    <t>Bank Fees &amp; Charges|Late Fee</t>
  </si>
  <si>
    <t>Bank Fees &amp; Charges|Service Fee</t>
  </si>
  <si>
    <t>Bank Fees &amp; Charges|Trade Commissions</t>
  </si>
  <si>
    <t>Bank Fees &amp; Charges|ZZZZZ</t>
  </si>
  <si>
    <t>Bills &amp; Utilities|Credit Card Payment</t>
  </si>
  <si>
    <t>Bills &amp; Utilities|Home Phone</t>
  </si>
  <si>
    <t>Bills &amp; Utilities|Insurance (Umbrella)</t>
  </si>
  <si>
    <t>Bills &amp; Utilities|Internet</t>
  </si>
  <si>
    <t>Bills &amp; Utilities|Mobile Phone</t>
  </si>
  <si>
    <t>Bills &amp; Utilities|Television</t>
  </si>
  <si>
    <t>Bills &amp; Utilities|Utilities</t>
  </si>
  <si>
    <t>Bills &amp; Utilities|ZZZZZ</t>
  </si>
  <si>
    <t>Business Expenses (Koolikai)|Advertising (Business)</t>
  </si>
  <si>
    <t>Business Expenses (Koolikai)|Car &amp; Truck (Business)</t>
  </si>
  <si>
    <t>Business Expenses (Koolikai)|Discounts (Business)</t>
  </si>
  <si>
    <t>Business Expenses (Koolikai)|Insurance (Business)</t>
  </si>
  <si>
    <t>Business Expenses (Koolikai)|Meals</t>
  </si>
  <si>
    <t>Business Expenses (Koolikai)|Meals &amp; Entertainment (Business)</t>
  </si>
  <si>
    <t>Business Expenses (Koolikai)|Misc. Expense (Business)</t>
  </si>
  <si>
    <t>Business Expenses (Koolikai)|Mortgage (Business)</t>
  </si>
  <si>
    <t>Business Expenses (Koolikai)|Office Expenses (Business)</t>
  </si>
  <si>
    <t>Business Expenses (Koolikai)|Postage and Delivery (Business)</t>
  </si>
  <si>
    <t>Business Expenses (Koolikai)|Printing and Reproduction (Business)</t>
  </si>
  <si>
    <t>Business Expenses (Koolikai)|Prof and Legal Fees</t>
  </si>
  <si>
    <t>Business Expenses (Koolikai)|Projects</t>
  </si>
  <si>
    <t>Business Expenses (Koolikai)|Reimbursable Expense</t>
  </si>
  <si>
    <t>Business Expenses (Koolikai)|Repairs</t>
  </si>
  <si>
    <t>Business Expenses (Koolikai)|Security Deposit</t>
  </si>
  <si>
    <t>Business Expenses (Koolikai)|Supplies (Business)</t>
  </si>
  <si>
    <t>Business Expenses (Koolikai)|Taxes (Business)</t>
  </si>
  <si>
    <t>Business Expenses (Koolikai)|Taxes (Business)|Licenses  (Business)</t>
  </si>
  <si>
    <t>Business Expenses (Koolikai)|Taxes (Business)|Local Tax (Business)</t>
  </si>
  <si>
    <t>Business Expenses (Koolikai)|Taxes (Business)|ZZZZZ</t>
  </si>
  <si>
    <t>Business Expenses (Koolikai)|Tools</t>
  </si>
  <si>
    <t>Business Expenses (Koolikai)|Travel (Business)</t>
  </si>
  <si>
    <t>Business Expenses (Koolikai)|Utilities (Business)</t>
  </si>
  <si>
    <t>Business Expenses (Koolikai)|Utilities (Business)|ZZZZZ</t>
  </si>
  <si>
    <t>Business Expenses (Koolikai)|ZZZZZ</t>
  </si>
  <si>
    <t>Charity|Charity (Cash)</t>
  </si>
  <si>
    <t>Charity|Charity (Property)</t>
  </si>
  <si>
    <t>Charity|Gift</t>
  </si>
  <si>
    <t>Charity|ZZZZZ</t>
  </si>
  <si>
    <t>Education|Books &amp; Supplies</t>
  </si>
  <si>
    <t>Education|Community Education</t>
  </si>
  <si>
    <t>Education|Student Loan</t>
  </si>
  <si>
    <t>Education|Tuition</t>
  </si>
  <si>
    <t>Education|ZZZZZ</t>
  </si>
  <si>
    <t>Entertainment|Amusement</t>
  </si>
  <si>
    <t>Entertainment|Arts</t>
  </si>
  <si>
    <t>Entertainment|Movies &amp; DVDs</t>
  </si>
  <si>
    <t>Entertainment|Music</t>
  </si>
  <si>
    <t>Entertainment|Newspaper &amp; Magazines</t>
  </si>
  <si>
    <t>Entertainment|ZZZZZ</t>
  </si>
  <si>
    <t>Financial|Financial Advisor</t>
  </si>
  <si>
    <t>Financial|Life Insurance</t>
  </si>
  <si>
    <t>Financial|ZZZZZ</t>
  </si>
  <si>
    <t>Food &amp; Dining|Alcohol &amp; Bars</t>
  </si>
  <si>
    <t>Food &amp; Dining|Coffee Shops</t>
  </si>
  <si>
    <t>Food &amp; Dining|Fast Food</t>
  </si>
  <si>
    <t>Food &amp; Dining|Groceries</t>
  </si>
  <si>
    <t>Food &amp; Dining|Restaurants</t>
  </si>
  <si>
    <t>Food &amp; Dining|ZZZZZ</t>
  </si>
  <si>
    <t>Health &amp; Fitness|Dentist</t>
  </si>
  <si>
    <t>Health &amp; Fitness|Doctor</t>
  </si>
  <si>
    <t>Health &amp; Fitness|Eyecare</t>
  </si>
  <si>
    <t>Health &amp; Fitness|Gym</t>
  </si>
  <si>
    <t>Health &amp; Fitness|Health Insurance</t>
  </si>
  <si>
    <t>Health &amp; Fitness|Pharmacy</t>
  </si>
  <si>
    <t>Health &amp; Fitness|Sports</t>
  </si>
  <si>
    <t>Health &amp; Fitness|ZZZZZ</t>
  </si>
  <si>
    <t>Home|Furnishings</t>
  </si>
  <si>
    <t>Home|HOA Dues</t>
  </si>
  <si>
    <t>Home|Home Improvement</t>
  </si>
  <si>
    <t>Home|Home Insurance</t>
  </si>
  <si>
    <t>Home|Home Services</t>
  </si>
  <si>
    <t>Home|Home Supplies</t>
  </si>
  <si>
    <t>Home|Lawn &amp; Garden</t>
  </si>
  <si>
    <t>Home|Mortgage</t>
  </si>
  <si>
    <t>Home|Rent</t>
  </si>
  <si>
    <t>Home|ZZZZZ</t>
  </si>
  <si>
    <t>Kids|Allowance</t>
  </si>
  <si>
    <t>Kids|American Funds 529A</t>
  </si>
  <si>
    <t>Kids|Baby Supplies</t>
  </si>
  <si>
    <t>Kids|Babysitter</t>
  </si>
  <si>
    <t>Kids|Child Support</t>
  </si>
  <si>
    <t>Kids|Clothing</t>
  </si>
  <si>
    <t>Kids|Daycare</t>
  </si>
  <si>
    <t>Kids|Kids Activities</t>
  </si>
  <si>
    <t>Kids|Toys</t>
  </si>
  <si>
    <t>Kids|ZZZZZ</t>
  </si>
  <si>
    <t>Personal Care|Beauty &amp; Makeup</t>
  </si>
  <si>
    <t>Personal Care|Hair</t>
  </si>
  <si>
    <t>Personal Care|Laundry</t>
  </si>
  <si>
    <t>Personal Care|Spa &amp; Massage</t>
  </si>
  <si>
    <t>Personal Care|ZZZZZ</t>
  </si>
  <si>
    <t>Pets|Pet Food &amp; Supplies</t>
  </si>
  <si>
    <t>Pets|Pet Grooming</t>
  </si>
  <si>
    <t>Pets|Vet</t>
  </si>
  <si>
    <t>Pets|ZZZZZ</t>
  </si>
  <si>
    <t>Projects|Electric Car Setup</t>
  </si>
  <si>
    <t>Projects|Landscaping</t>
  </si>
  <si>
    <t>Projects|ZZZZZ</t>
  </si>
  <si>
    <t>Shopping|Books</t>
  </si>
  <si>
    <t>Shopping|Clothing</t>
  </si>
  <si>
    <t>Shopping|Clothing|Accessories</t>
  </si>
  <si>
    <t>Shopping|Clothing|ZZZZZ</t>
  </si>
  <si>
    <t>Shopping|Electronics &amp; Software</t>
  </si>
  <si>
    <t>Shopping|Hobbies</t>
  </si>
  <si>
    <t>Shopping|Hobbies|Camping Equipment</t>
  </si>
  <si>
    <t>Shopping|Hobbies|ZZZZZ</t>
  </si>
  <si>
    <t>Shopping|Sporting Goods</t>
  </si>
  <si>
    <t>Shopping|ZZZZZ</t>
  </si>
  <si>
    <t>Tax|Fed</t>
  </si>
  <si>
    <t>Tax|Property Tax</t>
  </si>
  <si>
    <t>Tax|State</t>
  </si>
  <si>
    <t>Tax|ZZZZZ</t>
  </si>
  <si>
    <t>Vacation|Activities</t>
  </si>
  <si>
    <t>Vacation|Food</t>
  </si>
  <si>
    <t>Vacation|Lodging</t>
  </si>
  <si>
    <t>Vacation|Other</t>
  </si>
  <si>
    <t>Vacation|Rental Car &amp; Taxi</t>
  </si>
  <si>
    <t>Vacation|Transportation</t>
  </si>
  <si>
    <t>Vacation|Trinkets</t>
  </si>
  <si>
    <t>Vacation|ZZZZZ</t>
  </si>
  <si>
    <t>Work Expense|Foreign Transaction Fee</t>
  </si>
  <si>
    <t>Work Expense|Ground Transportation</t>
  </si>
  <si>
    <t>Work Expense|Lodging</t>
  </si>
  <si>
    <t>Work Expense|Meals</t>
  </si>
  <si>
    <t>Work Expense|Other</t>
  </si>
  <si>
    <t>Work Expense|Reimbursement</t>
  </si>
  <si>
    <t>Work Expense|Travel</t>
  </si>
  <si>
    <t>Work Expense|ZZZZZ</t>
  </si>
  <si>
    <t>Hidden</t>
  </si>
  <si>
    <t>Irregular</t>
  </si>
  <si>
    <t>Unplanned</t>
  </si>
  <si>
    <t>None</t>
  </si>
  <si>
    <t>[First Tech - Short Term Emergency (5400]</t>
  </si>
  <si>
    <t>[Unspecified Account]</t>
  </si>
  <si>
    <t>Personal Care|Miscellaneous</t>
  </si>
  <si>
    <t>Expenses</t>
  </si>
  <si>
    <t>Difference</t>
  </si>
  <si>
    <t>Vested</t>
  </si>
  <si>
    <t>Next Vest</t>
  </si>
  <si>
    <t>Value</t>
  </si>
  <si>
    <t>Award</t>
  </si>
  <si>
    <t>Remaining</t>
  </si>
  <si>
    <t>Total remaining to vest:</t>
  </si>
  <si>
    <t>Total vest Aug 2014:</t>
  </si>
  <si>
    <t># Shares</t>
  </si>
  <si>
    <t>Today's Stock Price:</t>
  </si>
  <si>
    <t>Business Expenses (Koolikai)|Cell Phone</t>
  </si>
  <si>
    <t>Business Expenses (Koolikai)|Internet</t>
  </si>
  <si>
    <t>Name</t>
  </si>
  <si>
    <t>Limit</t>
  </si>
  <si>
    <t>Date</t>
  </si>
  <si>
    <t>Amount</t>
  </si>
  <si>
    <t>Status</t>
  </si>
  <si>
    <t>Payee</t>
  </si>
  <si>
    <t>Memo</t>
  </si>
  <si>
    <t>Check Number</t>
  </si>
  <si>
    <t>Split</t>
  </si>
  <si>
    <t>Description</t>
  </si>
  <si>
    <t>Tax Related</t>
  </si>
  <si>
    <t>Tax Rule</t>
  </si>
  <si>
    <t>Symbol</t>
  </si>
  <si>
    <t>Security</t>
  </si>
  <si>
    <t>AmericanWest (1186)</t>
  </si>
  <si>
    <t>Bank</t>
  </si>
  <si>
    <t>Capital One - Investment (6759)</t>
  </si>
  <si>
    <t>Capital One - Long Term Emergency (1201)</t>
  </si>
  <si>
    <t>Capital One - Secondary Savings (3126)</t>
  </si>
  <si>
    <t>Capital One - Vacation (4959)</t>
  </si>
  <si>
    <t>First Tech - Checking (5544)</t>
  </si>
  <si>
    <t>First Tech - Savings (5455)</t>
  </si>
  <si>
    <t>First Tech - Secondary Savings (5401)</t>
  </si>
  <si>
    <t>First Tech - Short Term Emergency (5400)</t>
  </si>
  <si>
    <t>Koolikai - Checking XX2129</t>
  </si>
  <si>
    <t>Koolikai - Sec Dep XX1200</t>
  </si>
  <si>
    <t>Schwab - Checking (9784)</t>
  </si>
  <si>
    <t>American Express (Costco)</t>
  </si>
  <si>
    <t>CCard</t>
  </si>
  <si>
    <t>Discover Card</t>
  </si>
  <si>
    <t>Koolikai Credit Card</t>
  </si>
  <si>
    <t>Mastercard (Angela)</t>
  </si>
  <si>
    <t>MasterCard (Capital One)</t>
  </si>
  <si>
    <t>Overdraft Visa XX4740</t>
  </si>
  <si>
    <t>Premera Health Care Payment</t>
  </si>
  <si>
    <t>Target Red Card</t>
  </si>
  <si>
    <t>Cash Account</t>
  </si>
  <si>
    <t>Cash</t>
  </si>
  <si>
    <t>Morgan Stanley Smith Barney</t>
  </si>
  <si>
    <t>Port</t>
  </si>
  <si>
    <t>X</t>
  </si>
  <si>
    <t>Business Income (Koolikai):Rent</t>
  </si>
  <si>
    <t>*</t>
  </si>
  <si>
    <t>Business Expenses (Koolikai):Repairs</t>
  </si>
  <si>
    <t>Balanced</t>
  </si>
  <si>
    <t>Capital One (Interest Income)</t>
  </si>
  <si>
    <t>INT</t>
  </si>
  <si>
    <t>Quarterly Bonus</t>
  </si>
  <si>
    <t>ACH Deposit--MICROSOFT  - EDIPAYMENT</t>
  </si>
  <si>
    <t>Bills &amp; Utilities:Utilities</t>
  </si>
  <si>
    <t>Phinney Ridge CDC</t>
  </si>
  <si>
    <t>ACH Debit--PHINNEY RIDGE LU 504759859 - CONTRIBUTN</t>
  </si>
  <si>
    <t>Kids:Daycare</t>
  </si>
  <si>
    <t>Business Expenses (Koolikai):Mortgage (Business)</t>
  </si>
  <si>
    <t>NYCB Mortgage Company</t>
  </si>
  <si>
    <t>Mortgage for 7015</t>
  </si>
  <si>
    <t>Home:Mortgage</t>
  </si>
  <si>
    <t>Capital One (Autopay)</t>
  </si>
  <si>
    <t>Kids:Babysitter</t>
  </si>
  <si>
    <t>Seattle City Light</t>
  </si>
  <si>
    <t>Puget Sound Energy</t>
  </si>
  <si>
    <t>Cleaning Authority, The</t>
  </si>
  <si>
    <t>Home:Home Services</t>
  </si>
  <si>
    <t>Liberty Mutual (Umbrella)</t>
  </si>
  <si>
    <t>ACH Debit--LIBERTY MUTUAL  - PAYMENT</t>
  </si>
  <si>
    <t>Bills &amp; Utilities:Insurance (Umbrella)</t>
  </si>
  <si>
    <t>ACH Debit--AMEX EPayment AM - ACH PMT</t>
  </si>
  <si>
    <t>Eurest</t>
  </si>
  <si>
    <t>ATM Withdrawal--FIRST TECH 5854 154TH PL NE       REDMOND      W</t>
  </si>
  <si>
    <t>Food &amp; Dining:Restaurants</t>
  </si>
  <si>
    <t>Check--</t>
  </si>
  <si>
    <t>Verizon Wireless</t>
  </si>
  <si>
    <t>Business Expenses (Koolikai):Cell Phone</t>
  </si>
  <si>
    <t>ACH Debit--DISCOVER DC PYMNTS DCIDPIINT - E-PAYMENT</t>
  </si>
  <si>
    <t>American Funds Amcap</t>
  </si>
  <si>
    <t>ACH Debit-- AMERICAN FUNDS 0001002:  AMCAP-529A - INVESTMENT</t>
  </si>
  <si>
    <t>Kids:American Funds 529A</t>
  </si>
  <si>
    <t>Shopping:Electronics &amp; Software</t>
  </si>
  <si>
    <t>Food &amp; Dining:Groceries</t>
  </si>
  <si>
    <t>ACH Debit--CITY OF SEATTLE  - 1 - SCL De</t>
  </si>
  <si>
    <t>Wells Fargo Home Mortgage</t>
  </si>
  <si>
    <t>Kids:Toys</t>
  </si>
  <si>
    <t>Shared Branch Mobile</t>
  </si>
  <si>
    <t>Vacation:Lodging</t>
  </si>
  <si>
    <t>Sue Shoedel</t>
  </si>
  <si>
    <t>ACH Debit--WF HOME MTG ACH - AUTO PAY</t>
  </si>
  <si>
    <t>ACH Debit--TARGET CARD SRVC 001 - AUTO PYMT</t>
  </si>
  <si>
    <t>ACH Debit--THE CLEANING AUT  - ONLINE PMT</t>
  </si>
  <si>
    <t>Nissan Lease</t>
  </si>
  <si>
    <t>ACH Debit--NMAC LEASE  - ONLINE PMT</t>
  </si>
  <si>
    <t>Auto &amp; Transport:Auto Lease Payment</t>
  </si>
  <si>
    <t>UW Medical Center</t>
  </si>
  <si>
    <t>Health &amp; Fitness:Sports</t>
  </si>
  <si>
    <t>Home:Furnishings</t>
  </si>
  <si>
    <t>ACH Deposit--PREMERA FUNDING  - CYC-CLAIMS</t>
  </si>
  <si>
    <t>ACH Deposit--Cancer Research  - Payroll</t>
  </si>
  <si>
    <t>Premera Funding  - Cyc-claims</t>
  </si>
  <si>
    <t>Microsoft (Paystub)</t>
  </si>
  <si>
    <t>American Express (Autopay)</t>
  </si>
  <si>
    <t>CRAB (Paystub)</t>
  </si>
  <si>
    <t>American Funds 0001002:  Amcap-</t>
  </si>
  <si>
    <t>ACH Debit--CAPITAL ONE  - CRCARDPMT</t>
  </si>
  <si>
    <t>Target (Autopay)</t>
  </si>
  <si>
    <t>Health &amp; Fitness:Doctor</t>
  </si>
  <si>
    <t>Target</t>
  </si>
  <si>
    <t>Stay Fit reimbursement for shoes, running pants, and ski passes.</t>
  </si>
  <si>
    <t>9602 Mortgage Payment</t>
  </si>
  <si>
    <t>7231 Mortgage Payment</t>
  </si>
  <si>
    <t>Target Card Srvc 001 - Auto Pymt</t>
  </si>
  <si>
    <t>Duplicate charge?</t>
  </si>
  <si>
    <t>Children's University Medical Group</t>
  </si>
  <si>
    <t>Duplicate opthamology charge</t>
  </si>
  <si>
    <t>ACH Debit--PUGET SOUND ENER DIRECT DEBITING - PSE BILL  12502672</t>
  </si>
  <si>
    <t>Chase  - Autopay</t>
  </si>
  <si>
    <t>ACH Debit--NYCB MORTGAGE CO 678 - NYCB MORTG</t>
  </si>
  <si>
    <t>Business Expenses (Koolikai):Mortgage (Business)/9602</t>
  </si>
  <si>
    <t>Business Expenses (Koolikai):Mortgage (Business)/7231</t>
  </si>
  <si>
    <t>ACH Debit--PUGET SOUND ENER DIRECT DEBITING - PSE BILL  35000281</t>
  </si>
  <si>
    <t>ACH Debit--CHASE  - AUTOPAYBUS</t>
  </si>
  <si>
    <t>Aaron Ausland</t>
  </si>
  <si>
    <t>Automatic Payment - Thank</t>
  </si>
  <si>
    <t>Valerie Shaibley</t>
  </si>
  <si>
    <t>Business Income (Koolikai):Rent/7231</t>
  </si>
  <si>
    <t>Business Expenses (Koolikai):Utilities (Business)</t>
  </si>
  <si>
    <t>Business Expenses (Koolikai):Utilities (Business)/9602</t>
  </si>
  <si>
    <t>Business Expenses (Koolikai):Utilities (Business)/7231</t>
  </si>
  <si>
    <t>Business Income (Koolikai):Rent/9602</t>
  </si>
  <si>
    <t>Chase - Koolikai (Autopay)</t>
  </si>
  <si>
    <t>Refund of escrow overage</t>
  </si>
  <si>
    <t>Repayment of water/sewer</t>
  </si>
  <si>
    <t>Deposit--Shared Branch Mobile Deposit          First Tech FC CA</t>
  </si>
  <si>
    <t>7231 payment toward $688.66</t>
  </si>
  <si>
    <t>First Tech (Dividend)</t>
  </si>
  <si>
    <t>Bank Fees &amp; Charges:ATM Fee</t>
  </si>
  <si>
    <t>Personal Care:Hair</t>
  </si>
  <si>
    <t>Interest Paid</t>
  </si>
  <si>
    <t>Costco</t>
  </si>
  <si>
    <t>Groceries</t>
  </si>
  <si>
    <t>Ken's Market (ATM)</t>
  </si>
  <si>
    <t>ATM Fee Refund</t>
  </si>
  <si>
    <t>Umpqua Bank (ATM)</t>
  </si>
  <si>
    <t>Alfi's Food &amp; Deli</t>
  </si>
  <si>
    <t>Soup kitchen</t>
  </si>
  <si>
    <t>Umpqua Bank Greenw</t>
  </si>
  <si>
    <t>Unspecified Account</t>
  </si>
  <si>
    <t>Auto &amp; Transport:Gas &amp; Fuel</t>
  </si>
  <si>
    <t>Vacation:Transportation</t>
  </si>
  <si>
    <t>Costco Whse Seattle</t>
  </si>
  <si>
    <t>Returned lift tickets</t>
  </si>
  <si>
    <t>015317000   2065460480</t>
  </si>
  <si>
    <t>AAA Membership</t>
  </si>
  <si>
    <t>Discover Card (Autopay)</t>
  </si>
  <si>
    <t>Entertainment:Movies &amp; DVDs</t>
  </si>
  <si>
    <t>Aaa</t>
  </si>
  <si>
    <t>Auto &amp; Transport:Auto Insurance</t>
  </si>
  <si>
    <t>Directpay Full Balance</t>
  </si>
  <si>
    <t>Windows</t>
  </si>
  <si>
    <t>Super Market Madness</t>
  </si>
  <si>
    <t>Home Depot</t>
  </si>
  <si>
    <t>Lowe's</t>
  </si>
  <si>
    <t>Safeway</t>
  </si>
  <si>
    <t>Business Expenses (Koolikai):Office Expenses (Business)</t>
  </si>
  <si>
    <t>Walgreens</t>
  </si>
  <si>
    <t>2011: CREDIT-CASH BACK REWARD</t>
  </si>
  <si>
    <t>Ken's Market</t>
  </si>
  <si>
    <t>Capital One (Cash Back)</t>
  </si>
  <si>
    <t>Starbucks</t>
  </si>
  <si>
    <t>Diamond Parking</t>
  </si>
  <si>
    <t>Auto &amp; Transport:Parking</t>
  </si>
  <si>
    <t>Fred Meyer</t>
  </si>
  <si>
    <t>Trader Joe's</t>
  </si>
  <si>
    <t>Shopping:Clothing</t>
  </si>
  <si>
    <t>Icon Grill</t>
  </si>
  <si>
    <t>Top Ten Toys</t>
  </si>
  <si>
    <t>Wendy's</t>
  </si>
  <si>
    <t>Bartell Drug</t>
  </si>
  <si>
    <t>Barnes &amp; Noble</t>
  </si>
  <si>
    <t>Taproot Theatre Co</t>
  </si>
  <si>
    <t>Bed Bath &amp; Beyond</t>
  </si>
  <si>
    <t>Comcast</t>
  </si>
  <si>
    <t>Bills &amp; Utilities:Television</t>
  </si>
  <si>
    <t>Business Expenses (Koolikai):Internet</t>
  </si>
  <si>
    <t>Bills &amp; Utilities:Home Phone</t>
  </si>
  <si>
    <t>Liberty Mutual</t>
  </si>
  <si>
    <t>Auto &amp; Transport:Tolls</t>
  </si>
  <si>
    <t>Kids:Kids Activities</t>
  </si>
  <si>
    <t>Recreation.Gov</t>
  </si>
  <si>
    <t>Amazon</t>
  </si>
  <si>
    <t>Twirl Play Cafe</t>
  </si>
  <si>
    <t>Seattle Park Seattle</t>
  </si>
  <si>
    <t>Imagine Childrens Museum</t>
  </si>
  <si>
    <t>Stardust Salon</t>
  </si>
  <si>
    <t>Party @ Display &amp; Costume</t>
  </si>
  <si>
    <t>Pie Seattle Center</t>
  </si>
  <si>
    <t>Auto &amp; Transport:Service &amp; Parts</t>
  </si>
  <si>
    <t>Vios Cafe 3rd</t>
  </si>
  <si>
    <t>Books</t>
  </si>
  <si>
    <t>Mcdonald's</t>
  </si>
  <si>
    <t>Oliver Twist Seattle</t>
  </si>
  <si>
    <t>Subway</t>
  </si>
  <si>
    <t>Premier Parking</t>
  </si>
  <si>
    <t>Fresh Table Met</t>
  </si>
  <si>
    <t>Shopping:Books</t>
  </si>
  <si>
    <t>Sears</t>
  </si>
  <si>
    <t>Health &amp; Fitness:Pharmacy</t>
  </si>
  <si>
    <t>Portage Bay Cafe</t>
  </si>
  <si>
    <t>Good Go Replenishment</t>
  </si>
  <si>
    <t>2011: SAFEWAY STORE 00018457 SEATTLE WA 98103 USA</t>
  </si>
  <si>
    <t>2011: KEN'S MARKET #75-116 SEATTLE WA 98103 USA</t>
  </si>
  <si>
    <t>2011: PREMIER PARKING MARION NASHVILLE TN 372093602 USA</t>
  </si>
  <si>
    <t>2011: SEATTLE 684-PARK SEATTLE WA 98104 USA</t>
  </si>
  <si>
    <t>2011: FRED-MEYER #0122 SEATTLE WA 98117 USA</t>
  </si>
  <si>
    <t>2011: TRADER JOE'S #147 QPS SEATTLE WA 98107 USA</t>
  </si>
  <si>
    <t>Third Place Books</t>
  </si>
  <si>
    <t>2011: BARNES &amp; NOBLE #2280 SEATTLE WA 98125 USA</t>
  </si>
  <si>
    <t>2011: PIE - SEATTLE CENTER SEATTLE WA 98109 USA</t>
  </si>
  <si>
    <t>Usps</t>
  </si>
  <si>
    <t>2011: FRED-MEYER #0608 SEATTLE WA 98107 USA</t>
  </si>
  <si>
    <t>Ivars Seafood</t>
  </si>
  <si>
    <t>2011: 021 BALLARD SFB SEATTLE WA 98107 USA</t>
  </si>
  <si>
    <t>2011: COMCAST CABLE COMM 800-COMCAST WA 98103 USA</t>
  </si>
  <si>
    <t>Menchie's</t>
  </si>
  <si>
    <t>2011: MENCHIE`S FROZEN YOGUR KIRKLAND WA 98033 USA</t>
  </si>
  <si>
    <t>2011: WALGREENS #3515 SEATTLE WA 98103 USA</t>
  </si>
  <si>
    <t>Arena Sports Seattle</t>
  </si>
  <si>
    <t>2011: ARENA SPORTS SEATTLE WA 98115 USA</t>
  </si>
  <si>
    <t>2011: VIOS CAFE AT 3RD PLACE SEATTLE WA 98115 USA</t>
  </si>
  <si>
    <t>Furnace filter, and toilet valve repair kit</t>
  </si>
  <si>
    <t>2011: DIAMOND PARKING A096 SEATTLE WA 98101 USA</t>
  </si>
  <si>
    <t>Msft Code Msbill</t>
  </si>
  <si>
    <t>Free App?  Refunded later</t>
  </si>
  <si>
    <t>Cafe Remond Wa</t>
  </si>
  <si>
    <t>2011: CAFE 50 11097474 REMOND WA 98052 USA</t>
  </si>
  <si>
    <t>Cards for Angela's birthday</t>
  </si>
  <si>
    <t>Nurture Shock</t>
  </si>
  <si>
    <t>2011: THEHILIFE SEATTLE WA 98107 USA</t>
  </si>
  <si>
    <t>Microsoft Code Msbill</t>
  </si>
  <si>
    <t>Free app?</t>
  </si>
  <si>
    <t>Amc</t>
  </si>
  <si>
    <t>2011: AMC ALDERWOOD 16 #2629 LYNNWOOD WA 98037 USA</t>
  </si>
  <si>
    <t>2011: PORTAGE BAY CAFE &amp; SEATTLE WA 98107 USA</t>
  </si>
  <si>
    <t>Clarks Store</t>
  </si>
  <si>
    <t>2011: CLARKS STORE #542 LYNNWOOD WA 98037 USA</t>
  </si>
  <si>
    <t>Dsw Designer Shoe Warehouse</t>
  </si>
  <si>
    <t>2011: DSW SEATTLE WA 98125 USA</t>
  </si>
  <si>
    <t>2011: GOOD2GO REPLENISHMENT 08669368246 WA 98105 USA</t>
  </si>
  <si>
    <t>2011: CHARGEPOINT, INC 04083703802 CA 95008 USA</t>
  </si>
  <si>
    <t>Phonos</t>
  </si>
  <si>
    <t>Refrigerator repair</t>
  </si>
  <si>
    <t>Business Expenses (Koolikai):Repairs/7231</t>
  </si>
  <si>
    <t>Msft Account Wa</t>
  </si>
  <si>
    <t>Account validation</t>
  </si>
  <si>
    <t>El Gaucho</t>
  </si>
  <si>
    <t>2011: EL GAUCHO SEATTLE WA 98121 USA</t>
  </si>
  <si>
    <t>2011: OLIVER'S TWIST SEATTLE WA 98103 USA</t>
  </si>
  <si>
    <t>Pacific Science Center The</t>
  </si>
  <si>
    <t>2011: SAFEWAY STORE00011437 SEATTLE WA 98117 USA</t>
  </si>
  <si>
    <t>Columbus 004</t>
  </si>
  <si>
    <t>Growth hormone</t>
  </si>
  <si>
    <t>Taqueria Guaymas</t>
  </si>
  <si>
    <t>2011: TAQUERIA GUAYMAS SEATTLE WA 98103 USA</t>
  </si>
  <si>
    <t>2011: TAPROOT THEATRE SEATTLE WA 98103 USA</t>
  </si>
  <si>
    <t>2011: PORTAGE BAY CAFE AN SEATTLE WA 98109 USA</t>
  </si>
  <si>
    <t>Las Brisas</t>
  </si>
  <si>
    <t>2011: LAS BRISAS INC EDMONDS WA 98020 USA</t>
  </si>
  <si>
    <t>Seattle Parks And Recreation</t>
  </si>
  <si>
    <t>Toddler room at Greenlake</t>
  </si>
  <si>
    <t>Officemax</t>
  </si>
  <si>
    <t>Receipt holder, and other supplies</t>
  </si>
  <si>
    <t>2011: MCDONALD'S M7125 OF BELLEVUE WA 98005 USA</t>
  </si>
  <si>
    <t>2011: SUBWAY 03042314 SEATTLE WA 98133 USA</t>
  </si>
  <si>
    <t>Birthday party for Josh and Zach</t>
  </si>
  <si>
    <t>2011: WENDYS-SWL #0415 BELLINGHAM WA 98226 USA</t>
  </si>
  <si>
    <t>2011: SQ *PLAYDATE CAFE Lynnwood WA 98036 USA</t>
  </si>
  <si>
    <t>Busara Thai Cuisine</t>
  </si>
  <si>
    <t>2011: BUSARA THAI CUISINE BELLINGHAM WA 98225 USA</t>
  </si>
  <si>
    <t>Garbage disposal for Mom</t>
  </si>
  <si>
    <t>2011: PARTY @ DISPLAY &amp; C SEATTLE WA 98125 USA</t>
  </si>
  <si>
    <t>Tinyprints</t>
  </si>
  <si>
    <t>2011: TINYPRINTS.COM 08773009256 CA 94085 USA</t>
  </si>
  <si>
    <t>2011: LIBERTY MUTUAL 888-398-8924 MA 02116 USA</t>
  </si>
  <si>
    <t>2011: FRESH TABLE-MET PARK SEATTLE WA 98101 USA</t>
  </si>
  <si>
    <t>Brady and Jack presents</t>
  </si>
  <si>
    <t>2011: ICON GRILL SEATTLE WA 98101 USA</t>
  </si>
  <si>
    <t>Rudy's Barber Shop</t>
  </si>
  <si>
    <t>2011: RUDYS BARBER SHOP - LA LOS ANGELES CA 90027 USA</t>
  </si>
  <si>
    <t>In The Red</t>
  </si>
  <si>
    <t>2011: IN THE RED WINE BAR CA SEATTLE WA 98103 USA</t>
  </si>
  <si>
    <t>United Airlines</t>
  </si>
  <si>
    <t>Craft-e-family</t>
  </si>
  <si>
    <t>2011: CRAFT E FAMILY LLC 317-996-2124 IN 46158 USA</t>
  </si>
  <si>
    <t>Fire insurance for 7231</t>
  </si>
  <si>
    <t>Swedish Medical First</t>
  </si>
  <si>
    <t>Zach prescription pain killer</t>
  </si>
  <si>
    <t>Valentines</t>
  </si>
  <si>
    <t>Republic Parking Seattle</t>
  </si>
  <si>
    <t>Parking for Zach's surgery</t>
  </si>
  <si>
    <t>2011: SEATTLE CITY LIGHT 02066843000 WA 98124 USA</t>
  </si>
  <si>
    <t>2011: DIAMOND PARKING WE09 EVERETT WA 98106 USA</t>
  </si>
  <si>
    <t>Gainsbourg</t>
  </si>
  <si>
    <t>2011: GAINSBOURG SEATTLE WA 98103 USA</t>
  </si>
  <si>
    <t>2011: IMAGINE CHILDREN'S MUS EVERETT WA 98201 USA</t>
  </si>
  <si>
    <t>Skillet Counter Seattle</t>
  </si>
  <si>
    <t>2011: SKILLET COUNTER SEATTLE WA 98109 USA</t>
  </si>
  <si>
    <t>2011: SQ *LISA AT STARDUST S Seattle WA 98103 USA</t>
  </si>
  <si>
    <t>2011: ESI PHARM COLUMBUS 08002822881 OH 43228 USA</t>
  </si>
  <si>
    <t>#Kalaloch 2014#</t>
  </si>
  <si>
    <t>2011: SQ *STARBUCKS #00104 S Seattle WA 981011448 USA</t>
  </si>
  <si>
    <t>Wsferries Cl Seattle</t>
  </si>
  <si>
    <t>#Family Reunion#</t>
  </si>
  <si>
    <t>Wsferries Mu Seattle</t>
  </si>
  <si>
    <t>Goose Community Clinton</t>
  </si>
  <si>
    <t>Jiffy Lube</t>
  </si>
  <si>
    <t>Oil change for the RAV</t>
  </si>
  <si>
    <t>ConsumerReports.org (via 1151 account)</t>
  </si>
  <si>
    <t>Refund of insurance over payment</t>
  </si>
  <si>
    <t>Bedding, lamps, etc. for kids new bedroom</t>
  </si>
  <si>
    <t>Business Expenses (Koolikai):Security Deposit</t>
  </si>
  <si>
    <t>Seattle Public Utilities</t>
  </si>
  <si>
    <t>ACH Debit--CITY OF SEATTLE  - 2 - SPU De</t>
  </si>
  <si>
    <t>Tax:Fed</t>
  </si>
  <si>
    <t>Health &amp; Fitness:Dentist</t>
  </si>
  <si>
    <t>Patricia Anderson</t>
  </si>
  <si>
    <t>Financial:Financial Advisor</t>
  </si>
  <si>
    <t>Kids:Clothing</t>
  </si>
  <si>
    <t>Work Expense:Reimbursement</t>
  </si>
  <si>
    <t>Financial:Life Insurance</t>
  </si>
  <si>
    <t>Bank Fees &amp; Charges:Bank Fee</t>
  </si>
  <si>
    <t>Projects:Landscaping</t>
  </si>
  <si>
    <t>Charity:Charity (Cash)</t>
  </si>
  <si>
    <t>Seattle Children's Hospital</t>
  </si>
  <si>
    <t>Credit Dividend--</t>
  </si>
  <si>
    <t>Schwab (ATM Fee Refund)</t>
  </si>
  <si>
    <t>Schwab (Interest Income)</t>
  </si>
  <si>
    <t>Health &amp; Fitness:Eyecare</t>
  </si>
  <si>
    <t>Vacation:Food</t>
  </si>
  <si>
    <t>Alaska Air</t>
  </si>
  <si>
    <t>Bills &amp; Utilities:Mobile Phone</t>
  </si>
  <si>
    <t>Fresh Table</t>
  </si>
  <si>
    <t>Pandora</t>
  </si>
  <si>
    <t>Business Expenses (Koolikai):Tools</t>
  </si>
  <si>
    <t>Shopping:Hobbies:Camping Equipment</t>
  </si>
  <si>
    <t>Phinney Neighborhood Center</t>
  </si>
  <si>
    <t>Vacation:Activities</t>
  </si>
  <si>
    <t>Auto &amp; Transport:Registration</t>
  </si>
  <si>
    <t>Vacation:Trinkets</t>
  </si>
  <si>
    <t>Business Expenses (Koolikai):Prof and Legal Fees</t>
  </si>
  <si>
    <t>Projects:Electric Car Setup</t>
  </si>
  <si>
    <t>Cafe Redmond Wa</t>
  </si>
  <si>
    <t>Playdate Cafe</t>
  </si>
  <si>
    <t>Capital One (Transfer)</t>
  </si>
  <si>
    <t>ACH Deposit--CAPITAL1 00000000000301749963 - TRANSFER</t>
  </si>
  <si>
    <t>ACH Deposit--CAPITAL1 00000000000301749025 - TRANSFER</t>
  </si>
  <si>
    <t>Capital One (Savings)</t>
  </si>
  <si>
    <t>LPL</t>
  </si>
  <si>
    <t>Transfer to LPL account for mutual fund and managed account</t>
  </si>
  <si>
    <t>COSTCO MEMBER RENEWAL</t>
  </si>
  <si>
    <t>Lowes #00252*</t>
  </si>
  <si>
    <t>Sink fixture repair parts</t>
  </si>
  <si>
    <t>Basin wrench, bucket, and inspection camera</t>
  </si>
  <si>
    <t>Seahawks sweatshirt</t>
  </si>
  <si>
    <t>Wne for the Owen birthday party</t>
  </si>
  <si>
    <t>Stranger Tickets Wa</t>
  </si>
  <si>
    <t>Play for Ang, Dave, Zach, and Josh</t>
  </si>
  <si>
    <t>2011: CAFE 86 11171386 REDMOND WA 98052 USA</t>
  </si>
  <si>
    <t>2011: GG *PHINNEY NEIGHBORHO SEATTLE WA 98103 USA</t>
  </si>
  <si>
    <t>Blink Network Llc</t>
  </si>
  <si>
    <t>2011: BLINK NETWORK, LLC 06023459015 AZ 85003 USA</t>
  </si>
  <si>
    <t>High Tide</t>
  </si>
  <si>
    <t>Chase Freedom XX9381</t>
  </si>
  <si>
    <t>Opening Balance</t>
  </si>
  <si>
    <t>Internal Revenue Service</t>
  </si>
  <si>
    <t>ACH Debit--CHASE  - AUTOPAY</t>
  </si>
  <si>
    <t>Microsoft (Reimbursement)</t>
  </si>
  <si>
    <t>Edward Jones</t>
  </si>
  <si>
    <t>Seattle Families Of Multiples</t>
  </si>
  <si>
    <t>Taylor &amp; Francis Group</t>
  </si>
  <si>
    <t>Morale Money</t>
  </si>
  <si>
    <t>ACH Debit--PREMERA FUNDING  - HSA-FUND  6823</t>
  </si>
  <si>
    <t>American Express</t>
  </si>
  <si>
    <t>Caesar's Gardens</t>
  </si>
  <si>
    <t>Angela's book royalties</t>
  </si>
  <si>
    <t>Premera Funding Cyc</t>
  </si>
  <si>
    <t>ACH Debit--CATHLEEN CAESAR  - ONLINE PMT</t>
  </si>
  <si>
    <t>ACH Debit--PUGET SOUND ENER DIRECT DEBITING - PSE BILL  10000317</t>
  </si>
  <si>
    <t>Angela's book royalty</t>
  </si>
  <si>
    <t>Bart</t>
  </si>
  <si>
    <t>Bank Of America</t>
  </si>
  <si>
    <t>Babysitter money for date night</t>
  </si>
  <si>
    <t>Il Bistro</t>
  </si>
  <si>
    <t>Arco</t>
  </si>
  <si>
    <t>Shuttlepark 2</t>
  </si>
  <si>
    <t>Christmas cards</t>
  </si>
  <si>
    <t>[Chase Freedom XX9381]</t>
  </si>
  <si>
    <t>Redemption</t>
  </si>
  <si>
    <t>Godaddy.Com</t>
  </si>
  <si>
    <t>Cash Back Reward</t>
  </si>
  <si>
    <t>7-Eleven</t>
  </si>
  <si>
    <t>Bright Horizons</t>
  </si>
  <si>
    <t>Macy's</t>
  </si>
  <si>
    <t>Oliver Twist</t>
  </si>
  <si>
    <t>Rudys Barber Shop</t>
  </si>
  <si>
    <t>Metropolis</t>
  </si>
  <si>
    <t>Netflix</t>
  </si>
  <si>
    <t>Woodland Park Zoo</t>
  </si>
  <si>
    <t>Poquitos</t>
  </si>
  <si>
    <t>Ikea</t>
  </si>
  <si>
    <t>Taco Time</t>
  </si>
  <si>
    <t>Luisas Mexican Grill</t>
  </si>
  <si>
    <t>KFC</t>
  </si>
  <si>
    <t>Babies "R" Us</t>
  </si>
  <si>
    <t>Greenwood Hardware</t>
  </si>
  <si>
    <t>Good To Go</t>
  </si>
  <si>
    <t>Hales Ales Ltd</t>
  </si>
  <si>
    <t>Dave's gloves</t>
  </si>
  <si>
    <t>Taco Del Mar</t>
  </si>
  <si>
    <t>Beach Comber Kids Cuts</t>
  </si>
  <si>
    <t>Stacias</t>
  </si>
  <si>
    <t>Rei</t>
  </si>
  <si>
    <t>Jersey Great Food</t>
  </si>
  <si>
    <t>Time Magazine</t>
  </si>
  <si>
    <t>Mc Cormick-stillman Railroad</t>
  </si>
  <si>
    <t>Paypal</t>
  </si>
  <si>
    <t>Thai Siam Restaurant</t>
  </si>
  <si>
    <t>Madison Inn</t>
  </si>
  <si>
    <t>Perbacco</t>
  </si>
  <si>
    <t>Make up</t>
  </si>
  <si>
    <t>Jamba Juice</t>
  </si>
  <si>
    <t>Hyatt</t>
  </si>
  <si>
    <t>Wa Parksreservationswe Olympia</t>
  </si>
  <si>
    <t>Vehicle Licensing</t>
  </si>
  <si>
    <t>Photos</t>
  </si>
  <si>
    <t>Super Jock n Jill</t>
  </si>
  <si>
    <t>Blue Bird</t>
  </si>
  <si>
    <t>Barking Dog Alehouse</t>
  </si>
  <si>
    <t>Pac Sci Ctr</t>
  </si>
  <si>
    <t>Gymboree</t>
  </si>
  <si>
    <t>Ann Taylor</t>
  </si>
  <si>
    <t>Jockey</t>
  </si>
  <si>
    <t>Oshkosh</t>
  </si>
  <si>
    <t>Eddie Bauer</t>
  </si>
  <si>
    <t>Shell</t>
  </si>
  <si>
    <t>O'reilly Auto Parts</t>
  </si>
  <si>
    <t>Groundspeak Membership Groundspeak</t>
  </si>
  <si>
    <t>Bass</t>
  </si>
  <si>
    <t>Banana Republic</t>
  </si>
  <si>
    <t>Phinney Market Pub</t>
  </si>
  <si>
    <t>Carter's</t>
  </si>
  <si>
    <t>Burger King</t>
  </si>
  <si>
    <t>Washington State Fair</t>
  </si>
  <si>
    <t>Playdate Sea</t>
  </si>
  <si>
    <t>Fogon Cocina Mexicana</t>
  </si>
  <si>
    <t>Pesos</t>
  </si>
  <si>
    <t>Razzis Pizzeria</t>
  </si>
  <si>
    <t>Bella Bacino</t>
  </si>
  <si>
    <t>Volare</t>
  </si>
  <si>
    <t>Company Store</t>
  </si>
  <si>
    <t>Twigs</t>
  </si>
  <si>
    <t>Phinney Market</t>
  </si>
  <si>
    <t>Recycled Cycles</t>
  </si>
  <si>
    <t>Fuego</t>
  </si>
  <si>
    <t>Holiday Mall Photos</t>
  </si>
  <si>
    <t>Christmas Tree</t>
  </si>
  <si>
    <t>Mod Superfast Pizza</t>
  </si>
  <si>
    <t>2011: THIRD PLACE BOOKS SEATTLE WA 98115 USA</t>
  </si>
  <si>
    <t>Zeeks Pizza Phinney</t>
  </si>
  <si>
    <t>2011: RUDYS BARBER SHOP - PH SEATTLE WA 98103 USA</t>
  </si>
  <si>
    <t>Children's Museum</t>
  </si>
  <si>
    <t>2011: THE CHILDRENS MUSEUM S 206-4411768 WA 981094623 USA</t>
  </si>
  <si>
    <t>Shot glass, spatula, cake pan, etc.</t>
  </si>
  <si>
    <t>2011: BLUEBIRD ICE CREAM GRE SEATTLE WA 98103 USA</t>
  </si>
  <si>
    <t>Budget Rent</t>
  </si>
  <si>
    <t>Kleins Deli San</t>
  </si>
  <si>
    <t>Itty Bitty</t>
  </si>
  <si>
    <t>Hot air popper</t>
  </si>
  <si>
    <t>2011: TWIGS NORTHGATE, L SEATTLE WA 98125 USA</t>
  </si>
  <si>
    <t>Crepe Cafe &amp; Wine Bar</t>
  </si>
  <si>
    <t>2011: THE CREPE CAFE AND WIN SEATTLE WA 98115 USA</t>
  </si>
  <si>
    <t>2011: 09 BARTELL DRUGS SEATTLE WA 98103 USA</t>
  </si>
  <si>
    <t>2011: 808 AURORA KIDD VA SEATTLE WA 98133 USA</t>
  </si>
  <si>
    <t>2011: PHINNEY MARKET PUB &amp; E SEATTLE WA 98103 USA</t>
  </si>
  <si>
    <t>2011: STARBUCKS #00104 SEATT Seattle WA 981011448 USA</t>
  </si>
  <si>
    <t>D Ambrosio Gelato</t>
  </si>
  <si>
    <t>2011: D AMBROSIO GELATO SEATTLE WA 98107 USA</t>
  </si>
  <si>
    <t>Skillet Diner Seattle</t>
  </si>
  <si>
    <t>2011: SKILLET DINER SEATTLE WA 98107 USA</t>
  </si>
  <si>
    <t>2011: TWIRL PLAY CAFE SEATTLE WA 98119 USA</t>
  </si>
  <si>
    <t>2011: TOP TEN TOYS SEATTLE WA 98103 USA</t>
  </si>
  <si>
    <t>2011: CARTER'S #663 BURLINGTON WA 98233 USA</t>
  </si>
  <si>
    <t>2011: TACO TIME LYNDEN LYNDEN WA 98264 USA</t>
  </si>
  <si>
    <t>2011: OSH KOSH #198 BURLINGTON WA 98233 USA</t>
  </si>
  <si>
    <t>Haggen</t>
  </si>
  <si>
    <t>2011: HAGGEN FOOD #43 BELLINGHAM WA 98225 USA</t>
  </si>
  <si>
    <t>University Of Washington Medical Center</t>
  </si>
  <si>
    <t>XOut</t>
  </si>
  <si>
    <t>D:\Local\OneDrive\LiveDog\Financial\Smith_Family.QIF</t>
  </si>
  <si>
    <t>Chase Amazon (XX8482)</t>
  </si>
  <si>
    <t>Chase Slate (XX1141)</t>
  </si>
  <si>
    <t>REI Mastercard (xx1787)</t>
  </si>
  <si>
    <t>Edward Jones - Investment Account</t>
  </si>
  <si>
    <t>Edward Jones - Roth IRA</t>
  </si>
  <si>
    <t>Fideity ESPP and Stock Awards</t>
  </si>
  <si>
    <t>LPL Financial</t>
  </si>
  <si>
    <t>Quarterly Bonus Int</t>
  </si>
  <si>
    <t>First Tech Transfer</t>
  </si>
  <si>
    <t>Moving sabbatical cash</t>
  </si>
  <si>
    <t>Rei (Autopayment)</t>
  </si>
  <si>
    <t>[REI Mastercard (xx1787)]</t>
  </si>
  <si>
    <t>Stay Fit Credit</t>
  </si>
  <si>
    <t>Food &amp; Dining:Restaurants/From Receipt</t>
  </si>
  <si>
    <t>Rei (Autopay)</t>
  </si>
  <si>
    <t>Discover Dc Pymnts</t>
  </si>
  <si>
    <t>ACH Debit--EDWARD JONES  - INVESTMENT</t>
  </si>
  <si>
    <t>ACH Debit--PUGET SOUND ENER DIRECT DEBITING - PSE BILL  26250337</t>
  </si>
  <si>
    <t>Pierre Kwan</t>
  </si>
  <si>
    <t>Business Expenses (Koolikai):Rent</t>
  </si>
  <si>
    <t>Amex Epayment Am - Ach Pmt</t>
  </si>
  <si>
    <t>Chase Freedom</t>
  </si>
  <si>
    <t>IRS</t>
  </si>
  <si>
    <t>ACH Deposit--IRS  TREAS 310  -   TAX REF</t>
  </si>
  <si>
    <t>Lincoln Mutual Insurance</t>
  </si>
  <si>
    <t>Life insurance policy</t>
  </si>
  <si>
    <t>Old Republic Title</t>
  </si>
  <si>
    <t>ACH Debit--PUGET SOUND ENER DIRECT DEBITING - PSE BILL  12500371</t>
  </si>
  <si>
    <t>Celina Glassburn</t>
  </si>
  <si>
    <t>Teacher Appreciation Week</t>
  </si>
  <si>
    <t>CRAB (Reimbursement)</t>
  </si>
  <si>
    <t>#Group meeting Spring# Reimbursement for group meeting</t>
  </si>
  <si>
    <t>Refund of rent and security deposit</t>
  </si>
  <si>
    <t>Capital One  - Crcardpmt</t>
  </si>
  <si>
    <t>Premera Funding  - Hsa-fund  682</t>
  </si>
  <si>
    <t>ACH Debit--PUGET SOUND ENER DIRECT DEBITING - PSE BILL  30000387</t>
  </si>
  <si>
    <t>Reimbursement -- Don't know why</t>
  </si>
  <si>
    <t>Transfer From 5562129, Reducing</t>
  </si>
  <si>
    <t>Consolidating cash</t>
  </si>
  <si>
    <t>Transfer From 47755400, Reducin</t>
  </si>
  <si>
    <t>Fid Bkg Svc Llc  - Moneyline</t>
  </si>
  <si>
    <t>Fidelity brokerage services</t>
  </si>
  <si>
    <t>[Fideity ESPP and Stock Awards]</t>
  </si>
  <si>
    <t>Lpl  - Debit</t>
  </si>
  <si>
    <t>ACH Debit--LPL  - DEBIT</t>
  </si>
  <si>
    <t>[LPL Financial]</t>
  </si>
  <si>
    <t>Childrens Hospital</t>
  </si>
  <si>
    <t>City Of Seattle</t>
  </si>
  <si>
    <t>#Go Cart Racing# with team</t>
  </si>
  <si>
    <t>ACH Debit--PUGET SOUND ENER DIRECT DEBITING - PSE BILL  12504348</t>
  </si>
  <si>
    <t>Sue Schoedal</t>
  </si>
  <si>
    <t>#Stay Fit# ACH Deposit--STAY FIT MICROSO 304254681</t>
  </si>
  <si>
    <t>Phinney Ridge Lu 504759859 - Con</t>
  </si>
  <si>
    <t>Bryndel Swift</t>
  </si>
  <si>
    <t>Projects:Fence/7231</t>
  </si>
  <si>
    <t>Fred Hutchinson</t>
  </si>
  <si>
    <t>Compensation for Angela participating in round table</t>
  </si>
  <si>
    <t>EFI Rebate Processing</t>
  </si>
  <si>
    <t>Rebate for purchase of washing machine</t>
  </si>
  <si>
    <t>Projects:Appliances</t>
  </si>
  <si>
    <t>ACH Debit--PUGET SOUND ENER DIRECT DEBITING - PSE BILL  45000438</t>
  </si>
  <si>
    <t>ACH Debit--IRS  - USATAXPYMT</t>
  </si>
  <si>
    <t>Chase Autopay (Freedom)</t>
  </si>
  <si>
    <t>Kirk Boettcher</t>
  </si>
  <si>
    <t>ACH Debit--KIRK BOETTCHER  - ONLINE PMT</t>
  </si>
  <si>
    <t>Taylor &amp; Francis</t>
  </si>
  <si>
    <t>ACH Debit--PUGET SOUND ENER DIRECT DEBITING - PSE BILL  41250464</t>
  </si>
  <si>
    <t>Poppy Weber</t>
  </si>
  <si>
    <t>Chase Autopay (Amazon)</t>
  </si>
  <si>
    <t>Account xx8482</t>
  </si>
  <si>
    <t>[Chase Amazon (XX8482)]</t>
  </si>
  <si>
    <t>Artistic Checks</t>
  </si>
  <si>
    <t>New checks</t>
  </si>
  <si>
    <t>ACH Debit--PUGET SOUND ENER DIRECT DEBITING - PSE BILL  37505102</t>
  </si>
  <si>
    <t>Purchases from Fall sale</t>
  </si>
  <si>
    <t>Reimbursement for dependent care account</t>
  </si>
  <si>
    <t>Moving sabbatical cash out</t>
  </si>
  <si>
    <t>Chase Freedom (9381)</t>
  </si>
  <si>
    <t>City Seattle Spu</t>
  </si>
  <si>
    <t>#Stay Fit# Reimbursement for Beat the Blerch</t>
  </si>
  <si>
    <t>Courtney Willie</t>
  </si>
  <si>
    <t>3x SWOG cookbooks</t>
  </si>
  <si>
    <t>Thistle Theater</t>
  </si>
  <si>
    <t>Kids:Kids Activities/From Receipt:Tax Related</t>
  </si>
  <si>
    <t>ACH Debit--PUGET SOUND ENER DIRECT DEBITING - PSE BILL  46250514</t>
  </si>
  <si>
    <t>#Cash Payment for keycard#</t>
  </si>
  <si>
    <t>#Group Meeting Fall#</t>
  </si>
  <si>
    <t>Chase (Autopay)</t>
  </si>
  <si>
    <t>Electronic Check--LOWES (CHECK PYMT) Accounts Receivable Entry S</t>
  </si>
  <si>
    <t>ACH Debit--NEW YORK COMMUNI 678 - NEW YORK C</t>
  </si>
  <si>
    <t>Amie Hanson</t>
  </si>
  <si>
    <t>Play tickets</t>
  </si>
  <si>
    <t>Dave Smith</t>
  </si>
  <si>
    <t>Reimbursement for T-Mobile payment</t>
  </si>
  <si>
    <t>ACH Debit--PUGET SOUND ENER DIRECT DEBITING - PSE BILL  36250555</t>
  </si>
  <si>
    <t>Northwest Awning Online</t>
  </si>
  <si>
    <t>Awning repair</t>
  </si>
  <si>
    <t>Greenlake PTA</t>
  </si>
  <si>
    <t>Annual membership</t>
  </si>
  <si>
    <t>Kids:Kids Activities/Tax Related</t>
  </si>
  <si>
    <t>LBJ: The Great Society</t>
  </si>
  <si>
    <t>Christi Steinburg</t>
  </si>
  <si>
    <t>Gifts for CDC teachers</t>
  </si>
  <si>
    <t>Discover (Autopay)</t>
  </si>
  <si>
    <t>Zach's Glasses</t>
  </si>
  <si>
    <t>Angela Smith</t>
  </si>
  <si>
    <t>CHECK NUMBER: 133471432</t>
  </si>
  <si>
    <t>[Edward Jones - Investment Account]</t>
  </si>
  <si>
    <t>Transfer To 914775544, Reducing</t>
  </si>
  <si>
    <t>Withdrawal-- Transfer to 914775544, reducing cash holdings</t>
  </si>
  <si>
    <t>Withdrawal-- Transfer to 914775544, Moving funds to Capital One</t>
  </si>
  <si>
    <t>John Shaibley</t>
  </si>
  <si>
    <t>Hinges for door</t>
  </si>
  <si>
    <t>Parts for washing machine</t>
  </si>
  <si>
    <t>Transfer</t>
  </si>
  <si>
    <t>John Schaibley</t>
  </si>
  <si>
    <t>Business Income (Koolikai):Rent/9602:From Receipt</t>
  </si>
  <si>
    <t>Business Income (Koolikai):Rent/7231:From Receipt</t>
  </si>
  <si>
    <t>Business Expenses (Koolikai):Repairs/9602:From Receipt</t>
  </si>
  <si>
    <t>Fritz's Plumbing</t>
  </si>
  <si>
    <t>Unblock bathroom drain at 9602</t>
  </si>
  <si>
    <t>Entertainment/From Receipt</t>
  </si>
  <si>
    <t>Bank Fees &amp; Charges:ATM Fee/From Receipt</t>
  </si>
  <si>
    <t>Personal Care:Hair/From Receipt</t>
  </si>
  <si>
    <t>Not sure about this... on a Sa</t>
  </si>
  <si>
    <t>Babbysitter?</t>
  </si>
  <si>
    <t>Kids:Babysitter/From Receipt</t>
  </si>
  <si>
    <t>Food &amp; Dining:Groceries/From Receipt</t>
  </si>
  <si>
    <t>Home:Furnishings/From Receipt</t>
  </si>
  <si>
    <t>US Bank</t>
  </si>
  <si>
    <t>Cash for group meeting?</t>
  </si>
  <si>
    <t>Limeaide, Spinach</t>
  </si>
  <si>
    <t>Bartell Drugs</t>
  </si>
  <si>
    <t>Life vests for Arizona</t>
  </si>
  <si>
    <t>Health &amp; Fitness:Sports/From Receipt</t>
  </si>
  <si>
    <t>P N 9201 Holman Road</t>
  </si>
  <si>
    <t>Dicks drive in</t>
  </si>
  <si>
    <t>#Scottsdale 2014#</t>
  </si>
  <si>
    <t>Fruit snacks and olive oil</t>
  </si>
  <si>
    <t>Folding table</t>
  </si>
  <si>
    <t>Shopping:Hobbies:Camping Equipment/From Receipt</t>
  </si>
  <si>
    <t>Seattle Science Center, Polish</t>
  </si>
  <si>
    <t>Cash back</t>
  </si>
  <si>
    <t>First Tech 154th</t>
  </si>
  <si>
    <t>Cash for lunches, etc.</t>
  </si>
  <si>
    <t>Zach's glasses</t>
  </si>
  <si>
    <t>Health &amp; Fitness:Eyecare/From Receipt</t>
  </si>
  <si>
    <t>book for Grayden</t>
  </si>
  <si>
    <t>Pajamas</t>
  </si>
  <si>
    <t>Santorinis</t>
  </si>
  <si>
    <t>Dot-to-dot for Halley</t>
  </si>
  <si>
    <t>Writing book for the boys</t>
  </si>
  <si>
    <t>Sonicare brush heads</t>
  </si>
  <si>
    <t>Eyeglass cleaner</t>
  </si>
  <si>
    <t>Pictures for Nikki</t>
  </si>
  <si>
    <t>Gifts/From Receipt</t>
  </si>
  <si>
    <t>Monorail tickets</t>
  </si>
  <si>
    <t>Kens Market</t>
  </si>
  <si>
    <t>Boy's haircut</t>
  </si>
  <si>
    <t>Personal Care:Spa &amp; Massage/From Receipt</t>
  </si>
  <si>
    <t>Confirmed as groceries</t>
  </si>
  <si>
    <t>Autopay Thank You</t>
  </si>
  <si>
    <t>Life vests for boys, recat as</t>
  </si>
  <si>
    <t>#Scottsdale 2014#Groceries at</t>
  </si>
  <si>
    <t>Matress inflator</t>
  </si>
  <si>
    <t>Matress Inflator (Return)</t>
  </si>
  <si>
    <t>Socks</t>
  </si>
  <si>
    <t>Shopping:Clothing/From Receipt</t>
  </si>
  <si>
    <t>Digital food scale</t>
  </si>
  <si>
    <t>Potentiometers</t>
  </si>
  <si>
    <t>Anti-static tweezers</t>
  </si>
  <si>
    <t>Colored LEDs</t>
  </si>
  <si>
    <t>Wet suits for Zach and Josh</t>
  </si>
  <si>
    <t>5pc SN74HC595N Shift Registers</t>
  </si>
  <si>
    <t>Purple Cafe</t>
  </si>
  <si>
    <t>Oasis Grill</t>
  </si>
  <si>
    <t>Cafe</t>
  </si>
  <si>
    <t>#Group meeting Spring#</t>
  </si>
  <si>
    <t>Work Expense:Reimbursable expense/From Receipt</t>
  </si>
  <si>
    <t>Breaking Bread</t>
  </si>
  <si>
    <t>Work Expense:Reimbursable expense</t>
  </si>
  <si>
    <t>2011: TACO DEL MAR GREENWOOD SEATTLE WA 98103 USA</t>
  </si>
  <si>
    <t>Marketbar</t>
  </si>
  <si>
    <t>Sink fixture</t>
  </si>
  <si>
    <t>Business Expenses (Koolikai):Repairs/7231:From Receipt</t>
  </si>
  <si>
    <t>Serendipity Cafe</t>
  </si>
  <si>
    <t>Paddy Coynes Irish</t>
  </si>
  <si>
    <t>Lunchbox Laboratory</t>
  </si>
  <si>
    <t>Paint</t>
  </si>
  <si>
    <t>Home:Home Improvement/From Receipt</t>
  </si>
  <si>
    <t>#Stay Fit# Safety mirror</t>
  </si>
  <si>
    <t>Kick stand</t>
  </si>
  <si>
    <t>#Stay Fit# Bike lock</t>
  </si>
  <si>
    <t>Canlis</t>
  </si>
  <si>
    <t>George Bakery</t>
  </si>
  <si>
    <t>North bend</t>
  </si>
  <si>
    <t>Euro Lounge Cafe</t>
  </si>
  <si>
    <t>Bluebird Ice Cream</t>
  </si>
  <si>
    <t>Fresh Table Cafe</t>
  </si>
  <si>
    <t>2011: FRESH TABLE CAFE MET SEATTLE WA 98101 USA</t>
  </si>
  <si>
    <t>Gabb N Sat</t>
  </si>
  <si>
    <t>#Scottsdale 2014# Sunglasses</t>
  </si>
  <si>
    <t>Shopping:Clothing:Accessories/From Receipt</t>
  </si>
  <si>
    <t>Home:Home Improvement</t>
  </si>
  <si>
    <t>#Stay Fit# Returned bike lock</t>
  </si>
  <si>
    <t>Hose nozzles</t>
  </si>
  <si>
    <t>Washing machine</t>
  </si>
  <si>
    <t>Burney Brothers Bbq</t>
  </si>
  <si>
    <t>Lunch with Rich and Amy</t>
  </si>
  <si>
    <t>Redbox</t>
  </si>
  <si>
    <t>#Mt. St. Helens#</t>
  </si>
  <si>
    <t>#Deception Pass 2014#</t>
  </si>
  <si>
    <t>Vacation:Food/From Receipt</t>
  </si>
  <si>
    <t>Blinds.Com</t>
  </si>
  <si>
    <t>Repair materials for blinds</t>
  </si>
  <si>
    <t>Smoke detectors</t>
  </si>
  <si>
    <t>Rechargeable batteries</t>
  </si>
  <si>
    <t>More blind repair materials</t>
  </si>
  <si>
    <t>Valero</t>
  </si>
  <si>
    <t>Photo resistors</t>
  </si>
  <si>
    <t>Jumper wires</t>
  </si>
  <si>
    <t>Voltage regulator and key pad</t>
  </si>
  <si>
    <t>Alexander's Country Inn</t>
  </si>
  <si>
    <t>#Mt. Rainier 2014#</t>
  </si>
  <si>
    <t>Piroshky Piroshky</t>
  </si>
  <si>
    <t>Microsoft</t>
  </si>
  <si>
    <t>Acapulco Fresh Mexican</t>
  </si>
  <si>
    <t>T-mobile</t>
  </si>
  <si>
    <t>Farmers Insurance</t>
  </si>
  <si>
    <t>Mom's insurance</t>
  </si>
  <si>
    <t>Envelopes</t>
  </si>
  <si>
    <t>Beehive Salon</t>
  </si>
  <si>
    <t>Flowers</t>
  </si>
  <si>
    <t>Projects:Landscaping/From Receipt</t>
  </si>
  <si>
    <t>Park</t>
  </si>
  <si>
    <t>Skillet Diner</t>
  </si>
  <si>
    <t>Old Spaghetti Fctry</t>
  </si>
  <si>
    <t>Hack saw blades, door sweeps, caulk</t>
  </si>
  <si>
    <t>74th St Ale</t>
  </si>
  <si>
    <t>Pike Place Commons</t>
  </si>
  <si>
    <t>Menchie Frozen Yogurt</t>
  </si>
  <si>
    <t>Ken Market</t>
  </si>
  <si>
    <t>Kids T-shirts</t>
  </si>
  <si>
    <t>The Ridge</t>
  </si>
  <si>
    <t>Alligator clips</t>
  </si>
  <si>
    <t>Chase Freedom (Autopay)</t>
  </si>
  <si>
    <t>Mom's mobile phone</t>
  </si>
  <si>
    <t>[Chase Slate (XX1141)]</t>
  </si>
  <si>
    <t>Watershed Pub Kitchen</t>
  </si>
  <si>
    <t>Family night out</t>
  </si>
  <si>
    <t>Discount Com</t>
  </si>
  <si>
    <t>Projector lamp</t>
  </si>
  <si>
    <t>Mobile</t>
  </si>
  <si>
    <t>Goodwill - Ballard</t>
  </si>
  <si>
    <t>Hats for Zach andJosh</t>
  </si>
  <si>
    <t>Ca</t>
  </si>
  <si>
    <t>826 Seattle</t>
  </si>
  <si>
    <t>Ezells Famous Chicken</t>
  </si>
  <si>
    <t>Garmin International</t>
  </si>
  <si>
    <t>Omelet</t>
  </si>
  <si>
    <t>Kids:Toys/From Receipt</t>
  </si>
  <si>
    <t>#Apps#</t>
  </si>
  <si>
    <t>National Parks Conservancy Association</t>
  </si>
  <si>
    <t>Business Expenses (Koolikai):Tools/9602:From Receipt</t>
  </si>
  <si>
    <t>10" Tongue in Groove plier (channel locks?)</t>
  </si>
  <si>
    <t>Business Expenses (Koolikai):Tools/From Receipt</t>
  </si>
  <si>
    <t>Groupon</t>
  </si>
  <si>
    <t>Bob Oates $200 for $155 deal</t>
  </si>
  <si>
    <t>Bob Oates Sewer &amp; Rooter</t>
  </si>
  <si>
    <t>Angela's Christmas sweatshirt</t>
  </si>
  <si>
    <t>Subscriptions &amp; Dues/Tax Related</t>
  </si>
  <si>
    <t>Shopping:Hobbies</t>
  </si>
  <si>
    <t>Gregg's Greenlake Cycle</t>
  </si>
  <si>
    <t>Retractable audio cable</t>
  </si>
  <si>
    <t>No receipt</t>
  </si>
  <si>
    <t>Hot cocoa</t>
  </si>
  <si>
    <t>Auto &amp; Transport:Parking/From Receipt</t>
  </si>
  <si>
    <t>Shopping:Books/From Receipt</t>
  </si>
  <si>
    <t>The Hi-life Restaurant</t>
  </si>
  <si>
    <t>Entertainment:Movies &amp; DVDs/From Receipt</t>
  </si>
  <si>
    <t>Chargepoint</t>
  </si>
  <si>
    <t>Vegetable tray</t>
  </si>
  <si>
    <t>Kids:Clothing/From Receipt</t>
  </si>
  <si>
    <t>Marble Run  28pc</t>
  </si>
  <si>
    <t>Kids:Kids Activities/From Receipt</t>
  </si>
  <si>
    <t>Letter trays, planner, stacking bins ($40.49 from return)</t>
  </si>
  <si>
    <t>Business Expenses (Koolikai):Office Expenses (Business)/From Receipt</t>
  </si>
  <si>
    <t>Parties/From Receipt</t>
  </si>
  <si>
    <t>Greenwood station</t>
  </si>
  <si>
    <t>Business Expenses (Koolikai):Postage and Delivery (Business)/From Receipt</t>
  </si>
  <si>
    <t>#Sheryl's wedding#</t>
  </si>
  <si>
    <t>Auto &amp; Transport:Service &amp; Parts/From Receipt</t>
  </si>
  <si>
    <t>Dinner at #Sheryl's wedding#</t>
  </si>
  <si>
    <t>Union 76 (San Bruno)</t>
  </si>
  <si>
    <t>Vacation:Transportation/From Receipt</t>
  </si>
  <si>
    <t>Gift for Madison</t>
  </si>
  <si>
    <t>Kidd Valley</t>
  </si>
  <si>
    <t>Osh Kosh</t>
  </si>
  <si>
    <t>Business Expenses (Koolikai):Supplies (Business)/From Receipt</t>
  </si>
  <si>
    <t>Health &amp; Fitness:Pharmacy/From Receipt</t>
  </si>
  <si>
    <t>Seattle Gymnastic Academy</t>
  </si>
  <si>
    <t>2011: SEATTLE GYMNASTIC COLU 02067087497 WA 98118 USA</t>
  </si>
  <si>
    <t>Pesos Seattle Wa</t>
  </si>
  <si>
    <t>Cash back credit entered manually</t>
  </si>
  <si>
    <t>Raceit Beat Blerc</t>
  </si>
  <si>
    <t>#Stay Fit# Beat the Blerch Run</t>
  </si>
  <si>
    <t>Taco Del Mar Greenwood Seattle W</t>
  </si>
  <si>
    <t>Esi Pharm Columbus 08002822881 O</t>
  </si>
  <si>
    <t>2011: DIAMOND PARKING A176 SEATTLE WA 98121 USA</t>
  </si>
  <si>
    <t>#Moran State Park#</t>
  </si>
  <si>
    <t>Hecho Seattle Wa</t>
  </si>
  <si>
    <t>2011: HECHO SEATTLE WA 98103 USA</t>
  </si>
  <si>
    <t>Scholastic</t>
  </si>
  <si>
    <t>2011: SCHOLASTIC BOOK FAIRS LAKE MARY FL 32746 USA</t>
  </si>
  <si>
    <t>Lifetouch</t>
  </si>
  <si>
    <t>School Pictures</t>
  </si>
  <si>
    <t>Office for Frank</t>
  </si>
  <si>
    <t>Federal Express</t>
  </si>
  <si>
    <t>2011: JERSEY'S GREAT FOOD AN SHORELINE WA 98133 USA</t>
  </si>
  <si>
    <t>Nissan</t>
  </si>
  <si>
    <t>Programming for replacement key fob</t>
  </si>
  <si>
    <t>Replacement key fob</t>
  </si>
  <si>
    <t>Blue tooth receiver</t>
  </si>
  <si>
    <t>2011: TWX*TIME MAGAZINE 800-843-TIME NY 10019 USA</t>
  </si>
  <si>
    <t>Josh Shoes</t>
  </si>
  <si>
    <t>2011: BRIGHT HORIZONS 6176738000 MA 02472 USA</t>
  </si>
  <si>
    <t>2011: VESTA *T-MOBILE 888-278-3397 OR 97223 USA</t>
  </si>
  <si>
    <t>2011: SAFEWAY STORE00014779 SEATTLE WA 98121 USA</t>
  </si>
  <si>
    <t>Clowns Unlimited</t>
  </si>
  <si>
    <t>Seattle Center bouncy house exhibition</t>
  </si>
  <si>
    <t>2011: BEACHCOMBER KIDS CUT SEATTLE WA 981030000 USA</t>
  </si>
  <si>
    <t>Seattle Repertory Theater</t>
  </si>
  <si>
    <t>Season tickets</t>
  </si>
  <si>
    <t>2011: HALES ALES LTD SEATTLE WA 981074538 USA</t>
  </si>
  <si>
    <t>Sct Box Office</t>
  </si>
  <si>
    <t>2011: SCT BOX OFFICE 206-4430807 WA 981094555 USA</t>
  </si>
  <si>
    <t>2011: BEEHIVE SALON SEATTLE WA 981036264 USA</t>
  </si>
  <si>
    <t>Hot wheels</t>
  </si>
  <si>
    <t>Battery for RAV</t>
  </si>
  <si>
    <t>2011: SUBWAY 00249680 SEATTLE WA 98101 USA</t>
  </si>
  <si>
    <t>Upgraded membership to get guest passes</t>
  </si>
  <si>
    <t>LR-44 Batteries</t>
  </si>
  <si>
    <t>Napa Farms</t>
  </si>
  <si>
    <t>#Group meeting Spring# Meal at airport</t>
  </si>
  <si>
    <t>#Group meeting Spring# Parking for group meeting</t>
  </si>
  <si>
    <t>Bigtentgroups Ma Bigtentgroups</t>
  </si>
  <si>
    <t>SFOM membership fee</t>
  </si>
  <si>
    <t>2011: FRED-MEYER #0023 BELLEVUE WA 98007 USA</t>
  </si>
  <si>
    <t>2011: NETFLIX.COM NETFLIX.COM CA 95032 USA</t>
  </si>
  <si>
    <t>Stockwell Associat Lynnwood</t>
  </si>
  <si>
    <t>2011: STOCKWELL AND ASSOCIAT LYNNWOOD WA 98036 USA</t>
  </si>
  <si>
    <t>Mother's Day Card</t>
  </si>
  <si>
    <t>Sunglasses</t>
  </si>
  <si>
    <t>Coldplay Ghost Stories</t>
  </si>
  <si>
    <t>Entertainment:Music</t>
  </si>
  <si>
    <t>#Stay Fit# Bike tune up on Angela's bike</t>
  </si>
  <si>
    <t>#Stay Fit# Bike mirror</t>
  </si>
  <si>
    <t>#Stay Fit# Shoes and Inserts</t>
  </si>
  <si>
    <t>Seasonal VLM... no idea what t</t>
  </si>
  <si>
    <t>Seasonal VLM... no idea what this is</t>
  </si>
  <si>
    <t>Teacher appreciation gifts</t>
  </si>
  <si>
    <t>Sq Sustudio Jewelry</t>
  </si>
  <si>
    <t>Earings at the street fair</t>
  </si>
  <si>
    <t>Bubble guns</t>
  </si>
  <si>
    <t>Swedish Cent Bus</t>
  </si>
  <si>
    <t>2011: SWEDISH CENT BUS SVCS 206-3204476 WA 981011176 USA</t>
  </si>
  <si>
    <t>#Seaquest#</t>
  </si>
  <si>
    <t>#Mt. Rainier 2014# Scenic railroad</t>
  </si>
  <si>
    <t>Mount Rainier Scenic</t>
  </si>
  <si>
    <t>#Mt. Rainier 2014# scenic railroad</t>
  </si>
  <si>
    <t>Nw Railway Museum</t>
  </si>
  <si>
    <t>Snoqualamie Train Ride</t>
  </si>
  <si>
    <t>Chest of drawers</t>
  </si>
  <si>
    <t>Projects:Boy's Room/From Receipt</t>
  </si>
  <si>
    <t>Night stand</t>
  </si>
  <si>
    <t>Train track adaptors</t>
  </si>
  <si>
    <t>Mattress protectors</t>
  </si>
  <si>
    <t>Take a walk, 3rd ed</t>
  </si>
  <si>
    <t>Cars Magic Ink book</t>
  </si>
  <si>
    <t>Train track pack</t>
  </si>
  <si>
    <t>Soccer ball pillow</t>
  </si>
  <si>
    <t>240Gb SSD</t>
  </si>
  <si>
    <t>Shopping:Electronics &amp; Software/From Receipt</t>
  </si>
  <si>
    <t>Headboard</t>
  </si>
  <si>
    <t>Bed</t>
  </si>
  <si>
    <t>Mattress</t>
  </si>
  <si>
    <t>2011: DSW 00999953 COLUMBUS OH 43219 USA</t>
  </si>
  <si>
    <t>2011: CAPITAL ONE AUTOPAY PYMT AuthDate 05-MAY</t>
  </si>
  <si>
    <t>Paint roller covers</t>
  </si>
  <si>
    <t>Painting roller covers</t>
  </si>
  <si>
    <t>Sunscreen #Scottsdale 2014#</t>
  </si>
  <si>
    <t>Vacation:Other/From Receipt</t>
  </si>
  <si>
    <t>Zoo membership</t>
  </si>
  <si>
    <t>Runners World</t>
  </si>
  <si>
    <t>Prescription #0834713</t>
  </si>
  <si>
    <t>Baby shampoo</t>
  </si>
  <si>
    <t>Bulk miniatures, pirate ship stickers, beach stickers</t>
  </si>
  <si>
    <t>Childish Things</t>
  </si>
  <si>
    <t>#Scottsdale 2014# Sun hats</t>
  </si>
  <si>
    <t>DVD</t>
  </si>
  <si>
    <t>Punchcard</t>
  </si>
  <si>
    <t>Mickey and Friends play set</t>
  </si>
  <si>
    <t>Leaf</t>
  </si>
  <si>
    <t>Highlights</t>
  </si>
  <si>
    <t>2011: HIGHLIGHTS FOR CHILDRE 800-255-9517 OH 43215 USA</t>
  </si>
  <si>
    <t>K 1 Speed</t>
  </si>
  <si>
    <t>Act City Mesaactnet</t>
  </si>
  <si>
    <t>#Scottsdale 2014# Dinosaur museum</t>
  </si>
  <si>
    <t>Play Factory</t>
  </si>
  <si>
    <t>#Scottsdale 2014#  Play factory (climbing wall, play area)</t>
  </si>
  <si>
    <t>#Scottsdale 2014# Bag fee</t>
  </si>
  <si>
    <t>Groupon for Remlinger Farms</t>
  </si>
  <si>
    <t>Returned sharpening steel</t>
  </si>
  <si>
    <t>#Scottsdale 2014# Plane food</t>
  </si>
  <si>
    <t>2011: GYMBOREE 507350050731 TULALIP WA 98271 USA</t>
  </si>
  <si>
    <t>2011: ANN TAYLOR LOFT #2955 TULALIP WA 98271 USA</t>
  </si>
  <si>
    <t>2011: ANN TAYLOR FACTORY #12 TULALIP WA 98271 USA</t>
  </si>
  <si>
    <t>2011: JOCKEY SEATTLE WA TULALIP WA 98271 USA</t>
  </si>
  <si>
    <t>Newegg</t>
  </si>
  <si>
    <t>Network cable</t>
  </si>
  <si>
    <t>Swirl Wine Bar</t>
  </si>
  <si>
    <t>2011: SWIRL SEATTLE WA 98155 USA</t>
  </si>
  <si>
    <t>Honey Bear Bakery</t>
  </si>
  <si>
    <t>2011: HONEY BEAR BAKERY LAKE FOREST P WA 98155 USA</t>
  </si>
  <si>
    <t>CAT5E Data Port Expansion</t>
  </si>
  <si>
    <t>Prime membership</t>
  </si>
  <si>
    <t>Smoke detector</t>
  </si>
  <si>
    <t>2011: CAPITAL ONE AUTOPAY PYMT AuthDate 06-JUN</t>
  </si>
  <si>
    <t>2011: THAI SIAM RESTAURANT SEATTLE WA 98117 USA</t>
  </si>
  <si>
    <t>Lancer</t>
  </si>
  <si>
    <t>Quesedillas at Woodland Park Zoo</t>
  </si>
  <si>
    <t>Martino's</t>
  </si>
  <si>
    <t>2011: MARTINO'S SEATTLE WA 98103 USA</t>
  </si>
  <si>
    <t>4D Pump... returned for gift c</t>
  </si>
  <si>
    <t>Office conversion (grommit for cables, shelf supports, etc)</t>
  </si>
  <si>
    <t>Naked City Brewery</t>
  </si>
  <si>
    <t>2011: NAKED CITY BREWERY SEATTLE WA 98103 USA</t>
  </si>
  <si>
    <t>Silverlake Visitor Ctr</t>
  </si>
  <si>
    <t>#Mt. St. Helens# Visitor's center</t>
  </si>
  <si>
    <t>2011: SUBWAY 00525212 KIRKLAND WA 98033 USA</t>
  </si>
  <si>
    <t>Bakker's Fine Dry Cleaning</t>
  </si>
  <si>
    <t>2011: BAKKER'S FINE DRYCLEAN SEATTLE WA 98103 USA</t>
  </si>
  <si>
    <t>Alexanders Country Inn</t>
  </si>
  <si>
    <t>House keys</t>
  </si>
  <si>
    <t>Good Go Internet</t>
  </si>
  <si>
    <t>2011: GOOD2GO-INTERNET 08669368246 WA 98105 USA</t>
  </si>
  <si>
    <t>The Grape Choice</t>
  </si>
  <si>
    <t>2011: THE GRAPE CHOICE KIRKLAND WA 98033 USA</t>
  </si>
  <si>
    <t>City Of Kirkland - Parking</t>
  </si>
  <si>
    <t>2011: CITY KIRKLAND PARKING KIRKLAND WA 98033 USA</t>
  </si>
  <si>
    <t>Zig Zag Cafe</t>
  </si>
  <si>
    <t>2011: ZIG ZAG CAFE SEATTLE WA 98101 USA</t>
  </si>
  <si>
    <t>Sunscreen</t>
  </si>
  <si>
    <t>2011: MCDONALD'S F459 SEATTLE WA 98107 USA</t>
  </si>
  <si>
    <t>Mesh stacking letter trays</t>
  </si>
  <si>
    <t>Gladware</t>
  </si>
  <si>
    <t>#Sedona#</t>
  </si>
  <si>
    <t>Eastside Ski Sport</t>
  </si>
  <si>
    <t>#Stay Fit# Bike repairs</t>
  </si>
  <si>
    <t>2011: POQUITOS SEATTLE WA 98122 USA</t>
  </si>
  <si>
    <t>Southwest Inn At Sedona</t>
  </si>
  <si>
    <t>Sprinkler</t>
  </si>
  <si>
    <t>Smoke alarm, tape measures, hole cover</t>
  </si>
  <si>
    <t>Lucianos Pizza &amp; Pasta</t>
  </si>
  <si>
    <t>2011: LUCIANOS PIZZA AND PAS SEATTLE WA 98116 USA</t>
  </si>
  <si>
    <t>Drawing pad and notebooks</t>
  </si>
  <si>
    <t>2011: MOD SUPERFAST PIZZA - SEATTLE WA 98109 USA</t>
  </si>
  <si>
    <t>Glow sticks</t>
  </si>
  <si>
    <t>Camping fuel #Kalaloch 2014#</t>
  </si>
  <si>
    <t>2011: CAPITAL ONE AUTOPAY PYMT AuthDate 06-JUL</t>
  </si>
  <si>
    <t>J Aime Les Crepes</t>
  </si>
  <si>
    <t>2011: J'AIME LES CREPES KINGSTON WA 98346 USA</t>
  </si>
  <si>
    <t>Wsferries Ed Seattle</t>
  </si>
  <si>
    <t>2011: WSFERRIES-ED 888087971 SEATTLE WA 98121 USA</t>
  </si>
  <si>
    <t>2011: COMCAST CABLE COMM 800-COMCAST WA 98087 USA</t>
  </si>
  <si>
    <t>Volterra</t>
  </si>
  <si>
    <t>2011: VOLTERRA SEATTLE WA 98107 USA</t>
  </si>
  <si>
    <t>Camping toaster and griddle</t>
  </si>
  <si>
    <t>2011: Groundspeak Membership 866-436-2224 WA 98103 USA</t>
  </si>
  <si>
    <t>Camping lantern</t>
  </si>
  <si>
    <t>Barrio</t>
  </si>
  <si>
    <t>Mini biners and mantel</t>
  </si>
  <si>
    <t>Water gun</t>
  </si>
  <si>
    <t>Air pump</t>
  </si>
  <si>
    <t>Batteries</t>
  </si>
  <si>
    <t>National MS Society</t>
  </si>
  <si>
    <t>Swimming lessons for Zach and Josh</t>
  </si>
  <si>
    <t>Parts Express</t>
  </si>
  <si>
    <t>Arduino kit</t>
  </si>
  <si>
    <t>Dragonfish Asian Cafe</t>
  </si>
  <si>
    <t>Seattle Shakespeare</t>
  </si>
  <si>
    <t>Twelfth night</t>
  </si>
  <si>
    <t>Impark</t>
  </si>
  <si>
    <t>Imagine Children Mus</t>
  </si>
  <si>
    <t>Bouncy lights</t>
  </si>
  <si>
    <t>Dairy Queen</t>
  </si>
  <si>
    <t>Spartas Pizza</t>
  </si>
  <si>
    <t>Returned 10 year smoke alarm</t>
  </si>
  <si>
    <t>Distance sensor</t>
  </si>
  <si>
    <t>Multimeter</t>
  </si>
  <si>
    <t>Garage repairs at 7231</t>
  </si>
  <si>
    <t>#CRAB Breakfast# Bagels, juice</t>
  </si>
  <si>
    <t>Pencil box</t>
  </si>
  <si>
    <t>Amazon Services Kindle</t>
  </si>
  <si>
    <t>Accidental purchase of arduino book on Kindle</t>
  </si>
  <si>
    <t>Returned unnecessary items for roof repair</t>
  </si>
  <si>
    <t>Bathroom Sink repairs at 7231</t>
  </si>
  <si>
    <t>Wsferries Anacortes</t>
  </si>
  <si>
    <t>#Orcas Island 2014#</t>
  </si>
  <si>
    <t>Orcas Landing Hotel</t>
  </si>
  <si>
    <t>Vacation:Lodging/From Receipt</t>
  </si>
  <si>
    <t>Landmark</t>
  </si>
  <si>
    <t>Ice  #Orcas Island 2014#</t>
  </si>
  <si>
    <t>Sq Orcas Adventure</t>
  </si>
  <si>
    <t>#Kalaloch 2014# Camping fuel</t>
  </si>
  <si>
    <t>Ferry Food People</t>
  </si>
  <si>
    <t>Northwest Trek</t>
  </si>
  <si>
    <t>Nw Trek Wildlife</t>
  </si>
  <si>
    <t>Shift registers</t>
  </si>
  <si>
    <t>Mount Rainier Nisq</t>
  </si>
  <si>
    <t>Copper Creek Inn</t>
  </si>
  <si>
    <t>Jackson Visitors Center</t>
  </si>
  <si>
    <t>#Mt. Rainier 2014# T-Shirts</t>
  </si>
  <si>
    <t>Vacation:Trinkets/From Receipt</t>
  </si>
  <si>
    <t>Jackson Vision</t>
  </si>
  <si>
    <t>Pizza Express</t>
  </si>
  <si>
    <t>Hallmark</t>
  </si>
  <si>
    <t>Jimmy John's</t>
  </si>
  <si>
    <t>Card holder</t>
  </si>
  <si>
    <t>Cards</t>
  </si>
  <si>
    <t>Blk Pancan</t>
  </si>
  <si>
    <t>Molly Moon</t>
  </si>
  <si>
    <t>Seattle Rep Ticketing</t>
  </si>
  <si>
    <t>Upcharge for ticket exchange</t>
  </si>
  <si>
    <t>Bastille Cafe Bar</t>
  </si>
  <si>
    <t>Ballard Mkt Thrift</t>
  </si>
  <si>
    <t>Returned conduit</t>
  </si>
  <si>
    <t>Bright Horizons Back</t>
  </si>
  <si>
    <t>Canyons Redmond</t>
  </si>
  <si>
    <t>Virginia Mason Visual</t>
  </si>
  <si>
    <t>Angela's contacts</t>
  </si>
  <si>
    <t>Seattle Public Libraries</t>
  </si>
  <si>
    <t>Book fair</t>
  </si>
  <si>
    <t>Pies &amp; Pints</t>
  </si>
  <si>
    <t>Marcoe Candy Company</t>
  </si>
  <si>
    <t>Food at the fair</t>
  </si>
  <si>
    <t>Puyallup Fair - Rides</t>
  </si>
  <si>
    <t>Puyallup Fair - Tickets</t>
  </si>
  <si>
    <t>Remlinger Farms</t>
  </si>
  <si>
    <t>Phinney Neighborhood Association</t>
  </si>
  <si>
    <t>Sq Hallava Falafel</t>
  </si>
  <si>
    <t>Food truck at Microsoft</t>
  </si>
  <si>
    <t>Adjustment</t>
  </si>
  <si>
    <t>Misc Expenses:Fraud</t>
  </si>
  <si>
    <t>Coles</t>
  </si>
  <si>
    <t>Woolworths</t>
  </si>
  <si>
    <t>Big W</t>
  </si>
  <si>
    <t>Kmart</t>
  </si>
  <si>
    <t>Liquorland</t>
  </si>
  <si>
    <t>Swimming goggles</t>
  </si>
  <si>
    <t>Propane #Kalaloch 2015#</t>
  </si>
  <si>
    <t>Lantern globe</t>
  </si>
  <si>
    <t>Tod boy 4-1</t>
  </si>
  <si>
    <t>Tod girl 4-1</t>
  </si>
  <si>
    <t>2x Slippers for boys</t>
  </si>
  <si>
    <t>California Pizza Kitchen</t>
  </si>
  <si>
    <t>#Stay Fit# Ang's shoe inserts</t>
  </si>
  <si>
    <t>Virgin America</t>
  </si>
  <si>
    <t>#Disneyland 2014#</t>
  </si>
  <si>
    <t>Aerovironment</t>
  </si>
  <si>
    <t>Subscription for DC Fast chargers</t>
  </si>
  <si>
    <t>Feliz Navidad Sedona</t>
  </si>
  <si>
    <t>#Sedona# Prickly pear cactus</t>
  </si>
  <si>
    <t>Rincon Del Tlaquepaque</t>
  </si>
  <si>
    <t>Heartline Cafe</t>
  </si>
  <si>
    <t>Hilltop Restaurant</t>
  </si>
  <si>
    <t>Oak Creek Market</t>
  </si>
  <si>
    <t>Kokopelli Dreams</t>
  </si>
  <si>
    <t>Zonies Galleria</t>
  </si>
  <si>
    <t>Tumbleweed Willie</t>
  </si>
  <si>
    <t>Golden Goose Cafe</t>
  </si>
  <si>
    <t>Creekside Restaurant</t>
  </si>
  <si>
    <t>Dahl Diluca Ristoran</t>
  </si>
  <si>
    <t>Sedonas New Day</t>
  </si>
  <si>
    <t>#Sedona# Spa</t>
  </si>
  <si>
    <t>Vacation:Activities/From Receipt</t>
  </si>
  <si>
    <t>#Sedona#Hat for hiking in the rain.</t>
  </si>
  <si>
    <t>Eisenart Innovations</t>
  </si>
  <si>
    <t>Elote Cafe</t>
  </si>
  <si>
    <t>Sq Mobile Mayan</t>
  </si>
  <si>
    <t>Circle K</t>
  </si>
  <si>
    <t>Shuttlepark</t>
  </si>
  <si>
    <t>Slurpees</t>
  </si>
  <si>
    <t>Great Steak &amp; Potato Company</t>
  </si>
  <si>
    <t>Children's Place</t>
  </si>
  <si>
    <t>Coats for Zach and Josh</t>
  </si>
  <si>
    <t>Goodwill</t>
  </si>
  <si>
    <t>Haloween costumes</t>
  </si>
  <si>
    <t>Cotton balls for costume</t>
  </si>
  <si>
    <t>Bob's Corn Maze</t>
  </si>
  <si>
    <t>Personal Care:Beauty &amp; Makeup/From Receipt</t>
  </si>
  <si>
    <t>Ventra Vending</t>
  </si>
  <si>
    <t>Corner Bakery</t>
  </si>
  <si>
    <t>Ice Bar L</t>
  </si>
  <si>
    <t>Glue for costumes</t>
  </si>
  <si>
    <t>Cotton for costumes</t>
  </si>
  <si>
    <t>Boots</t>
  </si>
  <si>
    <t>Swimming lessons for Zach</t>
  </si>
  <si>
    <t>umbrella</t>
  </si>
  <si>
    <t>Wa Parksreservationswe</t>
  </si>
  <si>
    <t>#Orcas Island 2015#</t>
  </si>
  <si>
    <t>Sq Parfait Ice</t>
  </si>
  <si>
    <t>Ice cream with Pierre and Jesse</t>
  </si>
  <si>
    <t>Nurturing Knowledge Sc</t>
  </si>
  <si>
    <t>Kids:School Fees</t>
  </si>
  <si>
    <t>Change fee for swimming lessons</t>
  </si>
  <si>
    <t>October</t>
  </si>
  <si>
    <t>Bill says $9.50 late fee and $</t>
  </si>
  <si>
    <t>Pacific Coast Shell</t>
  </si>
  <si>
    <t>Hales Ales</t>
  </si>
  <si>
    <t>Calendar and receipt holder</t>
  </si>
  <si>
    <t>Toulouse Petit Kitchen</t>
  </si>
  <si>
    <t>Little learning house</t>
  </si>
  <si>
    <t>Sq Monkeys Toys</t>
  </si>
  <si>
    <t>Kabob Corner Greek</t>
  </si>
  <si>
    <t>Dinner after Dick Whittington and his cat</t>
  </si>
  <si>
    <t>Skillet Counter</t>
  </si>
  <si>
    <t>Refund for extra month's charge</t>
  </si>
  <si>
    <t>Larsen Original Bake</t>
  </si>
  <si>
    <t>Includes some for Thanksgiving</t>
  </si>
  <si>
    <t>Projects:Appliances/From Receipt</t>
  </si>
  <si>
    <t>Flashlights for the boys</t>
  </si>
  <si>
    <t>Dryer fitting</t>
  </si>
  <si>
    <t>Disney</t>
  </si>
  <si>
    <t>#Disneyland 2014#Park hopper passes</t>
  </si>
  <si>
    <t>Proxabrush</t>
  </si>
  <si>
    <t>Peterson sleep over</t>
  </si>
  <si>
    <t>Angela's Birthday present</t>
  </si>
  <si>
    <t>Mimi's Cafe</t>
  </si>
  <si>
    <t>Emporium Dl</t>
  </si>
  <si>
    <t>#Disneyland 2014# For work</t>
  </si>
  <si>
    <t>Pizza Press</t>
  </si>
  <si>
    <t>#Disneyland 2014#Ponchos</t>
  </si>
  <si>
    <t>Ihop</t>
  </si>
  <si>
    <t>Refund of convenience charge a</t>
  </si>
  <si>
    <t>Need to go refigure charges fr</t>
  </si>
  <si>
    <t>City Of Mountlake Terrace</t>
  </si>
  <si>
    <t>#SFOM Pool Party#</t>
  </si>
  <si>
    <t>Award Wieners Dca</t>
  </si>
  <si>
    <t>Tortilla Jos</t>
  </si>
  <si>
    <t>Toontown Dl</t>
  </si>
  <si>
    <t>Popcorn Tomorrowl</t>
  </si>
  <si>
    <t>#Disneyland 2014# Popcorn</t>
  </si>
  <si>
    <t>Tiki Juice Bar</t>
  </si>
  <si>
    <t>La Brea Y</t>
  </si>
  <si>
    <t>#Disneyland 2014# Shirt?</t>
  </si>
  <si>
    <t>#Disneyland 2014# Stuffies</t>
  </si>
  <si>
    <t>Riverbelle Terrace</t>
  </si>
  <si>
    <t>#Disneyland 2014# Breakfast</t>
  </si>
  <si>
    <t>Naples Ristorante</t>
  </si>
  <si>
    <t>Howard Johnson</t>
  </si>
  <si>
    <t>Etsy Com</t>
  </si>
  <si>
    <t>Whlelfeyoga</t>
  </si>
  <si>
    <t>#Stay Fit#</t>
  </si>
  <si>
    <t>FitBit</t>
  </si>
  <si>
    <t>Book for Tony</t>
  </si>
  <si>
    <t>Jcpenney</t>
  </si>
  <si>
    <t>Brookstone</t>
  </si>
  <si>
    <t>Fitbit band</t>
  </si>
  <si>
    <t>Seahawks blanket</t>
  </si>
  <si>
    <t>Sherlock</t>
  </si>
  <si>
    <t>Magnetic letters for boys</t>
  </si>
  <si>
    <t>Frosty the snowman book</t>
  </si>
  <si>
    <t>Hi Life</t>
  </si>
  <si>
    <t>Dot to dot book</t>
  </si>
  <si>
    <t>Frosty the snowman returns</t>
  </si>
  <si>
    <t>Christmas light supplies</t>
  </si>
  <si>
    <t>Christmas Tree decorations</t>
  </si>
  <si>
    <t>Stoneway Hardware</t>
  </si>
  <si>
    <t>Fofritzing</t>
  </si>
  <si>
    <t>Fritzing software</t>
  </si>
  <si>
    <t>Giving tree at CDC</t>
  </si>
  <si>
    <t>Charity:Charity (Cash)/From Receipt</t>
  </si>
  <si>
    <t>Medical playset</t>
  </si>
  <si>
    <t>Stuffies, books, and pencils</t>
  </si>
  <si>
    <t>Videos and stuffies</t>
  </si>
  <si>
    <t>Fireworks Cen</t>
  </si>
  <si>
    <t>Marbles Brain Stor</t>
  </si>
  <si>
    <t>Foot massager for Angela</t>
  </si>
  <si>
    <t>Blue Water Taco</t>
  </si>
  <si>
    <t>Microscope</t>
  </si>
  <si>
    <t>Bath toys</t>
  </si>
  <si>
    <t>Pirate ship</t>
  </si>
  <si>
    <t>Mt. St. Helens Video</t>
  </si>
  <si>
    <t>Angela's Christmas present</t>
  </si>
  <si>
    <t>Oil pan for magnets</t>
  </si>
  <si>
    <t>Specialty coffees</t>
  </si>
  <si>
    <t>Movies with Diz - InterStellar</t>
  </si>
  <si>
    <t>Pie Center</t>
  </si>
  <si>
    <t>Christmas pictures</t>
  </si>
  <si>
    <t>Includes Christmas treats and stocking stuffers</t>
  </si>
  <si>
    <t>Qfc</t>
  </si>
  <si>
    <t>Quincy</t>
  </si>
  <si>
    <t>Childrens Museum</t>
  </si>
  <si>
    <t>Rosauers Supermarket</t>
  </si>
  <si>
    <t>#Spokane 2014#</t>
  </si>
  <si>
    <t>Blusterys Burger D</t>
  </si>
  <si>
    <t>#Smith Christmas#</t>
  </si>
  <si>
    <t>Vehicle Emissions #4</t>
  </si>
  <si>
    <t>Emissions Test</t>
  </si>
  <si>
    <t>TXFR</t>
  </si>
  <si>
    <t>Recreation.Gov Ballston Spa Ny</t>
  </si>
  <si>
    <t>Balance Refund Jcgprdid</t>
  </si>
  <si>
    <t>Received as a check</t>
  </si>
  <si>
    <t>Bronner's soap</t>
  </si>
  <si>
    <t>Key ring</t>
  </si>
  <si>
    <t>Cell phone case for Kurt</t>
  </si>
  <si>
    <t>eQua Hand Towel</t>
  </si>
  <si>
    <t>Piano, guitar, and other misc toys</t>
  </si>
  <si>
    <t>fans</t>
  </si>
  <si>
    <t>Grammy CD</t>
  </si>
  <si>
    <t>vacuum cleaner</t>
  </si>
  <si>
    <t>Business Expenses (Koolikai):Tools/From Receipt:Tax Related</t>
  </si>
  <si>
    <t>Shorts and clothes for Scottsd</t>
  </si>
  <si>
    <t>Father's day cards</t>
  </si>
  <si>
    <t>Water guns</t>
  </si>
  <si>
    <t>Food Avenue</t>
  </si>
  <si>
    <t>#Scottsdale 2014#Pool floats,</t>
  </si>
  <si>
    <t>#Scottsdale 2014#Glasses and p</t>
  </si>
  <si>
    <t>Return of pool vests #Scottsdale 2014#</t>
  </si>
  <si>
    <t>#Stay Fit# Return of bike lock</t>
  </si>
  <si>
    <t>Sheets for boys room</t>
  </si>
  <si>
    <t>Birthday card</t>
  </si>
  <si>
    <t>Central Checkout Northg</t>
  </si>
  <si>
    <t>#Disneyland 2014# Toys for trip</t>
  </si>
  <si>
    <t>Settlers of Catan</t>
  </si>
  <si>
    <t>XIn</t>
  </si>
  <si>
    <t>c</t>
  </si>
  <si>
    <t>CASH DIV ON 120 AT $.24 PER SHARE</t>
  </si>
  <si>
    <t>Div</t>
  </si>
  <si>
    <t>[Edward Jones - Roth IRA]</t>
  </si>
  <si>
    <t>25.262 shares added to account</t>
  </si>
  <si>
    <t>ShrsIn</t>
  </si>
  <si>
    <t>108.118 shares added to account</t>
  </si>
  <si>
    <t>ReinvDiv</t>
  </si>
  <si>
    <t>0.274 shares added to account</t>
  </si>
  <si>
    <t>ReinvLg</t>
  </si>
  <si>
    <t>Tags</t>
  </si>
  <si>
    <t>SubCat1</t>
  </si>
  <si>
    <t>SubCat2</t>
  </si>
  <si>
    <t>SubCat3</t>
  </si>
  <si>
    <t>SubCat4</t>
  </si>
  <si>
    <t>Local_Tags1</t>
  </si>
  <si>
    <t>Local_Tags2</t>
  </si>
  <si>
    <t>Month</t>
  </si>
  <si>
    <t>Year</t>
  </si>
  <si>
    <t>Concat</t>
  </si>
  <si>
    <t>Deposit--Shared Branch Mobile Deposit</t>
  </si>
  <si>
    <t>Cash refund appli</t>
  </si>
  <si>
    <t>Rent</t>
  </si>
  <si>
    <t>Security Deposit</t>
  </si>
  <si>
    <t>Utilities</t>
  </si>
  <si>
    <t>Daycare</t>
  </si>
  <si>
    <t>Fed</t>
  </si>
  <si>
    <t>Dentist</t>
  </si>
  <si>
    <t>Mortgage (Business)</t>
  </si>
  <si>
    <t>Mortgage</t>
  </si>
  <si>
    <t>Babysitter</t>
  </si>
  <si>
    <t>Home Services</t>
  </si>
  <si>
    <t>Insurance (Umbrella)</t>
  </si>
  <si>
    <t>Restaurants</t>
  </si>
  <si>
    <t>Community Education</t>
  </si>
  <si>
    <t>Cell Phone</t>
  </si>
  <si>
    <t>American Funds 529A</t>
  </si>
  <si>
    <t>Electronics &amp; Software</t>
  </si>
  <si>
    <t>Financial Advisor</t>
  </si>
  <si>
    <t>Toys</t>
  </si>
  <si>
    <t>Clothing</t>
  </si>
  <si>
    <t>Other</t>
  </si>
  <si>
    <t>Reimbursement</t>
  </si>
  <si>
    <t>Lodging</t>
  </si>
  <si>
    <t>Life Insurance</t>
  </si>
  <si>
    <t>Bank Fee</t>
  </si>
  <si>
    <t>Landscaping</t>
  </si>
  <si>
    <t>Auto Lease Payment</t>
  </si>
  <si>
    <t>Sports</t>
  </si>
  <si>
    <t>Furnishings</t>
  </si>
  <si>
    <t>Charity (Cash)</t>
  </si>
  <si>
    <t>Postage and Delivery (Business)</t>
  </si>
  <si>
    <t>Doctor</t>
  </si>
  <si>
    <t>From Receipt</t>
  </si>
  <si>
    <t>Fence</t>
  </si>
  <si>
    <t>Appliances</t>
  </si>
  <si>
    <t>Office Expenses (Business)</t>
  </si>
  <si>
    <t>From Receipt:Tax Related</t>
  </si>
  <si>
    <t>Kids Activities</t>
  </si>
  <si>
    <t>Mobile Phone</t>
  </si>
  <si>
    <t>Eyecare</t>
  </si>
  <si>
    <t>Utilities (Business)</t>
  </si>
  <si>
    <t>Repairs</t>
  </si>
  <si>
    <t>9602:From Receipt</t>
  </si>
  <si>
    <t>7231:From Receipt</t>
  </si>
  <si>
    <t>ATM Fee</t>
  </si>
  <si>
    <t>Hair</t>
  </si>
  <si>
    <t>Food</t>
  </si>
  <si>
    <t>Hobbies</t>
  </si>
  <si>
    <t>Camping Equipment</t>
  </si>
  <si>
    <t>Activities</t>
  </si>
  <si>
    <t>Gas &amp; Fuel</t>
  </si>
  <si>
    <t>Beauty &amp; Makeup</t>
  </si>
  <si>
    <t>Transportation</t>
  </si>
  <si>
    <t>Spa &amp; Massage</t>
  </si>
  <si>
    <t>Tools</t>
  </si>
  <si>
    <t>Reimbursable expense</t>
  </si>
  <si>
    <t>Home Improvement</t>
  </si>
  <si>
    <t>Accessories</t>
  </si>
  <si>
    <t>Movies &amp; DVDs</t>
  </si>
  <si>
    <t>Parking</t>
  </si>
  <si>
    <t>Auto Insurance</t>
  </si>
  <si>
    <t>Taxes (Business)</t>
  </si>
  <si>
    <t>Supplies (Business)</t>
  </si>
  <si>
    <t>Television</t>
  </si>
  <si>
    <t>Internet</t>
  </si>
  <si>
    <t>Home Phone</t>
  </si>
  <si>
    <t>Driver's License</t>
  </si>
  <si>
    <t>Tolls</t>
  </si>
  <si>
    <t>Service &amp; Parts</t>
  </si>
  <si>
    <t>Miscellaneous</t>
  </si>
  <si>
    <t>Registration</t>
  </si>
  <si>
    <t>Trinkets</t>
  </si>
  <si>
    <t>Prof and Legal Fees</t>
  </si>
  <si>
    <t>Electric Car Setup</t>
  </si>
  <si>
    <t>Pharmacy</t>
  </si>
  <si>
    <t>Music</t>
  </si>
  <si>
    <t>Boy's Room</t>
  </si>
  <si>
    <t>Misc Expenses</t>
  </si>
  <si>
    <t>Fraud</t>
  </si>
  <si>
    <t>School Fees</t>
  </si>
  <si>
    <t>Group meeting Spring</t>
  </si>
  <si>
    <t>Go Cart Racing</t>
  </si>
  <si>
    <t>Stay Fit</t>
  </si>
  <si>
    <t>Cash Payment for keycard</t>
  </si>
  <si>
    <t>Group Meeting Fall</t>
  </si>
  <si>
    <t>Scottsdale 2014</t>
  </si>
  <si>
    <t>Mt. St. Helens</t>
  </si>
  <si>
    <t>Deception Pass 2014</t>
  </si>
  <si>
    <t>Mt. Rainier 2014</t>
  </si>
  <si>
    <t>Apps</t>
  </si>
  <si>
    <t>Sheryl's wedding</t>
  </si>
  <si>
    <t>Family Reunion</t>
  </si>
  <si>
    <t>Moran State Park</t>
  </si>
  <si>
    <t>Seaquest</t>
  </si>
  <si>
    <t>Sedona</t>
  </si>
  <si>
    <t>Kalaloch 2014</t>
  </si>
  <si>
    <t>CRAB Breakfast</t>
  </si>
  <si>
    <t>Orcas Island 2014</t>
  </si>
  <si>
    <t>Kalaloch 2015</t>
  </si>
  <si>
    <t>Disneyland 2014</t>
  </si>
  <si>
    <t>Orcas Island 2015</t>
  </si>
  <si>
    <t>SFOM Pool Party</t>
  </si>
  <si>
    <t>Spokane 2014</t>
  </si>
  <si>
    <t>Smith Christmas</t>
  </si>
  <si>
    <t>Books &amp; Supplies</t>
  </si>
  <si>
    <t>Laundry</t>
  </si>
  <si>
    <t>Sporting Goods</t>
  </si>
  <si>
    <t>Row Labels</t>
  </si>
  <si>
    <t>(blank)</t>
  </si>
  <si>
    <t>Grand Total</t>
  </si>
  <si>
    <t>Column Labels</t>
  </si>
  <si>
    <t>2014 Total</t>
  </si>
  <si>
    <t>Budget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</si>
  <si>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</si>
  <si>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</si>
  <si>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</si>
  <si>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</si>
  <si>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</si>
  <si>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</si>
  <si>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</si>
  <si>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</si>
  <si>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</si>
  <si>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</si>
  <si>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</si>
  <si>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</si>
  <si>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(All)</t>
  </si>
  <si>
    <t>Sum of Amount</t>
  </si>
  <si>
    <t>(Multiple Items)</t>
  </si>
  <si>
    <t>Last Balanced</t>
  </si>
  <si>
    <t>Last Amount</t>
  </si>
  <si>
    <t>@CAT:</t>
  </si>
  <si>
    <t>UWMC ONLINE BILL PAY 206-5981950 WA 98195 USA</t>
  </si>
  <si>
    <t>2011: PAYPAL *THISTLETHEA</t>
  </si>
  <si>
    <t>CAT:@</t>
  </si>
  <si>
    <t>Valentines for the boys;</t>
  </si>
  <si>
    <t>Last Categorized</t>
  </si>
  <si>
    <t>Map</t>
  </si>
  <si>
    <t>Smoke and CO detectors</t>
  </si>
  <si>
    <t>Puppet show</t>
  </si>
  <si>
    <t>#Stay Fit# Running watch</t>
  </si>
  <si>
    <t>Kangaroo &amp; Kiwi (exp 1/31/15)</t>
  </si>
  <si>
    <t>;</t>
  </si>
  <si>
    <t>Cat5E expansion board (returned)</t>
  </si>
  <si>
    <t>June rent</t>
  </si>
  <si>
    <t>;@BAL:53225.77</t>
  </si>
  <si>
    <t>2011: CREDIT-CASH BACK REWARD;</t>
  </si>
  <si>
    <t>Projects|Appliances</t>
  </si>
  <si>
    <t>Projects|Boy's Room</t>
  </si>
  <si>
    <t>Projects|Fence</t>
  </si>
  <si>
    <t>Work Expense|Reimbursable expense</t>
  </si>
  <si>
    <t>#SFOM Spring Sale#</t>
  </si>
  <si>
    <t>#SFOM Pool Party# SFOM reimbursement for pool reservation</t>
  </si>
  <si>
    <t>#SFOM Spring Sale# SFOM Sale</t>
  </si>
  <si>
    <t>SFOM Spring Sale</t>
  </si>
  <si>
    <t>#SFOM Spring Sale# Signs for SFOM</t>
  </si>
  <si>
    <t>Kids|School Fees</t>
  </si>
  <si>
    <t>x</t>
  </si>
  <si>
    <t>Disney planes and cars sets</t>
  </si>
  <si>
    <t>Milk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</si>
</sst>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\+#,##0.00;#,##0.00;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1" fontId="0" fillId="0" borderId="0" xfId="0" applyNumberFormat="1"/>
    <xf numFmtId="8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44" fontId="1" fillId="0" borderId="0" xfId="1" applyFon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0</xdr:row>
      <xdr:rowOff>167640</xdr:rowOff>
    </xdr:from>
    <xdr:to>
      <xdr:col>8</xdr:col>
      <xdr:colOff>472440</xdr:colOff>
      <xdr:row>2</xdr:row>
      <xdr:rowOff>160020</xdr:rowOff>
    </xdr:to>
    <xdr:sp macro="[0]!btnParseQIF" textlink="">
      <xdr:nvSpPr>
        <xdr:cNvPr id="2" name="Rounded Rectangle 1"/>
        <xdr:cNvSpPr/>
      </xdr:nvSpPr>
      <xdr:spPr>
        <a:xfrm>
          <a:off x="4259580" y="167640"/>
          <a:ext cx="1089660" cy="358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</a:p>
      </xdr:txBody>
    </xdr:sp>
    <xdr:clientData/>
  </xdr:twoCellAnchor>
  <xdr:twoCellAnchor>
    <xdr:from>
      <xdr:col>7</xdr:col>
      <xdr:colOff>7620</xdr:colOff>
      <xdr:row>3</xdr:row>
      <xdr:rowOff>121920</xdr:rowOff>
    </xdr:from>
    <xdr:to>
      <xdr:col>8</xdr:col>
      <xdr:colOff>487680</xdr:colOff>
      <xdr:row>5</xdr:row>
      <xdr:rowOff>99060</xdr:rowOff>
    </xdr:to>
    <xdr:sp macro="[0]!Budget.Main" textlink="">
      <xdr:nvSpPr>
        <xdr:cNvPr id="3" name="Rounded Rectangle 2"/>
        <xdr:cNvSpPr/>
      </xdr:nvSpPr>
      <xdr:spPr>
        <a:xfrm>
          <a:off x="4754880" y="670560"/>
          <a:ext cx="108966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Pivots</a:t>
          </a:r>
        </a:p>
      </xdr:txBody>
    </xdr:sp>
    <xdr:clientData/>
  </xdr:twoCellAnchor>
  <xdr:twoCellAnchor>
    <xdr:from>
      <xdr:col>7</xdr:col>
      <xdr:colOff>15240</xdr:colOff>
      <xdr:row>6</xdr:row>
      <xdr:rowOff>83820</xdr:rowOff>
    </xdr:from>
    <xdr:to>
      <xdr:col>9</xdr:col>
      <xdr:colOff>121920</xdr:colOff>
      <xdr:row>8</xdr:row>
      <xdr:rowOff>68580</xdr:rowOff>
    </xdr:to>
    <xdr:sp macro="[0]!btnPurgeTempSheets" textlink="">
      <xdr:nvSpPr>
        <xdr:cNvPr id="5" name="Rounded Rectangle 4"/>
        <xdr:cNvSpPr/>
      </xdr:nvSpPr>
      <xdr:spPr>
        <a:xfrm>
          <a:off x="5013960" y="1181100"/>
          <a:ext cx="13258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Purge Temp Sheets</a:t>
          </a:r>
        </a:p>
      </xdr:txBody>
    </xdr:sp>
    <xdr:clientData/>
  </xdr:twoCellAnchor>
  <xdr:twoCellAnchor>
    <xdr:from>
      <xdr:col>7</xdr:col>
      <xdr:colOff>15240</xdr:colOff>
      <xdr:row>9</xdr:row>
      <xdr:rowOff>15240</xdr:rowOff>
    </xdr:from>
    <xdr:to>
      <xdr:col>9</xdr:col>
      <xdr:colOff>121920</xdr:colOff>
      <xdr:row>11</xdr:row>
      <xdr:rowOff>0</xdr:rowOff>
    </xdr:to>
    <xdr:sp macro="[0]!btnDeleteWorksheets" textlink="">
      <xdr:nvSpPr>
        <xdr:cNvPr id="6" name="Rounded Rectangle 5"/>
        <xdr:cNvSpPr/>
      </xdr:nvSpPr>
      <xdr:spPr>
        <a:xfrm>
          <a:off x="5013960" y="1661160"/>
          <a:ext cx="13258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Purge Worksheets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e Smith" refreshedDate="42001.986796527781" createdVersion="3" refreshedVersion="5" minRefreshableVersion="3" recordCount="1902">
  <cacheSource type="worksheet">
    <worksheetSource ref="A1:W1903" sheet="Transactions"/>
  </cacheSource>
  <cacheFields count="23">
    <cacheField name="Account" numFmtId="0">
      <sharedItems/>
    </cacheField>
    <cacheField name="Date" numFmtId="14">
      <sharedItems containsSemiMixedTypes="0" containsNonDate="0" containsDate="1" containsString="0" minDate="2014-01-01T00:00:00" maxDate="2014-12-29T00:00:00"/>
    </cacheField>
    <cacheField name="Amount" numFmtId="0">
      <sharedItems containsString="0" containsBlank="1" containsNumber="1" minValue="-200000" maxValue="200000"/>
    </cacheField>
    <cacheField name="Status" numFmtId="0">
      <sharedItems containsBlank="1"/>
    </cacheField>
    <cacheField name="Payee" numFmtId="0">
      <sharedItems containsBlank="1"/>
    </cacheField>
    <cacheField name="Memo" numFmtId="0">
      <sharedItems containsBlank="1"/>
    </cacheField>
    <cacheField name="Category" numFmtId="0">
      <sharedItems containsBlank="1"/>
    </cacheField>
    <cacheField name="Check Number" numFmtId="0">
      <sharedItems containsBlank="1" containsMixedTypes="1" containsNumber="1" containsInteger="1" minValue="1092" maxValue="799999943561"/>
    </cacheField>
    <cacheField name="Split" numFmtId="0">
      <sharedItems containsBlank="1"/>
    </cacheField>
    <cacheField name="Tags" numFmtId="0">
      <sharedItems containsBlank="1" containsMixedTypes="1" containsNumber="1" containsInteger="1" minValue="7231" maxValue="9602"/>
    </cacheField>
    <cacheField name="SubCat1" numFmtId="0">
      <sharedItems containsBlank="1" count="54">
        <s v="[Capital One - Investment (6759)]"/>
        <s v="[Capital One - Long Term Emergency (1201)]"/>
        <s v="[Capital One - Secondary Savings (3126)]"/>
        <s v="[Capital One - Vacation (4959)]"/>
        <s v="[First Tech - Short Term Emergency (5400)]"/>
        <s v="[Schwab - Checking (9784)]"/>
        <s v="[Chase Amazon (XX8482)]"/>
        <s v="[Chase Freedom XX9381]"/>
        <s v="[Chase Slate (XX1141)]"/>
        <s v="[Koolikai Credit Card]"/>
        <s v="[Mastercard (Angela)]"/>
        <s v="[REI Mastercard (xx1787)]"/>
        <s v="[Target Red Card]"/>
        <s v="Shopping"/>
        <s v="Home"/>
        <s v="Food &amp; Dining"/>
        <s v="Parties"/>
        <s v="Auto &amp; Transport"/>
        <s v="Health &amp; Fitness"/>
        <s v="Work Expense"/>
        <s v="[American Express (Costco)]"/>
        <s v="[First Tech - Checking (5544)]"/>
        <s v="Charity"/>
        <s v="Vacation"/>
        <s v="[Discover Card]"/>
        <s v="[Koolikai - Checking XX2129]"/>
        <m/>
        <s v="Kids"/>
        <s v="Gifts"/>
        <s v="Other Inc"/>
        <s v="Entertainment"/>
        <s v="Personal Care"/>
        <s v="Bank Fees &amp; Charges"/>
        <s v="Subscriptions &amp; Dues"/>
        <s v="Bills &amp; Utilities"/>
        <s v="Net Salary"/>
        <s v="Business Expenses (Koolikai)"/>
        <s v="Business Income (Koolikai)"/>
        <s v="[MasterCard (Capital One)]"/>
        <s v="Projects"/>
        <s v="Interest Income"/>
        <s v="[Koolikai - Sec Dep XX1200]"/>
        <s v="[Premera Health Care Payment]"/>
        <s v="[Fideity ESPP and Stock Awards]"/>
        <s v="[LPL Financial]"/>
        <s v="Misc Expenses"/>
        <s v="Morale Money"/>
        <s v="Tax"/>
        <s v="[Edward Jones - Roth IRA]"/>
        <s v="[Edward Jones - Investment Account]"/>
        <s v="Financial"/>
        <s v="Not Sure"/>
        <s v="[AmericanWest (1186)]"/>
        <s v="Education"/>
      </sharedItems>
    </cacheField>
    <cacheField name="SubCat2" numFmtId="0">
      <sharedItems containsBlank="1" count="79">
        <m/>
        <s v="Clothing"/>
        <s v="Furnishings"/>
        <s v="Groceries"/>
        <s v="Registration"/>
        <s v="Eyecare"/>
        <s v="Reimbursement"/>
        <s v="Charity (Cash)"/>
        <s v="Food"/>
        <s v="Lodging"/>
        <s v="Auto Lease Payment"/>
        <s v="Parking"/>
        <s v="Kids Activities"/>
        <s v="Babysitter"/>
        <s v="Toys"/>
        <s v="Restaurants"/>
        <s v="Hair"/>
        <s v="ATM Fee"/>
        <s v="Utilities"/>
        <s v="Home Improvement"/>
        <s v="Electronics &amp; Software"/>
        <s v="Reimbursable expense"/>
        <s v="Cell Phone"/>
        <s v="Sports"/>
        <s v="Mobile Phone"/>
        <s v="Rent"/>
        <s v="Transportation"/>
        <s v="Mortgage"/>
        <s v="Trinkets"/>
        <s v="American Funds 529A"/>
        <s v="Mortgage (Business)"/>
        <s v="Bank Fee"/>
        <s v="Television"/>
        <s v="Internet"/>
        <s v="Home Phone"/>
        <s v="Daycare"/>
        <s v="Appliances"/>
        <s v="Gas &amp; Fuel"/>
        <s v="Pharmacy"/>
        <s v="Activities"/>
        <s v="Tolls"/>
        <s v="Repairs"/>
        <s v="Office Expenses (Business)"/>
        <s v="Movies &amp; DVDs"/>
        <s v="School Fees"/>
        <s v="Beauty &amp; Makeup"/>
        <s v="Home Services"/>
        <s v="Landscaping"/>
        <s v="Hobbies"/>
        <s v="Tools"/>
        <s v="Fraud"/>
        <s v="Books"/>
        <s v="Electric Car Setup"/>
        <s v="Dentist"/>
        <s v="Fed"/>
        <s v="Fence"/>
        <s v="Doctor"/>
        <s v="Boy's Room"/>
        <s v="Other"/>
        <s v="Security Deposit"/>
        <s v="Music"/>
        <s v="Prof and Legal Fees"/>
        <s v="Life Insurance"/>
        <s v="Utilities (Business)"/>
        <s v="Service &amp; Parts"/>
        <s v="Financial Advisor"/>
        <s v="Supplies (Business)"/>
        <s v="Insurance (Umbrella)"/>
        <s v="Auto Insurance"/>
        <s v="Postage and Delivery (Business)"/>
        <s v="Spa &amp; Massage"/>
        <s v="Driver's License"/>
        <s v="Projects"/>
        <s v="Taxes (Business)"/>
        <s v="Books &amp; Supplies"/>
        <s v="Community Education"/>
        <s v="Laundry"/>
        <s v="Miscellaneous"/>
        <s v="Sporting Goods"/>
      </sharedItems>
    </cacheField>
    <cacheField name="SubCat3" numFmtId="0">
      <sharedItems containsBlank="1"/>
    </cacheField>
    <cacheField name="SubCat4" numFmtId="0">
      <sharedItems containsNonDate="0" containsString="0" containsBlank="1"/>
    </cacheField>
    <cacheField name="Local_Tags1" numFmtId="0">
      <sharedItems containsBlank="1"/>
    </cacheField>
    <cacheField name="Local_Tags2" numFmtId="0">
      <sharedItems containsNonDate="0" containsString="0" containsBlank="1"/>
    </cacheField>
    <cacheField name="Month" numFmtId="0">
      <sharedItems count="14">
        <s v="Dec"/>
        <s v="Nov"/>
        <s v="Oct"/>
        <s v="Sep"/>
        <s v="Aug"/>
        <s v="Jul"/>
        <s v="Jun"/>
        <s v="May"/>
        <s v="Apr"/>
        <s v="Mar"/>
        <s v="Feb"/>
        <s v="Jan"/>
        <s v="Monthly"/>
        <s v="Annual"/>
      </sharedItems>
    </cacheField>
    <cacheField name="Year" numFmtId="0">
      <sharedItems containsMixedTypes="1" containsNumber="1" containsInteger="1" minValue="2014" maxValue="2014" count="2">
        <n v="2014"/>
        <s v="Budget"/>
      </sharedItems>
    </cacheField>
    <cacheField name="Type" numFmtId="0">
      <sharedItems count="7">
        <s v="Account"/>
        <e v="#N/A"/>
        <s v="Annual"/>
        <s v="Monthly"/>
        <s v="Irregular"/>
        <s v="Hidden"/>
        <s v="Unplanned"/>
      </sharedItems>
    </cacheField>
    <cacheField name="Discretionary" numFmtId="0">
      <sharedItems containsMixedTypes="1" containsNumber="1" containsInteger="1" minValue="0" maxValue="0" count="2">
        <n v="0"/>
        <e v="#N/A"/>
      </sharedItems>
    </cacheField>
    <cacheField name="Business" numFmtId="0">
      <sharedItems count="2">
        <s v="No"/>
        <e v="#N/A"/>
      </sharedItems>
    </cacheField>
    <cacheField name="Tax Status" numFmtId="0">
      <sharedItems/>
    </cacheField>
    <cacheField name="Concat" numFmtId="0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ve Smith" refreshedDate="42001.986799652776" createdVersion="3" refreshedVersion="5" minRefreshableVersion="3" recordCount="1902">
  <cacheSource type="worksheet">
    <worksheetSource ref="A1:W1903" sheet="Transactions"/>
  </cacheSource>
  <cacheFields count="23">
    <cacheField name="Account" numFmtId="0">
      <sharedItems/>
    </cacheField>
    <cacheField name="Date" numFmtId="14">
      <sharedItems containsSemiMixedTypes="0" containsNonDate="0" containsDate="1" containsString="0" minDate="2014-01-01T00:00:00" maxDate="2014-12-29T00:00:00"/>
    </cacheField>
    <cacheField name="Amount" numFmtId="0">
      <sharedItems containsString="0" containsBlank="1" containsNumber="1" minValue="-200000" maxValue="200000"/>
    </cacheField>
    <cacheField name="Status" numFmtId="0">
      <sharedItems containsBlank="1"/>
    </cacheField>
    <cacheField name="Payee" numFmtId="0">
      <sharedItems containsBlank="1"/>
    </cacheField>
    <cacheField name="Memo" numFmtId="0">
      <sharedItems containsBlank="1"/>
    </cacheField>
    <cacheField name="Category" numFmtId="0">
      <sharedItems containsBlank="1"/>
    </cacheField>
    <cacheField name="Check Number" numFmtId="0">
      <sharedItems containsBlank="1" containsMixedTypes="1" containsNumber="1" containsInteger="1" minValue="1092" maxValue="799999943561"/>
    </cacheField>
    <cacheField name="Split" numFmtId="0">
      <sharedItems containsBlank="1"/>
    </cacheField>
    <cacheField name="Tags" numFmtId="0">
      <sharedItems containsBlank="1" containsMixedTypes="1" containsNumber="1" containsInteger="1" minValue="7231" maxValue="9602"/>
    </cacheField>
    <cacheField name="SubCat1" numFmtId="0">
      <sharedItems containsBlank="1" count="54">
        <s v="[Capital One - Investment (6759)]"/>
        <s v="[Capital One - Long Term Emergency (1201)]"/>
        <s v="[Capital One - Secondary Savings (3126)]"/>
        <s v="[Capital One - Vacation (4959)]"/>
        <s v="[First Tech - Short Term Emergency (5400)]"/>
        <s v="[Schwab - Checking (9784)]"/>
        <s v="[Chase Amazon (XX8482)]"/>
        <s v="[Chase Freedom XX9381]"/>
        <s v="[Chase Slate (XX1141)]"/>
        <s v="[Koolikai Credit Card]"/>
        <s v="[Mastercard (Angela)]"/>
        <s v="[REI Mastercard (xx1787)]"/>
        <s v="[Target Red Card]"/>
        <s v="Shopping"/>
        <s v="Home"/>
        <s v="Food &amp; Dining"/>
        <s v="Parties"/>
        <s v="Auto &amp; Transport"/>
        <s v="Health &amp; Fitness"/>
        <s v="Work Expense"/>
        <s v="[American Express (Costco)]"/>
        <s v="[First Tech - Checking (5544)]"/>
        <s v="Charity"/>
        <s v="Vacation"/>
        <s v="[Discover Card]"/>
        <s v="[Koolikai - Checking XX2129]"/>
        <m/>
        <s v="Kids"/>
        <s v="Gifts"/>
        <s v="Other Inc"/>
        <s v="Entertainment"/>
        <s v="Personal Care"/>
        <s v="Bank Fees &amp; Charges"/>
        <s v="Subscriptions &amp; Dues"/>
        <s v="Bills &amp; Utilities"/>
        <s v="Net Salary"/>
        <s v="Business Expenses (Koolikai)"/>
        <s v="Business Income (Koolikai)"/>
        <s v="[MasterCard (Capital One)]"/>
        <s v="Projects"/>
        <s v="Interest Income"/>
        <s v="[Koolikai - Sec Dep XX1200]"/>
        <s v="[Premera Health Care Payment]"/>
        <s v="[Fideity ESPP and Stock Awards]"/>
        <s v="[LPL Financial]"/>
        <s v="Misc Expenses"/>
        <s v="Morale Money"/>
        <s v="Tax"/>
        <s v="[Edward Jones - Roth IRA]"/>
        <s v="[Edward Jones - Investment Account]"/>
        <s v="Financial"/>
        <s v="Not Sure"/>
        <s v="[AmericanWest (1186)]"/>
        <s v="Education"/>
      </sharedItems>
    </cacheField>
    <cacheField name="SubCat2" numFmtId="0">
      <sharedItems containsBlank="1"/>
    </cacheField>
    <cacheField name="SubCat3" numFmtId="0">
      <sharedItems containsBlank="1" count="4">
        <m/>
        <s v="Accessories"/>
        <s v="Camping Equipment"/>
        <s v="Budget"/>
      </sharedItems>
    </cacheField>
    <cacheField name="SubCat4" numFmtId="0">
      <sharedItems containsNonDate="0" containsString="0" containsBlank="1"/>
    </cacheField>
    <cacheField name="Local_Tags1" numFmtId="0">
      <sharedItems containsBlank="1" count="26">
        <m/>
        <s v="Smith Christmas"/>
        <s v="SFOM Pool Party"/>
        <s v="Spokane 2014"/>
        <s v="Apps"/>
        <s v="Stay Fit"/>
        <s v="Disneyland 2014"/>
        <s v="Group Meeting Fall"/>
        <s v="Cash Payment for keycard"/>
        <s v="Orcas Island 2015"/>
        <s v="Sedona"/>
        <s v="Kalaloch 2015"/>
        <s v="Mt. Rainier 2014"/>
        <s v="Kalaloch 2014"/>
        <s v="Orcas Island 2014"/>
        <s v="CRAB Breakfast"/>
        <s v="Deception Pass 2014"/>
        <s v="Mt. St. Helens"/>
        <s v="Go Cart Racing"/>
        <s v="Scottsdale 2014"/>
        <s v="Group meeting Spring"/>
        <s v="Seaquest"/>
        <s v="SFOM Spring Sale"/>
        <s v="Moran State Park"/>
        <s v="Sheryl's wedding"/>
        <s v="Family Reunion"/>
      </sharedItems>
    </cacheField>
    <cacheField name="Local_Tags2" numFmtId="0">
      <sharedItems containsNonDate="0" containsString="0" containsBlank="1"/>
    </cacheField>
    <cacheField name="Month" numFmtId="0">
      <sharedItems/>
    </cacheField>
    <cacheField name="Year" numFmtId="0">
      <sharedItems containsMixedTypes="1" containsNumber="1" containsInteger="1" minValue="2014" maxValue="2014"/>
    </cacheField>
    <cacheField name="Type" numFmtId="0">
      <sharedItems/>
    </cacheField>
    <cacheField name="Discretionary" numFmtId="0">
      <sharedItems containsMixedTypes="1" containsNumber="1" containsInteger="1" minValue="0" maxValue="0"/>
    </cacheField>
    <cacheField name="Business" numFmtId="0">
      <sharedItems/>
    </cacheField>
    <cacheField name="Tax Status" numFmtId="0">
      <sharedItems/>
    </cacheField>
    <cacheField name="Concat" numFmtId="0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ve Smith" refreshedDate="42001.986803819447" createdVersion="3" refreshedVersion="5" minRefreshableVersion="3" recordCount="1902">
  <cacheSource type="worksheet">
    <worksheetSource ref="A1:W1903" sheet="Transactions"/>
  </cacheSource>
  <cacheFields count="23">
    <cacheField name="Account" numFmtId="0">
      <sharedItems/>
    </cacheField>
    <cacheField name="Date" numFmtId="14">
      <sharedItems containsSemiMixedTypes="0" containsNonDate="0" containsDate="1" containsString="0" minDate="2014-01-01T00:00:00" maxDate="2014-12-29T00:00:00"/>
    </cacheField>
    <cacheField name="Amount" numFmtId="0">
      <sharedItems containsString="0" containsBlank="1" containsNumber="1" minValue="-200000" maxValue="200000"/>
    </cacheField>
    <cacheField name="Status" numFmtId="0">
      <sharedItems containsBlank="1"/>
    </cacheField>
    <cacheField name="Payee" numFmtId="0">
      <sharedItems containsBlank="1"/>
    </cacheField>
    <cacheField name="Memo" numFmtId="0">
      <sharedItems containsBlank="1"/>
    </cacheField>
    <cacheField name="Category" numFmtId="0">
      <sharedItems containsBlank="1"/>
    </cacheField>
    <cacheField name="Check Number" numFmtId="0">
      <sharedItems containsBlank="1" containsMixedTypes="1" containsNumber="1" containsInteger="1" minValue="1092" maxValue="799999943561"/>
    </cacheField>
    <cacheField name="Split" numFmtId="0">
      <sharedItems containsBlank="1"/>
    </cacheField>
    <cacheField name="Tags" numFmtId="0">
      <sharedItems containsBlank="1" containsMixedTypes="1" containsNumber="1" containsInteger="1" minValue="7231" maxValue="9602"/>
    </cacheField>
    <cacheField name="SubCat1" numFmtId="0">
      <sharedItems containsBlank="1" count="54">
        <s v="[Capital One - Investment (6759)]"/>
        <s v="[Capital One - Long Term Emergency (1201)]"/>
        <s v="[Capital One - Secondary Savings (3126)]"/>
        <s v="[Capital One - Vacation (4959)]"/>
        <s v="[First Tech - Short Term Emergency (5400)]"/>
        <s v="[Schwab - Checking (9784)]"/>
        <s v="[Chase Amazon (XX8482)]"/>
        <s v="[Chase Freedom XX9381]"/>
        <s v="[Chase Slate (XX1141)]"/>
        <s v="[Koolikai Credit Card]"/>
        <s v="[Mastercard (Angela)]"/>
        <s v="[REI Mastercard (xx1787)]"/>
        <s v="[Target Red Card]"/>
        <s v="Shopping"/>
        <s v="Home"/>
        <s v="Food &amp; Dining"/>
        <s v="Parties"/>
        <s v="Auto &amp; Transport"/>
        <s v="Health &amp; Fitness"/>
        <s v="Work Expense"/>
        <s v="[American Express (Costco)]"/>
        <s v="[First Tech - Checking (5544)]"/>
        <s v="Charity"/>
        <s v="Vacation"/>
        <s v="[Discover Card]"/>
        <s v="[Koolikai - Checking XX2129]"/>
        <m/>
        <s v="Kids"/>
        <s v="Gifts"/>
        <s v="Other Inc"/>
        <s v="Entertainment"/>
        <s v="Personal Care"/>
        <s v="Bank Fees &amp; Charges"/>
        <s v="Subscriptions &amp; Dues"/>
        <s v="Bills &amp; Utilities"/>
        <s v="Net Salary"/>
        <s v="Business Expenses (Koolikai)"/>
        <s v="Business Income (Koolikai)"/>
        <s v="[MasterCard (Capital One)]"/>
        <s v="Projects"/>
        <s v="Interest Income"/>
        <s v="[Koolikai - Sec Dep XX1200]"/>
        <s v="[Premera Health Care Payment]"/>
        <s v="[Fideity ESPP and Stock Awards]"/>
        <s v="[LPL Financial]"/>
        <s v="Misc Expenses"/>
        <s v="Morale Money"/>
        <s v="Tax"/>
        <s v="[Edward Jones - Roth IRA]"/>
        <s v="[Edward Jones - Investment Account]"/>
        <s v="Financial"/>
        <s v="Not Sure"/>
        <s v="[AmericanWest (1186)]"/>
        <s v="Education"/>
      </sharedItems>
    </cacheField>
    <cacheField name="SubCat2" numFmtId="0">
      <sharedItems containsBlank="1" count="79">
        <m/>
        <s v="Clothing"/>
        <s v="Furnishings"/>
        <s v="Groceries"/>
        <s v="Registration"/>
        <s v="Eyecare"/>
        <s v="Reimbursement"/>
        <s v="Charity (Cash)"/>
        <s v="Food"/>
        <s v="Lodging"/>
        <s v="Auto Lease Payment"/>
        <s v="Parking"/>
        <s v="Kids Activities"/>
        <s v="Babysitter"/>
        <s v="Toys"/>
        <s v="Restaurants"/>
        <s v="Hair"/>
        <s v="ATM Fee"/>
        <s v="Utilities"/>
        <s v="Home Improvement"/>
        <s v="Electronics &amp; Software"/>
        <s v="Reimbursable expense"/>
        <s v="Cell Phone"/>
        <s v="Sports"/>
        <s v="Mobile Phone"/>
        <s v="Rent"/>
        <s v="Transportation"/>
        <s v="Mortgage"/>
        <s v="Trinkets"/>
        <s v="American Funds 529A"/>
        <s v="Mortgage (Business)"/>
        <s v="Bank Fee"/>
        <s v="Television"/>
        <s v="Internet"/>
        <s v="Home Phone"/>
        <s v="Daycare"/>
        <s v="Appliances"/>
        <s v="Gas &amp; Fuel"/>
        <s v="Pharmacy"/>
        <s v="Activities"/>
        <s v="Tolls"/>
        <s v="Repairs"/>
        <s v="Office Expenses (Business)"/>
        <s v="Movies &amp; DVDs"/>
        <s v="School Fees"/>
        <s v="Beauty &amp; Makeup"/>
        <s v="Home Services"/>
        <s v="Landscaping"/>
        <s v="Hobbies"/>
        <s v="Tools"/>
        <s v="Fraud"/>
        <s v="Books"/>
        <s v="Electric Car Setup"/>
        <s v="Dentist"/>
        <s v="Fed"/>
        <s v="Fence"/>
        <s v="Doctor"/>
        <s v="Boy's Room"/>
        <s v="Other"/>
        <s v="Security Deposit"/>
        <s v="Music"/>
        <s v="Prof and Legal Fees"/>
        <s v="Life Insurance"/>
        <s v="Utilities (Business)"/>
        <s v="Service &amp; Parts"/>
        <s v="Financial Advisor"/>
        <s v="Supplies (Business)"/>
        <s v="Insurance (Umbrella)"/>
        <s v="Auto Insurance"/>
        <s v="Postage and Delivery (Business)"/>
        <s v="Spa &amp; Massage"/>
        <s v="Driver's License"/>
        <s v="Projects"/>
        <s v="Taxes (Business)"/>
        <s v="Books &amp; Supplies"/>
        <s v="Community Education"/>
        <s v="Laundry"/>
        <s v="Miscellaneous"/>
        <s v="Sporting Goods"/>
      </sharedItems>
    </cacheField>
    <cacheField name="SubCat3" numFmtId="0">
      <sharedItems containsBlank="1"/>
    </cacheField>
    <cacheField name="SubCat4" numFmtId="0">
      <sharedItems containsNonDate="0" containsString="0" containsBlank="1"/>
    </cacheField>
    <cacheField name="Local_Tags1" numFmtId="0">
      <sharedItems containsBlank="1"/>
    </cacheField>
    <cacheField name="Local_Tags2" numFmtId="0">
      <sharedItems containsNonDate="0" containsString="0" containsBlank="1"/>
    </cacheField>
    <cacheField name="Month" numFmtId="0">
      <sharedItems/>
    </cacheField>
    <cacheField name="Year" numFmtId="0">
      <sharedItems containsMixedTypes="1" containsNumber="1" containsInteger="1" minValue="2014" maxValue="2014"/>
    </cacheField>
    <cacheField name="Type" numFmtId="0">
      <sharedItems/>
    </cacheField>
    <cacheField name="Discretionary" numFmtId="0">
      <sharedItems containsMixedTypes="1" containsNumber="1" containsInteger="1" minValue="0" maxValue="0"/>
    </cacheField>
    <cacheField name="Business" numFmtId="0">
      <sharedItems/>
    </cacheField>
    <cacheField name="Tax Status" numFmtId="0">
      <sharedItems/>
    </cacheField>
    <cacheField name="Concat" numFmtId="0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ve Smith" refreshedDate="42001.986805555556" createdVersion="3" refreshedVersion="5" minRefreshableVersion="3" recordCount="1902">
  <cacheSource type="worksheet">
    <worksheetSource ref="A1:W1903" sheet="Transactions"/>
  </cacheSource>
  <cacheFields count="23">
    <cacheField name="Account" numFmtId="0">
      <sharedItems/>
    </cacheField>
    <cacheField name="Date" numFmtId="14">
      <sharedItems containsSemiMixedTypes="0" containsNonDate="0" containsDate="1" containsString="0" minDate="2014-01-01T00:00:00" maxDate="2014-12-29T00:00:00"/>
    </cacheField>
    <cacheField name="Amount" numFmtId="0">
      <sharedItems containsString="0" containsBlank="1" containsNumber="1" minValue="-200000" maxValue="200000"/>
    </cacheField>
    <cacheField name="Status" numFmtId="0">
      <sharedItems containsBlank="1"/>
    </cacheField>
    <cacheField name="Payee" numFmtId="0">
      <sharedItems containsBlank="1" count="492">
        <s v="Balanced"/>
        <s v="Costco"/>
        <s v="Fred Meyer"/>
        <s v="Vehicle Emissions #4"/>
        <s v="Dave Smith"/>
        <s v="Angela Smith"/>
        <s v="Chase Autopay (Freedom)"/>
        <s v="National Parks Conservancy Association"/>
        <s v="Blusterys Burger D"/>
        <s v="Madison Inn"/>
        <s v="Discover (Autopay)"/>
        <s v="Chase - Koolikai (Autopay)"/>
        <s v="Rosauers Supermarket"/>
        <s v="Mcdonald's"/>
        <s v="Nissan Lease"/>
        <s v="Diamond Parking"/>
        <m/>
        <s v="Pacific Science Center The"/>
        <s v="Poppy Weber"/>
        <s v="Christi Steinburg"/>
        <s v="Ken Market"/>
        <s v="Target"/>
        <s v="Qfc"/>
        <s v="Quincy"/>
        <s v="Childrens Museum"/>
        <s v="Mod Superfast Pizza"/>
        <s v="Barnes &amp; Noble"/>
        <s v="Jcpenney"/>
        <s v="Holiday Mall Photos"/>
        <s v="Greenlake PTA"/>
        <s v="Cash Back Reward"/>
        <s v="O'reilly Auto Parts"/>
        <s v="Starbucks"/>
        <s v="Pac Sci Ctr"/>
        <s v="Taco Del Mar"/>
        <s v="Pie Center"/>
        <s v="Rei"/>
        <s v="Amazon"/>
        <s v="Kens Market"/>
        <s v="Park"/>
        <s v="Marbles Brain Stor"/>
        <s v="Blue Water Taco"/>
        <s v="Pandora"/>
        <s v="Trader Joe's"/>
        <s v="Fireworks Cen"/>
        <s v="Puget Sound Energy"/>
        <s v="Northwest Awning Online"/>
        <s v="Microsoft (Paystub)"/>
        <s v="Greenwood Hardware"/>
        <s v="Stoneway Hardware"/>
        <s v="Fofritzing"/>
        <s v="Etsy Com"/>
        <s v="Beehive Salon"/>
        <s v="Pesos"/>
        <s v="Microsoft"/>
        <s v="Verizon Wireless"/>
        <s v="Hi Life"/>
        <s v="Ken's Market"/>
        <s v="Fuego"/>
        <s v="Brookstone"/>
        <s v="Capital One (Cash Back)"/>
        <s v="FitBit"/>
        <s v="Whlelfeyoga"/>
        <s v="Shared Branch Mobile"/>
        <s v="Safeway"/>
        <s v="Virgin America"/>
        <s v="Burger King"/>
        <s v="Shuttlepark"/>
        <s v="Howard Johnson"/>
        <s v="Wells Fargo Home Mortgage"/>
        <s v="Popcorn Tomorrowl"/>
        <s v="Tiki Juice Bar"/>
        <s v="La Brea Y"/>
        <s v="Disney"/>
        <s v="Emporium Dl"/>
        <s v="Riverbelle Terrace"/>
        <s v="Naples Ristorante"/>
        <s v="Amie Hanson"/>
        <s v="Toontown Dl"/>
        <s v="Pizza Press"/>
        <s v="American Funds Amcap"/>
        <s v="Netflix"/>
        <s v="Award Wieners Dca"/>
        <s v="Tortilla Jos"/>
        <s v="NYCB Mortgage Company"/>
        <s v="Capital One (Autopay)"/>
        <s v="Ihop"/>
        <s v="Seattle Parks And Recreation"/>
        <s v="Comcast"/>
        <s v="City Of Mountlake Terrace"/>
        <s v="Phinney Ridge CDC"/>
        <s v="Lowe's"/>
        <s v="Mimi's Cafe"/>
        <s v="First Tech (Dividend)"/>
        <s v="T-mobile"/>
        <s v="Blink Network Llc"/>
        <s v="Walgreens"/>
        <s v="Rudys Barber Shop"/>
        <s v="Groupon"/>
        <s v="Vios Cafe 3rd"/>
        <s v="Capital One (Interest Income)"/>
        <s v="Chase (Autopay)"/>
        <s v="Interest Paid"/>
        <s v="ATM Fee Refund"/>
        <s v="Good Go Replenishment"/>
        <s v="Home Depot"/>
        <s v="Third Place Books"/>
        <s v="Patricia Anderson"/>
        <s v="Chase Freedom (Autopay)"/>
        <s v="CRAB (Paystub)"/>
        <s v="Discover Card (Autopay)"/>
        <s v="Aerovironment"/>
        <s v="Larsen Original Bake"/>
        <s v="Bank Of America"/>
        <s v="The Ridge"/>
        <s v="Shell"/>
        <s v="CRAB (Reimbursement)"/>
        <s v="Sq Monkeys Toys"/>
        <s v="Kabob Corner Greek"/>
        <s v="Skillet Counter"/>
        <s v="Central Checkout Northg"/>
        <s v="Fritz's Plumbing"/>
        <s v="Metropolis"/>
        <s v="Babies &quot;R&quot; Us"/>
        <s v="Phinney Market Pub"/>
        <s v="Seattle City Light"/>
        <s v="Seattle Families Of Multiples"/>
        <s v="Opening Balance"/>
        <s v="Ikea"/>
        <s v="Toulouse Petit Kitchen"/>
        <s v="Stay Fit Credit"/>
        <s v="Cafe Remond Wa"/>
        <s v="Icon Grill"/>
        <s v="John Schaibley"/>
        <s v="Officemax"/>
        <s v="Oshkosh"/>
        <s v="Seattle Gymnastic Academy"/>
        <s v="Playdate Sea"/>
        <s v="Hales Ales"/>
        <s v="Subway"/>
        <s v="Thistle Theater"/>
        <s v="Pacific Coast Shell"/>
        <s v="Target (Autopay)"/>
        <s v="Courtney Willie"/>
        <s v="Aaron Ausland"/>
        <s v="Garmin International"/>
        <s v="Ezells Famous Chicken"/>
        <s v="Nurturing Knowledge Sc"/>
        <s v="Playdate Cafe"/>
        <s v="Sq Parfait Ice"/>
        <s v="Skillet Diner"/>
        <s v="Ca"/>
        <s v="Wa Parksreservationswe"/>
        <s v="City Seattle Spu"/>
        <s v="Chase Freedom (9381)"/>
        <s v="Goodwill - Ballard"/>
        <s v="American Express"/>
        <s v="American Express (Autopay)"/>
        <s v="Hyatt"/>
        <s v="First Tech Transfer"/>
        <s v="Mobile"/>
        <s v="Ventra Vending"/>
        <s v="Corner Bakery"/>
        <s v="Ice Bar L"/>
        <s v="Bella Bacino"/>
        <s v="Quarterly Bonus Int"/>
        <s v="US Bank"/>
        <s v="Alaska Air"/>
        <s v="Volare"/>
        <s v="Macy's"/>
        <s v="Fogon Cocina Mexicana"/>
        <s v="Redemption"/>
        <s v="Bob's Corn Maze"/>
        <s v="Goodwill"/>
        <s v="Thai Siam Restaurant"/>
        <s v="Premera Funding Cyc"/>
        <s v="Cleaning Authority, The"/>
        <s v="Fresh Table Cafe"/>
        <s v="Discount Com"/>
        <s v="Watershed Pub Kitchen"/>
        <s v="Jersey Great Food"/>
        <s v="Caesar's Gardens"/>
        <s v="7-Eleven"/>
        <s v="Great Steak &amp; Potato Company"/>
        <s v="Eddie Bauer"/>
        <s v="Banana Republic"/>
        <s v="Bass"/>
        <s v="Children's Place"/>
        <s v="Ann Taylor"/>
        <s v="Sq Mobile Mayan"/>
        <s v="Circle K"/>
        <s v="Southwest Inn At Sedona"/>
        <s v="Artistic Checks"/>
        <s v="Eisenart Innovations"/>
        <s v="Oak Creek Market"/>
        <s v="Elote Cafe"/>
        <s v="Golden Goose Cafe"/>
        <s v="Creekside Restaurant"/>
        <s v="Dahl Diluca Ristoran"/>
        <s v="Sedonas New Day"/>
        <s v="Chase Autopay (Amazon)"/>
        <s v="Kokopelli Dreams"/>
        <s v="Zonies Galleria"/>
        <s v="Tumbleweed Willie"/>
        <s v="Feliz Navidad Sedona"/>
        <s v="Rincon Del Tlaquepaque"/>
        <s v="Heartline Cafe"/>
        <s v="Hilltop Restaurant"/>
        <s v="Menchie Frozen Yogurt"/>
        <s v="Bluebird Ice Cream"/>
        <s v="Super Jock n Jill"/>
        <s v="Pike Place Commons"/>
        <s v="California Pizza Kitchen"/>
        <s v="74th St Ale"/>
        <s v="Acapulco Fresh Mexican"/>
        <s v="Cafe"/>
        <s v="Old Spaghetti Fctry"/>
        <s v="Farmers Insurance"/>
        <s v="Adjustment"/>
        <s v="Coles"/>
        <s v="Woolworths"/>
        <s v="Big W"/>
        <s v="Kmart"/>
        <s v="Liquorland"/>
        <s v="Sq Hallava Falafel"/>
        <s v="Balance Refund Jcgprdid"/>
        <s v="Phinney Neighborhood Association"/>
        <s v="Remlinger Farms"/>
        <s v="Marcoe Candy Company"/>
        <s v="Washington State Fair"/>
        <s v="Seattle Public Libraries"/>
        <s v="Pies &amp; Pints"/>
        <s v="Jamba Juice"/>
        <s v="Canyons Redmond"/>
        <s v="Virginia Mason Visual"/>
        <s v="Taylor &amp; Francis"/>
        <s v="Costco Whse Seattle"/>
        <s v="Bright Horizons Back"/>
        <s v="Bartell Drug"/>
        <s v="Bastille Cafe Bar"/>
        <s v="Ballard Mkt Thrift"/>
        <s v="Il Bistro"/>
        <s v="Kirk Boettcher"/>
        <s v="Molly Moon"/>
        <s v="Poquitos"/>
        <s v="Seattle Rep Ticketing"/>
        <s v="Blk Pancan"/>
        <s v="Piroshky Piroshky"/>
        <s v="Top Ten Toys"/>
        <s v="Hallmark"/>
        <s v="Jimmy John's"/>
        <s v="Pizza Express"/>
        <s v="Seattle Public Utilities"/>
        <s v="Alexander's Country Inn"/>
        <s v="Mount Rainier Nisq"/>
        <s v="Copper Creek Inn"/>
        <s v="Jackson Visitors Center"/>
        <s v="Jackson Vision"/>
        <s v="Northwest Trek"/>
        <s v="Nw Trek Wildlife"/>
        <s v="Ferry Food People"/>
        <s v="Landmark"/>
        <s v="Sq Orcas Adventure"/>
        <s v="Orcas Landing Hotel"/>
        <s v="Wsferries Anacortes"/>
        <s v="Amazon Services Kindle"/>
        <s v="Beach Comber Kids Cuts"/>
        <s v="Internal Revenue Service"/>
        <s v="Imagine Children Mus"/>
        <s v="Dairy Queen"/>
        <s v="Spartas Pizza"/>
        <s v="Impark"/>
        <s v="Dragonfish Asian Cafe"/>
        <s v="Oliver Twist"/>
        <s v="Fresh Table"/>
        <s v="Seattle Shakespeare"/>
        <s v="Valero"/>
        <s v="Parts Express"/>
        <s v="National MS Society"/>
        <s v="EFI Rebate Processing"/>
        <s v="Wendy's"/>
        <s v="KFC"/>
        <s v="First Tech 154th"/>
        <s v="Barrio"/>
        <s v="Bryndel Swift"/>
        <s v="Fred Hutchinson"/>
        <s v="Groundspeak Membership Groundspeak"/>
        <s v="Seattle Park Seattle"/>
        <s v="J Aime Les Crepes"/>
        <s v="Wsferries Ed Seattle"/>
        <s v="Volterra"/>
        <s v="Phinney Ridge Lu 504759859 - Con"/>
        <s v="Blinds.Com"/>
        <s v="Chase  - Autopay"/>
        <s v="Pie Seattle Center"/>
        <s v="Children's Museum"/>
        <s v="Lucianos Pizza &amp; Pasta"/>
        <s v="Eastside Ski Sport"/>
        <s v="Phinney Market"/>
        <s v="Eurest"/>
        <s v="Sue Schoedal"/>
        <s v="City Of Kirkland - Parking"/>
        <s v="Blue Bird"/>
        <s v="Zig Zag Cafe"/>
        <s v="Good Go Internet"/>
        <s v="The Grape Choice"/>
        <s v="Bakker's Fine Dry Cleaning"/>
        <s v="Alexanders Country Inn"/>
        <s v="Redbox"/>
        <s v="Arco"/>
        <s v="Silverlake Visitor Ctr"/>
        <s v="Naked City Brewery"/>
        <s v="Lancer"/>
        <s v="Martino's"/>
        <s v="Microsoft (Reimbursement)"/>
        <s v="City Of Seattle"/>
        <s v="Childrens Hospital"/>
        <s v="Burney Brothers Bbq"/>
        <s v="Newegg"/>
        <s v="Swirl Wine Bar"/>
        <s v="Honey Bear Bakery"/>
        <s v="Zeeks Pizza Phinney"/>
        <s v="Gymboree"/>
        <s v="Jockey"/>
        <s v="Childish Things"/>
        <s v="Lpl  - Debit"/>
        <s v="Shuttlepark 2"/>
        <s v="Play Factory"/>
        <s v="Gabb N Sat"/>
        <s v="Act City Mesaactnet"/>
        <s v="Mc Cormick-stillman Railroad"/>
        <s v="Food Avenue"/>
        <s v="Fid Bkg Svc Llc  - Moneyline"/>
        <s v="Godaddy.Com"/>
        <s v="Highlights"/>
        <s v="K 1 Speed"/>
        <s v="Transfer From 5562129, Reducing"/>
        <s v="Transfer From 47755400, Reducin"/>
        <s v="Transfer To 914775544, Reducing"/>
        <s v="Transfer"/>
        <s v="Vehicle Licensing"/>
        <s v="Seattle Children's Hospital"/>
        <s v="P N 9201 Holman Road"/>
        <s v="Hales Ales Ltd"/>
        <s v="Premera Funding  - Hsa-fund  682"/>
        <s v="Recreation.Gov Ballston Spa Ny"/>
        <s v="Runners World"/>
        <s v="Twigs"/>
        <s v="Woodland Park Zoo"/>
        <s v="Capital One  - Crcardpmt"/>
        <s v="University Of Washington Medical Center"/>
        <s v="Pierre Kwan"/>
        <s v="Razzis Pizzeria"/>
        <s v="Dsw Designer Shoe Warehouse"/>
        <s v="George Bakery"/>
        <s v="Euro Lounge Cafe"/>
        <s v="Lunchbox Laboratory"/>
        <s v="Canlis"/>
        <s v="Nw Railway Museum"/>
        <s v="Stacias"/>
        <s v="Mount Rainier Scenic"/>
        <s v="John Shaibley"/>
        <s v="Paddy Coynes Irish"/>
        <s v="Celina Glassburn"/>
        <s v="Serendipity Cafe"/>
        <s v="Swedish Cent Bus"/>
        <s v="Wa Parksreservationswe Olympia"/>
        <s v="Sq Sustudio Jewelry"/>
        <s v="Edward Jones"/>
        <s v="Old Republic Title"/>
        <s v="Recycled Cycles"/>
        <s v="Gregg's Greenlake Cycle"/>
        <s v="Bob Oates Sewer &amp; Rooter"/>
        <s v="Stockwell Associat Lynnwood"/>
        <s v="Lincoln Mutual Insurance"/>
        <s v="Lowes #00252*"/>
        <s v="Barking Dog Alehouse"/>
        <s v="Paypal"/>
        <s v="Bartell Drugs"/>
        <s v="Breaking Bread"/>
        <s v="Marketbar"/>
        <s v="Perbacco"/>
        <s v="Napa Farms"/>
        <s v="Bigtentgroups Ma Bigtentgroups"/>
        <s v="Oasis Grill"/>
        <s v="IRS"/>
        <s v="Bart"/>
        <s v="Chase Freedom"/>
        <s v="Purple Cafe"/>
        <s v="Imagine Childrens Museum"/>
        <s v="Sue Shoedel"/>
        <s v="Valerie Shaibley"/>
        <s v="Amex Epayment Am - Ach Pmt"/>
        <s v="Autopay Thank You"/>
        <s v="Bright Horizons"/>
        <s v="Sct Box Office"/>
        <s v="Seattle Repertory Theater"/>
        <s v="Esi Pharm Columbus 08002822881 O"/>
        <s v="Luisas Mexican Grill"/>
        <s v="Clowns Unlimited"/>
        <s v="Time Magazine"/>
        <s v="Nissan"/>
        <s v="Fresh Table Met"/>
        <s v="Lifetouch"/>
        <s v="Company Store"/>
        <s v="Federal Express"/>
        <s v="Cafe Redmond Wa"/>
        <s v="Premera Funding  - Cyc-claims"/>
        <s v="Scholastic"/>
        <s v="Hecho Seattle Wa"/>
        <s v="Premier Parking"/>
        <s v="Taco Del Mar Greenwood Seattle W"/>
        <s v="Discover Dc Pymnts"/>
        <s v="Raceit Beat Blerc"/>
        <s v="Directpay Full Balance"/>
        <s v="Pesos Seattle Wa"/>
        <s v="Haggen"/>
        <s v="Carter's"/>
        <s v="Taco Time"/>
        <s v="Osh Kosh"/>
        <s v="Twirl Play Cafe"/>
        <s v="The Hi-life Restaurant"/>
        <s v="D Ambrosio Gelato"/>
        <s v="Skillet Diner Seattle"/>
        <s v="Kidd Valley"/>
        <s v="Crepe Cafe &amp; Wine Bar"/>
        <s v="Taylor &amp; Francis Group"/>
        <s v="Rei (Autopay)"/>
        <s v="Kleins Deli San"/>
        <s v="Union 76 (San Bruno)"/>
        <s v="Budget Rent"/>
        <s v="LPL"/>
        <s v="Schwab (Interest Income)"/>
        <s v="Schwab (ATM Fee Refund)"/>
        <s v="High Tide"/>
        <s v="Capital One (Transfer)"/>
        <s v="Capital One (Savings)"/>
        <s v="Phinney Neighborhood Center"/>
        <s v="Stranger Tickets Wa"/>
        <s v="Jiffy Lube"/>
        <s v="Wsferries Cl Seattle"/>
        <s v="Wsferries Mu Seattle"/>
        <s v="Goose Community Clinton"/>
        <s v="Liberty Mutual"/>
        <s v="Stardust Salon"/>
        <s v="Columbus 004"/>
        <s v="Skillet Counter Seattle"/>
        <s v="Gainsbourg"/>
        <s v="Swedish Medical First"/>
        <s v="Republic Parking Seattle"/>
        <s v="Craft-e-family"/>
        <s v="United Airlines"/>
        <s v="Umpqua Bank Greenw"/>
        <s v="In The Red"/>
        <s v="Bed Bath &amp; Beyond"/>
        <s v="Rudy's Barber Shop"/>
        <s v="Usps"/>
        <s v="American Funds 0001002:  Amcap-"/>
        <s v="Alfi's Food &amp; Deli"/>
        <s v="Recreation.Gov"/>
        <s v="Rei (Autopayment)"/>
        <s v="Windows"/>
        <s v="Party @ Display &amp; Costume"/>
        <s v="Tinyprints"/>
        <s v="Busara Thai Cuisine"/>
        <s v="Ken's Market (ATM)"/>
        <s v="Umpqua Bank (ATM)"/>
        <s v="Discover Card"/>
        <s v="Las Brisas"/>
        <s v="Automatic Payment - Thank"/>
        <s v="Portage Bay Cafe"/>
        <s v="Liberty Mutual (Umbrella)"/>
        <s v="Aaa"/>
        <s v="Taqueria Guaymas"/>
        <s v="Taproot Theatre Co"/>
        <s v="Oliver Twist Seattle"/>
        <s v="Clarks Store"/>
        <s v="Msft Account Wa"/>
        <s v="El Gaucho"/>
        <s v="Sears"/>
        <s v="Quarterly Bonus"/>
        <s v="Chargepoint"/>
        <s v="Good To Go"/>
        <s v="Amc"/>
        <s v="UW Medical Center"/>
        <s v="Children's University Medical Group"/>
        <s v="Microsoft Code Msbill"/>
        <s v="Target Card Srvc 001 - Auto Pymt"/>
        <s v="Msft Code Msbill"/>
        <s v="Arena Sports Seattle"/>
        <s v="Menchie's"/>
        <s v="Ivars Seafood"/>
      </sharedItems>
    </cacheField>
    <cacheField name="Memo" numFmtId="0">
      <sharedItems containsBlank="1"/>
    </cacheField>
    <cacheField name="Category" numFmtId="0">
      <sharedItems containsBlank="1"/>
    </cacheField>
    <cacheField name="Check Number" numFmtId="0">
      <sharedItems containsBlank="1" containsMixedTypes="1" containsNumber="1" containsInteger="1" minValue="1092" maxValue="799999943561"/>
    </cacheField>
    <cacheField name="Split" numFmtId="0">
      <sharedItems containsBlank="1"/>
    </cacheField>
    <cacheField name="Tags" numFmtId="0">
      <sharedItems containsBlank="1" containsMixedTypes="1" containsNumber="1" containsInteger="1" minValue="7231" maxValue="9602"/>
    </cacheField>
    <cacheField name="SubCat1" numFmtId="0">
      <sharedItems containsBlank="1" count="54">
        <s v="[Capital One - Investment (6759)]"/>
        <s v="[Capital One - Long Term Emergency (1201)]"/>
        <s v="[Capital One - Secondary Savings (3126)]"/>
        <s v="[Capital One - Vacation (4959)]"/>
        <s v="[First Tech - Short Term Emergency (5400)]"/>
        <s v="[Schwab - Checking (9784)]"/>
        <s v="[Chase Amazon (XX8482)]"/>
        <s v="[Chase Freedom XX9381]"/>
        <s v="[Chase Slate (XX1141)]"/>
        <s v="[Koolikai Credit Card]"/>
        <s v="[Mastercard (Angela)]"/>
        <s v="[REI Mastercard (xx1787)]"/>
        <s v="[Target Red Card]"/>
        <s v="Shopping"/>
        <s v="Home"/>
        <s v="Food &amp; Dining"/>
        <s v="Parties"/>
        <s v="Auto &amp; Transport"/>
        <s v="Health &amp; Fitness"/>
        <s v="Work Expense"/>
        <s v="[American Express (Costco)]"/>
        <s v="[First Tech - Checking (5544)]"/>
        <s v="Charity"/>
        <s v="Vacation"/>
        <s v="[Discover Card]"/>
        <s v="[Koolikai - Checking XX2129]"/>
        <m/>
        <s v="Kids"/>
        <s v="Gifts"/>
        <s v="Other Inc"/>
        <s v="Entertainment"/>
        <s v="Personal Care"/>
        <s v="Bank Fees &amp; Charges"/>
        <s v="Subscriptions &amp; Dues"/>
        <s v="Bills &amp; Utilities"/>
        <s v="Net Salary"/>
        <s v="Business Expenses (Koolikai)"/>
        <s v="Business Income (Koolikai)"/>
        <s v="[MasterCard (Capital One)]"/>
        <s v="Projects"/>
        <s v="Interest Income"/>
        <s v="[Koolikai - Sec Dep XX1200]"/>
        <s v="[Premera Health Care Payment]"/>
        <s v="[Fideity ESPP and Stock Awards]"/>
        <s v="[LPL Financial]"/>
        <s v="Misc Expenses"/>
        <s v="Morale Money"/>
        <s v="Tax"/>
        <s v="[Edward Jones - Roth IRA]"/>
        <s v="[Edward Jones - Investment Account]"/>
        <s v="Financial"/>
        <s v="Not Sure"/>
        <s v="[AmericanWest (1186)]"/>
        <s v="Education"/>
      </sharedItems>
    </cacheField>
    <cacheField name="SubCat2" numFmtId="0">
      <sharedItems containsBlank="1" count="79">
        <m/>
        <s v="Clothing"/>
        <s v="Furnishings"/>
        <s v="Groceries"/>
        <s v="Registration"/>
        <s v="Eyecare"/>
        <s v="Reimbursement"/>
        <s v="Charity (Cash)"/>
        <s v="Food"/>
        <s v="Lodging"/>
        <s v="Auto Lease Payment"/>
        <s v="Parking"/>
        <s v="Kids Activities"/>
        <s v="Babysitter"/>
        <s v="Toys"/>
        <s v="Restaurants"/>
        <s v="Hair"/>
        <s v="ATM Fee"/>
        <s v="Utilities"/>
        <s v="Home Improvement"/>
        <s v="Electronics &amp; Software"/>
        <s v="Reimbursable expense"/>
        <s v="Cell Phone"/>
        <s v="Sports"/>
        <s v="Mobile Phone"/>
        <s v="Rent"/>
        <s v="Transportation"/>
        <s v="Mortgage"/>
        <s v="Trinkets"/>
        <s v="American Funds 529A"/>
        <s v="Mortgage (Business)"/>
        <s v="Bank Fee"/>
        <s v="Television"/>
        <s v="Internet"/>
        <s v="Home Phone"/>
        <s v="Daycare"/>
        <s v="Appliances"/>
        <s v="Gas &amp; Fuel"/>
        <s v="Pharmacy"/>
        <s v="Activities"/>
        <s v="Tolls"/>
        <s v="Repairs"/>
        <s v="Office Expenses (Business)"/>
        <s v="Movies &amp; DVDs"/>
        <s v="School Fees"/>
        <s v="Beauty &amp; Makeup"/>
        <s v="Home Services"/>
        <s v="Landscaping"/>
        <s v="Hobbies"/>
        <s v="Tools"/>
        <s v="Fraud"/>
        <s v="Books"/>
        <s v="Electric Car Setup"/>
        <s v="Dentist"/>
        <s v="Fed"/>
        <s v="Fence"/>
        <s v="Doctor"/>
        <s v="Boy's Room"/>
        <s v="Other"/>
        <s v="Security Deposit"/>
        <s v="Music"/>
        <s v="Prof and Legal Fees"/>
        <s v="Life Insurance"/>
        <s v="Utilities (Business)"/>
        <s v="Service &amp; Parts"/>
        <s v="Financial Advisor"/>
        <s v="Supplies (Business)"/>
        <s v="Insurance (Umbrella)"/>
        <s v="Auto Insurance"/>
        <s v="Postage and Delivery (Business)"/>
        <s v="Spa &amp; Massage"/>
        <s v="Driver's License"/>
        <s v="Projects"/>
        <s v="Taxes (Business)"/>
        <s v="Books &amp; Supplies"/>
        <s v="Community Education"/>
        <s v="Laundry"/>
        <s v="Miscellaneous"/>
        <s v="Sporting Goods"/>
      </sharedItems>
    </cacheField>
    <cacheField name="SubCat3" numFmtId="0">
      <sharedItems containsBlank="1" count="4">
        <m/>
        <s v="Accessories"/>
        <s v="Camping Equipment"/>
        <s v="Budget"/>
      </sharedItems>
    </cacheField>
    <cacheField name="SubCat4" numFmtId="0">
      <sharedItems containsNonDate="0" containsString="0" containsBlank="1"/>
    </cacheField>
    <cacheField name="Local_Tags1" numFmtId="0">
      <sharedItems containsBlank="1" count="26">
        <m/>
        <s v="Smith Christmas"/>
        <s v="SFOM Pool Party"/>
        <s v="Spokane 2014"/>
        <s v="Apps"/>
        <s v="Stay Fit"/>
        <s v="Disneyland 2014"/>
        <s v="Group Meeting Fall"/>
        <s v="Cash Payment for keycard"/>
        <s v="Orcas Island 2015"/>
        <s v="Sedona"/>
        <s v="Kalaloch 2015"/>
        <s v="Mt. Rainier 2014"/>
        <s v="Kalaloch 2014"/>
        <s v="Orcas Island 2014"/>
        <s v="CRAB Breakfast"/>
        <s v="Deception Pass 2014"/>
        <s v="Mt. St. Helens"/>
        <s v="Go Cart Racing"/>
        <s v="Scottsdale 2014"/>
        <s v="Group meeting Spring"/>
        <s v="Seaquest"/>
        <s v="SFOM Spring Sale"/>
        <s v="Moran State Park"/>
        <s v="Sheryl's wedding"/>
        <s v="Family Reunion"/>
      </sharedItems>
    </cacheField>
    <cacheField name="Local_Tags2" numFmtId="0">
      <sharedItems containsNonDate="0" containsString="0" containsBlank="1"/>
    </cacheField>
    <cacheField name="Month" numFmtId="0">
      <sharedItems/>
    </cacheField>
    <cacheField name="Year" numFmtId="0">
      <sharedItems containsMixedTypes="1" containsNumber="1" containsInteger="1" minValue="2014" maxValue="2014"/>
    </cacheField>
    <cacheField name="Type" numFmtId="0">
      <sharedItems/>
    </cacheField>
    <cacheField name="Discretionary" numFmtId="0">
      <sharedItems containsMixedTypes="1" containsNumber="1" containsInteger="1" minValue="0" maxValue="0"/>
    </cacheField>
    <cacheField name="Business" numFmtId="0">
      <sharedItems/>
    </cacheField>
    <cacheField name="Tax Status" numFmtId="0">
      <sharedItems/>
    </cacheField>
    <cacheField name="Concat" numFmtId="0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02">
  <r>
    <s v="Capital One - Investment (6759)"/>
    <d v="2014-12-28T00:00:00"/>
    <n v="0"/>
    <s v="X"/>
    <s v="Balanced"/>
    <s v="@CAT:@@BAL:$47,275.08@"/>
    <s v="[Capital One - Investment (6759)]"/>
    <m/>
    <m/>
    <m/>
    <x v="0"/>
    <x v="0"/>
    <m/>
    <m/>
    <m/>
    <m/>
    <x v="0"/>
    <x v="0"/>
    <x v="0"/>
    <x v="0"/>
    <x v="0"/>
    <s v="None"/>
    <s v="[Capital One - Investment (6759)]"/>
  </r>
  <r>
    <s v="Capital One - Long Term Emergency (1201)"/>
    <d v="2014-12-28T00:00:00"/>
    <n v="0"/>
    <s v="X"/>
    <s v="Balanced"/>
    <s v="@CAT:@@BAL:$118,695.53@"/>
    <s v="[Capital One - Long Term Emergency (1201)]"/>
    <m/>
    <m/>
    <m/>
    <x v="1"/>
    <x v="0"/>
    <m/>
    <m/>
    <m/>
    <m/>
    <x v="0"/>
    <x v="0"/>
    <x v="0"/>
    <x v="0"/>
    <x v="0"/>
    <s v="None"/>
    <s v="[Capital One - Long Term Emergency (1201)]"/>
  </r>
  <r>
    <s v="Capital One - Secondary Savings (3126)"/>
    <d v="2014-12-28T00:00:00"/>
    <n v="0"/>
    <s v="X"/>
    <s v="Balanced"/>
    <s v="@CAT:@@BAL:$123.22@"/>
    <s v="[Capital One - Secondary Savings (3126)]"/>
    <m/>
    <m/>
    <m/>
    <x v="2"/>
    <x v="0"/>
    <m/>
    <m/>
    <m/>
    <m/>
    <x v="0"/>
    <x v="0"/>
    <x v="0"/>
    <x v="0"/>
    <x v="0"/>
    <s v="None"/>
    <s v="[Capital One - Secondary Savings (3126)]"/>
  </r>
  <r>
    <s v="Capital One - Vacation (4959)"/>
    <d v="2014-12-28T00:00:00"/>
    <n v="0"/>
    <s v="X"/>
    <s v="Balanced"/>
    <s v="@CAT:@@BAL:$36,045.87@"/>
    <s v="[Capital One - Vacation (4959)]"/>
    <m/>
    <m/>
    <m/>
    <x v="3"/>
    <x v="0"/>
    <m/>
    <m/>
    <m/>
    <m/>
    <x v="0"/>
    <x v="0"/>
    <x v="0"/>
    <x v="0"/>
    <x v="0"/>
    <s v="None"/>
    <s v="[Capital One - Vacation (4959)]"/>
  </r>
  <r>
    <s v="First Tech - Short Term Emergency (5400)"/>
    <d v="2014-12-28T00:00:00"/>
    <n v="0"/>
    <m/>
    <s v="Balanced"/>
    <s v="@CAT:@@BAL:$5.00@"/>
    <s v="[First Tech - Short Term Emergency (5400)]"/>
    <m/>
    <m/>
    <m/>
    <x v="4"/>
    <x v="0"/>
    <m/>
    <m/>
    <m/>
    <m/>
    <x v="0"/>
    <x v="0"/>
    <x v="0"/>
    <x v="0"/>
    <x v="0"/>
    <s v="None"/>
    <s v="[First Tech - Short Term Emergency (5400)]"/>
  </r>
  <r>
    <s v="Schwab - Checking (9784)"/>
    <d v="2014-12-28T00:00:00"/>
    <n v="0"/>
    <m/>
    <s v="Balanced"/>
    <s v="@CAT:@@BAL:$344.83@"/>
    <s v="[Schwab - Checking (9784)]"/>
    <m/>
    <m/>
    <m/>
    <x v="5"/>
    <x v="0"/>
    <m/>
    <m/>
    <m/>
    <m/>
    <x v="0"/>
    <x v="0"/>
    <x v="0"/>
    <x v="0"/>
    <x v="0"/>
    <s v="None"/>
    <s v="[Schwab - Checking (9784)]"/>
  </r>
  <r>
    <s v="Chase Amazon (XX8482)"/>
    <d v="2014-12-28T00:00:00"/>
    <n v="0"/>
    <m/>
    <s v="Balanced"/>
    <s v="@CAT:@@BAL:$0.00@"/>
    <s v="[Chase Amazon (XX8482)]"/>
    <m/>
    <m/>
    <m/>
    <x v="6"/>
    <x v="0"/>
    <m/>
    <m/>
    <m/>
    <m/>
    <x v="0"/>
    <x v="0"/>
    <x v="1"/>
    <x v="1"/>
    <x v="1"/>
    <e v="#N/A"/>
    <s v="[Chase Amazon (XX8482)]"/>
  </r>
  <r>
    <s v="Chase Freedom XX9381"/>
    <d v="2014-12-28T00:00:00"/>
    <n v="0"/>
    <s v="X"/>
    <s v="Balanced"/>
    <s v="@CAT:@@BAL:$0.00@"/>
    <s v="[Chase Freedom XX9381]"/>
    <m/>
    <m/>
    <m/>
    <x v="7"/>
    <x v="0"/>
    <m/>
    <m/>
    <m/>
    <m/>
    <x v="0"/>
    <x v="0"/>
    <x v="1"/>
    <x v="1"/>
    <x v="1"/>
    <e v="#N/A"/>
    <s v="[Chase Freedom XX9381]"/>
  </r>
  <r>
    <s v="Chase Slate (XX1141)"/>
    <d v="2014-12-28T00:00:00"/>
    <n v="0"/>
    <m/>
    <s v="Balanced"/>
    <s v="@CAT:@@BAL:$0.00@"/>
    <s v="[Chase Slate (XX1141)]"/>
    <m/>
    <m/>
    <m/>
    <x v="8"/>
    <x v="0"/>
    <m/>
    <m/>
    <m/>
    <m/>
    <x v="0"/>
    <x v="0"/>
    <x v="1"/>
    <x v="1"/>
    <x v="1"/>
    <e v="#N/A"/>
    <s v="[Chase Slate (XX1141)]"/>
  </r>
  <r>
    <s v="Koolikai Credit Card"/>
    <d v="2014-12-28T00:00:00"/>
    <n v="0"/>
    <m/>
    <s v="Balanced"/>
    <s v="@CAT:@@BAL:$230.14@"/>
    <s v="[Koolikai Credit Card]"/>
    <m/>
    <m/>
    <m/>
    <x v="9"/>
    <x v="0"/>
    <m/>
    <m/>
    <m/>
    <m/>
    <x v="0"/>
    <x v="0"/>
    <x v="0"/>
    <x v="0"/>
    <x v="0"/>
    <s v="None"/>
    <s v="[Koolikai Credit Card]"/>
  </r>
  <r>
    <s v="Mastercard (Angela)"/>
    <d v="2014-12-28T00:00:00"/>
    <n v="0"/>
    <m/>
    <s v="Balanced"/>
    <s v="@CAT:@@BAL:$0.00@"/>
    <s v="[Mastercard (Angela)]"/>
    <m/>
    <m/>
    <m/>
    <x v="10"/>
    <x v="0"/>
    <m/>
    <m/>
    <m/>
    <m/>
    <x v="0"/>
    <x v="0"/>
    <x v="0"/>
    <x v="0"/>
    <x v="0"/>
    <s v="None"/>
    <s v="[Mastercard (Angela)]"/>
  </r>
  <r>
    <s v="REI Mastercard (xx1787)"/>
    <d v="2014-12-28T00:00:00"/>
    <n v="0"/>
    <m/>
    <s v="Balanced"/>
    <s v="@CAT:@@BAL:$86.51@"/>
    <s v="[REI Mastercard (xx1787)]"/>
    <m/>
    <m/>
    <m/>
    <x v="11"/>
    <x v="0"/>
    <m/>
    <m/>
    <m/>
    <m/>
    <x v="0"/>
    <x v="0"/>
    <x v="1"/>
    <x v="1"/>
    <x v="1"/>
    <e v="#N/A"/>
    <s v="[REI Mastercard (xx1787)]"/>
  </r>
  <r>
    <s v="Target Red Card"/>
    <d v="2014-12-28T00:00:00"/>
    <n v="0"/>
    <m/>
    <s v="Balanced"/>
    <s v="@CAT:@@BAL:$125.01@"/>
    <s v="[Target Red Card]"/>
    <m/>
    <m/>
    <m/>
    <x v="12"/>
    <x v="0"/>
    <m/>
    <m/>
    <m/>
    <m/>
    <x v="0"/>
    <x v="0"/>
    <x v="0"/>
    <x v="0"/>
    <x v="0"/>
    <s v="None"/>
    <s v="[Target Red Card]"/>
  </r>
  <r>
    <s v="American Express (Costco)"/>
    <d v="2014-12-27T00:00:00"/>
    <n v="-10.94"/>
    <m/>
    <s v="Costco"/>
    <s v="Socks"/>
    <s v="Shopping:Clothing/From Receipt"/>
    <m/>
    <s v="Split"/>
    <s v="From Receipt"/>
    <x v="13"/>
    <x v="1"/>
    <m/>
    <m/>
    <m/>
    <m/>
    <x v="0"/>
    <x v="0"/>
    <x v="2"/>
    <x v="0"/>
    <x v="0"/>
    <s v="None"/>
    <s v="Shopping|Clothing"/>
  </r>
  <r>
    <s v="American Express (Costco)"/>
    <d v="2014-12-27T00:00:00"/>
    <n v="-21.89"/>
    <m/>
    <s v="Costco"/>
    <s v="Digital food scale"/>
    <s v="Home:Furnishings/From Receipt"/>
    <m/>
    <s v="Split"/>
    <s v="From Receipt"/>
    <x v="14"/>
    <x v="2"/>
    <m/>
    <m/>
    <m/>
    <m/>
    <x v="0"/>
    <x v="0"/>
    <x v="3"/>
    <x v="0"/>
    <x v="0"/>
    <s v="None"/>
    <s v="Home|Furnishings"/>
  </r>
  <r>
    <s v="American Express (Costco)"/>
    <d v="2014-12-27T00:00:00"/>
    <n v="-48.74"/>
    <m/>
    <s v="Costco"/>
    <m/>
    <s v="Food &amp; Dining:Groceries/From Receipt"/>
    <m/>
    <s v="Split"/>
    <s v="From Receipt"/>
    <x v="15"/>
    <x v="3"/>
    <m/>
    <m/>
    <m/>
    <m/>
    <x v="0"/>
    <x v="0"/>
    <x v="3"/>
    <x v="0"/>
    <x v="0"/>
    <s v="None"/>
    <s v="Food &amp; Dining|Groceries"/>
  </r>
  <r>
    <s v="MasterCard (Capital One)"/>
    <d v="2014-12-27T00:00:00"/>
    <n v="-45"/>
    <m/>
    <s v="Fred Meyer"/>
    <s v="#Smith Christmas#"/>
    <s v="Parties/From Receipt"/>
    <m/>
    <s v="Split"/>
    <s v="From Receipt"/>
    <x v="16"/>
    <x v="0"/>
    <m/>
    <m/>
    <s v="Smith Christmas"/>
    <m/>
    <x v="0"/>
    <x v="0"/>
    <x v="2"/>
    <x v="0"/>
    <x v="0"/>
    <s v="None"/>
    <s v="Parties"/>
  </r>
  <r>
    <s v="MasterCard (Capital One)"/>
    <d v="2014-12-27T00:00:00"/>
    <n v="-119.52"/>
    <m/>
    <s v="Fred Meyer"/>
    <m/>
    <s v="Food &amp; Dining:Groceries/From Receipt"/>
    <m/>
    <s v="Split"/>
    <s v="From Receipt"/>
    <x v="15"/>
    <x v="3"/>
    <m/>
    <m/>
    <m/>
    <m/>
    <x v="0"/>
    <x v="0"/>
    <x v="3"/>
    <x v="0"/>
    <x v="0"/>
    <s v="None"/>
    <s v="Food &amp; Dining|Groceries"/>
  </r>
  <r>
    <s v="MasterCard (Capital One)"/>
    <d v="2014-12-27T00:00:00"/>
    <n v="-15"/>
    <m/>
    <s v="Vehicle Emissions #4"/>
    <s v="Emissions Test"/>
    <s v="Auto &amp; Transport:Registration"/>
    <m/>
    <m/>
    <m/>
    <x v="17"/>
    <x v="4"/>
    <m/>
    <m/>
    <m/>
    <m/>
    <x v="0"/>
    <x v="0"/>
    <x v="2"/>
    <x v="0"/>
    <x v="0"/>
    <s v="None"/>
    <s v="Auto &amp; Transport|Registration"/>
  </r>
  <r>
    <s v="First Tech - Checking (5544)"/>
    <d v="2014-12-26T00:00:00"/>
    <n v="98.99"/>
    <s v="X"/>
    <s v="Dave Smith"/>
    <s v="Zach's Glasses"/>
    <s v="Health &amp; Fitness:Eyecare"/>
    <m/>
    <m/>
    <m/>
    <x v="18"/>
    <x v="5"/>
    <m/>
    <m/>
    <m/>
    <m/>
    <x v="0"/>
    <x v="0"/>
    <x v="4"/>
    <x v="0"/>
    <x v="0"/>
    <s v="None"/>
    <s v="Health &amp; Fitness|Eyecare"/>
  </r>
  <r>
    <s v="First Tech - Checking (5544)"/>
    <d v="2014-12-26T00:00:00"/>
    <n v="300"/>
    <s v="X"/>
    <s v="Angela Smith"/>
    <s v="#SFOM Pool Party# SFOM reimbursement for pool reservation"/>
    <s v="Work Expense:Reimbursement"/>
    <m/>
    <m/>
    <m/>
    <x v="19"/>
    <x v="6"/>
    <m/>
    <m/>
    <s v="SFOM Pool Party"/>
    <m/>
    <x v="0"/>
    <x v="0"/>
    <x v="4"/>
    <x v="0"/>
    <x v="0"/>
    <s v="None"/>
    <s v="Work Expense|Reimbursement"/>
  </r>
  <r>
    <s v="First Tech - Checking (5544)"/>
    <d v="2014-12-26T00:00:00"/>
    <n v="-88.86"/>
    <m/>
    <s v="Chase Autopay (Freedom)"/>
    <m/>
    <s v="[Chase Freedom XX9381]"/>
    <m/>
    <m/>
    <m/>
    <x v="7"/>
    <x v="0"/>
    <m/>
    <m/>
    <m/>
    <m/>
    <x v="0"/>
    <x v="0"/>
    <x v="1"/>
    <x v="1"/>
    <x v="1"/>
    <e v="#N/A"/>
    <s v="[Chase Freedom XX9381]"/>
  </r>
  <r>
    <s v="American Express (Costco)"/>
    <d v="2014-12-26T00:00:00"/>
    <n v="0"/>
    <m/>
    <s v="Balanced"/>
    <s v="@CAT:@@BAL:$0.00@"/>
    <s v="[American Express (Costco)]"/>
    <m/>
    <m/>
    <m/>
    <x v="20"/>
    <x v="0"/>
    <m/>
    <m/>
    <m/>
    <m/>
    <x v="0"/>
    <x v="0"/>
    <x v="0"/>
    <x v="0"/>
    <x v="0"/>
    <s v="None"/>
    <s v="[American Express (Costco)]"/>
  </r>
  <r>
    <s v="Chase Freedom XX9381"/>
    <d v="2014-12-26T00:00:00"/>
    <n v="88.86"/>
    <s v="X"/>
    <s v="Chase Autopay (Freedom)"/>
    <m/>
    <s v="[First Tech - Checking (5544)]"/>
    <m/>
    <m/>
    <m/>
    <x v="21"/>
    <x v="0"/>
    <m/>
    <m/>
    <m/>
    <m/>
    <x v="0"/>
    <x v="0"/>
    <x v="0"/>
    <x v="0"/>
    <x v="0"/>
    <s v="None"/>
    <s v="[First Tech - Checking (5544)]"/>
  </r>
  <r>
    <s v="Discover Card"/>
    <d v="2014-12-26T00:00:00"/>
    <n v="-15"/>
    <m/>
    <s v="National Parks Conservancy Association"/>
    <m/>
    <s v="Charity:Charity (Cash)"/>
    <m/>
    <m/>
    <m/>
    <x v="22"/>
    <x v="7"/>
    <m/>
    <m/>
    <m/>
    <m/>
    <x v="0"/>
    <x v="0"/>
    <x v="2"/>
    <x v="0"/>
    <x v="0"/>
    <s v="None"/>
    <s v="Charity|Charity (Cash)"/>
  </r>
  <r>
    <s v="MasterCard (Capital One)"/>
    <d v="2014-12-26T00:00:00"/>
    <n v="-30.84"/>
    <s v="X"/>
    <s v="Blusterys Burger D"/>
    <s v="#Spokane 2014#"/>
    <s v="Vacation:Food"/>
    <m/>
    <m/>
    <m/>
    <x v="23"/>
    <x v="8"/>
    <m/>
    <m/>
    <s v="Spokane 2014"/>
    <m/>
    <x v="0"/>
    <x v="0"/>
    <x v="4"/>
    <x v="0"/>
    <x v="0"/>
    <s v="None"/>
    <s v="Vacation|Food"/>
  </r>
  <r>
    <s v="Discover Card"/>
    <d v="2014-12-25T00:00:00"/>
    <n v="0"/>
    <m/>
    <s v="Balanced"/>
    <s v="@CAT:@@BAL:$13.10@"/>
    <s v="[Discover Card]"/>
    <m/>
    <m/>
    <m/>
    <x v="24"/>
    <x v="0"/>
    <m/>
    <m/>
    <m/>
    <m/>
    <x v="0"/>
    <x v="0"/>
    <x v="0"/>
    <x v="0"/>
    <x v="0"/>
    <s v="None"/>
    <s v="[Discover Card]"/>
  </r>
  <r>
    <s v="MasterCard (Capital One)"/>
    <d v="2014-12-25T00:00:00"/>
    <n v="-151.84"/>
    <m/>
    <s v="Madison Inn"/>
    <s v="#Spokane 2014#"/>
    <s v="Vacation:Lodging"/>
    <m/>
    <m/>
    <m/>
    <x v="23"/>
    <x v="9"/>
    <m/>
    <m/>
    <s v="Spokane 2014"/>
    <m/>
    <x v="0"/>
    <x v="0"/>
    <x v="4"/>
    <x v="0"/>
    <x v="0"/>
    <s v="None"/>
    <s v="Vacation|Lodging"/>
  </r>
  <r>
    <s v="First Tech - Checking (5544)"/>
    <d v="2014-12-24T00:00:00"/>
    <n v="-347.45"/>
    <s v="X"/>
    <s v="Discover (Autopay)"/>
    <s v="ACH Debit--DISCOVER DC PYMNTS DCIDPIINT - E-PAYMENT"/>
    <s v="[Discover Card]"/>
    <m/>
    <m/>
    <m/>
    <x v="24"/>
    <x v="0"/>
    <m/>
    <m/>
    <m/>
    <m/>
    <x v="0"/>
    <x v="0"/>
    <x v="0"/>
    <x v="0"/>
    <x v="0"/>
    <s v="None"/>
    <s v="[Discover Card]"/>
  </r>
  <r>
    <s v="Koolikai - Checking XX2129"/>
    <d v="2014-12-24T00:00:00"/>
    <n v="-146.88"/>
    <s v="*"/>
    <s v="Chase - Koolikai (Autopay)"/>
    <s v="ACH Debit--CHASE  - AUTOPAYBUS"/>
    <s v="[Koolikai Credit Card]"/>
    <m/>
    <m/>
    <m/>
    <x v="9"/>
    <x v="0"/>
    <m/>
    <m/>
    <m/>
    <m/>
    <x v="0"/>
    <x v="0"/>
    <x v="0"/>
    <x v="0"/>
    <x v="0"/>
    <s v="None"/>
    <s v="[Koolikai Credit Card]"/>
  </r>
  <r>
    <s v="Discover Card"/>
    <d v="2014-12-24T00:00:00"/>
    <n v="347.45"/>
    <s v="X"/>
    <s v="Discover (Autopay)"/>
    <s v="ACH Debit--DISCOVER DC PYMNTS DCIDPIINT - E-PAYMENT"/>
    <s v="[First Tech - Checking (5544)]"/>
    <m/>
    <m/>
    <m/>
    <x v="21"/>
    <x v="0"/>
    <m/>
    <m/>
    <m/>
    <m/>
    <x v="0"/>
    <x v="0"/>
    <x v="0"/>
    <x v="0"/>
    <x v="0"/>
    <s v="None"/>
    <s v="[First Tech - Checking (5544)]"/>
  </r>
  <r>
    <s v="MasterCard (Capital One)"/>
    <d v="2014-12-24T00:00:00"/>
    <n v="-4.49"/>
    <s v="X"/>
    <s v="Rosauers Supermarket"/>
    <s v="#Spokane 2014#"/>
    <s v="Food &amp; Dining:Groceries"/>
    <m/>
    <m/>
    <m/>
    <x v="15"/>
    <x v="3"/>
    <m/>
    <m/>
    <s v="Spokane 2014"/>
    <m/>
    <x v="0"/>
    <x v="0"/>
    <x v="3"/>
    <x v="0"/>
    <x v="0"/>
    <s v="None"/>
    <s v="Food &amp; Dining|Groceries"/>
  </r>
  <r>
    <s v="MasterCard (Capital One)"/>
    <d v="2014-12-24T00:00:00"/>
    <n v="-6.46"/>
    <s v="X"/>
    <s v="Rosauers Supermarket"/>
    <s v="#Spokane 2014#"/>
    <s v="Food &amp; Dining:Groceries"/>
    <m/>
    <m/>
    <m/>
    <x v="15"/>
    <x v="3"/>
    <m/>
    <m/>
    <s v="Spokane 2014"/>
    <m/>
    <x v="0"/>
    <x v="0"/>
    <x v="3"/>
    <x v="0"/>
    <x v="0"/>
    <s v="None"/>
    <s v="Food &amp; Dining|Groceries"/>
  </r>
  <r>
    <s v="MasterCard (Capital One)"/>
    <d v="2014-12-24T00:00:00"/>
    <n v="-12.96"/>
    <s v="X"/>
    <s v="Rosauers Supermarket"/>
    <s v="#Spokane 2014#"/>
    <s v="Food &amp; Dining:Groceries"/>
    <m/>
    <m/>
    <m/>
    <x v="15"/>
    <x v="3"/>
    <m/>
    <m/>
    <s v="Spokane 2014"/>
    <m/>
    <x v="0"/>
    <x v="0"/>
    <x v="3"/>
    <x v="0"/>
    <x v="0"/>
    <s v="None"/>
    <s v="Food &amp; Dining|Groceries"/>
  </r>
  <r>
    <s v="MasterCard (Capital One)"/>
    <d v="2014-12-24T00:00:00"/>
    <n v="-16.78"/>
    <s v="X"/>
    <s v="Mcdonald's"/>
    <s v="#Spokane 2014#"/>
    <s v="Vacation:Food"/>
    <m/>
    <m/>
    <m/>
    <x v="23"/>
    <x v="8"/>
    <m/>
    <m/>
    <s v="Spokane 2014"/>
    <m/>
    <x v="0"/>
    <x v="0"/>
    <x v="4"/>
    <x v="0"/>
    <x v="0"/>
    <s v="None"/>
    <s v="Vacation|Food"/>
  </r>
  <r>
    <s v="First Tech - Checking (5544)"/>
    <d v="2014-12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0"/>
    <x v="0"/>
    <x v="3"/>
    <x v="0"/>
    <x v="0"/>
    <s v="None"/>
    <s v="Auto &amp; Transport|Auto Lease Payment"/>
  </r>
  <r>
    <s v="Koolikai Credit Card"/>
    <d v="2014-12-23T00:00:00"/>
    <n v="146.88"/>
    <s v="*"/>
    <s v="Chase - Koolikai (Autopay)"/>
    <m/>
    <s v="[Koolikai - Checking XX2129]"/>
    <m/>
    <m/>
    <m/>
    <x v="25"/>
    <x v="0"/>
    <m/>
    <m/>
    <m/>
    <m/>
    <x v="0"/>
    <x v="0"/>
    <x v="0"/>
    <x v="0"/>
    <x v="0"/>
    <s v="None"/>
    <s v="[Koolikai - Checking XX2129]"/>
  </r>
  <r>
    <s v="MasterCard (Capital One)"/>
    <d v="2014-12-23T00:00:00"/>
    <n v="-15.86"/>
    <s v="X"/>
    <s v="Diamond Parking"/>
    <m/>
    <s v="Auto &amp; Transport:Parking"/>
    <m/>
    <m/>
    <m/>
    <x v="17"/>
    <x v="11"/>
    <m/>
    <m/>
    <m/>
    <m/>
    <x v="0"/>
    <x v="0"/>
    <x v="3"/>
    <x v="0"/>
    <x v="0"/>
    <s v="None"/>
    <s v="Auto &amp; Transport|Parking"/>
  </r>
  <r>
    <s v="Edward Jones - Roth IRA"/>
    <d v="2014-12-23T00:00:00"/>
    <n v="332.99"/>
    <s v="c"/>
    <m/>
    <m/>
    <m/>
    <s v="ReinvLg"/>
    <m/>
    <m/>
    <x v="26"/>
    <x v="0"/>
    <m/>
    <m/>
    <m/>
    <m/>
    <x v="0"/>
    <x v="0"/>
    <x v="1"/>
    <x v="1"/>
    <x v="1"/>
    <e v="#N/A"/>
    <n v="0"/>
  </r>
  <r>
    <s v="Edward Jones - Roth IRA"/>
    <d v="2014-12-23T00:00:00"/>
    <n v="59.77"/>
    <s v="c"/>
    <m/>
    <m/>
    <m/>
    <s v="ReinvDiv"/>
    <m/>
    <m/>
    <x v="26"/>
    <x v="0"/>
    <m/>
    <m/>
    <m/>
    <m/>
    <x v="0"/>
    <x v="0"/>
    <x v="1"/>
    <x v="1"/>
    <x v="1"/>
    <e v="#N/A"/>
    <n v="0"/>
  </r>
  <r>
    <s v="First Tech - Checking (5544)"/>
    <d v="2014-12-22T00:00:00"/>
    <n v="-98"/>
    <s v="X"/>
    <s v="Pacific Science Center The"/>
    <s v="Annual membership"/>
    <s v="Kids:Kids Activities/Tax Related"/>
    <n v="2144"/>
    <m/>
    <s v="Tax Related"/>
    <x v="27"/>
    <x v="12"/>
    <m/>
    <m/>
    <m/>
    <m/>
    <x v="0"/>
    <x v="0"/>
    <x v="3"/>
    <x v="0"/>
    <x v="0"/>
    <s v="None"/>
    <s v="Kids|Kids Activities"/>
  </r>
  <r>
    <s v="First Tech - Checking (5544)"/>
    <d v="2014-12-22T00:00:00"/>
    <n v="-70"/>
    <s v="X"/>
    <s v="Poppy Weber"/>
    <s v="LBJ: The Great Society"/>
    <s v="Kids:Babysitter"/>
    <n v="2146"/>
    <m/>
    <m/>
    <x v="27"/>
    <x v="13"/>
    <m/>
    <m/>
    <m/>
    <m/>
    <x v="0"/>
    <x v="0"/>
    <x v="3"/>
    <x v="0"/>
    <x v="0"/>
    <s v="None"/>
    <s v="Kids|Babysitter"/>
  </r>
  <r>
    <s v="First Tech - Checking (5544)"/>
    <d v="2014-12-22T00:00:00"/>
    <n v="-75"/>
    <s v="X"/>
    <s v="Christi Steinburg"/>
    <s v="Gifts for CDC teachers"/>
    <s v="Gifts"/>
    <n v="2147"/>
    <m/>
    <m/>
    <x v="28"/>
    <x v="0"/>
    <m/>
    <m/>
    <m/>
    <m/>
    <x v="0"/>
    <x v="0"/>
    <x v="3"/>
    <x v="0"/>
    <x v="0"/>
    <s v="None"/>
    <s v="Gifts"/>
  </r>
  <r>
    <s v="MasterCard (Capital One)"/>
    <d v="2014-12-22T00:00:00"/>
    <n v="-13.98"/>
    <s v="X"/>
    <s v="Ken Market"/>
    <m/>
    <s v="Food &amp; Dining:Groceries"/>
    <m/>
    <m/>
    <m/>
    <x v="15"/>
    <x v="3"/>
    <m/>
    <m/>
    <m/>
    <m/>
    <x v="0"/>
    <x v="0"/>
    <x v="3"/>
    <x v="0"/>
    <x v="0"/>
    <s v="None"/>
    <s v="Food &amp; Dining|Groceries"/>
  </r>
  <r>
    <s v="Target Red Card"/>
    <d v="2014-12-22T00:00:00"/>
    <n v="-41.6"/>
    <s v="*"/>
    <s v="Target"/>
    <s v="Settlers of Catan"/>
    <s v="Gifts/From Receipt"/>
    <n v="799999943561"/>
    <s v="Split"/>
    <s v="From Receipt"/>
    <x v="28"/>
    <x v="0"/>
    <m/>
    <m/>
    <m/>
    <m/>
    <x v="0"/>
    <x v="0"/>
    <x v="3"/>
    <x v="0"/>
    <x v="0"/>
    <s v="None"/>
    <s v="Gifts"/>
  </r>
  <r>
    <s v="Target Red Card"/>
    <d v="2014-12-22T00:00:00"/>
    <n v="-49.91"/>
    <s v="*"/>
    <s v="Target"/>
    <s v="Disney planes and cars sets"/>
    <s v="Kids:Toys/From Receipt"/>
    <n v="799999943561"/>
    <s v="Split"/>
    <s v="From Receipt"/>
    <x v="27"/>
    <x v="14"/>
    <m/>
    <m/>
    <m/>
    <m/>
    <x v="0"/>
    <x v="0"/>
    <x v="3"/>
    <x v="0"/>
    <x v="0"/>
    <s v="None"/>
    <s v="Kids|Toys"/>
  </r>
  <r>
    <s v="Koolikai Credit Card"/>
    <d v="2014-12-21T00:00:00"/>
    <n v="-65.7"/>
    <s v="*"/>
    <s v="Fred Meyer"/>
    <s v="Angela's Christmas sweatshirt"/>
    <s v="Shopping:Clothing/From Receipt"/>
    <m/>
    <s v="Split"/>
    <s v="From Receipt"/>
    <x v="13"/>
    <x v="1"/>
    <m/>
    <m/>
    <m/>
    <m/>
    <x v="0"/>
    <x v="0"/>
    <x v="2"/>
    <x v="0"/>
    <x v="0"/>
    <s v="None"/>
    <s v="Shopping|Clothing"/>
  </r>
  <r>
    <s v="Koolikai Credit Card"/>
    <d v="2014-12-21T00:00:00"/>
    <n v="-17.559999999999999"/>
    <s v="*"/>
    <s v="Fred Meyer"/>
    <m/>
    <s v="Food &amp; Dining:Groceries/From Receipt"/>
    <m/>
    <s v="Split"/>
    <s v="From Receipt"/>
    <x v="15"/>
    <x v="3"/>
    <m/>
    <m/>
    <m/>
    <m/>
    <x v="0"/>
    <x v="0"/>
    <x v="3"/>
    <x v="0"/>
    <x v="0"/>
    <s v="None"/>
    <s v="Food &amp; Dining|Groceries"/>
  </r>
  <r>
    <s v="MasterCard (Capital One)"/>
    <d v="2014-12-21T00:00:00"/>
    <n v="-3.5"/>
    <s v="X"/>
    <s v="Qfc"/>
    <m/>
    <s v="Food &amp; Dining:Groceries"/>
    <m/>
    <m/>
    <m/>
    <x v="15"/>
    <x v="3"/>
    <m/>
    <m/>
    <m/>
    <m/>
    <x v="0"/>
    <x v="0"/>
    <x v="3"/>
    <x v="0"/>
    <x v="0"/>
    <s v="None"/>
    <s v="Food &amp; Dining|Groceries"/>
  </r>
  <r>
    <s v="MasterCard (Capital One)"/>
    <d v="2014-12-21T00:00:00"/>
    <n v="-8.76"/>
    <s v="X"/>
    <s v="Quincy"/>
    <m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MasterCard (Capital One)"/>
    <d v="2014-12-21T00:00:00"/>
    <n v="-12"/>
    <s v="X"/>
    <s v="Childrens Museum"/>
    <m/>
    <s v="Kids:Kids Activities"/>
    <m/>
    <m/>
    <m/>
    <x v="27"/>
    <x v="12"/>
    <m/>
    <m/>
    <m/>
    <m/>
    <x v="0"/>
    <x v="0"/>
    <x v="3"/>
    <x v="0"/>
    <x v="0"/>
    <s v="None"/>
    <s v="Kids|Kids Activities"/>
  </r>
  <r>
    <s v="MasterCard (Capital One)"/>
    <d v="2014-12-21T00:00:00"/>
    <n v="-19.579999999999998"/>
    <s v="X"/>
    <s v="Mod Superfast Pizza"/>
    <m/>
    <s v="Food &amp; Dining:Restaurants/From Receipt"/>
    <m/>
    <m/>
    <s v="From Receipt"/>
    <x v="15"/>
    <x v="15"/>
    <m/>
    <m/>
    <m/>
    <m/>
    <x v="0"/>
    <x v="0"/>
    <x v="3"/>
    <x v="0"/>
    <x v="0"/>
    <s v="None"/>
    <s v="Food &amp; Dining|Restaurants"/>
  </r>
  <r>
    <s v="MasterCard (Capital One)"/>
    <d v="2014-12-20T00:00:00"/>
    <n v="-10.94"/>
    <s v="X"/>
    <s v="Barnes &amp; Noble"/>
    <m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20T00:00:00"/>
    <n v="-27.36"/>
    <s v="X"/>
    <s v="Jcpenney"/>
    <m/>
    <s v="Gifts/From Receipt"/>
    <m/>
    <m/>
    <s v="From Receipt"/>
    <x v="28"/>
    <x v="0"/>
    <m/>
    <m/>
    <m/>
    <m/>
    <x v="0"/>
    <x v="0"/>
    <x v="3"/>
    <x v="0"/>
    <x v="0"/>
    <s v="None"/>
    <s v="Gifts"/>
  </r>
  <r>
    <s v="MasterCard (Capital One)"/>
    <d v="2014-12-20T00:00:00"/>
    <n v="-27.36"/>
    <s v="X"/>
    <s v="Holiday Mall Photos"/>
    <s v="Christmas pictures"/>
    <s v="Home:Furnishings"/>
    <m/>
    <m/>
    <m/>
    <x v="14"/>
    <x v="2"/>
    <m/>
    <m/>
    <m/>
    <m/>
    <x v="0"/>
    <x v="0"/>
    <x v="3"/>
    <x v="0"/>
    <x v="0"/>
    <s v="None"/>
    <s v="Home|Furnishings"/>
  </r>
  <r>
    <s v="MasterCard (Capital One)"/>
    <d v="2014-12-20T00:00:00"/>
    <n v="-91.87"/>
    <s v="X"/>
    <s v="Fred Meyer"/>
    <s v="Includes Christmas treats and stocking stuffers"/>
    <s v="Food &amp; Dining:Groceries/From Receipt"/>
    <m/>
    <m/>
    <s v="From Receipt"/>
    <x v="15"/>
    <x v="3"/>
    <m/>
    <m/>
    <m/>
    <m/>
    <x v="0"/>
    <x v="0"/>
    <x v="3"/>
    <x v="0"/>
    <x v="0"/>
    <s v="None"/>
    <s v="Food &amp; Dining|Groceries"/>
  </r>
  <r>
    <s v="First Tech - Checking (5544)"/>
    <d v="2014-12-19T00:00:00"/>
    <n v="-45"/>
    <s v="X"/>
    <s v="Greenlake PTA"/>
    <s v="Christmas Tree@CAT:@@BAL:$29,866.34@"/>
    <s v="Home:Furnishings"/>
    <n v="2145"/>
    <m/>
    <m/>
    <x v="14"/>
    <x v="2"/>
    <m/>
    <m/>
    <m/>
    <m/>
    <x v="0"/>
    <x v="0"/>
    <x v="3"/>
    <x v="0"/>
    <x v="0"/>
    <s v="None"/>
    <s v="Home|Furnishings"/>
  </r>
  <r>
    <s v="MasterCard (Capital One)"/>
    <d v="2014-12-19T00:00:00"/>
    <n v="25"/>
    <s v="X"/>
    <s v="Cash Back Reward"/>
    <m/>
    <s v="Other Inc"/>
    <m/>
    <m/>
    <m/>
    <x v="29"/>
    <x v="0"/>
    <m/>
    <m/>
    <m/>
    <m/>
    <x v="0"/>
    <x v="0"/>
    <x v="3"/>
    <x v="0"/>
    <x v="0"/>
    <s v="None"/>
    <s v="Other Inc"/>
  </r>
  <r>
    <s v="MasterCard (Capital One)"/>
    <d v="2014-12-19T00:00:00"/>
    <n v="-12.03"/>
    <s v="X"/>
    <s v="O'reilly Auto Parts"/>
    <s v="Oil pan for magnets"/>
    <s v="Kids:Toys/From Receipt"/>
    <m/>
    <m/>
    <s v="From Receipt"/>
    <x v="27"/>
    <x v="14"/>
    <m/>
    <m/>
    <m/>
    <m/>
    <x v="0"/>
    <x v="0"/>
    <x v="3"/>
    <x v="0"/>
    <x v="0"/>
    <s v="None"/>
    <s v="Kids|Toys"/>
  </r>
  <r>
    <s v="MasterCard (Capital One)"/>
    <d v="2014-12-19T00:00:00"/>
    <n v="-15.86"/>
    <s v="X"/>
    <s v="Diamond Parking"/>
    <m/>
    <s v="Auto &amp; Transport:Parking"/>
    <m/>
    <m/>
    <m/>
    <x v="17"/>
    <x v="11"/>
    <m/>
    <m/>
    <m/>
    <m/>
    <x v="0"/>
    <x v="0"/>
    <x v="3"/>
    <x v="0"/>
    <x v="0"/>
    <s v="None"/>
    <s v="Auto &amp; Transport|Parking"/>
  </r>
  <r>
    <s v="MasterCard (Capital One)"/>
    <d v="2014-12-19T00:00:00"/>
    <n v="-34"/>
    <s v="X"/>
    <s v="Starbucks"/>
    <s v="Specialty coffees"/>
    <s v="Gifts/From Receipt"/>
    <m/>
    <m/>
    <s v="From Receipt"/>
    <x v="28"/>
    <x v="0"/>
    <m/>
    <m/>
    <m/>
    <m/>
    <x v="0"/>
    <x v="0"/>
    <x v="3"/>
    <x v="0"/>
    <x v="0"/>
    <s v="None"/>
    <s v="Gifts"/>
  </r>
  <r>
    <s v="MasterCard (Capital One)"/>
    <d v="2014-12-19T00:00:00"/>
    <n v="-11"/>
    <s v="X"/>
    <s v="Pac Sci Ctr"/>
    <s v="Movies with Diz - InterStellar"/>
    <s v="Entertainment"/>
    <m/>
    <m/>
    <m/>
    <x v="30"/>
    <x v="0"/>
    <m/>
    <m/>
    <m/>
    <m/>
    <x v="0"/>
    <x v="0"/>
    <x v="3"/>
    <x v="0"/>
    <x v="0"/>
    <s v="None"/>
    <s v="Entertainment"/>
  </r>
  <r>
    <s v="MasterCard (Capital One)"/>
    <d v="2014-12-19T00:00:00"/>
    <n v="-13.88"/>
    <s v="X"/>
    <s v="Taco Del Mar"/>
    <s v="2011: TACO DEL MAR GREENWOOD SEATTLE WA 98103 USA"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MasterCard (Capital One)"/>
    <d v="2014-12-19T00:00:00"/>
    <n v="-14.81"/>
    <s v="X"/>
    <s v="Pie Center"/>
    <m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REI Mastercard (xx1787)"/>
    <d v="2014-12-19T00:00:00"/>
    <n v="-5"/>
    <s v="*"/>
    <s v="Rei"/>
    <s v="Bronner's soap"/>
    <s v="Food &amp; Dining:Groceries/From Receipt"/>
    <m/>
    <s v="Split"/>
    <s v="From Receipt"/>
    <x v="15"/>
    <x v="3"/>
    <m/>
    <m/>
    <m/>
    <m/>
    <x v="0"/>
    <x v="0"/>
    <x v="3"/>
    <x v="0"/>
    <x v="0"/>
    <s v="None"/>
    <s v="Food &amp; Dining|Groceries"/>
  </r>
  <r>
    <s v="REI Mastercard (xx1787)"/>
    <d v="2014-12-19T00:00:00"/>
    <n v="-6.57"/>
    <s v="*"/>
    <s v="Rei"/>
    <s v="Key ring"/>
    <s v="Shopping:Clothing/From Receipt"/>
    <m/>
    <s v="Split"/>
    <s v="From Receipt"/>
    <x v="13"/>
    <x v="1"/>
    <m/>
    <m/>
    <m/>
    <m/>
    <x v="0"/>
    <x v="0"/>
    <x v="2"/>
    <x v="0"/>
    <x v="0"/>
    <s v="None"/>
    <s v="Shopping|Clothing"/>
  </r>
  <r>
    <s v="REI Mastercard (xx1787)"/>
    <d v="2014-12-19T00:00:00"/>
    <n v="-15.33"/>
    <s v="*"/>
    <s v="Rei"/>
    <s v="Cell phone case for Kurt"/>
    <s v="Gifts/From Receipt"/>
    <m/>
    <s v="Split"/>
    <s v="From Receipt"/>
    <x v="28"/>
    <x v="0"/>
    <m/>
    <m/>
    <m/>
    <m/>
    <x v="0"/>
    <x v="0"/>
    <x v="3"/>
    <x v="0"/>
    <x v="0"/>
    <s v="None"/>
    <s v="Gifts"/>
  </r>
  <r>
    <s v="REI Mastercard (xx1787)"/>
    <d v="2014-12-19T00:00:00"/>
    <n v="-15.81"/>
    <s v="*"/>
    <s v="Rei"/>
    <s v="eQua Hand Towel"/>
    <s v="Charity:Charity (Cash)/From Receipt"/>
    <m/>
    <s v="Split"/>
    <s v="From Receipt"/>
    <x v="22"/>
    <x v="7"/>
    <m/>
    <m/>
    <m/>
    <m/>
    <x v="0"/>
    <x v="0"/>
    <x v="2"/>
    <x v="0"/>
    <x v="0"/>
    <s v="None"/>
    <s v="Charity|Charity (Cash)"/>
  </r>
  <r>
    <s v="MasterCard (Capital One)"/>
    <d v="2014-12-18T00:00:00"/>
    <n v="-15.05"/>
    <s v="X"/>
    <s v="Amazon"/>
    <s v="Mt. St. Helens Video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8T00:00:00"/>
    <n v="-60.23"/>
    <s v="X"/>
    <s v="Rei"/>
    <s v="Angela's Christmas present"/>
    <s v="Shopping:Clothing/From Receipt"/>
    <m/>
    <m/>
    <s v="From Receipt"/>
    <x v="13"/>
    <x v="1"/>
    <m/>
    <m/>
    <m/>
    <m/>
    <x v="0"/>
    <x v="0"/>
    <x v="2"/>
    <x v="0"/>
    <x v="0"/>
    <s v="None"/>
    <s v="Shopping|Clothing"/>
  </r>
  <r>
    <s v="Schwab - Checking (9784)"/>
    <d v="2014-12-17T00:00:00"/>
    <n v="-60"/>
    <s v="X"/>
    <s v="Kens Market"/>
    <s v="Boy's haircut"/>
    <s v="Personal Care:Hair"/>
    <m/>
    <s v="Split"/>
    <m/>
    <x v="31"/>
    <x v="16"/>
    <m/>
    <m/>
    <m/>
    <m/>
    <x v="0"/>
    <x v="0"/>
    <x v="3"/>
    <x v="0"/>
    <x v="0"/>
    <s v="None"/>
    <s v="Personal Care|Hair"/>
  </r>
  <r>
    <s v="Schwab - Checking (9784)"/>
    <d v="2014-12-17T00:00:00"/>
    <n v="-2"/>
    <s v="X"/>
    <s v="Kens Market"/>
    <m/>
    <s v="Bank Fees &amp; Charges:ATM Fee"/>
    <m/>
    <s v="Split"/>
    <m/>
    <x v="32"/>
    <x v="17"/>
    <m/>
    <m/>
    <m/>
    <m/>
    <x v="0"/>
    <x v="0"/>
    <x v="3"/>
    <x v="0"/>
    <x v="0"/>
    <s v="None"/>
    <s v="Bank Fees &amp; Charges|ATM Fee"/>
  </r>
  <r>
    <s v="MasterCard (Capital One)"/>
    <d v="2014-12-17T00:00:00"/>
    <n v="-1.62"/>
    <s v="X"/>
    <s v="Taco Del Mar"/>
    <s v="2011: TACO DEL MAR GREENWOOD SEATTLE WA 98103 USA"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MasterCard (Capital One)"/>
    <d v="2014-12-17T00:00:00"/>
    <n v="-3.32"/>
    <s v="X"/>
    <s v="Park"/>
    <m/>
    <s v="Auto &amp; Transport:Parking"/>
    <m/>
    <m/>
    <m/>
    <x v="17"/>
    <x v="11"/>
    <m/>
    <m/>
    <m/>
    <m/>
    <x v="0"/>
    <x v="0"/>
    <x v="3"/>
    <x v="0"/>
    <x v="0"/>
    <s v="None"/>
    <s v="Auto &amp; Transport|Parking"/>
  </r>
  <r>
    <s v="MasterCard (Capital One)"/>
    <d v="2014-12-17T00:00:00"/>
    <n v="-6.56"/>
    <s v="X"/>
    <s v="Marbles Brain Stor"/>
    <s v="Foot massager for Angela"/>
    <s v="Shopping:Clothing/From Receipt"/>
    <m/>
    <m/>
    <s v="From Receipt"/>
    <x v="13"/>
    <x v="1"/>
    <m/>
    <m/>
    <m/>
    <m/>
    <x v="0"/>
    <x v="0"/>
    <x v="2"/>
    <x v="0"/>
    <x v="0"/>
    <s v="None"/>
    <s v="Shopping|Clothing"/>
  </r>
  <r>
    <s v="MasterCard (Capital One)"/>
    <d v="2014-12-17T00:00:00"/>
    <n v="-7.95"/>
    <s v="X"/>
    <s v="Starbucks"/>
    <m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17T00:00:00"/>
    <n v="-8.75"/>
    <s v="X"/>
    <s v="Blue Water Taco"/>
    <m/>
    <s v="Food &amp; Dining:Restaurants/From Receipt"/>
    <m/>
    <m/>
    <s v="From Receipt"/>
    <x v="15"/>
    <x v="15"/>
    <m/>
    <m/>
    <m/>
    <m/>
    <x v="0"/>
    <x v="0"/>
    <x v="3"/>
    <x v="0"/>
    <x v="0"/>
    <s v="None"/>
    <s v="Food &amp; Dining|Restaurants"/>
  </r>
  <r>
    <s v="MasterCard (Capital One)"/>
    <d v="2014-12-17T00:00:00"/>
    <n v="-13.81"/>
    <s v="X"/>
    <s v="Taco Del Mar"/>
    <s v="2011: TACO DEL MAR GREENWOOD SEATTLE WA 98103 USA"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MasterCard (Capital One)"/>
    <d v="2014-12-17T00:00:00"/>
    <n v="-17.510000000000002"/>
    <s v="X"/>
    <s v="Amazon"/>
    <s v="Microscope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7T00:00:00"/>
    <n v="-34.159999999999997"/>
    <s v="X"/>
    <s v="Amazon"/>
    <s v="Bath toys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7T00:00:00"/>
    <n v="-52.99"/>
    <s v="X"/>
    <s v="Amazon"/>
    <s v="Pirate ship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6T00:00:00"/>
    <n v="-4.37"/>
    <s v="X"/>
    <s v="Pandora"/>
    <m/>
    <s v="Subscriptions &amp; Dues"/>
    <m/>
    <m/>
    <m/>
    <x v="33"/>
    <x v="0"/>
    <m/>
    <m/>
    <m/>
    <m/>
    <x v="0"/>
    <x v="0"/>
    <x v="2"/>
    <x v="0"/>
    <x v="0"/>
    <s v="None"/>
    <s v="Subscriptions &amp; Dues"/>
  </r>
  <r>
    <s v="MasterCard (Capital One)"/>
    <d v="2014-12-16T00:00:00"/>
    <n v="-6.52"/>
    <s v="X"/>
    <s v="Amazon"/>
    <s v="@CAT:@Map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6T00:00:00"/>
    <n v="-9.4700000000000006"/>
    <s v="X"/>
    <s v="Trader Joe's"/>
    <m/>
    <s v="Food &amp; Dining:Groceries/From Receipt"/>
    <m/>
    <m/>
    <s v="From Receipt"/>
    <x v="15"/>
    <x v="3"/>
    <m/>
    <m/>
    <m/>
    <m/>
    <x v="0"/>
    <x v="0"/>
    <x v="3"/>
    <x v="0"/>
    <x v="0"/>
    <s v="None"/>
    <s v="Food &amp; Dining|Groceries"/>
  </r>
  <r>
    <s v="MasterCard (Capital One)"/>
    <d v="2014-12-16T00:00:00"/>
    <n v="-20.77"/>
    <s v="X"/>
    <s v="Fred Meyer"/>
    <s v="Giving tree at CDC"/>
    <s v="Charity:Charity (Cash)/From Receipt"/>
    <m/>
    <m/>
    <s v="From Receipt"/>
    <x v="22"/>
    <x v="7"/>
    <m/>
    <m/>
    <m/>
    <m/>
    <x v="0"/>
    <x v="0"/>
    <x v="2"/>
    <x v="0"/>
    <x v="0"/>
    <s v="None"/>
    <s v="Charity|Charity (Cash)"/>
  </r>
  <r>
    <s v="MasterCard (Capital One)"/>
    <d v="2014-12-16T00:00:00"/>
    <n v="-32.69"/>
    <s v="X"/>
    <s v="Amazon"/>
    <s v="Medical playset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6T00:00:00"/>
    <n v="-36.03"/>
    <s v="X"/>
    <s v="Amazon"/>
    <s v="Stuffies, books, and pencils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6T00:00:00"/>
    <n v="-57.88"/>
    <s v="X"/>
    <s v="Amazon"/>
    <s v="Videos and stuffies"/>
    <s v="Kids:Toys"/>
    <m/>
    <m/>
    <m/>
    <x v="27"/>
    <x v="14"/>
    <m/>
    <m/>
    <m/>
    <m/>
    <x v="0"/>
    <x v="0"/>
    <x v="3"/>
    <x v="0"/>
    <x v="0"/>
    <s v="None"/>
    <s v="Kids|Toys"/>
  </r>
  <r>
    <s v="MasterCard (Capital One)"/>
    <d v="2014-12-16T00:00:00"/>
    <n v="-97.44"/>
    <s v="X"/>
    <s v="Fireworks Cen"/>
    <m/>
    <s v="Gifts/From Receipt"/>
    <m/>
    <m/>
    <s v="From Receipt"/>
    <x v="28"/>
    <x v="0"/>
    <m/>
    <m/>
    <m/>
    <m/>
    <x v="0"/>
    <x v="0"/>
    <x v="3"/>
    <x v="0"/>
    <x v="0"/>
    <s v="None"/>
    <s v="Gifts"/>
  </r>
  <r>
    <s v="First Tech - Checking (5544)"/>
    <d v="2014-12-15T00:00:00"/>
    <n v="-103.03"/>
    <s v="X"/>
    <s v="Puget Sound Energy"/>
    <s v="ACH Debit--PUGET SOUND ENER DIRECT DEBITING - PSE BILL  36250555"/>
    <s v="Bills &amp; Utilities:Utilities"/>
    <m/>
    <m/>
    <m/>
    <x v="34"/>
    <x v="18"/>
    <m/>
    <m/>
    <m/>
    <m/>
    <x v="0"/>
    <x v="0"/>
    <x v="3"/>
    <x v="0"/>
    <x v="0"/>
    <s v="None"/>
    <s v="Bills &amp; Utilities|Utilities"/>
  </r>
  <r>
    <s v="First Tech - Checking (5544)"/>
    <d v="2014-12-15T00:00:00"/>
    <n v="-246.38"/>
    <s v="X"/>
    <s v="Northwest Awning Online"/>
    <s v="Awning repair"/>
    <s v="Home:Home Improvement"/>
    <m/>
    <m/>
    <m/>
    <x v="14"/>
    <x v="19"/>
    <m/>
    <m/>
    <m/>
    <m/>
    <x v="0"/>
    <x v="0"/>
    <x v="4"/>
    <x v="0"/>
    <x v="0"/>
    <s v="None"/>
    <s v="Home|Home Improvement"/>
  </r>
  <r>
    <s v="MasterCard (Capital One)"/>
    <d v="2014-12-15T00:00:00"/>
    <n v="-7.32"/>
    <s v="X"/>
    <s v="Diamond Parking"/>
    <m/>
    <s v="Auto &amp; Transport:Parking"/>
    <m/>
    <m/>
    <m/>
    <x v="17"/>
    <x v="11"/>
    <m/>
    <m/>
    <m/>
    <m/>
    <x v="0"/>
    <x v="0"/>
    <x v="3"/>
    <x v="0"/>
    <x v="0"/>
    <s v="None"/>
    <s v="Auto &amp; Transport|Parking"/>
  </r>
  <r>
    <s v="First Tech - Checking (5544)"/>
    <d v="2014-12-14T00:00:00"/>
    <n v="5548.92"/>
    <s v="X"/>
    <s v="Microsoft (Paystub)"/>
    <s v="ACH Deposit--MICROSOFT  - EDIPAYMENT"/>
    <s v="Net Salary"/>
    <m/>
    <m/>
    <m/>
    <x v="35"/>
    <x v="0"/>
    <m/>
    <m/>
    <m/>
    <m/>
    <x v="0"/>
    <x v="0"/>
    <x v="3"/>
    <x v="0"/>
    <x v="0"/>
    <s v="None"/>
    <s v="Net Salary"/>
  </r>
  <r>
    <s v="MasterCard (Capital One)"/>
    <d v="2014-12-14T00:00:00"/>
    <n v="-6.23"/>
    <s v="X"/>
    <s v="Greenwood Hardware"/>
    <s v="Christmas light supplies"/>
    <s v="Home:Furnishings/From Receipt"/>
    <m/>
    <m/>
    <s v="From Receipt"/>
    <x v="14"/>
    <x v="2"/>
    <m/>
    <m/>
    <m/>
    <m/>
    <x v="0"/>
    <x v="0"/>
    <x v="3"/>
    <x v="0"/>
    <x v="0"/>
    <s v="None"/>
    <s v="Home|Furnishings"/>
  </r>
  <r>
    <s v="MasterCard (Capital One)"/>
    <d v="2014-12-14T00:00:00"/>
    <n v="-6.56"/>
    <s v="X"/>
    <s v="Fred Meyer"/>
    <s v="Christmas Tree decorations"/>
    <s v="Home:Furnishings/From Receipt"/>
    <m/>
    <s v="Split"/>
    <s v="From Receipt"/>
    <x v="14"/>
    <x v="2"/>
    <m/>
    <m/>
    <m/>
    <m/>
    <x v="0"/>
    <x v="0"/>
    <x v="3"/>
    <x v="0"/>
    <x v="0"/>
    <s v="None"/>
    <s v="Home|Furnishings"/>
  </r>
  <r>
    <s v="MasterCard (Capital One)"/>
    <d v="2014-12-14T00:00:00"/>
    <n v="-2"/>
    <s v="X"/>
    <s v="Fred Meyer"/>
    <m/>
    <s v="Food &amp; Dining:Groceries/From Receipt"/>
    <m/>
    <s v="Split"/>
    <s v="From Receipt"/>
    <x v="15"/>
    <x v="3"/>
    <m/>
    <m/>
    <m/>
    <m/>
    <x v="0"/>
    <x v="0"/>
    <x v="3"/>
    <x v="0"/>
    <x v="0"/>
    <s v="None"/>
    <s v="Food &amp; Dining|Groceries"/>
  </r>
  <r>
    <s v="MasterCard (Capital One)"/>
    <d v="2014-12-14T00:00:00"/>
    <n v="-9.8800000000000008"/>
    <s v="X"/>
    <s v="Fred Meyer"/>
    <m/>
    <s v="Food &amp; Dining:Groceries"/>
    <m/>
    <m/>
    <m/>
    <x v="15"/>
    <x v="3"/>
    <m/>
    <m/>
    <m/>
    <m/>
    <x v="0"/>
    <x v="0"/>
    <x v="3"/>
    <x v="0"/>
    <x v="0"/>
    <s v="None"/>
    <s v="Food &amp; Dining|Groceries"/>
  </r>
  <r>
    <s v="MasterCard (Capital One)"/>
    <d v="2014-12-14T00:00:00"/>
    <n v="-11.25"/>
    <s v="X"/>
    <s v="Stoneway Hardware"/>
    <s v="Christmas light supplies"/>
    <s v="Home:Furnishings/From Receipt"/>
    <m/>
    <m/>
    <s v="From Receipt"/>
    <x v="14"/>
    <x v="2"/>
    <m/>
    <m/>
    <m/>
    <m/>
    <x v="0"/>
    <x v="0"/>
    <x v="3"/>
    <x v="0"/>
    <x v="0"/>
    <s v="None"/>
    <s v="Home|Furnishings"/>
  </r>
  <r>
    <s v="MasterCard (Capital One)"/>
    <d v="2014-12-14T00:00:00"/>
    <n v="-25.61"/>
    <s v="X"/>
    <s v="Fofritzing"/>
    <s v="Fritzing software"/>
    <s v="Shopping:Electronics &amp; Software"/>
    <m/>
    <m/>
    <m/>
    <x v="13"/>
    <x v="20"/>
    <m/>
    <m/>
    <m/>
    <m/>
    <x v="0"/>
    <x v="0"/>
    <x v="2"/>
    <x v="0"/>
    <x v="0"/>
    <s v="None"/>
    <s v="Shopping|Electronics &amp; Software"/>
  </r>
  <r>
    <s v="MasterCard (Capital One)"/>
    <d v="2014-12-13T00:00:00"/>
    <n v="0.25"/>
    <s v="X"/>
    <s v="Etsy Com"/>
    <m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13T00:00:00"/>
    <n v="4"/>
    <s v="X"/>
    <s v="Etsy Com"/>
    <m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13T00:00:00"/>
    <n v="-2.87"/>
    <s v="X"/>
    <s v="Park"/>
    <m/>
    <s v="Auto &amp; Transport:Parking"/>
    <m/>
    <m/>
    <m/>
    <x v="17"/>
    <x v="11"/>
    <m/>
    <m/>
    <m/>
    <m/>
    <x v="0"/>
    <x v="0"/>
    <x v="3"/>
    <x v="0"/>
    <x v="0"/>
    <s v="None"/>
    <s v="Auto &amp; Transport|Parking"/>
  </r>
  <r>
    <s v="MasterCard (Capital One)"/>
    <d v="2014-12-13T00:00:00"/>
    <n v="-13.07"/>
    <s v="X"/>
    <s v="Amazon"/>
    <s v="Dot to dot book"/>
    <s v="Gifts"/>
    <m/>
    <s v="Split"/>
    <m/>
    <x v="28"/>
    <x v="0"/>
    <m/>
    <m/>
    <m/>
    <m/>
    <x v="0"/>
    <x v="0"/>
    <x v="3"/>
    <x v="0"/>
    <x v="0"/>
    <s v="None"/>
    <s v="Gifts"/>
  </r>
  <r>
    <s v="MasterCard (Capital One)"/>
    <d v="2014-12-13T00:00:00"/>
    <n v="-11.82"/>
    <s v="X"/>
    <s v="Amazon"/>
    <s v="Frosty the snowman returns"/>
    <s v="Kids:Toys"/>
    <m/>
    <s v="Split"/>
    <m/>
    <x v="27"/>
    <x v="14"/>
    <m/>
    <m/>
    <m/>
    <m/>
    <x v="0"/>
    <x v="0"/>
    <x v="3"/>
    <x v="0"/>
    <x v="0"/>
    <s v="None"/>
    <s v="Kids|Toys"/>
  </r>
  <r>
    <s v="MasterCard (Capital One)"/>
    <d v="2014-12-13T00:00:00"/>
    <n v="-57"/>
    <s v="X"/>
    <s v="Beehive Salon"/>
    <s v="2011: BEEHIVE SALON SEATTLE WA 981036264 USA"/>
    <s v="Personal Care:Hair"/>
    <m/>
    <m/>
    <m/>
    <x v="31"/>
    <x v="16"/>
    <m/>
    <m/>
    <m/>
    <m/>
    <x v="0"/>
    <x v="0"/>
    <x v="3"/>
    <x v="0"/>
    <x v="0"/>
    <s v="None"/>
    <s v="Personal Care|Hair"/>
  </r>
  <r>
    <s v="MasterCard (Capital One)"/>
    <d v="2014-12-13T00:00:00"/>
    <n v="-60.76"/>
    <s v="X"/>
    <s v="Pesos"/>
    <m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MasterCard (Capital One)"/>
    <d v="2014-12-13T00:00:00"/>
    <n v="-160.66"/>
    <s v="X"/>
    <s v="Fred Meyer"/>
    <m/>
    <s v="Food &amp; Dining:Groceries"/>
    <m/>
    <m/>
    <m/>
    <x v="15"/>
    <x v="3"/>
    <m/>
    <m/>
    <m/>
    <m/>
    <x v="0"/>
    <x v="0"/>
    <x v="3"/>
    <x v="0"/>
    <x v="0"/>
    <s v="None"/>
    <s v="Food &amp; Dining|Groceries"/>
  </r>
  <r>
    <s v="Discover Card"/>
    <d v="2014-12-12T00:00:00"/>
    <n v="-5.46"/>
    <s v="X"/>
    <s v="Microsoft"/>
    <s v="#Apps#"/>
    <s v="Work Expense:Reimbursable expense"/>
    <m/>
    <m/>
    <m/>
    <x v="19"/>
    <x v="21"/>
    <m/>
    <m/>
    <s v="Apps"/>
    <m/>
    <x v="0"/>
    <x v="0"/>
    <x v="4"/>
    <x v="0"/>
    <x v="0"/>
    <s v="None"/>
    <s v="Work Expense|Reimbursable expense"/>
  </r>
  <r>
    <s v="Koolikai Credit Card"/>
    <d v="2014-12-12T00:00:00"/>
    <n v="-146.88"/>
    <s v="*"/>
    <s v="Verizon Wireless"/>
    <m/>
    <s v="Business Expenses (Koolikai):Cell Phone"/>
    <m/>
    <m/>
    <m/>
    <x v="36"/>
    <x v="22"/>
    <m/>
    <m/>
    <m/>
    <m/>
    <x v="0"/>
    <x v="0"/>
    <x v="3"/>
    <x v="0"/>
    <x v="0"/>
    <s v="None"/>
    <s v="Business Expenses (Koolikai)|Cell Phone"/>
  </r>
  <r>
    <s v="MasterCard (Capital One)"/>
    <d v="2014-12-12T00:00:00"/>
    <n v="-36.71"/>
    <s v="X"/>
    <s v="Amazon"/>
    <s v="Seahawks blanket"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12T00:00:00"/>
    <n v="-24.63"/>
    <s v="X"/>
    <s v="Amazon"/>
    <s v="Sherlock"/>
    <s v="Gifts"/>
    <m/>
    <s v="Split"/>
    <m/>
    <x v="28"/>
    <x v="0"/>
    <m/>
    <m/>
    <m/>
    <m/>
    <x v="0"/>
    <x v="0"/>
    <x v="3"/>
    <x v="0"/>
    <x v="0"/>
    <s v="None"/>
    <s v="Gifts"/>
  </r>
  <r>
    <s v="MasterCard (Capital One)"/>
    <d v="2014-12-12T00:00:00"/>
    <n v="-14.89"/>
    <s v="X"/>
    <s v="Amazon"/>
    <s v="Magnetic letters for boys"/>
    <s v="Kids:Toys"/>
    <m/>
    <s v="Split"/>
    <m/>
    <x v="27"/>
    <x v="14"/>
    <m/>
    <m/>
    <m/>
    <m/>
    <x v="0"/>
    <x v="0"/>
    <x v="3"/>
    <x v="0"/>
    <x v="0"/>
    <s v="None"/>
    <s v="Kids|Toys"/>
  </r>
  <r>
    <s v="MasterCard (Capital One)"/>
    <d v="2014-12-12T00:00:00"/>
    <n v="-4.37"/>
    <s v="X"/>
    <s v="Amazon"/>
    <s v="Frosty the snowman book"/>
    <s v="Kids:Toys"/>
    <m/>
    <s v="Split"/>
    <m/>
    <x v="27"/>
    <x v="14"/>
    <m/>
    <m/>
    <m/>
    <m/>
    <x v="0"/>
    <x v="0"/>
    <x v="3"/>
    <x v="0"/>
    <x v="0"/>
    <s v="None"/>
    <s v="Kids|Toys"/>
  </r>
  <r>
    <s v="MasterCard (Capital One)"/>
    <d v="2014-12-12T00:00:00"/>
    <n v="-42.52"/>
    <s v="X"/>
    <s v="Amazon"/>
    <m/>
    <s v="Gifts"/>
    <m/>
    <s v="Split"/>
    <m/>
    <x v="28"/>
    <x v="0"/>
    <m/>
    <m/>
    <m/>
    <m/>
    <x v="0"/>
    <x v="0"/>
    <x v="3"/>
    <x v="0"/>
    <x v="0"/>
    <s v="None"/>
    <s v="Gifts"/>
  </r>
  <r>
    <s v="MasterCard (Capital One)"/>
    <d v="2014-12-12T00:00:00"/>
    <n v="-95.66"/>
    <s v="X"/>
    <s v="Hi Life"/>
    <m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Discover Card"/>
    <d v="2014-12-11T00:00:00"/>
    <n v="-3.27"/>
    <s v="X"/>
    <s v="Microsoft"/>
    <s v="#Apps#"/>
    <s v="Work Expense:Reimbursable expense"/>
    <m/>
    <m/>
    <m/>
    <x v="19"/>
    <x v="21"/>
    <m/>
    <m/>
    <s v="Apps"/>
    <m/>
    <x v="0"/>
    <x v="0"/>
    <x v="4"/>
    <x v="0"/>
    <x v="0"/>
    <s v="None"/>
    <s v="Work Expense|Reimbursable expense"/>
  </r>
  <r>
    <s v="Discover Card"/>
    <d v="2014-12-11T00:00:00"/>
    <n v="-4.37"/>
    <s v="X"/>
    <s v="Microsoft"/>
    <s v="#Apps#"/>
    <s v="Work Expense:Reimbursable expense"/>
    <m/>
    <m/>
    <m/>
    <x v="19"/>
    <x v="21"/>
    <m/>
    <m/>
    <s v="Apps"/>
    <m/>
    <x v="0"/>
    <x v="0"/>
    <x v="4"/>
    <x v="0"/>
    <x v="0"/>
    <s v="None"/>
    <s v="Work Expense|Reimbursable expense"/>
  </r>
  <r>
    <s v="MasterCard (Capital One)"/>
    <d v="2014-12-11T00:00:00"/>
    <n v="-14.59"/>
    <s v="X"/>
    <s v="Ken's Market"/>
    <m/>
    <s v="Food &amp; Dining:Groceries"/>
    <m/>
    <m/>
    <m/>
    <x v="15"/>
    <x v="3"/>
    <m/>
    <m/>
    <m/>
    <m/>
    <x v="0"/>
    <x v="0"/>
    <x v="3"/>
    <x v="0"/>
    <x v="0"/>
    <s v="None"/>
    <s v="Food &amp; Dining|Groceries"/>
  </r>
  <r>
    <s v="MasterCard (Capital One)"/>
    <d v="2014-12-11T00:00:00"/>
    <n v="-16.41"/>
    <s v="X"/>
    <s v="Fuego"/>
    <s v="Book for Tony"/>
    <s v="Gifts/From Receipt"/>
    <m/>
    <m/>
    <s v="From Receipt"/>
    <x v="28"/>
    <x v="0"/>
    <m/>
    <m/>
    <m/>
    <m/>
    <x v="0"/>
    <x v="0"/>
    <x v="3"/>
    <x v="0"/>
    <x v="0"/>
    <s v="None"/>
    <s v="Gifts"/>
  </r>
  <r>
    <s v="MasterCard (Capital One)"/>
    <d v="2014-12-11T00:00:00"/>
    <n v="-30.65"/>
    <s v="X"/>
    <s v="Jcpenney"/>
    <m/>
    <s v="Gifts/From Receipt"/>
    <m/>
    <m/>
    <s v="From Receipt"/>
    <x v="28"/>
    <x v="0"/>
    <m/>
    <m/>
    <m/>
    <m/>
    <x v="0"/>
    <x v="0"/>
    <x v="3"/>
    <x v="0"/>
    <x v="0"/>
    <s v="None"/>
    <s v="Gifts"/>
  </r>
  <r>
    <s v="MasterCard (Capital One)"/>
    <d v="2014-12-11T00:00:00"/>
    <n v="-32.840000000000003"/>
    <s v="X"/>
    <s v="Brookstone"/>
    <s v="Fitbit band"/>
    <s v="Shopping:Clothing:Accessories/From Receipt"/>
    <m/>
    <m/>
    <s v="From Receipt"/>
    <x v="13"/>
    <x v="1"/>
    <s v="Accessories"/>
    <m/>
    <m/>
    <m/>
    <x v="0"/>
    <x v="0"/>
    <x v="2"/>
    <x v="0"/>
    <x v="0"/>
    <s v="None"/>
    <s v="Shopping|Clothing"/>
  </r>
  <r>
    <s v="MasterCard (Capital One)"/>
    <d v="2014-12-11T00:00:00"/>
    <n v="-146.5"/>
    <s v="X"/>
    <s v="Barnes &amp; Noble"/>
    <m/>
    <s v="Gifts/From Receipt"/>
    <m/>
    <m/>
    <s v="From Receipt"/>
    <x v="28"/>
    <x v="0"/>
    <m/>
    <m/>
    <m/>
    <m/>
    <x v="0"/>
    <x v="0"/>
    <x v="3"/>
    <x v="0"/>
    <x v="0"/>
    <s v="None"/>
    <s v="Gifts"/>
  </r>
  <r>
    <s v="MasterCard (Capital One)"/>
    <d v="2014-12-10T00:00:00"/>
    <n v="25"/>
    <s v="X"/>
    <s v="Capital One (Cash Back)"/>
    <m/>
    <s v="Other Inc"/>
    <m/>
    <m/>
    <m/>
    <x v="29"/>
    <x v="0"/>
    <m/>
    <m/>
    <m/>
    <m/>
    <x v="0"/>
    <x v="0"/>
    <x v="3"/>
    <x v="0"/>
    <x v="0"/>
    <s v="None"/>
    <s v="Other Inc"/>
  </r>
  <r>
    <s v="MasterCard (Capital One)"/>
    <d v="2014-12-10T00:00:00"/>
    <n v="-11.58"/>
    <s v="X"/>
    <s v="Ken's Market"/>
    <m/>
    <s v="Food &amp; Dining:Groceries"/>
    <m/>
    <m/>
    <m/>
    <x v="15"/>
    <x v="3"/>
    <m/>
    <m/>
    <m/>
    <m/>
    <x v="0"/>
    <x v="0"/>
    <x v="3"/>
    <x v="0"/>
    <x v="0"/>
    <s v="None"/>
    <s v="Food &amp; Dining|Groceries"/>
  </r>
  <r>
    <s v="MasterCard (Capital One)"/>
    <d v="2014-12-10T00:00:00"/>
    <n v="-142.30000000000001"/>
    <s v="X"/>
    <s v="FitBit"/>
    <s v="#Stay Fit#"/>
    <s v="Health &amp; Fitness:Sports"/>
    <m/>
    <m/>
    <m/>
    <x v="18"/>
    <x v="23"/>
    <m/>
    <m/>
    <s v="Stay Fit"/>
    <m/>
    <x v="0"/>
    <x v="0"/>
    <x v="4"/>
    <x v="0"/>
    <x v="0"/>
    <s v="None"/>
    <s v="Health &amp; Fitness|Sports"/>
  </r>
  <r>
    <s v="MasterCard (Capital One)"/>
    <d v="2014-12-09T00:00:00"/>
    <n v="-8.25"/>
    <s v="X"/>
    <s v="Etsy Com"/>
    <m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09T00:00:00"/>
    <n v="-35.25"/>
    <s v="X"/>
    <s v="Etsy Com"/>
    <m/>
    <s v="Gifts"/>
    <m/>
    <m/>
    <m/>
    <x v="28"/>
    <x v="0"/>
    <m/>
    <m/>
    <m/>
    <m/>
    <x v="0"/>
    <x v="0"/>
    <x v="3"/>
    <x v="0"/>
    <x v="0"/>
    <s v="None"/>
    <s v="Gifts"/>
  </r>
  <r>
    <s v="MasterCard (Capital One)"/>
    <d v="2014-12-09T00:00:00"/>
    <n v="-180"/>
    <s v="X"/>
    <s v="Whlelfeyoga"/>
    <s v="#Stay Fit#"/>
    <s v="Health &amp; Fitness:Sports"/>
    <m/>
    <m/>
    <m/>
    <x v="18"/>
    <x v="23"/>
    <m/>
    <m/>
    <s v="Stay Fit"/>
    <m/>
    <x v="0"/>
    <x v="0"/>
    <x v="4"/>
    <x v="0"/>
    <x v="0"/>
    <s v="None"/>
    <s v="Health &amp; Fitness|Sports"/>
  </r>
  <r>
    <s v="MasterCard (Capital One)"/>
    <d v="2014-12-08T00:00:00"/>
    <n v="-7.88"/>
    <s v="X"/>
    <s v="Taco Del Mar"/>
    <s v="2011: TACO DEL MAR GREENWOOD SEATTLE WA 98103 USA"/>
    <s v="Food &amp; Dining:Restaurants"/>
    <m/>
    <m/>
    <m/>
    <x v="15"/>
    <x v="15"/>
    <m/>
    <m/>
    <m/>
    <m/>
    <x v="0"/>
    <x v="0"/>
    <x v="3"/>
    <x v="0"/>
    <x v="0"/>
    <s v="None"/>
    <s v="Food &amp; Dining|Restaurants"/>
  </r>
  <r>
    <s v="First Tech - Checking (5544)"/>
    <d v="2014-12-07T00:00:00"/>
    <n v="11.95"/>
    <s v="X"/>
    <s v="Dave Smith"/>
    <s v="Reimbursement for T-Mobile payment"/>
    <s v="Bills &amp; Utilities:Mobile Phone"/>
    <m/>
    <m/>
    <m/>
    <x v="34"/>
    <x v="24"/>
    <m/>
    <m/>
    <m/>
    <m/>
    <x v="0"/>
    <x v="0"/>
    <x v="5"/>
    <x v="0"/>
    <x v="0"/>
    <s v="None"/>
    <s v="Bills &amp; Utilities|Mobile Phone"/>
  </r>
  <r>
    <s v="Koolikai - Checking XX2129"/>
    <d v="2014-12-07T00:00:00"/>
    <n v="2295"/>
    <s v="*"/>
    <s v="Shared Branch Mobile"/>
    <s v="Deposit--Shared Branch Mobile Deposit          First Tech FC CA"/>
    <s v="Business Income (Koolikai):Rent/7231"/>
    <m/>
    <m/>
    <n v="7231"/>
    <x v="37"/>
    <x v="25"/>
    <m/>
    <m/>
    <m/>
    <m/>
    <x v="0"/>
    <x v="0"/>
    <x v="3"/>
    <x v="0"/>
    <x v="0"/>
    <s v="None"/>
    <s v="Business Income (Koolikai)|Rent"/>
  </r>
  <r>
    <s v="MasterCard (Capital One)"/>
    <d v="2014-12-07T00:00:00"/>
    <n v="-21.45"/>
    <s v="X"/>
    <s v="Safeway"/>
    <m/>
    <s v="Food &amp; Dining:Groceries/From Receipt"/>
    <m/>
    <m/>
    <s v="From Receipt"/>
    <x v="15"/>
    <x v="3"/>
    <m/>
    <m/>
    <m/>
    <m/>
    <x v="0"/>
    <x v="0"/>
    <x v="3"/>
    <x v="0"/>
    <x v="0"/>
    <s v="None"/>
    <s v="Food &amp; Dining|Groceries"/>
  </r>
  <r>
    <s v="MasterCard (Capital One)"/>
    <d v="2014-12-06T00:00:00"/>
    <n v="-25"/>
    <s v="X"/>
    <s v="Virgin America"/>
    <s v="#Disneyland 2014#"/>
    <s v="Vacation:Transportation"/>
    <m/>
    <m/>
    <m/>
    <x v="23"/>
    <x v="26"/>
    <m/>
    <m/>
    <s v="Disneyland 2014"/>
    <m/>
    <x v="0"/>
    <x v="0"/>
    <x v="4"/>
    <x v="0"/>
    <x v="0"/>
    <s v="None"/>
    <s v="Vacation|Transportation"/>
  </r>
  <r>
    <s v="MasterCard (Capital One)"/>
    <d v="2014-12-06T00:00:00"/>
    <n v="-26.01"/>
    <s v="X"/>
    <s v="Burger King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6T00:00:00"/>
    <n v="-64.7"/>
    <s v="X"/>
    <s v="Shuttlepark"/>
    <s v="#Disneyland 2014#"/>
    <s v="Vacation:Transportation/From Receipt"/>
    <m/>
    <m/>
    <s v="From Receipt"/>
    <x v="23"/>
    <x v="26"/>
    <m/>
    <m/>
    <s v="Disneyland 2014"/>
    <m/>
    <x v="0"/>
    <x v="0"/>
    <x v="4"/>
    <x v="0"/>
    <x v="0"/>
    <s v="None"/>
    <s v="Vacation|Transportation"/>
  </r>
  <r>
    <s v="MasterCard (Capital One)"/>
    <d v="2014-12-06T00:00:00"/>
    <n v="-921.39"/>
    <s v="X"/>
    <s v="Howard Johnson"/>
    <s v="#Disneyland 2014#"/>
    <s v="Vacation:Lodging"/>
    <m/>
    <m/>
    <m/>
    <x v="23"/>
    <x v="9"/>
    <m/>
    <m/>
    <s v="Disneyland 2014"/>
    <m/>
    <x v="0"/>
    <x v="0"/>
    <x v="4"/>
    <x v="0"/>
    <x v="0"/>
    <s v="None"/>
    <s v="Vacation|Lodging"/>
  </r>
  <r>
    <s v="First Tech - Checking (5544)"/>
    <d v="2014-12-05T00:00:00"/>
    <n v="-3864.19"/>
    <s v="X"/>
    <s v="Wells Fargo Home Mortgage"/>
    <s v="ACH Debit--WF HOME MTG ACH - AUTO PAY"/>
    <s v="Home:Mortgage"/>
    <m/>
    <m/>
    <m/>
    <x v="14"/>
    <x v="27"/>
    <m/>
    <m/>
    <m/>
    <m/>
    <x v="0"/>
    <x v="0"/>
    <x v="3"/>
    <x v="0"/>
    <x v="0"/>
    <s v="None"/>
    <s v="Home|Mortgage"/>
  </r>
  <r>
    <s v="MasterCard (Capital One)"/>
    <d v="2014-12-05T00:00:00"/>
    <n v="-2.58"/>
    <s v="X"/>
    <s v="Mcdonald'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5T00:00:00"/>
    <n v="-4.25"/>
    <s v="X"/>
    <s v="Popcorn Tomorrowl"/>
    <s v="#Disneyland 2014# Popcorn"/>
    <s v="Vacation:Food/From Receipt"/>
    <m/>
    <m/>
    <s v="From Receipt"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5T00:00:00"/>
    <n v="-5.61"/>
    <s v="X"/>
    <s v="Tiki Juice Bar"/>
    <s v="#Disneyland 2014#"/>
    <s v="Vacation:Food/From Receipt"/>
    <m/>
    <m/>
    <s v="From Receipt"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5T00:00:00"/>
    <n v="-10.53"/>
    <s v="X"/>
    <s v="La Brea Y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5T00:00:00"/>
    <n v="-14.18"/>
    <s v="X"/>
    <s v="Mcdonald'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5T00:00:00"/>
    <n v="-18.309999999999999"/>
    <s v="X"/>
    <s v="Disney"/>
    <s v="#Disneyland 2014# Shirt?"/>
    <s v="Vacation:Trinkets"/>
    <m/>
    <m/>
    <m/>
    <x v="23"/>
    <x v="28"/>
    <m/>
    <m/>
    <s v="Disneyland 2014"/>
    <m/>
    <x v="0"/>
    <x v="0"/>
    <x v="4"/>
    <x v="0"/>
    <x v="0"/>
    <s v="None"/>
    <s v="Vacation|Trinkets"/>
  </r>
  <r>
    <s v="MasterCard (Capital One)"/>
    <d v="2014-12-05T00:00:00"/>
    <n v="-29.05"/>
    <s v="X"/>
    <s v="Emporium Dl"/>
    <s v="#Disneyland 2014# Stuffies"/>
    <s v="Vacation:Trinkets/From Receipt"/>
    <m/>
    <m/>
    <s v="From Receipt"/>
    <x v="23"/>
    <x v="28"/>
    <m/>
    <m/>
    <s v="Disneyland 2014"/>
    <m/>
    <x v="0"/>
    <x v="0"/>
    <x v="4"/>
    <x v="0"/>
    <x v="0"/>
    <s v="None"/>
    <s v="Vacation|Trinkets"/>
  </r>
  <r>
    <s v="MasterCard (Capital One)"/>
    <d v="2014-12-05T00:00:00"/>
    <n v="-32.68"/>
    <s v="X"/>
    <s v="Riverbelle Terrace"/>
    <s v="#Disneyland 2014# Breakfast"/>
    <s v="Vacation:Food/From Receipt"/>
    <m/>
    <m/>
    <s v="From Receipt"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5T00:00:00"/>
    <n v="-91.82"/>
    <s v="X"/>
    <s v="Naples Ristorante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First Tech - Checking (5544)"/>
    <d v="2014-12-04T00:00:00"/>
    <n v="-25.5"/>
    <s v="X"/>
    <s v="Amie Hanson"/>
    <s v="Play tickets"/>
    <s v="Entertainment"/>
    <n v="2140"/>
    <m/>
    <m/>
    <x v="30"/>
    <x v="0"/>
    <m/>
    <m/>
    <m/>
    <m/>
    <x v="0"/>
    <x v="0"/>
    <x v="3"/>
    <x v="0"/>
    <x v="0"/>
    <s v="None"/>
    <s v="Entertainment"/>
  </r>
  <r>
    <s v="MasterCard (Capital One)"/>
    <d v="2014-12-04T00:00:00"/>
    <n v="25"/>
    <s v="X"/>
    <s v="Cash Back Reward"/>
    <m/>
    <s v="Other Inc"/>
    <m/>
    <m/>
    <m/>
    <x v="29"/>
    <x v="0"/>
    <m/>
    <m/>
    <m/>
    <m/>
    <x v="0"/>
    <x v="0"/>
    <x v="3"/>
    <x v="0"/>
    <x v="0"/>
    <s v="None"/>
    <s v="Other Inc"/>
  </r>
  <r>
    <s v="MasterCard (Capital One)"/>
    <d v="2014-12-04T00:00:00"/>
    <n v="-8.6300000000000008"/>
    <s v="X"/>
    <s v="Toontown Dl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4T00:00:00"/>
    <n v="-21.6"/>
    <s v="X"/>
    <s v="Pizza Pres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First Tech - Checking (5544)"/>
    <d v="2014-12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0"/>
    <x v="0"/>
    <x v="3"/>
    <x v="0"/>
    <x v="0"/>
    <s v="None"/>
    <s v="Kids|American Funds 529A"/>
  </r>
  <r>
    <s v="MasterCard (Capital One)"/>
    <d v="2014-12-03T00:00:00"/>
    <n v="-8.75"/>
    <s v="X"/>
    <s v="Netflix"/>
    <s v="@CAT:@@BAL:$3,882.20@"/>
    <s v="Subscriptions &amp; Dues"/>
    <m/>
    <m/>
    <m/>
    <x v="33"/>
    <x v="0"/>
    <m/>
    <m/>
    <m/>
    <m/>
    <x v="0"/>
    <x v="0"/>
    <x v="2"/>
    <x v="0"/>
    <x v="0"/>
    <s v="None"/>
    <s v="Subscriptions &amp; Dues"/>
  </r>
  <r>
    <s v="MasterCard (Capital One)"/>
    <d v="2014-12-03T00:00:00"/>
    <n v="-10.86"/>
    <s v="X"/>
    <s v="Mcdonald'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3T00:00:00"/>
    <n v="-29.44"/>
    <s v="X"/>
    <s v="Award Wieners Dca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3T00:00:00"/>
    <n v="-91.98"/>
    <s v="X"/>
    <s v="Tortilla Jo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First Tech - Checking (5544)"/>
    <d v="2014-12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0"/>
    <x v="0"/>
    <x v="3"/>
    <x v="0"/>
    <x v="0"/>
    <s v="None"/>
    <s v="Business Expenses (Koolikai)|Mortgage (Business)"/>
  </r>
  <r>
    <s v="First Tech - Checking (5544)"/>
    <d v="2014-12-02T00:00:00"/>
    <n v="-3517.65"/>
    <s v="X"/>
    <s v="NYCB Mortgage Company"/>
    <s v="ACH Debit--NEW YORK COMMUNI 678 - NEW YORK C"/>
    <s v="Business Expenses (Koolikai):Mortgage (Business)/7231"/>
    <m/>
    <m/>
    <n v="7231"/>
    <x v="36"/>
    <x v="30"/>
    <m/>
    <m/>
    <m/>
    <m/>
    <x v="0"/>
    <x v="0"/>
    <x v="3"/>
    <x v="0"/>
    <x v="0"/>
    <s v="None"/>
    <s v="Business Expenses (Koolikai)|Mortgage (Business)"/>
  </r>
  <r>
    <s v="First Tech - Checking (5544)"/>
    <d v="2014-12-02T00:00:00"/>
    <n v="-4343.96"/>
    <s v="X"/>
    <s v="Capital One (Autopay)"/>
    <s v="ACH Debit--CAPITAL ONE  - CRCARDPMT"/>
    <s v="[MasterCard (Capital One)]"/>
    <m/>
    <m/>
    <m/>
    <x v="38"/>
    <x v="0"/>
    <m/>
    <m/>
    <m/>
    <m/>
    <x v="0"/>
    <x v="0"/>
    <x v="0"/>
    <x v="0"/>
    <x v="0"/>
    <s v="None"/>
    <s v="[MasterCard (Capital One)]"/>
  </r>
  <r>
    <s v="MasterCard (Capital One)"/>
    <d v="2014-12-02T00:00:00"/>
    <n v="25"/>
    <s v="X"/>
    <s v="Cash Back Reward"/>
    <m/>
    <s v="Other Inc"/>
    <m/>
    <m/>
    <m/>
    <x v="29"/>
    <x v="0"/>
    <m/>
    <m/>
    <m/>
    <m/>
    <x v="0"/>
    <x v="0"/>
    <x v="3"/>
    <x v="0"/>
    <x v="0"/>
    <s v="None"/>
    <s v="Other Inc"/>
  </r>
  <r>
    <s v="MasterCard (Capital One)"/>
    <d v="2014-12-02T00:00:00"/>
    <n v="-8.73"/>
    <s v="X"/>
    <s v="Mcdonald'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2T00:00:00"/>
    <n v="-17.170000000000002"/>
    <s v="X"/>
    <s v="Emporium Dl"/>
    <s v="#Disneyland 2014# For work"/>
    <s v="Gifts"/>
    <m/>
    <m/>
    <m/>
    <x v="28"/>
    <x v="0"/>
    <m/>
    <m/>
    <s v="Disneyland 2014"/>
    <m/>
    <x v="0"/>
    <x v="0"/>
    <x v="3"/>
    <x v="0"/>
    <x v="0"/>
    <s v="None"/>
    <s v="Gifts"/>
  </r>
  <r>
    <s v="MasterCard (Capital One)"/>
    <d v="2014-12-02T00:00:00"/>
    <n v="-23.6"/>
    <s v="X"/>
    <s v="Pizza Press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2T00:00:00"/>
    <n v="-27.19"/>
    <s v="X"/>
    <s v="Emporium Dl"/>
    <s v="#Disneyland 2014#Ponchos"/>
    <s v="Vacation:Trinkets"/>
    <m/>
    <m/>
    <m/>
    <x v="23"/>
    <x v="28"/>
    <m/>
    <m/>
    <s v="Disneyland 2014"/>
    <m/>
    <x v="0"/>
    <x v="0"/>
    <x v="4"/>
    <x v="0"/>
    <x v="0"/>
    <s v="None"/>
    <s v="Vacation|Trinkets"/>
  </r>
  <r>
    <s v="MasterCard (Capital One)"/>
    <d v="2014-12-02T00:00:00"/>
    <n v="-42.17"/>
    <s v="X"/>
    <s v="Ihop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MasterCard (Capital One)"/>
    <d v="2014-12-02T00:00:00"/>
    <n v="-76.5"/>
    <s v="X"/>
    <s v="Seattle Parks And Recreation"/>
    <s v="Swimming lessons for Zach and Josh"/>
    <s v="Kids:Kids Activities"/>
    <m/>
    <m/>
    <m/>
    <x v="27"/>
    <x v="12"/>
    <m/>
    <m/>
    <m/>
    <m/>
    <x v="0"/>
    <x v="0"/>
    <x v="3"/>
    <x v="0"/>
    <x v="0"/>
    <s v="None"/>
    <s v="Kids|Kids Activities"/>
  </r>
  <r>
    <s v="MasterCard (Capital One)"/>
    <d v="2014-12-02T00:00:00"/>
    <n v="10.56"/>
    <s v="X"/>
    <s v="Comcast"/>
    <s v="Refund of convenience charge a"/>
    <s v="Bank Fees &amp; Charges:Bank Fee"/>
    <m/>
    <s v="Split"/>
    <m/>
    <x v="32"/>
    <x v="31"/>
    <m/>
    <m/>
    <m/>
    <m/>
    <x v="0"/>
    <x v="0"/>
    <x v="4"/>
    <x v="0"/>
    <x v="0"/>
    <s v="None"/>
    <s v="Bank Fees &amp; Charges|Bank Fee"/>
  </r>
  <r>
    <s v="MasterCard (Capital One)"/>
    <d v="2014-12-02T00:00:00"/>
    <n v="-19.72"/>
    <s v="X"/>
    <s v="Comcast"/>
    <m/>
    <s v="Bills &amp; Utilities:Television"/>
    <m/>
    <s v="Split"/>
    <m/>
    <x v="34"/>
    <x v="32"/>
    <m/>
    <m/>
    <m/>
    <m/>
    <x v="0"/>
    <x v="0"/>
    <x v="3"/>
    <x v="0"/>
    <x v="0"/>
    <s v="None"/>
    <s v="Bills &amp; Utilities|Television"/>
  </r>
  <r>
    <s v="MasterCard (Capital One)"/>
    <d v="2014-12-02T00:00:00"/>
    <n v="-65.27"/>
    <s v="X"/>
    <s v="Comcast"/>
    <m/>
    <s v="Business Expenses (Koolikai):Internet"/>
    <m/>
    <s v="Split"/>
    <m/>
    <x v="36"/>
    <x v="33"/>
    <m/>
    <m/>
    <m/>
    <m/>
    <x v="0"/>
    <x v="0"/>
    <x v="3"/>
    <x v="0"/>
    <x v="0"/>
    <s v="None"/>
    <s v="Business Expenses (Koolikai)|Internet"/>
  </r>
  <r>
    <s v="MasterCard (Capital One)"/>
    <d v="2014-12-02T00:00:00"/>
    <n v="-43.27"/>
    <s v="X"/>
    <s v="Comcast"/>
    <m/>
    <s v="Bills &amp; Utilities:Home Phone"/>
    <m/>
    <s v="Split"/>
    <m/>
    <x v="34"/>
    <x v="34"/>
    <m/>
    <m/>
    <m/>
    <m/>
    <x v="0"/>
    <x v="0"/>
    <x v="3"/>
    <x v="0"/>
    <x v="0"/>
    <s v="None"/>
    <s v="Bills &amp; Utilities|Home Phone"/>
  </r>
  <r>
    <s v="MasterCard (Capital One)"/>
    <d v="2014-12-02T00:00:00"/>
    <n v="-5.48"/>
    <s v="X"/>
    <s v="Comcast"/>
    <s v="Need to go refigure charges fr"/>
    <s v="Business Expenses (Koolikai):Internet"/>
    <m/>
    <s v="Split"/>
    <m/>
    <x v="36"/>
    <x v="33"/>
    <m/>
    <m/>
    <m/>
    <m/>
    <x v="0"/>
    <x v="0"/>
    <x v="3"/>
    <x v="0"/>
    <x v="0"/>
    <s v="None"/>
    <s v="Business Expenses (Koolikai)|Internet"/>
  </r>
  <r>
    <s v="MasterCard (Capital One)"/>
    <d v="2014-12-02T00:00:00"/>
    <n v="-300"/>
    <s v="X"/>
    <s v="City Of Mountlake Terrace"/>
    <s v="#SFOM Pool Party#"/>
    <s v="Work Expense:Reimbursable expense"/>
    <m/>
    <m/>
    <m/>
    <x v="19"/>
    <x v="21"/>
    <m/>
    <m/>
    <s v="SFOM Pool Party"/>
    <m/>
    <x v="0"/>
    <x v="0"/>
    <x v="4"/>
    <x v="0"/>
    <x v="0"/>
    <s v="None"/>
    <s v="Work Expense|Reimbursable expense"/>
  </r>
  <r>
    <s v="First Tech - Checking (5544)"/>
    <d v="2014-12-01T00:00:00"/>
    <n v="-2052"/>
    <s v="X"/>
    <s v="Phinney Ridge CDC"/>
    <s v="ACH Debit--PHINNEY RIDGE LU 504759859 - CONTRIBUTN"/>
    <s v="Kids:Daycare"/>
    <m/>
    <m/>
    <m/>
    <x v="27"/>
    <x v="35"/>
    <m/>
    <m/>
    <m/>
    <m/>
    <x v="0"/>
    <x v="0"/>
    <x v="3"/>
    <x v="0"/>
    <x v="0"/>
    <s v="None"/>
    <s v="Kids|Daycare"/>
  </r>
  <r>
    <s v="First Tech - Checking (5544)"/>
    <d v="2014-12-01T00:00:00"/>
    <n v="-727.13"/>
    <s v="X"/>
    <s v="Lowe's"/>
    <s v="Electronic Check--LOWES (CHECK PYMT) Accounts Receivable Entry S"/>
    <s v="Projects:Appliances"/>
    <n v="2143"/>
    <m/>
    <m/>
    <x v="39"/>
    <x v="36"/>
    <m/>
    <m/>
    <m/>
    <m/>
    <x v="0"/>
    <x v="0"/>
    <x v="6"/>
    <x v="0"/>
    <x v="0"/>
    <s v="None"/>
    <s v="Projects|Appliances"/>
  </r>
  <r>
    <s v="MasterCard (Capital One)"/>
    <d v="2014-12-01T00:00:00"/>
    <n v="4343.96"/>
    <s v="X"/>
    <s v="Capital One (Autopay)"/>
    <m/>
    <s v="[First Tech - Checking (5544)]"/>
    <m/>
    <m/>
    <m/>
    <x v="21"/>
    <x v="0"/>
    <m/>
    <m/>
    <m/>
    <m/>
    <x v="0"/>
    <x v="0"/>
    <x v="0"/>
    <x v="0"/>
    <x v="0"/>
    <s v="None"/>
    <s v="[First Tech - Checking (5544)]"/>
  </r>
  <r>
    <s v="MasterCard (Capital One)"/>
    <d v="2014-12-01T00:00:00"/>
    <n v="-64.94"/>
    <s v="X"/>
    <s v="Mimi's Cafe"/>
    <s v="#Disneyland 2014#"/>
    <s v="Vacation:Food"/>
    <m/>
    <m/>
    <m/>
    <x v="23"/>
    <x v="8"/>
    <m/>
    <m/>
    <s v="Disneyland 2014"/>
    <m/>
    <x v="0"/>
    <x v="0"/>
    <x v="4"/>
    <x v="0"/>
    <x v="0"/>
    <s v="None"/>
    <s v="Vacation|Food"/>
  </r>
  <r>
    <s v="Koolikai - Sec Dep XX1200"/>
    <d v="2014-11-30T00:00:00"/>
    <n v="0.19"/>
    <s v="*"/>
    <s v="First Tech (Dividend)"/>
    <s v="Credit Dividend--"/>
    <s v="Interest Income"/>
    <m/>
    <m/>
    <m/>
    <x v="40"/>
    <x v="0"/>
    <m/>
    <m/>
    <m/>
    <m/>
    <x v="1"/>
    <x v="0"/>
    <x v="3"/>
    <x v="0"/>
    <x v="0"/>
    <s v="None"/>
    <s v="Interest Income"/>
  </r>
  <r>
    <s v="Chase Freedom XX9381"/>
    <d v="2014-11-30T00:00:00"/>
    <n v="-11.95"/>
    <s v="X"/>
    <s v="T-mobile"/>
    <s v="Mom's mobile phone"/>
    <s v="Bills &amp; Utilities:Mobile Phone"/>
    <m/>
    <m/>
    <m/>
    <x v="34"/>
    <x v="24"/>
    <m/>
    <m/>
    <m/>
    <m/>
    <x v="1"/>
    <x v="0"/>
    <x v="5"/>
    <x v="0"/>
    <x v="0"/>
    <s v="None"/>
    <s v="Bills &amp; Utilities|Mobile Phone"/>
  </r>
  <r>
    <s v="MasterCard (Capital One)"/>
    <d v="2014-11-30T00:00:00"/>
    <n v="-2.87"/>
    <s v="X"/>
    <s v="Blink Network Llc"/>
    <m/>
    <s v="Auto &amp; Transport:Gas &amp; Fuel"/>
    <m/>
    <m/>
    <m/>
    <x v="17"/>
    <x v="37"/>
    <m/>
    <m/>
    <m/>
    <m/>
    <x v="1"/>
    <x v="0"/>
    <x v="3"/>
    <x v="0"/>
    <x v="0"/>
    <s v="None"/>
    <s v="Auto &amp; Transport|Gas &amp; Fuel"/>
  </r>
  <r>
    <s v="MasterCard (Capital One)"/>
    <d v="2014-11-30T00:00:00"/>
    <n v="-12.59"/>
    <s v="X"/>
    <s v="Taco Del Mar"/>
    <s v="2011: TACO DEL MAR GREENWOOD SEATTLE WA 98103 USA"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30T00:00:00"/>
    <n v="-4.7"/>
    <s v="X"/>
    <s v="Walgreens"/>
    <s v="Proxabrush"/>
    <s v="Food &amp; Dining:Groceries/From Receipt"/>
    <m/>
    <s v="Split"/>
    <s v="From Receipt"/>
    <x v="15"/>
    <x v="3"/>
    <m/>
    <m/>
    <m/>
    <m/>
    <x v="1"/>
    <x v="0"/>
    <x v="3"/>
    <x v="0"/>
    <x v="0"/>
    <s v="None"/>
    <s v="Food &amp; Dining|Groceries"/>
  </r>
  <r>
    <s v="MasterCard (Capital One)"/>
    <d v="2014-11-30T00:00:00"/>
    <n v="-10"/>
    <s v="X"/>
    <s v="Walgreens"/>
    <m/>
    <s v="Health &amp; Fitness:Pharmacy/From Receipt"/>
    <m/>
    <s v="Split"/>
    <s v="From Receipt"/>
    <x v="18"/>
    <x v="38"/>
    <m/>
    <m/>
    <m/>
    <m/>
    <x v="1"/>
    <x v="0"/>
    <x v="4"/>
    <x v="0"/>
    <x v="0"/>
    <s v="None"/>
    <s v="Health &amp; Fitness|Pharmacy"/>
  </r>
  <r>
    <s v="MasterCard (Capital One)"/>
    <d v="2014-11-30T00:00:00"/>
    <n v="-25"/>
    <s v="X"/>
    <s v="Virgin America"/>
    <s v="#Disneyland 2014#"/>
    <s v="Vacation:Transportation"/>
    <m/>
    <m/>
    <m/>
    <x v="23"/>
    <x v="26"/>
    <m/>
    <m/>
    <s v="Disneyland 2014"/>
    <m/>
    <x v="1"/>
    <x v="0"/>
    <x v="4"/>
    <x v="0"/>
    <x v="0"/>
    <s v="None"/>
    <s v="Vacation|Transportation"/>
  </r>
  <r>
    <s v="MasterCard (Capital One)"/>
    <d v="2014-11-30T00:00:00"/>
    <n v="-34"/>
    <s v="X"/>
    <s v="Rudys Barber Shop"/>
    <s v="2011: RUDYS BARBER SHOP - PH SEATTLE WA 98103 USA"/>
    <s v="Personal Care:Hair"/>
    <m/>
    <m/>
    <m/>
    <x v="31"/>
    <x v="16"/>
    <m/>
    <m/>
    <m/>
    <m/>
    <x v="1"/>
    <x v="0"/>
    <x v="3"/>
    <x v="0"/>
    <x v="0"/>
    <s v="None"/>
    <s v="Personal Care|Hair"/>
  </r>
  <r>
    <s v="MasterCard (Capital One)"/>
    <d v="2014-11-30T00:00:00"/>
    <n v="-45.28"/>
    <s v="X"/>
    <s v="Trader Joe's"/>
    <m/>
    <s v="Food &amp; Dining:Groceries"/>
    <m/>
    <m/>
    <m/>
    <x v="15"/>
    <x v="3"/>
    <m/>
    <m/>
    <m/>
    <m/>
    <x v="1"/>
    <x v="0"/>
    <x v="3"/>
    <x v="0"/>
    <x v="0"/>
    <s v="None"/>
    <s v="Food &amp; Dining|Groceries"/>
  </r>
  <r>
    <s v="MasterCard (Capital One)"/>
    <d v="2014-11-30T00:00:00"/>
    <n v="-42.21"/>
    <s v="X"/>
    <s v="Fred Meyer"/>
    <m/>
    <s v="Food &amp; Dining:Groceries/From Receipt"/>
    <m/>
    <s v="Split"/>
    <s v="From Receipt"/>
    <x v="15"/>
    <x v="3"/>
    <m/>
    <m/>
    <m/>
    <m/>
    <x v="1"/>
    <x v="0"/>
    <x v="3"/>
    <x v="0"/>
    <x v="0"/>
    <s v="None"/>
    <s v="Food &amp; Dining|Groceries"/>
  </r>
  <r>
    <s v="MasterCard (Capital One)"/>
    <d v="2014-11-30T00:00:00"/>
    <n v="-15"/>
    <s v="X"/>
    <s v="Fred Meyer"/>
    <s v="Peterson sleep over"/>
    <s v="Parties/From Receipt"/>
    <m/>
    <s v="Split"/>
    <s v="From Receipt"/>
    <x v="16"/>
    <x v="0"/>
    <m/>
    <m/>
    <m/>
    <m/>
    <x v="1"/>
    <x v="0"/>
    <x v="2"/>
    <x v="0"/>
    <x v="0"/>
    <s v="None"/>
    <s v="Parties"/>
  </r>
  <r>
    <s v="MasterCard (Capital One)"/>
    <d v="2014-11-30T00:00:00"/>
    <n v="-72"/>
    <s v="X"/>
    <s v="Groupon"/>
    <s v="Angela's Birthday present"/>
    <s v="Entertainment"/>
    <m/>
    <m/>
    <m/>
    <x v="30"/>
    <x v="0"/>
    <m/>
    <m/>
    <m/>
    <m/>
    <x v="1"/>
    <x v="0"/>
    <x v="3"/>
    <x v="0"/>
    <x v="0"/>
    <s v="None"/>
    <s v="Entertainment"/>
  </r>
  <r>
    <s v="MasterCard (Capital One)"/>
    <d v="2014-11-30T00:00:00"/>
    <n v="-72"/>
    <s v="X"/>
    <s v="Groupon"/>
    <s v="Angela's Birthday present"/>
    <s v="Entertainment"/>
    <m/>
    <m/>
    <m/>
    <x v="30"/>
    <x v="0"/>
    <m/>
    <m/>
    <m/>
    <m/>
    <x v="1"/>
    <x v="0"/>
    <x v="3"/>
    <x v="0"/>
    <x v="0"/>
    <s v="None"/>
    <s v="Entertainment"/>
  </r>
  <r>
    <s v="Koolikai - Checking XX2129"/>
    <d v="2014-11-29T00:00:00"/>
    <n v="2195"/>
    <s v="*"/>
    <s v="Shared Branch Mobile"/>
    <s v="Deposit--Shared Branch Mobile Deposit          First Tech FC CA"/>
    <s v="Business Income (Koolikai):Rent/9602"/>
    <m/>
    <m/>
    <n v="9602"/>
    <x v="37"/>
    <x v="25"/>
    <m/>
    <m/>
    <m/>
    <m/>
    <x v="1"/>
    <x v="0"/>
    <x v="3"/>
    <x v="0"/>
    <x v="0"/>
    <s v="None"/>
    <s v="Business Income (Koolikai)|Rent"/>
  </r>
  <r>
    <s v="MasterCard (Capital One)"/>
    <d v="2014-11-29T00:00:00"/>
    <n v="-129.19999999999999"/>
    <s v="X"/>
    <s v="Vios Cafe 3rd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29T00:00:00"/>
    <n v="-970"/>
    <s v="X"/>
    <s v="Disney"/>
    <s v="#Disneyland 2014#Park hopper passes"/>
    <s v="Vacation:Activities"/>
    <m/>
    <m/>
    <m/>
    <x v="23"/>
    <x v="39"/>
    <m/>
    <m/>
    <s v="Disneyland 2014"/>
    <m/>
    <x v="1"/>
    <x v="0"/>
    <x v="4"/>
    <x v="0"/>
    <x v="0"/>
    <s v="None"/>
    <s v="Vacation|Activities"/>
  </r>
  <r>
    <s v="Capital One - Investment (6759)"/>
    <d v="2014-11-28T00:00:00"/>
    <n v="19.420000000000002"/>
    <s v="X"/>
    <s v="Capital One (Interest Income)"/>
    <m/>
    <s v="Interest Income"/>
    <m/>
    <m/>
    <m/>
    <x v="40"/>
    <x v="0"/>
    <m/>
    <m/>
    <m/>
    <m/>
    <x v="1"/>
    <x v="0"/>
    <x v="3"/>
    <x v="0"/>
    <x v="0"/>
    <s v="None"/>
    <s v="Interest Income"/>
  </r>
  <r>
    <s v="Capital One - Long Term Emergency (1201)"/>
    <d v="2014-11-28T00:00:00"/>
    <n v="48.77"/>
    <s v="X"/>
    <s v="Capital One (Interest Income)"/>
    <m/>
    <s v="Interest Income"/>
    <m/>
    <m/>
    <m/>
    <x v="40"/>
    <x v="0"/>
    <m/>
    <m/>
    <m/>
    <m/>
    <x v="1"/>
    <x v="0"/>
    <x v="3"/>
    <x v="0"/>
    <x v="0"/>
    <s v="None"/>
    <s v="Interest Income"/>
  </r>
  <r>
    <s v="Capital One - Secondary Savings (3126)"/>
    <d v="2014-11-28T00:00:00"/>
    <n v="0.02"/>
    <s v="X"/>
    <s v="Capital One (Interest Income)"/>
    <m/>
    <s v="Interest Income"/>
    <m/>
    <m/>
    <m/>
    <x v="40"/>
    <x v="0"/>
    <m/>
    <m/>
    <m/>
    <m/>
    <x v="1"/>
    <x v="0"/>
    <x v="3"/>
    <x v="0"/>
    <x v="0"/>
    <s v="None"/>
    <s v="Interest Income"/>
  </r>
  <r>
    <s v="Capital One - Vacation (4959)"/>
    <d v="2014-11-28T00:00:00"/>
    <n v="14.81"/>
    <s v="X"/>
    <s v="Capital One (Interest Income)"/>
    <m/>
    <s v="Interest Income"/>
    <m/>
    <m/>
    <m/>
    <x v="40"/>
    <x v="0"/>
    <m/>
    <m/>
    <m/>
    <m/>
    <x v="1"/>
    <x v="0"/>
    <x v="3"/>
    <x v="0"/>
    <x v="0"/>
    <s v="None"/>
    <s v="Interest Income"/>
  </r>
  <r>
    <s v="First Tech - Checking (5544)"/>
    <d v="2014-11-28T00:00:00"/>
    <n v="-9.0500000000000007"/>
    <s v="X"/>
    <s v="Chase (Autopay)"/>
    <s v="ACH Debit--CHASE  - AUTOPAY"/>
    <s v="[Chase Freedom XX9381]"/>
    <m/>
    <m/>
    <m/>
    <x v="7"/>
    <x v="0"/>
    <m/>
    <m/>
    <m/>
    <m/>
    <x v="1"/>
    <x v="0"/>
    <x v="1"/>
    <x v="1"/>
    <x v="1"/>
    <e v="#N/A"/>
    <s v="[Chase Freedom XX9381]"/>
  </r>
  <r>
    <s v="Schwab - Checking (9784)"/>
    <d v="2014-11-28T00:00:00"/>
    <n v="0.03"/>
    <s v="X"/>
    <s v="Interest Paid"/>
    <m/>
    <s v="Interest Income"/>
    <m/>
    <m/>
    <m/>
    <x v="40"/>
    <x v="0"/>
    <m/>
    <m/>
    <m/>
    <m/>
    <x v="1"/>
    <x v="0"/>
    <x v="3"/>
    <x v="0"/>
    <x v="0"/>
    <s v="None"/>
    <s v="Interest Income"/>
  </r>
  <r>
    <s v="Schwab - Checking (9784)"/>
    <d v="2014-11-28T00:00:00"/>
    <n v="3"/>
    <s v="X"/>
    <s v="ATM Fee Refund"/>
    <m/>
    <s v="Bank Fees &amp; Charges:ATM Fee"/>
    <m/>
    <m/>
    <m/>
    <x v="32"/>
    <x v="17"/>
    <m/>
    <m/>
    <m/>
    <m/>
    <x v="1"/>
    <x v="0"/>
    <x v="3"/>
    <x v="0"/>
    <x v="0"/>
    <s v="None"/>
    <s v="Bank Fees &amp; Charges|ATM Fee"/>
  </r>
  <r>
    <s v="MasterCard (Capital One)"/>
    <d v="2014-11-28T00:00:00"/>
    <n v="-39.74"/>
    <s v="X"/>
    <s v="Lowe's"/>
    <s v="Washing machine"/>
    <s v="Projects:Appliances/From Receipt"/>
    <m/>
    <m/>
    <s v="From Receipt"/>
    <x v="39"/>
    <x v="36"/>
    <m/>
    <m/>
    <m/>
    <m/>
    <x v="1"/>
    <x v="0"/>
    <x v="6"/>
    <x v="0"/>
    <x v="0"/>
    <s v="None"/>
    <s v="Projects|Appliances"/>
  </r>
  <r>
    <s v="MasterCard (Capital One)"/>
    <d v="2014-11-28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x v="1"/>
    <x v="0"/>
    <x v="4"/>
    <x v="0"/>
    <x v="0"/>
    <s v="None"/>
    <s v="Auto &amp; Transport|Tolls"/>
  </r>
  <r>
    <s v="MasterCard (Capital One)"/>
    <d v="2014-11-28T00:00:00"/>
    <n v="-10.82"/>
    <s v="X"/>
    <s v="Home Depot"/>
    <s v="Flashlights for the boys"/>
    <s v="Kids:Toys/From Receipt"/>
    <m/>
    <s v="Split"/>
    <s v="From Receipt"/>
    <x v="27"/>
    <x v="14"/>
    <m/>
    <m/>
    <m/>
    <m/>
    <x v="1"/>
    <x v="0"/>
    <x v="3"/>
    <x v="0"/>
    <x v="0"/>
    <s v="None"/>
    <s v="Kids|Toys"/>
  </r>
  <r>
    <s v="MasterCard (Capital One)"/>
    <d v="2014-11-28T00:00:00"/>
    <n v="-3.97"/>
    <s v="X"/>
    <s v="Home Depot"/>
    <s v="Dryer fitting"/>
    <s v="Projects:Appliances/From Receipt"/>
    <m/>
    <s v="Split"/>
    <s v="From Receipt"/>
    <x v="39"/>
    <x v="36"/>
    <m/>
    <m/>
    <m/>
    <m/>
    <x v="1"/>
    <x v="0"/>
    <x v="6"/>
    <x v="0"/>
    <x v="0"/>
    <s v="None"/>
    <s v="Projects|Appliances"/>
  </r>
  <r>
    <s v="MasterCard (Capital One)"/>
    <d v="2014-11-28T00:00:00"/>
    <n v="-21.88"/>
    <s v="X"/>
    <s v="Third Place Books"/>
    <s v="Books"/>
    <s v="Kids:Toys/From Receipt"/>
    <m/>
    <m/>
    <s v="From Receipt"/>
    <x v="27"/>
    <x v="14"/>
    <m/>
    <m/>
    <m/>
    <m/>
    <x v="1"/>
    <x v="0"/>
    <x v="3"/>
    <x v="0"/>
    <x v="0"/>
    <s v="None"/>
    <s v="Kids|Toys"/>
  </r>
  <r>
    <s v="First Tech - Checking (5544)"/>
    <d v="2014-11-27T00:00:00"/>
    <n v="5496.28"/>
    <s v="X"/>
    <s v="Microsoft (Paystub)"/>
    <s v="ACH Deposit--MICROSOFT  - EDIPAYMENT"/>
    <s v="Net Salary"/>
    <m/>
    <m/>
    <m/>
    <x v="35"/>
    <x v="0"/>
    <m/>
    <m/>
    <m/>
    <m/>
    <x v="1"/>
    <x v="0"/>
    <x v="3"/>
    <x v="0"/>
    <x v="0"/>
    <s v="None"/>
    <s v="Net Salary"/>
  </r>
  <r>
    <s v="MasterCard (Capital One)"/>
    <d v="2014-11-27T00:00:00"/>
    <n v="-96.84"/>
    <s v="X"/>
    <s v="Fred Meyer"/>
    <s v="Includes some for Thanksgiving"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First Tech - Checking (5544)"/>
    <d v="2014-11-26T00:00:00"/>
    <n v="-45"/>
    <s v="X"/>
    <s v="Patricia Anderson"/>
    <m/>
    <s v="Kids:Babysitter"/>
    <n v="2142"/>
    <m/>
    <m/>
    <x v="27"/>
    <x v="13"/>
    <m/>
    <m/>
    <m/>
    <m/>
    <x v="1"/>
    <x v="0"/>
    <x v="3"/>
    <x v="0"/>
    <x v="0"/>
    <s v="None"/>
    <s v="Kids|Babysitter"/>
  </r>
  <r>
    <s v="Chase Freedom XX9381"/>
    <d v="2014-11-26T00:00:00"/>
    <n v="9.0500000000000007"/>
    <s v="X"/>
    <s v="Chase Freedom (Autopay)"/>
    <m/>
    <s v="[First Tech - Checking (5544)]"/>
    <m/>
    <m/>
    <m/>
    <x v="21"/>
    <x v="0"/>
    <m/>
    <m/>
    <m/>
    <m/>
    <x v="1"/>
    <x v="0"/>
    <x v="0"/>
    <x v="0"/>
    <x v="0"/>
    <s v="None"/>
    <s v="[First Tech - Checking (5544)]"/>
  </r>
  <r>
    <s v="First Tech - Checking (5544)"/>
    <d v="2014-11-25T00:00:00"/>
    <n v="6058.12"/>
    <s v="X"/>
    <s v="CRAB (Paystub)"/>
    <s v="ACH Deposit--Cancer Research  - Payroll"/>
    <s v="Net Salary"/>
    <m/>
    <m/>
    <m/>
    <x v="35"/>
    <x v="0"/>
    <m/>
    <m/>
    <m/>
    <m/>
    <x v="1"/>
    <x v="0"/>
    <x v="3"/>
    <x v="0"/>
    <x v="0"/>
    <s v="None"/>
    <s v="Net Salary"/>
  </r>
  <r>
    <s v="First Tech - Checking (5544)"/>
    <d v="2014-11-24T00:00:00"/>
    <n v="-736.22"/>
    <s v="X"/>
    <s v="Discover Card (Autopay)"/>
    <s v="ACH Debit--DISCOVER DC PYMNTS DCIDPIINT - E-PAYMENT"/>
    <s v="[Discover Card]"/>
    <m/>
    <m/>
    <m/>
    <x v="24"/>
    <x v="0"/>
    <m/>
    <m/>
    <m/>
    <m/>
    <x v="1"/>
    <x v="0"/>
    <x v="0"/>
    <x v="0"/>
    <x v="0"/>
    <s v="None"/>
    <s v="[Discover Card]"/>
  </r>
  <r>
    <s v="Koolikai - Checking XX2129"/>
    <d v="2014-11-24T00:00:00"/>
    <n v="-146.84"/>
    <s v="*"/>
    <s v="Chase - Koolikai (Autopay)"/>
    <s v="ACH Debit--CHASE  - AUTOPAYBUS"/>
    <s v="[Koolikai Credit Card]"/>
    <m/>
    <m/>
    <m/>
    <x v="9"/>
    <x v="0"/>
    <m/>
    <m/>
    <m/>
    <m/>
    <x v="1"/>
    <x v="0"/>
    <x v="0"/>
    <x v="0"/>
    <x v="0"/>
    <s v="None"/>
    <s v="[Koolikai Credit Card]"/>
  </r>
  <r>
    <s v="Chase Freedom XX9381"/>
    <d v="2014-11-24T00:00:00"/>
    <n v="-5.32"/>
    <s v="X"/>
    <s v="Amazon"/>
    <s v="Alligator clips"/>
    <s v="Shopping:Electronics &amp; Software"/>
    <m/>
    <m/>
    <m/>
    <x v="13"/>
    <x v="20"/>
    <m/>
    <m/>
    <m/>
    <m/>
    <x v="1"/>
    <x v="0"/>
    <x v="2"/>
    <x v="0"/>
    <x v="0"/>
    <s v="None"/>
    <s v="Shopping|Electronics &amp; Software"/>
  </r>
  <r>
    <s v="MasterCard (Capital One)"/>
    <d v="2014-11-24T00:00:00"/>
    <n v="20.76"/>
    <s v="X"/>
    <s v="Aerovironment"/>
    <s v="Refund for extra month's charge"/>
    <s v="Auto &amp; Transport:Gas &amp; Fuel"/>
    <m/>
    <m/>
    <m/>
    <x v="17"/>
    <x v="37"/>
    <m/>
    <m/>
    <m/>
    <m/>
    <x v="1"/>
    <x v="0"/>
    <x v="3"/>
    <x v="0"/>
    <x v="0"/>
    <s v="None"/>
    <s v="Auto &amp; Transport|Gas &amp; Fuel"/>
  </r>
  <r>
    <s v="MasterCard (Capital One)"/>
    <d v="2014-11-24T00:00:00"/>
    <n v="-12.72"/>
    <s v="X"/>
    <s v="Larsen Original Bake"/>
    <m/>
    <s v="Parties"/>
    <m/>
    <m/>
    <m/>
    <x v="16"/>
    <x v="0"/>
    <m/>
    <m/>
    <m/>
    <m/>
    <x v="1"/>
    <x v="0"/>
    <x v="2"/>
    <x v="0"/>
    <x v="0"/>
    <s v="None"/>
    <s v="Parties"/>
  </r>
  <r>
    <s v="Schwab - Checking (9784)"/>
    <d v="2014-11-23T00:00:00"/>
    <n v="-9"/>
    <s v="X"/>
    <s v="Bank Of America"/>
    <s v="Monorail tickets"/>
    <s v="Vacation:Activities"/>
    <m/>
    <s v="Split"/>
    <m/>
    <x v="23"/>
    <x v="39"/>
    <m/>
    <m/>
    <m/>
    <m/>
    <x v="1"/>
    <x v="0"/>
    <x v="4"/>
    <x v="0"/>
    <x v="0"/>
    <s v="None"/>
    <s v="Vacation|Activities"/>
  </r>
  <r>
    <s v="Schwab - Checking (9784)"/>
    <d v="2014-11-23T00:00:00"/>
    <n v="-14"/>
    <s v="X"/>
    <s v="Bank Of America"/>
    <m/>
    <s v="Food &amp; Dining:Restaurants"/>
    <m/>
    <s v="Split"/>
    <m/>
    <x v="15"/>
    <x v="15"/>
    <m/>
    <m/>
    <m/>
    <m/>
    <x v="1"/>
    <x v="0"/>
    <x v="3"/>
    <x v="0"/>
    <x v="0"/>
    <s v="None"/>
    <s v="Food &amp; Dining|Restaurants"/>
  </r>
  <r>
    <s v="Chase Freedom XX9381"/>
    <d v="2014-11-23T00:00:00"/>
    <n v="-49.61"/>
    <s v="X"/>
    <s v="The Ridge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Discover Card"/>
    <d v="2014-11-23T00:00:00"/>
    <n v="736.22"/>
    <s v="X"/>
    <s v="Discover Card (Autopay)"/>
    <m/>
    <s v="[First Tech - Checking (5544)]"/>
    <m/>
    <m/>
    <m/>
    <x v="21"/>
    <x v="0"/>
    <m/>
    <m/>
    <m/>
    <m/>
    <x v="1"/>
    <x v="0"/>
    <x v="0"/>
    <x v="0"/>
    <x v="0"/>
    <s v="None"/>
    <s v="[First Tech - Checking (5544)]"/>
  </r>
  <r>
    <s v="Koolikai Credit Card"/>
    <d v="2014-11-23T00:00:00"/>
    <n v="146.84"/>
    <s v="*"/>
    <s v="Chase - Koolikai (Autopay)"/>
    <m/>
    <s v="[Koolikai - Checking XX2129]"/>
    <m/>
    <m/>
    <m/>
    <x v="25"/>
    <x v="0"/>
    <m/>
    <m/>
    <m/>
    <m/>
    <x v="1"/>
    <x v="0"/>
    <x v="0"/>
    <x v="0"/>
    <x v="0"/>
    <s v="None"/>
    <s v="[Koolikai - Checking XX2129]"/>
  </r>
  <r>
    <s v="MasterCard (Capital One)"/>
    <d v="2014-11-23T00:00:00"/>
    <n v="-36.78"/>
    <s v="X"/>
    <s v="Shell"/>
    <m/>
    <s v="Auto &amp; Transport:Gas &amp; Fuel"/>
    <m/>
    <m/>
    <m/>
    <x v="17"/>
    <x v="37"/>
    <m/>
    <m/>
    <m/>
    <m/>
    <x v="1"/>
    <x v="0"/>
    <x v="3"/>
    <x v="0"/>
    <x v="0"/>
    <s v="None"/>
    <s v="Auto &amp; Transport|Gas &amp; Fuel"/>
  </r>
  <r>
    <s v="First Tech - Checking (5544)"/>
    <d v="2014-11-22T00:00:00"/>
    <n v="801.65"/>
    <s v="X"/>
    <s v="CRAB (Reimbursement)"/>
    <s v="#Group Meeting Fall#"/>
    <s v="Work Expense:Reimbursement"/>
    <m/>
    <m/>
    <m/>
    <x v="19"/>
    <x v="6"/>
    <m/>
    <m/>
    <s v="Group Meeting Fall"/>
    <m/>
    <x v="1"/>
    <x v="0"/>
    <x v="4"/>
    <x v="0"/>
    <x v="0"/>
    <s v="None"/>
    <s v="Work Expense|Reimbursement"/>
  </r>
  <r>
    <s v="MasterCard (Capital One)"/>
    <d v="2014-11-22T00:00:00"/>
    <n v="-4.22"/>
    <s v="X"/>
    <s v="Park"/>
    <m/>
    <s v="Auto &amp; Transport:Parking"/>
    <m/>
    <m/>
    <m/>
    <x v="17"/>
    <x v="11"/>
    <m/>
    <m/>
    <m/>
    <m/>
    <x v="1"/>
    <x v="0"/>
    <x v="3"/>
    <x v="0"/>
    <x v="0"/>
    <s v="None"/>
    <s v="Auto &amp; Transport|Parking"/>
  </r>
  <r>
    <s v="MasterCard (Capital One)"/>
    <d v="2014-11-22T00:00:00"/>
    <n v="-4.37"/>
    <s v="X"/>
    <s v="Sq Monkeys Toys"/>
    <m/>
    <s v="Kids:Toys"/>
    <m/>
    <m/>
    <m/>
    <x v="27"/>
    <x v="14"/>
    <m/>
    <m/>
    <m/>
    <m/>
    <x v="1"/>
    <x v="0"/>
    <x v="3"/>
    <x v="0"/>
    <x v="0"/>
    <s v="None"/>
    <s v="Kids|Toys"/>
  </r>
  <r>
    <s v="MasterCard (Capital One)"/>
    <d v="2014-11-22T00:00:00"/>
    <n v="-15.31"/>
    <s v="X"/>
    <s v="Kabob Corner Greek"/>
    <s v="Dinner after Dick Whittington and his cat"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22T00:00:00"/>
    <n v="-24.91"/>
    <s v="X"/>
    <s v="Skillet Counter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22T00:00:00"/>
    <n v="-111.81"/>
    <s v="X"/>
    <s v="Fred Meyer"/>
    <m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Target Red Card"/>
    <d v="2014-11-22T00:00:00"/>
    <n v="-33.5"/>
    <s v="*"/>
    <s v="Central Checkout Northg"/>
    <s v="#Disneyland 2014# Toys for trip"/>
    <s v="Vacation:Activities/From Receipt"/>
    <n v="799999943261"/>
    <m/>
    <s v="From Receipt"/>
    <x v="23"/>
    <x v="39"/>
    <m/>
    <m/>
    <s v="Disneyland 2014"/>
    <m/>
    <x v="1"/>
    <x v="0"/>
    <x v="4"/>
    <x v="0"/>
    <x v="0"/>
    <s v="None"/>
    <s v="Vacation|Activities"/>
  </r>
  <r>
    <s v="First Tech - Checking (5544)"/>
    <d v="2014-11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1"/>
    <x v="0"/>
    <x v="3"/>
    <x v="0"/>
    <x v="0"/>
    <s v="None"/>
    <s v="Auto &amp; Transport|Auto Lease Payment"/>
  </r>
  <r>
    <s v="First Tech - Checking (5544)"/>
    <d v="2014-11-21T00:00:00"/>
    <n v="-70"/>
    <s v="X"/>
    <s v="Poppy Weber"/>
    <s v="@CAT:@"/>
    <s v="Kids:Babysitter"/>
    <n v="2141"/>
    <m/>
    <m/>
    <x v="27"/>
    <x v="13"/>
    <m/>
    <m/>
    <m/>
    <m/>
    <x v="1"/>
    <x v="0"/>
    <x v="3"/>
    <x v="0"/>
    <x v="0"/>
    <s v="None"/>
    <s v="Kids|Babysitter"/>
  </r>
  <r>
    <s v="Koolikai - Checking XX2129"/>
    <d v="2014-11-21T00:00:00"/>
    <n v="-128.66"/>
    <s v="*"/>
    <s v="Fritz's Plumbing"/>
    <s v="Unblock bathroom drain at 9602"/>
    <s v="Business Expenses (Koolikai):Repairs/9602:From Receipt"/>
    <n v="1095"/>
    <m/>
    <s v="9602:From Receipt"/>
    <x v="36"/>
    <x v="41"/>
    <m/>
    <m/>
    <m/>
    <m/>
    <x v="1"/>
    <x v="0"/>
    <x v="4"/>
    <x v="0"/>
    <x v="0"/>
    <s v="None"/>
    <s v="Business Expenses (Koolikai)|Repairs"/>
  </r>
  <r>
    <s v="Schwab - Checking (9784)"/>
    <d v="2014-11-21T00:00:00"/>
    <n v="-5.79"/>
    <s v="X"/>
    <s v="Costco"/>
    <s v="Eyeglass cleaner"/>
    <s v="Health &amp; Fitness:Eyecare/From Receipt"/>
    <m/>
    <s v="Split"/>
    <s v="From Receipt"/>
    <x v="18"/>
    <x v="5"/>
    <m/>
    <m/>
    <m/>
    <m/>
    <x v="1"/>
    <x v="0"/>
    <x v="4"/>
    <x v="0"/>
    <x v="0"/>
    <s v="None"/>
    <s v="Health &amp; Fitness|Eyecare"/>
  </r>
  <r>
    <s v="Schwab - Checking (9784)"/>
    <d v="2014-11-21T00:00:00"/>
    <n v="-6.55"/>
    <s v="X"/>
    <s v="Costco"/>
    <s v="Pictures for Nikki"/>
    <s v="Gifts/From Receipt"/>
    <m/>
    <s v="Split"/>
    <s v="From Receipt"/>
    <x v="28"/>
    <x v="0"/>
    <m/>
    <m/>
    <m/>
    <m/>
    <x v="1"/>
    <x v="0"/>
    <x v="3"/>
    <x v="0"/>
    <x v="0"/>
    <s v="None"/>
    <s v="Gifts"/>
  </r>
  <r>
    <s v="MasterCard (Capital One)"/>
    <d v="2014-11-21T00:00:00"/>
    <n v="-20.05"/>
    <s v="X"/>
    <s v="Metropolis"/>
    <s v="Christmas cards"/>
    <s v="Gifts/From Receipt"/>
    <m/>
    <m/>
    <s v="From Receipt"/>
    <x v="28"/>
    <x v="0"/>
    <m/>
    <m/>
    <m/>
    <m/>
    <x v="1"/>
    <x v="0"/>
    <x v="3"/>
    <x v="0"/>
    <x v="0"/>
    <s v="None"/>
    <s v="Gifts"/>
  </r>
  <r>
    <s v="MasterCard (Capital One)"/>
    <d v="2014-11-21T00:00:00"/>
    <n v="-21.89"/>
    <s v="X"/>
    <s v="Babies &quot;R&quot; Us"/>
    <s v="Little learning house"/>
    <s v="Gifts/From Receipt"/>
    <m/>
    <m/>
    <s v="From Receipt"/>
    <x v="28"/>
    <x v="0"/>
    <m/>
    <m/>
    <m/>
    <m/>
    <x v="1"/>
    <x v="0"/>
    <x v="3"/>
    <x v="0"/>
    <x v="0"/>
    <s v="None"/>
    <s v="Gifts"/>
  </r>
  <r>
    <s v="MasterCard (Capital One)"/>
    <d v="2014-11-21T00:00:00"/>
    <n v="-42.54"/>
    <s v="X"/>
    <s v="Metropolis"/>
    <s v="Christmas cards"/>
    <s v="Gifts/From Receipt"/>
    <m/>
    <m/>
    <s v="From Receipt"/>
    <x v="28"/>
    <x v="0"/>
    <m/>
    <m/>
    <m/>
    <m/>
    <x v="1"/>
    <x v="0"/>
    <x v="3"/>
    <x v="0"/>
    <x v="0"/>
    <s v="None"/>
    <s v="Gifts"/>
  </r>
  <r>
    <s v="MasterCard (Capital One)"/>
    <d v="2014-11-21T00:00:00"/>
    <n v="-70.77"/>
    <s v="X"/>
    <s v="Phinney Market Pub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REI Mastercard (xx1787)"/>
    <d v="2014-11-19T00:00:00"/>
    <n v="-43.8"/>
    <s v="*"/>
    <s v="Rei"/>
    <s v="Dave's gloves"/>
    <s v="Shopping:Clothing/From Receipt"/>
    <m/>
    <m/>
    <s v="From Receipt"/>
    <x v="13"/>
    <x v="1"/>
    <m/>
    <m/>
    <m/>
    <m/>
    <x v="1"/>
    <x v="0"/>
    <x v="2"/>
    <x v="0"/>
    <x v="0"/>
    <s v="None"/>
    <s v="Shopping|Clothing"/>
  </r>
  <r>
    <s v="First Tech - Checking (5544)"/>
    <d v="2014-11-18T00:00:00"/>
    <n v="-74.77"/>
    <s v="X"/>
    <s v="Seattle City Light"/>
    <s v="ACH Debit--CITY OF SEATTLE  - 1 - SCL De"/>
    <s v="Bills &amp; Utilities:Utilities"/>
    <m/>
    <m/>
    <m/>
    <x v="34"/>
    <x v="18"/>
    <m/>
    <m/>
    <m/>
    <m/>
    <x v="1"/>
    <x v="0"/>
    <x v="3"/>
    <x v="0"/>
    <x v="0"/>
    <s v="None"/>
    <s v="Bills &amp; Utilities|Utilities"/>
  </r>
  <r>
    <s v="Chase Freedom XX9381"/>
    <d v="2014-11-18T00:00:00"/>
    <n v="-1.98"/>
    <s v="X"/>
    <s v="Ken Market"/>
    <m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Chase Freedom XX9381"/>
    <d v="2014-11-18T00:00:00"/>
    <n v="-20"/>
    <s v="X"/>
    <s v="Seattle Families Of Multiples"/>
    <s v="Kids T-shirts"/>
    <s v="Kids:Clothing"/>
    <m/>
    <m/>
    <m/>
    <x v="27"/>
    <x v="1"/>
    <m/>
    <m/>
    <m/>
    <m/>
    <x v="1"/>
    <x v="0"/>
    <x v="3"/>
    <x v="0"/>
    <x v="0"/>
    <s v="None"/>
    <s v="Kids|Clothing"/>
  </r>
  <r>
    <s v="REI Mastercard (xx1787)"/>
    <d v="2014-11-18T00:00:00"/>
    <n v="0"/>
    <s v="X"/>
    <s v="Opening Balance"/>
    <m/>
    <s v="[REI Mastercard (xx1787)]"/>
    <m/>
    <m/>
    <m/>
    <x v="11"/>
    <x v="0"/>
    <m/>
    <m/>
    <m/>
    <m/>
    <x v="1"/>
    <x v="0"/>
    <x v="1"/>
    <x v="1"/>
    <x v="1"/>
    <e v="#N/A"/>
    <s v="[REI Mastercard (xx1787)]"/>
  </r>
  <r>
    <s v="MasterCard (Capital One)"/>
    <d v="2014-11-16T00:00:00"/>
    <n v="-9.17"/>
    <s v="X"/>
    <s v="Mcdonald's"/>
    <s v="@BAL:$5556.22@@CAT:@"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Discover Card"/>
    <d v="2014-11-15T00:00:00"/>
    <n v="-24.05"/>
    <s v="X"/>
    <s v="Ikea"/>
    <s v="@CAT:@"/>
    <s v="Home:Furnishings/From Receipt"/>
    <m/>
    <s v="Split"/>
    <s v="From Receipt"/>
    <x v="14"/>
    <x v="2"/>
    <m/>
    <m/>
    <m/>
    <m/>
    <x v="1"/>
    <x v="0"/>
    <x v="3"/>
    <x v="0"/>
    <x v="0"/>
    <s v="None"/>
    <s v="Home|Furnishings"/>
  </r>
  <r>
    <s v="Discover Card"/>
    <d v="2014-11-15T00:00:00"/>
    <n v="-27.33"/>
    <s v="X"/>
    <s v="Ikea"/>
    <m/>
    <s v="Gifts/From Receipt"/>
    <m/>
    <s v="Split"/>
    <s v="From Receipt"/>
    <x v="28"/>
    <x v="0"/>
    <m/>
    <m/>
    <m/>
    <m/>
    <x v="1"/>
    <x v="0"/>
    <x v="3"/>
    <x v="0"/>
    <x v="0"/>
    <s v="None"/>
    <s v="Gifts"/>
  </r>
  <r>
    <s v="Discover Card"/>
    <d v="2014-11-15T00:00:00"/>
    <n v="-27.96"/>
    <s v="X"/>
    <s v="Ikea"/>
    <m/>
    <s v="Kids:Toys/From Receipt"/>
    <m/>
    <s v="Split"/>
    <s v="From Receipt"/>
    <x v="27"/>
    <x v="14"/>
    <m/>
    <m/>
    <m/>
    <m/>
    <x v="1"/>
    <x v="0"/>
    <x v="3"/>
    <x v="0"/>
    <x v="0"/>
    <s v="None"/>
    <s v="Kids|Toys"/>
  </r>
  <r>
    <s v="MasterCard (Capital One)"/>
    <d v="2014-11-15T00:00:00"/>
    <n v="-4.21"/>
    <s v="X"/>
    <s v="Blink Network Llc"/>
    <m/>
    <s v="Auto &amp; Transport:Gas &amp; Fuel"/>
    <m/>
    <m/>
    <m/>
    <x v="17"/>
    <x v="37"/>
    <m/>
    <m/>
    <m/>
    <m/>
    <x v="1"/>
    <x v="0"/>
    <x v="3"/>
    <x v="0"/>
    <x v="0"/>
    <s v="None"/>
    <s v="Auto &amp; Transport|Gas &amp; Fuel"/>
  </r>
  <r>
    <s v="MasterCard (Capital One)"/>
    <d v="2014-11-15T00:00:00"/>
    <n v="-25.12"/>
    <s v="X"/>
    <s v="Ikea"/>
    <m/>
    <s v="Food &amp; Dining:Restaurants/From Receipt"/>
    <m/>
    <m/>
    <s v="From Receipt"/>
    <x v="15"/>
    <x v="15"/>
    <m/>
    <m/>
    <m/>
    <m/>
    <x v="1"/>
    <x v="0"/>
    <x v="3"/>
    <x v="0"/>
    <x v="0"/>
    <s v="None"/>
    <s v="Food &amp; Dining|Restaurants"/>
  </r>
  <r>
    <s v="MasterCard (Capital One)"/>
    <d v="2014-11-15T00:00:00"/>
    <n v="-134.79"/>
    <s v="X"/>
    <s v="Toulouse Petit Kitchen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15T00:00:00"/>
    <n v="-155.08000000000001"/>
    <s v="X"/>
    <s v="Fred Meyer"/>
    <m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First Tech - Checking (5544)"/>
    <d v="2014-11-14T00:00:00"/>
    <n v="15"/>
    <s v="X"/>
    <s v="CRAB (Reimbursement)"/>
    <s v="#Cash Payment for keycard#"/>
    <s v="Work Expense:Reimbursement"/>
    <m/>
    <m/>
    <m/>
    <x v="19"/>
    <x v="6"/>
    <m/>
    <m/>
    <s v="Cash Payment for keycard"/>
    <m/>
    <x v="1"/>
    <x v="0"/>
    <x v="4"/>
    <x v="0"/>
    <x v="0"/>
    <s v="None"/>
    <s v="Work Expense|Reimbursement"/>
  </r>
  <r>
    <s v="First Tech - Checking (5544)"/>
    <d v="2014-11-14T00:00:00"/>
    <n v="148.91"/>
    <s v="X"/>
    <s v="Stay Fit Credit"/>
    <s v="#Stay Fit# ACH Deposit--STAY FIT MICROSO 304254681"/>
    <s v="Health &amp; Fitness:Sports"/>
    <m/>
    <m/>
    <m/>
    <x v="18"/>
    <x v="23"/>
    <m/>
    <m/>
    <s v="Stay Fit"/>
    <m/>
    <x v="1"/>
    <x v="0"/>
    <x v="4"/>
    <x v="0"/>
    <x v="0"/>
    <s v="None"/>
    <s v="Health &amp; Fitness|Sports"/>
  </r>
  <r>
    <s v="Discover Card"/>
    <d v="2014-11-14T00:00:00"/>
    <n v="-4"/>
    <s v="X"/>
    <s v="Cafe Remond Wa"/>
    <s v="Omelet"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Discover Card"/>
    <d v="2014-11-14T00:00:00"/>
    <n v="-100"/>
    <s v="X"/>
    <s v="Cafe Remond Wa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First Tech - Checking (5544)"/>
    <d v="2014-11-13T00:00:00"/>
    <n v="5507.73"/>
    <s v="X"/>
    <s v="Microsoft (Paystub)"/>
    <s v="ACH Deposit--MICROSOFT  - EDIPAYMENT"/>
    <s v="Net Salary"/>
    <m/>
    <m/>
    <m/>
    <x v="35"/>
    <x v="0"/>
    <m/>
    <m/>
    <m/>
    <m/>
    <x v="1"/>
    <x v="0"/>
    <x v="3"/>
    <x v="0"/>
    <x v="0"/>
    <s v="None"/>
    <s v="Net Salary"/>
  </r>
  <r>
    <s v="First Tech - Checking (5544)"/>
    <d v="2014-11-13T00:00:00"/>
    <n v="-48.63"/>
    <s v="X"/>
    <s v="Puget Sound Energy"/>
    <s v="ACH Debit--PUGET SOUND ENER DIRECT DEBITING - PSE BILL  46250514"/>
    <s v="Bills &amp; Utilities:Utilities"/>
    <m/>
    <m/>
    <m/>
    <x v="34"/>
    <x v="18"/>
    <m/>
    <m/>
    <m/>
    <m/>
    <x v="1"/>
    <x v="0"/>
    <x v="3"/>
    <x v="0"/>
    <x v="0"/>
    <s v="None"/>
    <s v="Bills &amp; Utilities|Utilities"/>
  </r>
  <r>
    <s v="MasterCard (Capital One)"/>
    <d v="2014-11-13T00:00:00"/>
    <n v="-21.71"/>
    <s v="X"/>
    <s v="Icon Grill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Koolikai - Checking XX2129"/>
    <d v="2014-11-12T00:00:00"/>
    <n v="-67.81"/>
    <s v="X"/>
    <s v="John Schaibley"/>
    <s v="Smoke and CO detectors@CAT:@@BAL:$23,364.92@"/>
    <s v="Business Expenses (Koolikai):Repairs/9602:From Receipt"/>
    <n v="1094"/>
    <m/>
    <s v="9602:From Receipt"/>
    <x v="36"/>
    <x v="41"/>
    <m/>
    <m/>
    <m/>
    <m/>
    <x v="1"/>
    <x v="0"/>
    <x v="4"/>
    <x v="0"/>
    <x v="0"/>
    <s v="None"/>
    <s v="Business Expenses (Koolikai)|Repairs"/>
  </r>
  <r>
    <s v="Koolikai - Sec Dep XX1200"/>
    <d v="2014-11-12T00:00:00"/>
    <n v="0"/>
    <s v="X"/>
    <s v="Balanced"/>
    <s v="@CAT:@@BAL:$4,502.42@"/>
    <s v="[Koolikai - Sec Dep XX1200]"/>
    <m/>
    <m/>
    <m/>
    <x v="41"/>
    <x v="0"/>
    <m/>
    <m/>
    <m/>
    <m/>
    <x v="1"/>
    <x v="0"/>
    <x v="0"/>
    <x v="0"/>
    <x v="0"/>
    <s v="None"/>
    <s v="[Koolikai - Sec Dep XX1200]"/>
  </r>
  <r>
    <s v="Discover Card"/>
    <d v="2014-11-12T00:00:00"/>
    <n v="-5.2"/>
    <s v="X"/>
    <s v="Cafe Remond Wa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Koolikai Credit Card"/>
    <d v="2014-11-12T00:00:00"/>
    <n v="-146.88"/>
    <s v="*"/>
    <s v="Verizon Wireless"/>
    <m/>
    <s v="Business Expenses (Koolikai):Cell Phone"/>
    <m/>
    <m/>
    <m/>
    <x v="36"/>
    <x v="22"/>
    <m/>
    <m/>
    <m/>
    <m/>
    <x v="1"/>
    <x v="0"/>
    <x v="3"/>
    <x v="0"/>
    <x v="0"/>
    <s v="None"/>
    <s v="Business Expenses (Koolikai)|Cell Phone"/>
  </r>
  <r>
    <s v="MasterCard (Capital One)"/>
    <d v="2014-11-12T00:00:00"/>
    <n v="-36.11"/>
    <s v="X"/>
    <s v="Officemax"/>
    <s v="Calendar and receipt holder"/>
    <s v="Business Expenses (Koolikai):Office Expenses (Business)/From Receipt"/>
    <m/>
    <m/>
    <s v="From Receipt"/>
    <x v="36"/>
    <x v="42"/>
    <m/>
    <m/>
    <m/>
    <m/>
    <x v="1"/>
    <x v="0"/>
    <x v="3"/>
    <x v="0"/>
    <x v="0"/>
    <s v="None"/>
    <s v="Business Expenses (Koolikai)|Office Expenses (Business)"/>
  </r>
  <r>
    <s v="Schwab - Checking (9784)"/>
    <d v="2014-11-11T00:00:00"/>
    <n v="-44.74"/>
    <s v="X"/>
    <s v="Costco"/>
    <s v="Sonicare brush heads"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Chase Slate (XX1141)"/>
    <d v="2014-11-11T00:00:00"/>
    <n v="0"/>
    <s v="X"/>
    <s v="Balanced"/>
    <s v="@CAT:@@BAL:$0.00@"/>
    <s v="[Chase Slate (XX1141)]"/>
    <m/>
    <m/>
    <m/>
    <x v="8"/>
    <x v="0"/>
    <m/>
    <m/>
    <m/>
    <m/>
    <x v="1"/>
    <x v="0"/>
    <x v="1"/>
    <x v="1"/>
    <x v="1"/>
    <e v="#N/A"/>
    <s v="[Chase Slate (XX1141)]"/>
  </r>
  <r>
    <s v="Mastercard (Angela)"/>
    <d v="2014-11-11T00:00:00"/>
    <n v="0"/>
    <s v="X"/>
    <s v="Balanced"/>
    <s v="@CAT:@@BAL:$0.00@"/>
    <s v="[Mastercard (Angela)]"/>
    <m/>
    <m/>
    <m/>
    <x v="10"/>
    <x v="0"/>
    <m/>
    <m/>
    <m/>
    <m/>
    <x v="1"/>
    <x v="0"/>
    <x v="0"/>
    <x v="0"/>
    <x v="0"/>
    <s v="None"/>
    <s v="[Mastercard (Angela)]"/>
  </r>
  <r>
    <s v="MasterCard (Capital One)"/>
    <d v="2014-11-11T00:00:00"/>
    <n v="25"/>
    <s v="X"/>
    <s v="Capital One (Cash Back)"/>
    <m/>
    <s v="Other Inc"/>
    <m/>
    <m/>
    <m/>
    <x v="29"/>
    <x v="0"/>
    <m/>
    <m/>
    <m/>
    <m/>
    <x v="1"/>
    <x v="0"/>
    <x v="3"/>
    <x v="0"/>
    <x v="0"/>
    <s v="None"/>
    <s v="Other Inc"/>
  </r>
  <r>
    <s v="MasterCard (Capital One)"/>
    <d v="2014-11-11T00:00:00"/>
    <n v="-23.89"/>
    <s v="X"/>
    <s v="Oshkosh"/>
    <m/>
    <s v="Kids:Clothing"/>
    <m/>
    <m/>
    <m/>
    <x v="27"/>
    <x v="1"/>
    <m/>
    <m/>
    <m/>
    <m/>
    <x v="1"/>
    <x v="0"/>
    <x v="3"/>
    <x v="0"/>
    <x v="0"/>
    <s v="None"/>
    <s v="Kids|Clothing"/>
  </r>
  <r>
    <s v="MasterCard (Capital One)"/>
    <d v="2014-11-11T00:00:00"/>
    <n v="-519"/>
    <s v="X"/>
    <s v="Seattle Gymnastic Academy"/>
    <m/>
    <s v="Kids:Kids Activities"/>
    <m/>
    <m/>
    <m/>
    <x v="27"/>
    <x v="12"/>
    <m/>
    <m/>
    <m/>
    <m/>
    <x v="1"/>
    <x v="0"/>
    <x v="3"/>
    <x v="0"/>
    <x v="0"/>
    <s v="None"/>
    <s v="Kids|Kids Activities"/>
  </r>
  <r>
    <s v="REI Mastercard (xx1787)"/>
    <d v="2014-11-11T00:00:00"/>
    <n v="0"/>
    <s v="X"/>
    <s v="Balanced"/>
    <s v="@CAT:@@BAL:$0.00@"/>
    <s v="[REI Mastercard (xx1787)]"/>
    <m/>
    <m/>
    <m/>
    <x v="11"/>
    <x v="0"/>
    <m/>
    <m/>
    <m/>
    <m/>
    <x v="1"/>
    <x v="0"/>
    <x v="1"/>
    <x v="1"/>
    <x v="1"/>
    <e v="#N/A"/>
    <s v="[REI Mastercard (xx1787)]"/>
  </r>
  <r>
    <s v="First Tech - Short Term Emergency (5400)"/>
    <d v="2014-11-09T00:00:00"/>
    <n v="0"/>
    <s v="X"/>
    <s v="Balanced"/>
    <s v="@CAT:@@BAL:$5.00@"/>
    <s v="[First Tech - Short Term Emergency (5400)]"/>
    <m/>
    <m/>
    <m/>
    <x v="4"/>
    <x v="0"/>
    <m/>
    <m/>
    <m/>
    <m/>
    <x v="1"/>
    <x v="0"/>
    <x v="0"/>
    <x v="0"/>
    <x v="0"/>
    <s v="None"/>
    <s v="[First Tech - Short Term Emergency (5400)]"/>
  </r>
  <r>
    <s v="MasterCard (Capital One)"/>
    <d v="2014-11-09T00:00:00"/>
    <n v="-6.57"/>
    <s v="X"/>
    <s v="Playdate Sea"/>
    <m/>
    <s v="Food &amp; Dining:Restaurants/From Receipt"/>
    <m/>
    <m/>
    <s v="From Receipt"/>
    <x v="15"/>
    <x v="15"/>
    <m/>
    <m/>
    <m/>
    <m/>
    <x v="1"/>
    <x v="0"/>
    <x v="3"/>
    <x v="0"/>
    <x v="0"/>
    <s v="None"/>
    <s v="Food &amp; Dining|Restaurants"/>
  </r>
  <r>
    <s v="Chase Slate (XX1141)"/>
    <d v="2014-11-08T00:00:00"/>
    <n v="0"/>
    <s v="X"/>
    <s v="Opening Balance"/>
    <m/>
    <s v="[Chase Slate (XX1141)]"/>
    <m/>
    <m/>
    <m/>
    <x v="8"/>
    <x v="0"/>
    <m/>
    <m/>
    <m/>
    <m/>
    <x v="1"/>
    <x v="0"/>
    <x v="1"/>
    <x v="1"/>
    <x v="1"/>
    <e v="#N/A"/>
    <s v="[Chase Slate (XX1141)]"/>
  </r>
  <r>
    <s v="MasterCard (Capital One)"/>
    <d v="2014-11-08T00:00:00"/>
    <n v="-15.87"/>
    <s v="X"/>
    <s v="Hales Ales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8T00:00:00"/>
    <n v="-18.72"/>
    <s v="X"/>
    <s v="Subway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8T00:00:00"/>
    <n v="-21.53"/>
    <s v="X"/>
    <s v="Trader Joe's"/>
    <m/>
    <s v="Food &amp; Dining:Groceries/From Receipt"/>
    <m/>
    <s v="Split"/>
    <s v="From Receipt"/>
    <x v="15"/>
    <x v="3"/>
    <m/>
    <m/>
    <m/>
    <m/>
    <x v="1"/>
    <x v="0"/>
    <x v="3"/>
    <x v="0"/>
    <x v="0"/>
    <s v="None"/>
    <s v="Food &amp; Dining|Groceries"/>
  </r>
  <r>
    <s v="MasterCard (Capital One)"/>
    <d v="2014-11-08T00:00:00"/>
    <n v="-15"/>
    <s v="X"/>
    <s v="Trader Joe's"/>
    <s v="#Disneyland 2014#"/>
    <s v="Vacation:Food/From Receipt"/>
    <m/>
    <s v="Split"/>
    <s v="From Receipt"/>
    <x v="23"/>
    <x v="8"/>
    <m/>
    <m/>
    <s v="Disneyland 2014"/>
    <m/>
    <x v="1"/>
    <x v="0"/>
    <x v="4"/>
    <x v="0"/>
    <x v="0"/>
    <s v="None"/>
    <s v="Vacation|Food"/>
  </r>
  <r>
    <s v="MasterCard (Capital One)"/>
    <d v="2014-11-08T00:00:00"/>
    <n v="-116.55"/>
    <s v="X"/>
    <s v="Fred Meyer"/>
    <m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First Tech - Checking (5544)"/>
    <d v="2014-11-07T00:00:00"/>
    <n v="-30"/>
    <s v="X"/>
    <s v="Thistle Theater"/>
    <s v="Puppet show@CAT:@"/>
    <s v="Kids:Kids Activities/From Receipt:Tax Related"/>
    <n v="2139"/>
    <m/>
    <s v="From Receipt:Tax Related"/>
    <x v="27"/>
    <x v="12"/>
    <m/>
    <m/>
    <m/>
    <m/>
    <x v="1"/>
    <x v="0"/>
    <x v="3"/>
    <x v="0"/>
    <x v="0"/>
    <s v="None"/>
    <s v="Kids|Kids Activities"/>
  </r>
  <r>
    <s v="MasterCard (Capital One)"/>
    <d v="2014-11-07T00:00:00"/>
    <n v="-96"/>
    <s v="X"/>
    <s v="Pacific Coast Shell"/>
    <s v="#Disneyland 2014#"/>
    <s v="Vacation:Transportation"/>
    <m/>
    <m/>
    <m/>
    <x v="23"/>
    <x v="26"/>
    <m/>
    <m/>
    <s v="Disneyland 2014"/>
    <m/>
    <x v="1"/>
    <x v="0"/>
    <x v="4"/>
    <x v="0"/>
    <x v="0"/>
    <s v="None"/>
    <s v="Vacation|Transportation"/>
  </r>
  <r>
    <s v="First Tech - Checking (5544)"/>
    <d v="2014-11-06T00:00:00"/>
    <n v="116.5"/>
    <s v="X"/>
    <s v="Stay Fit Credit"/>
    <s v="#Stay Fit# Reimbursement for Beat the Blerch"/>
    <s v="Health &amp; Fitness:Sports"/>
    <m/>
    <m/>
    <m/>
    <x v="18"/>
    <x v="23"/>
    <m/>
    <m/>
    <s v="Stay Fit"/>
    <m/>
    <x v="1"/>
    <x v="0"/>
    <x v="4"/>
    <x v="0"/>
    <x v="0"/>
    <s v="None"/>
    <s v="Health &amp; Fitness|Sports"/>
  </r>
  <r>
    <s v="First Tech - Checking (5544)"/>
    <d v="2014-11-06T00:00:00"/>
    <n v="-54.49"/>
    <s v="X"/>
    <s v="Target (Autopay)"/>
    <s v="ACH Debit--TARGET CARD SRVC 001 - AUTO PYMT"/>
    <s v="[Target Red Card]"/>
    <m/>
    <m/>
    <m/>
    <x v="12"/>
    <x v="0"/>
    <m/>
    <m/>
    <m/>
    <m/>
    <x v="1"/>
    <x v="0"/>
    <x v="0"/>
    <x v="0"/>
    <x v="0"/>
    <s v="None"/>
    <s v="[Target Red Card]"/>
  </r>
  <r>
    <s v="First Tech - Checking (5544)"/>
    <d v="2014-11-06T00:00:00"/>
    <n v="-30"/>
    <s v="X"/>
    <s v="Courtney Willie"/>
    <s v="3x SWOG cookbooks"/>
    <s v="Gifts"/>
    <n v="2135"/>
    <m/>
    <m/>
    <x v="28"/>
    <x v="0"/>
    <m/>
    <m/>
    <m/>
    <m/>
    <x v="1"/>
    <x v="0"/>
    <x v="3"/>
    <x v="0"/>
    <x v="0"/>
    <s v="None"/>
    <s v="Gifts"/>
  </r>
  <r>
    <s v="MasterCard (Capital One)"/>
    <d v="2014-11-06T00:00:00"/>
    <n v="-1.65"/>
    <s v="X"/>
    <s v="Ken Market"/>
    <m/>
    <s v="Food &amp; Dining:Groceries"/>
    <m/>
    <m/>
    <m/>
    <x v="15"/>
    <x v="3"/>
    <m/>
    <m/>
    <m/>
    <m/>
    <x v="1"/>
    <x v="0"/>
    <x v="3"/>
    <x v="0"/>
    <x v="0"/>
    <s v="None"/>
    <s v="Food &amp; Dining|Groceries"/>
  </r>
  <r>
    <s v="Target Red Card"/>
    <d v="2014-11-06T00:00:00"/>
    <n v="54.49"/>
    <s v="X"/>
    <s v="Target (Autopay)"/>
    <s v="@BAL:$0.00@@CAT:@"/>
    <s v="[First Tech - Checking (5544)]"/>
    <m/>
    <m/>
    <m/>
    <x v="21"/>
    <x v="0"/>
    <m/>
    <m/>
    <m/>
    <m/>
    <x v="1"/>
    <x v="0"/>
    <x v="0"/>
    <x v="0"/>
    <x v="0"/>
    <s v="None"/>
    <s v="[First Tech - Checking (5544)]"/>
  </r>
  <r>
    <s v="First Tech - Checking (5544)"/>
    <d v="2014-11-05T00:00:00"/>
    <n v="-3864.19"/>
    <s v="X"/>
    <s v="Wells Fargo Home Mortgage"/>
    <s v="ACH Debit--WF HOME MTG ACH - AUTO PAY"/>
    <s v="Home:Mortgage"/>
    <m/>
    <m/>
    <m/>
    <x v="14"/>
    <x v="27"/>
    <m/>
    <m/>
    <m/>
    <m/>
    <x v="1"/>
    <x v="0"/>
    <x v="3"/>
    <x v="0"/>
    <x v="0"/>
    <s v="None"/>
    <s v="Home|Mortgage"/>
  </r>
  <r>
    <s v="Koolikai - Checking XX2129"/>
    <d v="2014-11-05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x v="1"/>
    <x v="0"/>
    <x v="3"/>
    <x v="0"/>
    <x v="0"/>
    <s v="None"/>
    <s v="Business Income (Koolikai)|Rent"/>
  </r>
  <r>
    <s v="Discover Card"/>
    <d v="2014-11-05T00:00:00"/>
    <n v="-148.91"/>
    <s v="X"/>
    <s v="Garmin International"/>
    <s v="#Stay Fit# Running watch@BAL:$-895.13@@CAT:@"/>
    <s v="Health &amp; Fitness:Sports"/>
    <m/>
    <m/>
    <m/>
    <x v="18"/>
    <x v="23"/>
    <m/>
    <m/>
    <s v="Stay Fit"/>
    <m/>
    <x v="1"/>
    <x v="0"/>
    <x v="4"/>
    <x v="0"/>
    <x v="0"/>
    <s v="None"/>
    <s v="Health &amp; Fitness|Sports"/>
  </r>
  <r>
    <s v="First Tech - Checking (5544)"/>
    <d v="2014-11-04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1"/>
    <x v="0"/>
    <x v="3"/>
    <x v="0"/>
    <x v="0"/>
    <s v="None"/>
    <s v="Kids|American Funds 529A"/>
  </r>
  <r>
    <s v="Discover Card"/>
    <d v="2014-11-04T00:00:00"/>
    <n v="-10"/>
    <s v="X"/>
    <s v="Ezells Famous Chicken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4T00:00:00"/>
    <n v="-4.25"/>
    <s v="X"/>
    <s v="Seattle Parks And Recreation"/>
    <s v="Change fee for swimming lessons"/>
    <s v="Kids:Kids Activities"/>
    <m/>
    <m/>
    <m/>
    <x v="27"/>
    <x v="12"/>
    <m/>
    <m/>
    <m/>
    <m/>
    <x v="1"/>
    <x v="0"/>
    <x v="3"/>
    <x v="0"/>
    <x v="0"/>
    <s v="None"/>
    <s v="Kids|Kids Activities"/>
  </r>
  <r>
    <s v="MasterCard (Capital One)"/>
    <d v="2014-11-04T00:00:00"/>
    <n v="-12.04"/>
    <s v="X"/>
    <s v="Taco Del Mar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4T00:00:00"/>
    <n v="-21.19"/>
    <s v="X"/>
    <s v="Comcast"/>
    <s v="October"/>
    <s v="Bills &amp; Utilities:Television"/>
    <m/>
    <s v="Split"/>
    <m/>
    <x v="34"/>
    <x v="32"/>
    <m/>
    <m/>
    <m/>
    <m/>
    <x v="1"/>
    <x v="0"/>
    <x v="3"/>
    <x v="0"/>
    <x v="0"/>
    <s v="None"/>
    <s v="Bills &amp; Utilities|Television"/>
  </r>
  <r>
    <s v="MasterCard (Capital One)"/>
    <d v="2014-11-04T00:00:00"/>
    <n v="-66.739999999999995"/>
    <s v="X"/>
    <s v="Comcast"/>
    <s v="October"/>
    <s v="Business Expenses (Koolikai):Internet"/>
    <m/>
    <s v="Split"/>
    <m/>
    <x v="36"/>
    <x v="33"/>
    <m/>
    <m/>
    <m/>
    <m/>
    <x v="1"/>
    <x v="0"/>
    <x v="3"/>
    <x v="0"/>
    <x v="0"/>
    <s v="None"/>
    <s v="Business Expenses (Koolikai)|Internet"/>
  </r>
  <r>
    <s v="MasterCard (Capital One)"/>
    <d v="2014-11-04T00:00:00"/>
    <n v="-44.74"/>
    <s v="X"/>
    <s v="Comcast"/>
    <s v="October"/>
    <s v="Bills &amp; Utilities:Home Phone"/>
    <m/>
    <s v="Split"/>
    <m/>
    <x v="34"/>
    <x v="34"/>
    <m/>
    <m/>
    <m/>
    <m/>
    <x v="1"/>
    <x v="0"/>
    <x v="3"/>
    <x v="0"/>
    <x v="0"/>
    <s v="None"/>
    <s v="Bills &amp; Utilities|Home Phone"/>
  </r>
  <r>
    <s v="MasterCard (Capital One)"/>
    <d v="2014-11-04T00:00:00"/>
    <n v="-21.36"/>
    <s v="X"/>
    <s v="Comcast"/>
    <m/>
    <s v="Bills &amp; Utilities:Television"/>
    <m/>
    <s v="Split"/>
    <m/>
    <x v="34"/>
    <x v="32"/>
    <m/>
    <m/>
    <m/>
    <m/>
    <x v="1"/>
    <x v="0"/>
    <x v="3"/>
    <x v="0"/>
    <x v="0"/>
    <s v="None"/>
    <s v="Bills &amp; Utilities|Television"/>
  </r>
  <r>
    <s v="MasterCard (Capital One)"/>
    <d v="2014-11-04T00:00:00"/>
    <n v="-66.91"/>
    <s v="X"/>
    <s v="Comcast"/>
    <m/>
    <s v="Business Expenses (Koolikai):Internet"/>
    <m/>
    <s v="Split"/>
    <m/>
    <x v="36"/>
    <x v="33"/>
    <m/>
    <m/>
    <m/>
    <m/>
    <x v="1"/>
    <x v="0"/>
    <x v="3"/>
    <x v="0"/>
    <x v="0"/>
    <s v="None"/>
    <s v="Business Expenses (Koolikai)|Internet"/>
  </r>
  <r>
    <s v="MasterCard (Capital One)"/>
    <d v="2014-11-04T00:00:00"/>
    <n v="-44.91"/>
    <s v="X"/>
    <s v="Comcast"/>
    <m/>
    <s v="Bills &amp; Utilities:Home Phone"/>
    <m/>
    <s v="Split"/>
    <m/>
    <x v="34"/>
    <x v="34"/>
    <m/>
    <m/>
    <m/>
    <m/>
    <x v="1"/>
    <x v="0"/>
    <x v="3"/>
    <x v="0"/>
    <x v="0"/>
    <s v="None"/>
    <s v="Bills &amp; Utilities|Home Phone"/>
  </r>
  <r>
    <s v="MasterCard (Capital One)"/>
    <d v="2014-11-04T00:00:00"/>
    <n v="-8.86"/>
    <s v="X"/>
    <s v="Comcast"/>
    <s v="Bill says $9.50 late fee and $"/>
    <s v="Bank Fees &amp; Charges:Bank Fee"/>
    <m/>
    <s v="Split"/>
    <m/>
    <x v="32"/>
    <x v="31"/>
    <m/>
    <m/>
    <m/>
    <m/>
    <x v="1"/>
    <x v="0"/>
    <x v="4"/>
    <x v="0"/>
    <x v="0"/>
    <s v="None"/>
    <s v="Bank Fees &amp; Charges|Bank Fee"/>
  </r>
  <r>
    <s v="First Tech - Checking (5544)"/>
    <d v="2014-11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1"/>
    <x v="0"/>
    <x v="3"/>
    <x v="0"/>
    <x v="0"/>
    <s v="None"/>
    <s v="Business Expenses (Koolikai)|Mortgage (Business)"/>
  </r>
  <r>
    <s v="First Tech - Checking (5544)"/>
    <d v="2014-11-03T00:00:00"/>
    <n v="-2052"/>
    <s v="X"/>
    <s v="Phinney Ridge CDC"/>
    <s v="ACH Debit--PHINNEY RIDGE LU 504759859 - CONTRIBUTN"/>
    <s v="Kids:Daycare"/>
    <m/>
    <m/>
    <m/>
    <x v="27"/>
    <x v="35"/>
    <m/>
    <m/>
    <m/>
    <m/>
    <x v="1"/>
    <x v="0"/>
    <x v="3"/>
    <x v="0"/>
    <x v="0"/>
    <s v="None"/>
    <s v="Kids|Daycare"/>
  </r>
  <r>
    <s v="First Tech - Checking (5544)"/>
    <d v="2014-11-03T00:00:00"/>
    <n v="-2386.54"/>
    <s v="X"/>
    <s v="Capital One (Autopay)"/>
    <s v="ACH Debit--CAPITAL ONE  - CRCARDPMT"/>
    <s v="[MasterCard (Capital One)]"/>
    <m/>
    <m/>
    <m/>
    <x v="38"/>
    <x v="0"/>
    <m/>
    <m/>
    <m/>
    <m/>
    <x v="1"/>
    <x v="0"/>
    <x v="0"/>
    <x v="0"/>
    <x v="0"/>
    <s v="None"/>
    <s v="[MasterCard (Capital One)]"/>
  </r>
  <r>
    <s v="First Tech - Checking (5544)"/>
    <d v="2014-11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1"/>
    <x v="0"/>
    <x v="3"/>
    <x v="0"/>
    <x v="0"/>
    <s v="None"/>
    <s v="Business Expenses (Koolikai)|Mortgage (Business)"/>
  </r>
  <r>
    <s v="MasterCard (Capital One)"/>
    <d v="2014-11-03T00:00:00"/>
    <n v="2386.54"/>
    <s v="X"/>
    <s v="Capital One (Autopay)"/>
    <s v="ACH Debit--CAPITAL ONE  - CRCARDPMT"/>
    <s v="[First Tech - Checking (5544)]"/>
    <m/>
    <m/>
    <m/>
    <x v="21"/>
    <x v="0"/>
    <m/>
    <m/>
    <m/>
    <m/>
    <x v="1"/>
    <x v="0"/>
    <x v="0"/>
    <x v="0"/>
    <x v="0"/>
    <s v="None"/>
    <s v="[First Tech - Checking (5544)]"/>
  </r>
  <r>
    <s v="MasterCard (Capital One)"/>
    <d v="2014-11-03T00:00:00"/>
    <n v="-8.75"/>
    <s v="X"/>
    <s v="Netflix"/>
    <m/>
    <s v="Entertainment:Movies &amp; DVDs"/>
    <m/>
    <m/>
    <m/>
    <x v="30"/>
    <x v="43"/>
    <m/>
    <m/>
    <m/>
    <m/>
    <x v="1"/>
    <x v="0"/>
    <x v="6"/>
    <x v="0"/>
    <x v="0"/>
    <s v="None"/>
    <s v="Entertainment|Movies &amp; DVDs"/>
  </r>
  <r>
    <s v="MasterCard (Capital One)"/>
    <d v="2014-11-03T00:00:00"/>
    <n v="-20.76"/>
    <s v="X"/>
    <s v="Aerovironment"/>
    <m/>
    <s v="Auto &amp; Transport:Gas &amp; Fuel"/>
    <m/>
    <m/>
    <m/>
    <x v="17"/>
    <x v="37"/>
    <m/>
    <m/>
    <m/>
    <m/>
    <x v="1"/>
    <x v="0"/>
    <x v="3"/>
    <x v="0"/>
    <x v="0"/>
    <s v="None"/>
    <s v="Auto &amp; Transport|Gas &amp; Fuel"/>
  </r>
  <r>
    <s v="MasterCard (Capital One)"/>
    <d v="2014-11-03T00:00:00"/>
    <n v="-65"/>
    <s v="X"/>
    <s v="Nurturing Knowledge Sc"/>
    <m/>
    <s v="Kids:School Fees"/>
    <m/>
    <m/>
    <m/>
    <x v="27"/>
    <x v="44"/>
    <m/>
    <m/>
    <m/>
    <m/>
    <x v="1"/>
    <x v="0"/>
    <x v="3"/>
    <x v="0"/>
    <x v="0"/>
    <s v="None"/>
    <s v="Kids|School Fees"/>
  </r>
  <r>
    <s v="MasterCard (Capital One)"/>
    <d v="2014-11-03T00:00:00"/>
    <n v="-65"/>
    <s v="X"/>
    <s v="Nurturing Knowledge Sc"/>
    <s v="@BAL:$4069.25@@CAT:@"/>
    <s v="Kids:School Fees"/>
    <m/>
    <m/>
    <m/>
    <x v="27"/>
    <x v="44"/>
    <m/>
    <m/>
    <m/>
    <m/>
    <x v="1"/>
    <x v="0"/>
    <x v="3"/>
    <x v="0"/>
    <x v="0"/>
    <s v="None"/>
    <s v="Kids|School Fees"/>
  </r>
  <r>
    <s v="MasterCard (Capital One)"/>
    <d v="2014-11-02T00:00:00"/>
    <n v="-4.93"/>
    <s v="X"/>
    <s v="Playdate Cafe"/>
    <m/>
    <s v="Kids:Kids Activities/From Receipt"/>
    <m/>
    <m/>
    <s v="From Receipt"/>
    <x v="27"/>
    <x v="12"/>
    <m/>
    <m/>
    <m/>
    <m/>
    <x v="1"/>
    <x v="0"/>
    <x v="3"/>
    <x v="0"/>
    <x v="0"/>
    <s v="None"/>
    <s v="Kids|Kids Activities"/>
  </r>
  <r>
    <s v="MasterCard (Capital One)"/>
    <d v="2014-11-02T00:00:00"/>
    <n v="-5.2"/>
    <s v="X"/>
    <s v="Playdate Cafe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2T00:00:00"/>
    <n v="-8.76"/>
    <s v="X"/>
    <s v="Playdate Cafe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2T00:00:00"/>
    <n v="-9.76"/>
    <s v="X"/>
    <s v="Playdate Cafe"/>
    <m/>
    <s v="Kids:Kids Activities"/>
    <m/>
    <m/>
    <m/>
    <x v="27"/>
    <x v="12"/>
    <m/>
    <m/>
    <m/>
    <m/>
    <x v="1"/>
    <x v="0"/>
    <x v="3"/>
    <x v="0"/>
    <x v="0"/>
    <s v="None"/>
    <s v="Kids|Kids Activities"/>
  </r>
  <r>
    <s v="MasterCard (Capital One)"/>
    <d v="2014-11-02T00:00:00"/>
    <n v="-142.59"/>
    <s v="X"/>
    <s v="Fred Meyer"/>
    <m/>
    <s v="Food &amp; Dining:Groceries/From Receipt"/>
    <m/>
    <m/>
    <s v="From Receipt"/>
    <x v="15"/>
    <x v="3"/>
    <m/>
    <m/>
    <m/>
    <m/>
    <x v="1"/>
    <x v="0"/>
    <x v="3"/>
    <x v="0"/>
    <x v="0"/>
    <s v="None"/>
    <s v="Food &amp; Dining|Groceries"/>
  </r>
  <r>
    <s v="Koolikai - Sec Dep XX1200"/>
    <d v="2014-11-01T00:00:00"/>
    <n v="0.19"/>
    <s v="X"/>
    <s v="First Tech (Dividend)"/>
    <s v="Credit Dividend--"/>
    <s v="Interest Income"/>
    <m/>
    <m/>
    <m/>
    <x v="40"/>
    <x v="0"/>
    <m/>
    <m/>
    <m/>
    <m/>
    <x v="1"/>
    <x v="0"/>
    <x v="3"/>
    <x v="0"/>
    <x v="0"/>
    <s v="None"/>
    <s v="Interest Income"/>
  </r>
  <r>
    <s v="Schwab - Checking (9784)"/>
    <d v="2014-11-01T00:00:00"/>
    <n v="-9.84"/>
    <s v="X"/>
    <s v="Costco"/>
    <s v="Dot-to-dot for Halley"/>
    <s v="Gifts"/>
    <m/>
    <s v="Split"/>
    <m/>
    <x v="28"/>
    <x v="0"/>
    <m/>
    <m/>
    <m/>
    <m/>
    <x v="1"/>
    <x v="0"/>
    <x v="3"/>
    <x v="0"/>
    <x v="0"/>
    <s v="None"/>
    <s v="Gifts"/>
  </r>
  <r>
    <s v="Schwab - Checking (9784)"/>
    <d v="2014-11-01T00:00:00"/>
    <n v="-8.75"/>
    <s v="X"/>
    <s v="Costco"/>
    <s v="Writing book for the boys"/>
    <s v="Kids:Toys"/>
    <m/>
    <s v="Split"/>
    <m/>
    <x v="27"/>
    <x v="14"/>
    <m/>
    <m/>
    <m/>
    <m/>
    <x v="1"/>
    <x v="0"/>
    <x v="3"/>
    <x v="0"/>
    <x v="0"/>
    <s v="None"/>
    <s v="Kids|Toys"/>
  </r>
  <r>
    <s v="Schwab - Checking (9784)"/>
    <d v="2014-11-01T00:00:00"/>
    <n v="-13.89"/>
    <s v="X"/>
    <s v="Costco"/>
    <m/>
    <s v="Food &amp; Dining:Groceries"/>
    <m/>
    <s v="Split"/>
    <m/>
    <x v="15"/>
    <x v="3"/>
    <m/>
    <m/>
    <m/>
    <m/>
    <x v="1"/>
    <x v="0"/>
    <x v="3"/>
    <x v="0"/>
    <x v="0"/>
    <s v="None"/>
    <s v="Food &amp; Dining|Groceries"/>
  </r>
  <r>
    <s v="MasterCard (Capital One)"/>
    <d v="2014-11-01T00:00:00"/>
    <n v="-15.34"/>
    <s v="X"/>
    <s v="Sq Parfait Ice"/>
    <s v="Ice cream with Pierre and Jesse"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MasterCard (Capital One)"/>
    <d v="2014-11-01T00:00:00"/>
    <n v="-68.58"/>
    <s v="X"/>
    <s v="Skillet Diner"/>
    <m/>
    <s v="Food &amp; Dining:Restaurants"/>
    <m/>
    <m/>
    <m/>
    <x v="15"/>
    <x v="15"/>
    <m/>
    <m/>
    <m/>
    <m/>
    <x v="1"/>
    <x v="0"/>
    <x v="3"/>
    <x v="0"/>
    <x v="0"/>
    <s v="None"/>
    <s v="Food &amp; Dining|Restaurants"/>
  </r>
  <r>
    <s v="Capital One - Investment (6759)"/>
    <d v="2014-10-31T00:00:00"/>
    <n v="20.059999999999999"/>
    <s v="X"/>
    <s v="Capital One (Interest Income)"/>
    <s v="@CAT:@@BAL:47,255.66@"/>
    <s v="Interest Income"/>
    <m/>
    <m/>
    <m/>
    <x v="40"/>
    <x v="0"/>
    <m/>
    <m/>
    <m/>
    <m/>
    <x v="2"/>
    <x v="0"/>
    <x v="3"/>
    <x v="0"/>
    <x v="0"/>
    <s v="None"/>
    <s v="Interest Income"/>
  </r>
  <r>
    <s v="Capital One - Long Term Emergency (1201)"/>
    <d v="2014-10-31T00:00:00"/>
    <n v="50.37"/>
    <s v="X"/>
    <s v="Capital One (Interest Income)"/>
    <s v="@CAT:@@BAL:118646.76@"/>
    <s v="Interest Income"/>
    <m/>
    <m/>
    <m/>
    <x v="40"/>
    <x v="0"/>
    <m/>
    <m/>
    <m/>
    <m/>
    <x v="2"/>
    <x v="0"/>
    <x v="3"/>
    <x v="0"/>
    <x v="0"/>
    <s v="None"/>
    <s v="Interest Income"/>
  </r>
  <r>
    <s v="Capital One - Secondary Savings (3126)"/>
    <d v="2014-10-31T00:00:00"/>
    <n v="0.02"/>
    <s v="X"/>
    <s v="Capital One (Interest Income)"/>
    <s v="@CAT:@@BAL:$123.20@"/>
    <s v="Interest Income"/>
    <m/>
    <m/>
    <m/>
    <x v="40"/>
    <x v="0"/>
    <m/>
    <m/>
    <m/>
    <m/>
    <x v="2"/>
    <x v="0"/>
    <x v="3"/>
    <x v="0"/>
    <x v="0"/>
    <s v="None"/>
    <s v="Interest Income"/>
  </r>
  <r>
    <s v="Capital One - Vacation (4959)"/>
    <d v="2014-10-31T00:00:00"/>
    <n v="5.96"/>
    <s v="X"/>
    <s v="Capital One (Interest Income)"/>
    <s v="@BAL:$36,031.06@@CAT:@"/>
    <s v="Interest Income"/>
    <m/>
    <m/>
    <m/>
    <x v="40"/>
    <x v="0"/>
    <m/>
    <m/>
    <m/>
    <m/>
    <x v="2"/>
    <x v="0"/>
    <x v="3"/>
    <x v="0"/>
    <x v="0"/>
    <s v="None"/>
    <s v="Interest Income"/>
  </r>
  <r>
    <s v="First Tech - Checking (5544)"/>
    <d v="2014-10-31T00:00:00"/>
    <n v="5492.31"/>
    <s v="X"/>
    <s v="Microsoft (Paystub)"/>
    <s v="ACH Deposit--MICROSOFT  - EDIPAYMENT"/>
    <s v="Net Salary"/>
    <m/>
    <m/>
    <m/>
    <x v="35"/>
    <x v="0"/>
    <m/>
    <m/>
    <m/>
    <m/>
    <x v="2"/>
    <x v="0"/>
    <x v="3"/>
    <x v="0"/>
    <x v="0"/>
    <s v="None"/>
    <s v="Net Salary"/>
  </r>
  <r>
    <s v="First Tech - Checking (5544)"/>
    <d v="2014-10-31T00:00:00"/>
    <n v="6058.12"/>
    <s v="X"/>
    <s v="CRAB (Paystub)"/>
    <s v="ACH Deposit--Cancer Research  - Payroll"/>
    <s v="Net Salary"/>
    <m/>
    <m/>
    <m/>
    <x v="35"/>
    <x v="0"/>
    <m/>
    <m/>
    <m/>
    <m/>
    <x v="2"/>
    <x v="0"/>
    <x v="3"/>
    <x v="0"/>
    <x v="0"/>
    <s v="None"/>
    <s v="Net Salary"/>
  </r>
  <r>
    <s v="First Tech - Checking (5544)"/>
    <d v="2014-10-31T00:00:00"/>
    <n v="-70"/>
    <s v="X"/>
    <s v="Poppy Weber"/>
    <s v="@BAL:$39,256.33@@CAT:@"/>
    <s v="Kids:Babysitter"/>
    <n v="2138"/>
    <m/>
    <m/>
    <x v="27"/>
    <x v="13"/>
    <m/>
    <m/>
    <m/>
    <m/>
    <x v="2"/>
    <x v="0"/>
    <x v="3"/>
    <x v="0"/>
    <x v="0"/>
    <s v="None"/>
    <s v="Kids|Babysitter"/>
  </r>
  <r>
    <s v="Koolikai - Checking XX2129"/>
    <d v="2014-10-31T00:00:00"/>
    <n v="2195"/>
    <s v="X"/>
    <s v="John Schaibley"/>
    <s v="Deposit--Shared Branch Mobile Deposit          First Tech FC CA"/>
    <s v="Business Income (Koolikai):Rent/9602"/>
    <m/>
    <m/>
    <n v="9602"/>
    <x v="37"/>
    <x v="25"/>
    <m/>
    <m/>
    <m/>
    <m/>
    <x v="2"/>
    <x v="0"/>
    <x v="3"/>
    <x v="0"/>
    <x v="0"/>
    <s v="None"/>
    <s v="Business Income (Koolikai)|Rent"/>
  </r>
  <r>
    <s v="Schwab - Checking (9784)"/>
    <d v="2014-10-31T00:00:00"/>
    <n v="0.05"/>
    <s v="X"/>
    <s v="Interest Paid"/>
    <s v="@BAL:$516.36@"/>
    <s v="Interest Income"/>
    <m/>
    <m/>
    <m/>
    <x v="40"/>
    <x v="0"/>
    <m/>
    <m/>
    <m/>
    <m/>
    <x v="2"/>
    <x v="0"/>
    <x v="3"/>
    <x v="0"/>
    <x v="0"/>
    <s v="None"/>
    <s v="Interest Income"/>
  </r>
  <r>
    <s v="Discover Card"/>
    <d v="2014-10-31T00:00:00"/>
    <n v="-500"/>
    <s v="X"/>
    <s v="Ca"/>
    <s v="826 Seattle"/>
    <s v="Charity:Charity (Cash)"/>
    <m/>
    <m/>
    <m/>
    <x v="22"/>
    <x v="7"/>
    <m/>
    <m/>
    <m/>
    <m/>
    <x v="2"/>
    <x v="0"/>
    <x v="2"/>
    <x v="0"/>
    <x v="0"/>
    <s v="None"/>
    <s v="Charity|Charity (Cash)"/>
  </r>
  <r>
    <s v="MasterCard (Capital One)"/>
    <d v="2014-10-31T00:00:00"/>
    <n v="-111.5"/>
    <s v="X"/>
    <s v="Wa Parksreservationswe"/>
    <s v="#Orcas Island 2015#"/>
    <s v="Vacation:Lodging"/>
    <m/>
    <m/>
    <m/>
    <x v="23"/>
    <x v="9"/>
    <m/>
    <m/>
    <s v="Orcas Island 2015"/>
    <m/>
    <x v="2"/>
    <x v="0"/>
    <x v="4"/>
    <x v="0"/>
    <x v="0"/>
    <s v="None"/>
    <s v="Vacation|Lodging"/>
  </r>
  <r>
    <s v="First Tech - Checking (5544)"/>
    <d v="2014-10-30T00:00:00"/>
    <n v="-250.13"/>
    <s v="X"/>
    <s v="City Seattle Spu"/>
    <s v="ACH Debit--CITY OF SEATTLE  - 2 - SPU De"/>
    <s v="Bills &amp; Utilities:Utilities"/>
    <m/>
    <m/>
    <m/>
    <x v="34"/>
    <x v="18"/>
    <m/>
    <m/>
    <m/>
    <m/>
    <x v="2"/>
    <x v="0"/>
    <x v="3"/>
    <x v="0"/>
    <x v="0"/>
    <s v="None"/>
    <s v="Bills &amp; Utilities|Utilities"/>
  </r>
  <r>
    <s v="MasterCard (Capital One)"/>
    <d v="2014-10-30T00:00:00"/>
    <n v="-15.86"/>
    <s v="X"/>
    <s v="Diamond Parking"/>
    <m/>
    <s v="Auto &amp; Transport:Parking"/>
    <m/>
    <m/>
    <m/>
    <x v="17"/>
    <x v="11"/>
    <m/>
    <m/>
    <m/>
    <m/>
    <x v="2"/>
    <x v="0"/>
    <x v="3"/>
    <x v="0"/>
    <x v="0"/>
    <s v="None"/>
    <s v="Auto &amp; Transport|Parking"/>
  </r>
  <r>
    <s v="MasterCard (Capital One)"/>
    <d v="2014-10-29T00:00:00"/>
    <n v="-15.86"/>
    <s v="X"/>
    <s v="Diamond Parking"/>
    <m/>
    <s v="Auto &amp; Transport:Parking"/>
    <m/>
    <m/>
    <m/>
    <x v="17"/>
    <x v="11"/>
    <m/>
    <m/>
    <m/>
    <m/>
    <x v="2"/>
    <x v="0"/>
    <x v="3"/>
    <x v="0"/>
    <x v="0"/>
    <s v="None"/>
    <s v="Auto &amp; Transport|Parking"/>
  </r>
  <r>
    <s v="First Tech - Checking (5544)"/>
    <d v="2014-10-28T00:00:00"/>
    <n v="263.08"/>
    <s v="X"/>
    <s v="Shared Branch Mobile"/>
    <s v="Deposit--Shared Branch Mobile Deposit          First Tech FC CA"/>
    <s v="Other Inc"/>
    <m/>
    <m/>
    <m/>
    <x v="29"/>
    <x v="0"/>
    <m/>
    <m/>
    <m/>
    <m/>
    <x v="2"/>
    <x v="0"/>
    <x v="3"/>
    <x v="0"/>
    <x v="0"/>
    <s v="None"/>
    <s v="Other Inc"/>
  </r>
  <r>
    <s v="MasterCard (Capital One)"/>
    <d v="2014-10-28T00:00:00"/>
    <n v="25"/>
    <s v="X"/>
    <s v="Capital One (Cash Back)"/>
    <m/>
    <s v="Other Inc"/>
    <m/>
    <m/>
    <m/>
    <x v="29"/>
    <x v="0"/>
    <m/>
    <m/>
    <m/>
    <m/>
    <x v="2"/>
    <x v="0"/>
    <x v="3"/>
    <x v="0"/>
    <x v="0"/>
    <s v="None"/>
    <s v="Other Inc"/>
  </r>
  <r>
    <s v="MasterCard (Capital One)"/>
    <d v="2014-10-28T00:00:00"/>
    <n v="-8.7899999999999991"/>
    <s v="X"/>
    <s v="Ken Market"/>
    <m/>
    <s v="Food &amp; Dining:Groceries"/>
    <m/>
    <m/>
    <m/>
    <x v="15"/>
    <x v="3"/>
    <m/>
    <m/>
    <m/>
    <m/>
    <x v="2"/>
    <x v="0"/>
    <x v="3"/>
    <x v="0"/>
    <x v="0"/>
    <s v="None"/>
    <s v="Food &amp; Dining|Groceries"/>
  </r>
  <r>
    <s v="First Tech - Checking (5544)"/>
    <d v="2014-10-27T00:00:00"/>
    <n v="-860.28"/>
    <s v="X"/>
    <s v="Chase Freedom (9381)"/>
    <m/>
    <s v="[Chase Freedom XX9381]"/>
    <m/>
    <m/>
    <m/>
    <x v="7"/>
    <x v="0"/>
    <m/>
    <m/>
    <m/>
    <m/>
    <x v="2"/>
    <x v="0"/>
    <x v="1"/>
    <x v="1"/>
    <x v="1"/>
    <e v="#N/A"/>
    <s v="[Chase Freedom XX9381]"/>
  </r>
  <r>
    <s v="Chase Freedom XX9381"/>
    <d v="2014-10-27T00:00:00"/>
    <n v="860.28"/>
    <s v="X"/>
    <s v="Chase Freedom (9381)"/>
    <s v="@CAT:@@BAL:$9.05@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MasterCard (Capital One)"/>
    <d v="2014-10-27T00:00:00"/>
    <n v="-50"/>
    <s v="X"/>
    <s v="Starbucks"/>
    <m/>
    <s v="Food &amp; Dining:Restaurants/From Receipt"/>
    <m/>
    <m/>
    <s v="From Receipt"/>
    <x v="15"/>
    <x v="15"/>
    <m/>
    <m/>
    <m/>
    <m/>
    <x v="2"/>
    <x v="0"/>
    <x v="3"/>
    <x v="0"/>
    <x v="0"/>
    <s v="None"/>
    <s v="Food &amp; Dining|Restaurants"/>
  </r>
  <r>
    <s v="Discover Card"/>
    <d v="2014-10-25T00:00:00"/>
    <n v="-8.68"/>
    <s v="X"/>
    <s v="Goodwill - Ballard"/>
    <s v="Hats for Zach andJosh"/>
    <s v="Kids:Clothing"/>
    <m/>
    <m/>
    <m/>
    <x v="27"/>
    <x v="1"/>
    <m/>
    <m/>
    <m/>
    <m/>
    <x v="2"/>
    <x v="0"/>
    <x v="3"/>
    <x v="0"/>
    <x v="0"/>
    <s v="None"/>
    <s v="Kids|Clothing"/>
  </r>
  <r>
    <s v="MasterCard (Capital One)"/>
    <d v="2014-10-25T00:00:00"/>
    <n v="-3.01"/>
    <s v="X"/>
    <s v="Park"/>
    <m/>
    <s v="Auto &amp; Transport:Parking"/>
    <m/>
    <m/>
    <m/>
    <x v="17"/>
    <x v="11"/>
    <m/>
    <m/>
    <m/>
    <m/>
    <x v="2"/>
    <x v="0"/>
    <x v="3"/>
    <x v="0"/>
    <x v="0"/>
    <s v="None"/>
    <s v="Auto &amp; Transport|Parking"/>
  </r>
  <r>
    <s v="MasterCard (Capital One)"/>
    <d v="2014-10-25T00:00:00"/>
    <n v="-68"/>
    <s v="X"/>
    <s v="Seattle Parks And Recreation"/>
    <s v="Swimming lessons for Zach"/>
    <s v="Kids:Kids Activities"/>
    <m/>
    <m/>
    <m/>
    <x v="27"/>
    <x v="12"/>
    <m/>
    <m/>
    <m/>
    <m/>
    <x v="2"/>
    <x v="0"/>
    <x v="3"/>
    <x v="0"/>
    <x v="0"/>
    <s v="None"/>
    <s v="Kids|Kids Activities"/>
  </r>
  <r>
    <s v="MasterCard (Capital One)"/>
    <d v="2014-10-25T00:00:00"/>
    <n v="-68.23"/>
    <s v="X"/>
    <s v="Pesos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25T00:00:00"/>
    <n v="-17.510000000000002"/>
    <s v="X"/>
    <s v="Fred Meyer"/>
    <s v="umbrella"/>
    <s v="Shopping:Clothing:Accessories/From Receipt"/>
    <m/>
    <s v="Split"/>
    <s v="From Receipt"/>
    <x v="13"/>
    <x v="1"/>
    <s v="Accessories"/>
    <m/>
    <m/>
    <m/>
    <x v="2"/>
    <x v="0"/>
    <x v="2"/>
    <x v="0"/>
    <x v="0"/>
    <s v="None"/>
    <s v="Shopping|Clothing"/>
  </r>
  <r>
    <s v="MasterCard (Capital One)"/>
    <d v="2014-10-25T00:00:00"/>
    <n v="-110.47"/>
    <s v="X"/>
    <s v="Fred Meyer"/>
    <m/>
    <s v="Food &amp; Dining:Groceries/From Receipt"/>
    <m/>
    <s v="Split"/>
    <s v="From Receipt"/>
    <x v="15"/>
    <x v="3"/>
    <m/>
    <m/>
    <m/>
    <m/>
    <x v="2"/>
    <x v="0"/>
    <x v="3"/>
    <x v="0"/>
    <x v="0"/>
    <s v="None"/>
    <s v="Food &amp; Dining|Groceries"/>
  </r>
  <r>
    <s v="First Tech - Checking (5544)"/>
    <d v="2014-10-24T00:00:00"/>
    <n v="-101.01"/>
    <s v="X"/>
    <s v="American Express"/>
    <s v="ACH Debit--AMEX EPayment AM - ACH PMT"/>
    <s v="[American Express (Costco)]"/>
    <m/>
    <m/>
    <m/>
    <x v="20"/>
    <x v="0"/>
    <m/>
    <m/>
    <m/>
    <m/>
    <x v="2"/>
    <x v="0"/>
    <x v="0"/>
    <x v="0"/>
    <x v="0"/>
    <s v="None"/>
    <s v="[American Express (Costco)]"/>
  </r>
  <r>
    <s v="Koolikai - Checking XX2129"/>
    <d v="2014-10-24T00:00:00"/>
    <n v="-148.16"/>
    <s v="X"/>
    <s v="Chase - Koolikai (Autopay)"/>
    <s v="ACH Debit--CHASE  - AUTOPAYBUS"/>
    <s v="[Koolikai Credit Card]"/>
    <m/>
    <m/>
    <m/>
    <x v="9"/>
    <x v="0"/>
    <m/>
    <m/>
    <m/>
    <m/>
    <x v="2"/>
    <x v="0"/>
    <x v="0"/>
    <x v="0"/>
    <x v="0"/>
    <s v="None"/>
    <s v="[Koolikai Credit Card]"/>
  </r>
  <r>
    <s v="American Express (Costco)"/>
    <d v="2014-10-24T00:00:00"/>
    <n v="101.01"/>
    <s v="*"/>
    <s v="American Express (Autopay)"/>
    <s v="@CAT:@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Koolikai Credit Card"/>
    <d v="2014-10-24T00:00:00"/>
    <n v="148.16"/>
    <s v="X"/>
    <s v="Chase - Koolikai (Autopay)"/>
    <s v="@BAL:$148.16@@CAT:@"/>
    <s v="[Koolikai - Checking XX2129]"/>
    <m/>
    <m/>
    <m/>
    <x v="25"/>
    <x v="0"/>
    <m/>
    <m/>
    <m/>
    <m/>
    <x v="2"/>
    <x v="0"/>
    <x v="0"/>
    <x v="0"/>
    <x v="0"/>
    <s v="None"/>
    <s v="[Koolikai - Checking XX2129]"/>
  </r>
  <r>
    <s v="MasterCard (Capital One)"/>
    <d v="2014-10-24T00:00:00"/>
    <n v="-2.0699999999999998"/>
    <s v="X"/>
    <s v="Fred Meyer"/>
    <s v="Glue for costumes"/>
    <s v="Kids:Toys/From Receipt"/>
    <m/>
    <s v="Split"/>
    <s v="From Receipt"/>
    <x v="27"/>
    <x v="14"/>
    <m/>
    <m/>
    <m/>
    <m/>
    <x v="2"/>
    <x v="0"/>
    <x v="3"/>
    <x v="0"/>
    <x v="0"/>
    <s v="None"/>
    <s v="Kids|Toys"/>
  </r>
  <r>
    <s v="MasterCard (Capital One)"/>
    <d v="2014-10-24T00:00:00"/>
    <n v="-7.64"/>
    <s v="X"/>
    <s v="Fred Meyer"/>
    <s v="Cotton for costumes"/>
    <s v="Kids:Toys/From Receipt"/>
    <m/>
    <s v="Split"/>
    <s v="From Receipt"/>
    <x v="27"/>
    <x v="14"/>
    <m/>
    <m/>
    <m/>
    <m/>
    <x v="2"/>
    <x v="0"/>
    <x v="3"/>
    <x v="0"/>
    <x v="0"/>
    <s v="None"/>
    <s v="Kids|Toys"/>
  </r>
  <r>
    <s v="MasterCard (Capital One)"/>
    <d v="2014-10-24T00:00:00"/>
    <n v="-38.31"/>
    <s v="X"/>
    <s v="Fred Meyer"/>
    <s v="Boots"/>
    <s v="Shopping:Clothing/From Receipt"/>
    <m/>
    <s v="Split"/>
    <s v="From Receipt"/>
    <x v="13"/>
    <x v="1"/>
    <m/>
    <m/>
    <m/>
    <m/>
    <x v="2"/>
    <x v="0"/>
    <x v="2"/>
    <x v="0"/>
    <x v="0"/>
    <s v="None"/>
    <s v="Shopping|Clothing"/>
  </r>
  <r>
    <s v="MasterCard (Capital One)"/>
    <d v="2014-10-24T00:00:00"/>
    <n v="-3"/>
    <s v="X"/>
    <s v="Fred Meyer"/>
    <s v="Milk"/>
    <s v="Food &amp; Dining:Groceries/From Receipt"/>
    <m/>
    <s v="Split"/>
    <s v="From Receipt"/>
    <x v="15"/>
    <x v="3"/>
    <m/>
    <m/>
    <m/>
    <m/>
    <x v="2"/>
    <x v="0"/>
    <x v="3"/>
    <x v="0"/>
    <x v="0"/>
    <s v="None"/>
    <s v="Food &amp; Dining|Groceries"/>
  </r>
  <r>
    <s v="MasterCard (Capital One)"/>
    <d v="2014-10-24T00:00:00"/>
    <n v="-598.24"/>
    <s v="X"/>
    <s v="Hyatt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Capital One - Vacation (4959)"/>
    <d v="2014-10-23T00:00:00"/>
    <n v="31000"/>
    <s v="X"/>
    <s v="First Tech Transfer"/>
    <s v="Moving sabbatical cash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First Tech - Checking (5544)"/>
    <d v="2014-10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2"/>
    <x v="0"/>
    <x v="3"/>
    <x v="0"/>
    <x v="0"/>
    <s v="None"/>
    <s v="Auto &amp; Transport|Auto Lease Payment"/>
  </r>
  <r>
    <s v="First Tech - Checking (5544)"/>
    <d v="2014-10-23T00:00:00"/>
    <n v="-31000"/>
    <s v="X"/>
    <s v="First Tech Transfer"/>
    <s v="Moving sabbatical cash out"/>
    <s v="[Capital One - Vacation (4959)]"/>
    <m/>
    <m/>
    <m/>
    <x v="3"/>
    <x v="0"/>
    <m/>
    <m/>
    <m/>
    <m/>
    <x v="2"/>
    <x v="0"/>
    <x v="0"/>
    <x v="0"/>
    <x v="0"/>
    <s v="None"/>
    <s v="[Capital One - Vacation (4959)]"/>
  </r>
  <r>
    <s v="Discover Card"/>
    <d v="2014-10-23T00:00:00"/>
    <n v="-5"/>
    <s v="X"/>
    <s v="Mobile"/>
    <m/>
    <s v="Auto &amp; Transport:Gas &amp; Fuel"/>
    <m/>
    <m/>
    <m/>
    <x v="17"/>
    <x v="37"/>
    <m/>
    <m/>
    <m/>
    <m/>
    <x v="2"/>
    <x v="0"/>
    <x v="3"/>
    <x v="0"/>
    <x v="0"/>
    <s v="None"/>
    <s v="Auto &amp; Transport|Gas &amp; Fuel"/>
  </r>
  <r>
    <s v="MasterCard (Capital One)"/>
    <d v="2014-10-23T00:00:00"/>
    <n v="-3"/>
    <s v="X"/>
    <s v="Ventra Vending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MasterCard (Capital One)"/>
    <d v="2014-10-23T00:00:00"/>
    <n v="-11.03"/>
    <s v="X"/>
    <s v="Corner Bakery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MasterCard (Capital One)"/>
    <d v="2014-10-23T00:00:00"/>
    <n v="-19.11"/>
    <s v="X"/>
    <s v="Ice Bar L"/>
    <s v="#Group Meeting Fall#"/>
    <s v="Work Expense:Reimbursable expense/From Receipt"/>
    <m/>
    <m/>
    <s v="From Receipt"/>
    <x v="19"/>
    <x v="21"/>
    <m/>
    <m/>
    <s v="Group Meeting Fall"/>
    <m/>
    <x v="2"/>
    <x v="0"/>
    <x v="4"/>
    <x v="0"/>
    <x v="0"/>
    <s v="None"/>
    <s v="Work Expense|Reimbursable expense"/>
  </r>
  <r>
    <s v="MasterCard (Capital One)"/>
    <d v="2014-10-23T00:00:00"/>
    <n v="-30.89"/>
    <s v="X"/>
    <s v="Shuttlepark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First Tech - Checking (5544)"/>
    <d v="2014-10-22T00:00:00"/>
    <n v="31007.51"/>
    <s v="X"/>
    <s v="First Tech Transfer"/>
    <s v="Moving sabbatical cash out"/>
    <s v="[First Tech - Short Term Emergency (5400)]"/>
    <m/>
    <m/>
    <m/>
    <x v="4"/>
    <x v="0"/>
    <m/>
    <m/>
    <m/>
    <m/>
    <x v="2"/>
    <x v="0"/>
    <x v="0"/>
    <x v="0"/>
    <x v="0"/>
    <s v="None"/>
    <s v="[First Tech - Short Term Emergency (5400)]"/>
  </r>
  <r>
    <s v="First Tech - Checking (5544)"/>
    <d v="2014-10-22T00:00:00"/>
    <n v="-31000"/>
    <s v="X"/>
    <s v="First Tech Transfer"/>
    <s v="Moving sabbatical cash out"/>
    <s v="[First Tech - Short Term Emergency (5400)]"/>
    <m/>
    <m/>
    <m/>
    <x v="4"/>
    <x v="0"/>
    <m/>
    <m/>
    <m/>
    <m/>
    <x v="2"/>
    <x v="0"/>
    <x v="0"/>
    <x v="0"/>
    <x v="0"/>
    <s v="None"/>
    <s v="[First Tech - Short Term Emergency (5400)]"/>
  </r>
  <r>
    <s v="First Tech - Short Term Emergency (5400)"/>
    <d v="2014-10-22T00:00:00"/>
    <n v="31000"/>
    <s v="X"/>
    <s v="First Tech Transfer"/>
    <s v="Moving sabbatical cash out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First Tech - Short Term Emergency (5400)"/>
    <d v="2014-10-22T00:00:00"/>
    <n v="-31007.51"/>
    <s v="X"/>
    <s v="First Tech Transfer"/>
    <s v="Withdrawal-- Transfer to 914775544, Moving funds to Capital One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MasterCard (Capital One)"/>
    <d v="2014-10-22T00:00:00"/>
    <n v="-2.19"/>
    <s v="X"/>
    <s v="Walgreens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MasterCard (Capital One)"/>
    <d v="2014-10-22T00:00:00"/>
    <n v="-4.42"/>
    <s v="X"/>
    <s v="Hyatt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MasterCard (Capital One)"/>
    <d v="2014-10-22T00:00:00"/>
    <n v="-43.02"/>
    <s v="X"/>
    <s v="Bella Bacino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Capital One - Long Term Emergency (1201)"/>
    <d v="2014-10-21T00:00:00"/>
    <n v="14.93"/>
    <s v="X"/>
    <s v="Quarterly Bonus Int"/>
    <m/>
    <s v="Interest Income"/>
    <m/>
    <m/>
    <m/>
    <x v="40"/>
    <x v="0"/>
    <m/>
    <m/>
    <m/>
    <m/>
    <x v="2"/>
    <x v="0"/>
    <x v="3"/>
    <x v="0"/>
    <x v="0"/>
    <s v="None"/>
    <s v="Interest Income"/>
  </r>
  <r>
    <s v="Schwab - Checking (9784)"/>
    <d v="2014-10-21T00:00:00"/>
    <n v="-20"/>
    <s v="X"/>
    <s v="US Bank"/>
    <s v="Santorinis"/>
    <s v="Food &amp; Dining:Restaurants/From Receipt"/>
    <m/>
    <m/>
    <s v="From Receipt"/>
    <x v="15"/>
    <x v="15"/>
    <m/>
    <m/>
    <m/>
    <m/>
    <x v="2"/>
    <x v="0"/>
    <x v="3"/>
    <x v="0"/>
    <x v="0"/>
    <s v="None"/>
    <s v="Food &amp; Dining|Restaurants"/>
  </r>
  <r>
    <s v="Discover Card"/>
    <d v="2014-10-21T00:00:00"/>
    <n v="-6.3"/>
    <s v="X"/>
    <s v="Cafe Remond Wa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Discover Card"/>
    <d v="2014-10-21T00:00:00"/>
    <n v="-8.56"/>
    <s v="X"/>
    <s v="Taco Del Mar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21T00:00:00"/>
    <n v="-6"/>
    <s v="X"/>
    <s v="Alaska Air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MasterCard (Capital One)"/>
    <d v="2014-10-21T00:00:00"/>
    <n v="-30.44"/>
    <s v="X"/>
    <s v="Walgreens"/>
    <m/>
    <s v="Personal Care:Beauty &amp; Makeup/From Receipt"/>
    <m/>
    <m/>
    <s v="From Receipt"/>
    <x v="31"/>
    <x v="45"/>
    <m/>
    <m/>
    <m/>
    <m/>
    <x v="2"/>
    <x v="0"/>
    <x v="3"/>
    <x v="0"/>
    <x v="0"/>
    <s v="None"/>
    <s v="Personal Care|Beauty &amp; Makeup"/>
  </r>
  <r>
    <s v="MasterCard (Capital One)"/>
    <d v="2014-10-21T00:00:00"/>
    <n v="-54.68"/>
    <s v="X"/>
    <s v="Volare"/>
    <s v="#Group Meeting Fall#"/>
    <s v="Work Expense:Reimbursable expense"/>
    <m/>
    <m/>
    <m/>
    <x v="19"/>
    <x v="21"/>
    <m/>
    <m/>
    <s v="Group Meeting Fall"/>
    <m/>
    <x v="2"/>
    <x v="0"/>
    <x v="4"/>
    <x v="0"/>
    <x v="0"/>
    <s v="None"/>
    <s v="Work Expense|Reimbursable expense"/>
  </r>
  <r>
    <s v="MasterCard (Capital One)"/>
    <d v="2014-10-21T00:00:00"/>
    <n v="-59.54"/>
    <s v="X"/>
    <s v="Macy's"/>
    <s v="Make up"/>
    <s v="Personal Care:Beauty &amp; Makeup/From Receipt"/>
    <m/>
    <m/>
    <s v="From Receipt"/>
    <x v="31"/>
    <x v="45"/>
    <m/>
    <m/>
    <m/>
    <m/>
    <x v="2"/>
    <x v="0"/>
    <x v="3"/>
    <x v="0"/>
    <x v="0"/>
    <s v="None"/>
    <s v="Personal Care|Beauty &amp; Makeup"/>
  </r>
  <r>
    <s v="MasterCard (Capital One)"/>
    <d v="2014-10-20T00:00:00"/>
    <n v="-24.75"/>
    <s v="X"/>
    <s v="Fogon Cocina Mexicana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Schwab - Checking (9784)"/>
    <d v="2014-10-19T00:00:00"/>
    <n v="-8.75"/>
    <s v="X"/>
    <s v="Costco"/>
    <s v="book for Grayden"/>
    <s v="Gifts"/>
    <m/>
    <s v="Split"/>
    <m/>
    <x v="28"/>
    <x v="0"/>
    <m/>
    <m/>
    <m/>
    <m/>
    <x v="2"/>
    <x v="0"/>
    <x v="3"/>
    <x v="0"/>
    <x v="0"/>
    <s v="None"/>
    <s v="Gifts"/>
  </r>
  <r>
    <s v="Schwab - Checking (9784)"/>
    <d v="2014-10-19T00:00:00"/>
    <n v="-16.399999999999999"/>
    <s v="X"/>
    <s v="Costco"/>
    <s v="Pajamas"/>
    <s v="Kids:Clothing"/>
    <m/>
    <s v="Split"/>
    <m/>
    <x v="27"/>
    <x v="1"/>
    <m/>
    <m/>
    <m/>
    <m/>
    <x v="2"/>
    <x v="0"/>
    <x v="3"/>
    <x v="0"/>
    <x v="0"/>
    <s v="None"/>
    <s v="Kids|Clothing"/>
  </r>
  <r>
    <s v="Schwab - Checking (9784)"/>
    <d v="2014-10-19T00:00:00"/>
    <n v="-51.78"/>
    <s v="X"/>
    <s v="Costco"/>
    <m/>
    <s v="Food &amp; Dining:Groceries"/>
    <m/>
    <s v="Split"/>
    <m/>
    <x v="15"/>
    <x v="3"/>
    <m/>
    <m/>
    <m/>
    <m/>
    <x v="2"/>
    <x v="0"/>
    <x v="3"/>
    <x v="0"/>
    <x v="0"/>
    <s v="None"/>
    <s v="Food &amp; Dining|Groceries"/>
  </r>
  <r>
    <s v="Chase Freedom XX9381"/>
    <d v="2014-10-19T00:00:00"/>
    <n v="216.36"/>
    <s v="X"/>
    <s v="Redemption"/>
    <m/>
    <s v="Other Inc"/>
    <m/>
    <m/>
    <m/>
    <x v="29"/>
    <x v="0"/>
    <m/>
    <m/>
    <m/>
    <m/>
    <x v="2"/>
    <x v="0"/>
    <x v="3"/>
    <x v="0"/>
    <x v="0"/>
    <s v="None"/>
    <s v="Other Inc"/>
  </r>
  <r>
    <s v="MasterCard (Capital One)"/>
    <d v="2014-10-19T00:00:00"/>
    <n v="-10.37"/>
    <s v="X"/>
    <s v="Taco Del Mar"/>
    <m/>
    <s v="Food &amp; Dining:Restaurants/From Receipt"/>
    <m/>
    <m/>
    <s v="From Receipt"/>
    <x v="15"/>
    <x v="15"/>
    <m/>
    <m/>
    <m/>
    <m/>
    <x v="2"/>
    <x v="0"/>
    <x v="3"/>
    <x v="0"/>
    <x v="0"/>
    <s v="None"/>
    <s v="Food &amp; Dining|Restaurants"/>
  </r>
  <r>
    <s v="MasterCard (Capital One)"/>
    <d v="2014-10-19T00:00:00"/>
    <n v="-10.5"/>
    <s v="X"/>
    <s v="Bob's Corn Maze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19T00:00:00"/>
    <n v="-15"/>
    <s v="X"/>
    <s v="Bob's Corn Maze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Schwab - Checking (9784)"/>
    <d v="2014-10-18T00:00:00"/>
    <n v="-98.99"/>
    <s v="X"/>
    <s v="Costco"/>
    <s v="Zach's glasses"/>
    <s v="Health &amp; Fitness:Eyecare/From Receipt"/>
    <m/>
    <m/>
    <s v="From Receipt"/>
    <x v="18"/>
    <x v="5"/>
    <m/>
    <m/>
    <m/>
    <m/>
    <x v="2"/>
    <x v="0"/>
    <x v="4"/>
    <x v="0"/>
    <x v="0"/>
    <s v="None"/>
    <s v="Health &amp; Fitness|Eyecare"/>
  </r>
  <r>
    <s v="MasterCard (Capital One)"/>
    <d v="2014-10-18T00:00:00"/>
    <n v="-7.95"/>
    <s v="X"/>
    <s v="Mcdonald's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18T00:00:00"/>
    <n v="-10.039999999999999"/>
    <s v="X"/>
    <s v="Mcdonald's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18T00:00:00"/>
    <n v="-16.399999999999999"/>
    <s v="X"/>
    <s v="Goodwill"/>
    <s v="Haloween costumes"/>
    <s v="Kids:Clothing/From Receipt"/>
    <m/>
    <m/>
    <s v="From Receipt"/>
    <x v="27"/>
    <x v="1"/>
    <m/>
    <m/>
    <m/>
    <m/>
    <x v="2"/>
    <x v="0"/>
    <x v="3"/>
    <x v="0"/>
    <x v="0"/>
    <s v="None"/>
    <s v="Kids|Clothing"/>
  </r>
  <r>
    <s v="MasterCard (Capital One)"/>
    <d v="2014-10-18T00:00:00"/>
    <n v="-25.98"/>
    <s v="X"/>
    <s v="Thai Siam Restaurant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18T00:00:00"/>
    <n v="-54.33"/>
    <s v="X"/>
    <s v="Trader Joe's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MasterCard (Capital One)"/>
    <d v="2014-10-18T00:00:00"/>
    <n v="-3.82"/>
    <s v="X"/>
    <s v="Fred Meyer"/>
    <s v="Cotton balls for costume"/>
    <s v="Kids:Toys/From Receipt"/>
    <m/>
    <s v="Split"/>
    <s v="From Receipt"/>
    <x v="27"/>
    <x v="14"/>
    <m/>
    <m/>
    <m/>
    <m/>
    <x v="2"/>
    <x v="0"/>
    <x v="3"/>
    <x v="0"/>
    <x v="0"/>
    <s v="None"/>
    <s v="Kids|Toys"/>
  </r>
  <r>
    <s v="MasterCard (Capital One)"/>
    <d v="2014-10-18T00:00:00"/>
    <n v="-95.77"/>
    <s v="X"/>
    <s v="Fred Meyer"/>
    <m/>
    <s v="Food &amp; Dining:Groceries/From Receipt"/>
    <m/>
    <s v="Split"/>
    <s v="From Receipt"/>
    <x v="15"/>
    <x v="3"/>
    <m/>
    <m/>
    <m/>
    <m/>
    <x v="2"/>
    <x v="0"/>
    <x v="3"/>
    <x v="0"/>
    <x v="0"/>
    <s v="None"/>
    <s v="Food &amp; Dining|Groceries"/>
  </r>
  <r>
    <s v="First Tech - Checking (5544)"/>
    <d v="2014-10-17T00:00:00"/>
    <n v="5000"/>
    <s v="X"/>
    <s v="Premera Funding Cyc"/>
    <s v="Reimbursement for dependent care account"/>
    <s v="[Premera Health Care Payment]"/>
    <m/>
    <m/>
    <m/>
    <x v="42"/>
    <x v="0"/>
    <m/>
    <m/>
    <m/>
    <m/>
    <x v="2"/>
    <x v="0"/>
    <x v="0"/>
    <x v="0"/>
    <x v="0"/>
    <s v="None"/>
    <s v="[Premera Health Care Payment]"/>
  </r>
  <r>
    <s v="First Tech - Checking (5544)"/>
    <d v="2014-10-17T00:00:00"/>
    <n v="-117"/>
    <s v="X"/>
    <s v="Cleaning Authority, The"/>
    <s v="ACH Debit--THE CLEANING AUT  - ONLINE PMT"/>
    <s v="Home:Home Services"/>
    <m/>
    <m/>
    <m/>
    <x v="14"/>
    <x v="46"/>
    <m/>
    <m/>
    <m/>
    <m/>
    <x v="2"/>
    <x v="0"/>
    <x v="3"/>
    <x v="0"/>
    <x v="0"/>
    <s v="None"/>
    <s v="Home|Home Services"/>
  </r>
  <r>
    <s v="Premera Health Care Payment"/>
    <d v="2014-10-17T00:00:00"/>
    <n v="-5000"/>
    <m/>
    <s v="Premera Funding Cyc"/>
    <s v="Reimbursement for dependent care account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First Tech - Checking (5544)"/>
    <d v="2014-10-16T00:00:00"/>
    <n v="-13.5"/>
    <s v="X"/>
    <s v="Seattle Families Of Multiples"/>
    <s v="Purchases from Fall sale"/>
    <s v="Kids:Toys"/>
    <n v="2137"/>
    <s v="Split"/>
    <m/>
    <x v="27"/>
    <x v="14"/>
    <m/>
    <m/>
    <m/>
    <m/>
    <x v="2"/>
    <x v="0"/>
    <x v="3"/>
    <x v="0"/>
    <x v="0"/>
    <s v="None"/>
    <s v="Kids|Toys"/>
  </r>
  <r>
    <s v="First Tech - Checking (5544)"/>
    <d v="2014-10-16T00:00:00"/>
    <n v="-13.5"/>
    <s v="X"/>
    <s v="Seattle Families Of Multiples"/>
    <m/>
    <s v="Kids:Clothing"/>
    <n v="2137"/>
    <s v="Split"/>
    <m/>
    <x v="27"/>
    <x v="1"/>
    <m/>
    <m/>
    <m/>
    <m/>
    <x v="2"/>
    <x v="0"/>
    <x v="3"/>
    <x v="0"/>
    <x v="0"/>
    <s v="None"/>
    <s v="Kids|Clothing"/>
  </r>
  <r>
    <s v="MasterCard (Capital One)"/>
    <d v="2014-10-16T00:00:00"/>
    <n v="-7.11"/>
    <s v="X"/>
    <s v="Fresh Table Cafe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First Tech - Checking (5544)"/>
    <d v="2014-10-15T00:00:00"/>
    <n v="-47.41"/>
    <s v="X"/>
    <s v="Puget Sound Energy"/>
    <s v="ACH Debit--PUGET SOUND ENER DIRECT DEBITING - PSE BILL  37505102"/>
    <s v="Bills &amp; Utilities:Utilities"/>
    <m/>
    <m/>
    <m/>
    <x v="34"/>
    <x v="18"/>
    <m/>
    <m/>
    <m/>
    <m/>
    <x v="2"/>
    <x v="0"/>
    <x v="3"/>
    <x v="0"/>
    <x v="0"/>
    <s v="None"/>
    <s v="Bills &amp; Utilities|Utilities"/>
  </r>
  <r>
    <s v="First Tech - Checking (5544)"/>
    <d v="2014-10-15T00:00:00"/>
    <n v="-58"/>
    <s v="X"/>
    <s v="Seattle Families Of Multiples"/>
    <s v="Purchases from Fall sale"/>
    <s v="Kids:Toys"/>
    <n v="2136"/>
    <s v="Split"/>
    <m/>
    <x v="27"/>
    <x v="14"/>
    <m/>
    <m/>
    <m/>
    <m/>
    <x v="2"/>
    <x v="0"/>
    <x v="3"/>
    <x v="0"/>
    <x v="0"/>
    <s v="None"/>
    <s v="Kids|Toys"/>
  </r>
  <r>
    <s v="First Tech - Checking (5544)"/>
    <d v="2014-10-15T00:00:00"/>
    <n v="-80"/>
    <s v="X"/>
    <s v="Seattle Families Of Multiples"/>
    <m/>
    <s v="Kids:Clothing"/>
    <n v="2136"/>
    <s v="Split"/>
    <m/>
    <x v="27"/>
    <x v="1"/>
    <m/>
    <m/>
    <m/>
    <m/>
    <x v="2"/>
    <x v="0"/>
    <x v="3"/>
    <x v="0"/>
    <x v="0"/>
    <s v="None"/>
    <s v="Kids|Clothing"/>
  </r>
  <r>
    <s v="MasterCard (Capital One)"/>
    <d v="2014-10-15T00:00:00"/>
    <n v="-15.08"/>
    <s v="X"/>
    <s v="Walgreens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First Tech - Checking (5544)"/>
    <d v="2014-10-14T00:00:00"/>
    <n v="13905.58"/>
    <s v="X"/>
    <s v="Microsoft (Paystub)"/>
    <s v="ACH Deposit--MICROSOFT  - EDIPAYMENT"/>
    <s v="Net Salary"/>
    <m/>
    <m/>
    <m/>
    <x v="35"/>
    <x v="0"/>
    <m/>
    <m/>
    <m/>
    <m/>
    <x v="2"/>
    <x v="0"/>
    <x v="3"/>
    <x v="0"/>
    <x v="0"/>
    <s v="None"/>
    <s v="Net Salary"/>
  </r>
  <r>
    <s v="MasterCard (Capital One)"/>
    <d v="2014-10-14T00:00:00"/>
    <n v="-7.63"/>
    <s v="X"/>
    <s v="Ken Market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Koolikai - Checking XX2129"/>
    <d v="2014-10-13T00:00:00"/>
    <n v="2195"/>
    <s v="X"/>
    <s v="John Schaibley"/>
    <s v="Deposit--Shared Branch Mobile Deposit          First Tech FC CA"/>
    <s v="Business Income (Koolikai):Rent/9602"/>
    <m/>
    <m/>
    <n v="9602"/>
    <x v="37"/>
    <x v="25"/>
    <m/>
    <m/>
    <m/>
    <m/>
    <x v="2"/>
    <x v="0"/>
    <x v="3"/>
    <x v="0"/>
    <x v="0"/>
    <s v="None"/>
    <s v="Business Income (Koolikai)|Rent"/>
  </r>
  <r>
    <s v="Discover Card"/>
    <d v="2014-10-13T00:00:00"/>
    <n v="-129.97999999999999"/>
    <s v="X"/>
    <s v="Discount Com"/>
    <s v="Projector lamp"/>
    <s v="Shopping:Electronics &amp; Software"/>
    <m/>
    <m/>
    <m/>
    <x v="13"/>
    <x v="20"/>
    <m/>
    <m/>
    <m/>
    <m/>
    <x v="2"/>
    <x v="0"/>
    <x v="2"/>
    <x v="0"/>
    <x v="0"/>
    <s v="None"/>
    <s v="Shopping|Electronics &amp; Software"/>
  </r>
  <r>
    <s v="Chase Freedom XX9381"/>
    <d v="2014-10-12T00:00:00"/>
    <n v="-0.01"/>
    <s v="X"/>
    <s v="Microsoft"/>
    <s v="#Apps#"/>
    <s v="Work Expense:Reimbursable expense"/>
    <m/>
    <m/>
    <m/>
    <x v="19"/>
    <x v="21"/>
    <m/>
    <m/>
    <s v="Apps"/>
    <m/>
    <x v="2"/>
    <x v="0"/>
    <x v="4"/>
    <x v="0"/>
    <x v="0"/>
    <s v="None"/>
    <s v="Work Expense|Reimbursable expense"/>
  </r>
  <r>
    <s v="Chase Freedom XX9381"/>
    <d v="2014-10-12T00:00:00"/>
    <n v="-0.01"/>
    <s v="X"/>
    <s v="Microsoft"/>
    <s v="#Apps#"/>
    <s v="Work Expense:Reimbursable expense"/>
    <m/>
    <m/>
    <m/>
    <x v="19"/>
    <x v="21"/>
    <m/>
    <m/>
    <s v="Apps"/>
    <m/>
    <x v="2"/>
    <x v="0"/>
    <x v="4"/>
    <x v="0"/>
    <x v="0"/>
    <s v="None"/>
    <s v="Work Expense|Reimbursable expense"/>
  </r>
  <r>
    <s v="Koolikai Credit Card"/>
    <d v="2014-10-12T00:00:00"/>
    <n v="-146.84"/>
    <s v="X"/>
    <s v="Verizon Wireless"/>
    <m/>
    <s v="Business Expenses (Koolikai):Cell Phone"/>
    <m/>
    <m/>
    <m/>
    <x v="36"/>
    <x v="22"/>
    <m/>
    <m/>
    <m/>
    <m/>
    <x v="2"/>
    <x v="0"/>
    <x v="3"/>
    <x v="0"/>
    <x v="0"/>
    <s v="None"/>
    <s v="Business Expenses (Koolikai)|Cell Phone"/>
  </r>
  <r>
    <s v="MasterCard (Capital One)"/>
    <d v="2014-10-12T00:00:00"/>
    <n v="25"/>
    <s v="X"/>
    <s v="Capital One (Cash Back)"/>
    <m/>
    <s v="Other Inc"/>
    <m/>
    <m/>
    <m/>
    <x v="29"/>
    <x v="0"/>
    <m/>
    <m/>
    <m/>
    <m/>
    <x v="2"/>
    <x v="0"/>
    <x v="3"/>
    <x v="0"/>
    <x v="0"/>
    <s v="None"/>
    <s v="Other Inc"/>
  </r>
  <r>
    <s v="MasterCard (Capital One)"/>
    <d v="2014-10-12T00:00:00"/>
    <n v="-6.11"/>
    <s v="X"/>
    <s v="Fred Meyer"/>
    <m/>
    <s v="Food &amp; Dining:Groceries"/>
    <m/>
    <m/>
    <m/>
    <x v="15"/>
    <x v="3"/>
    <m/>
    <m/>
    <m/>
    <m/>
    <x v="2"/>
    <x v="0"/>
    <x v="3"/>
    <x v="0"/>
    <x v="0"/>
    <s v="None"/>
    <s v="Food &amp; Dining|Groceries"/>
  </r>
  <r>
    <s v="MasterCard (Capital One)"/>
    <d v="2014-10-12T00:00:00"/>
    <n v="-34"/>
    <s v="X"/>
    <s v="Rudys Barber Shop"/>
    <m/>
    <s v="Personal Care:Hair"/>
    <m/>
    <m/>
    <m/>
    <x v="31"/>
    <x v="16"/>
    <m/>
    <m/>
    <m/>
    <m/>
    <x v="2"/>
    <x v="0"/>
    <x v="3"/>
    <x v="0"/>
    <x v="0"/>
    <s v="None"/>
    <s v="Personal Care|Hair"/>
  </r>
  <r>
    <s v="MasterCard (Capital One)"/>
    <d v="2014-10-12T00:00:00"/>
    <n v="-69.13"/>
    <s v="X"/>
    <s v="Fred Meyer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Fideity ESPP and Stock Awards"/>
    <d v="2014-10-12T00:00:00"/>
    <m/>
    <m/>
    <m/>
    <m/>
    <s v="[Fideity ESPP and Stock Awards]"/>
    <s v="Cash"/>
    <m/>
    <m/>
    <x v="43"/>
    <x v="0"/>
    <m/>
    <m/>
    <m/>
    <m/>
    <x v="2"/>
    <x v="0"/>
    <x v="1"/>
    <x v="1"/>
    <x v="1"/>
    <e v="#N/A"/>
    <s v="[Fideity ESPP and Stock Awards]"/>
  </r>
  <r>
    <s v="LPL Financial"/>
    <d v="2014-10-12T00:00:00"/>
    <m/>
    <m/>
    <m/>
    <m/>
    <s v="[LPL Financial]"/>
    <s v="Cash"/>
    <m/>
    <m/>
    <x v="44"/>
    <x v="0"/>
    <m/>
    <m/>
    <m/>
    <m/>
    <x v="2"/>
    <x v="0"/>
    <x v="1"/>
    <x v="1"/>
    <x v="1"/>
    <e v="#N/A"/>
    <s v="[LPL Financial]"/>
  </r>
  <r>
    <s v="Discover Card"/>
    <d v="2014-10-11T00:00:00"/>
    <n v="-77.7"/>
    <s v="X"/>
    <s v="Watershed Pub Kitchen"/>
    <s v="Family night out"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11T00:00:00"/>
    <n v="-12.34"/>
    <s v="X"/>
    <s v="Jersey Great Food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First Tech - Checking (5544)"/>
    <d v="2014-10-10T00:00:00"/>
    <n v="-5651.04"/>
    <s v="X"/>
    <s v="Caesar's Gardens"/>
    <s v="ACH Debit--CATHLEEN CAESAR  - ONLINE PMT"/>
    <s v="Projects:Landscaping"/>
    <m/>
    <m/>
    <m/>
    <x v="39"/>
    <x v="47"/>
    <m/>
    <m/>
    <m/>
    <m/>
    <x v="2"/>
    <x v="0"/>
    <x v="6"/>
    <x v="0"/>
    <x v="0"/>
    <s v="None"/>
    <s v="Projects|Landscaping"/>
  </r>
  <r>
    <s v="Koolikai - Checking XX2129"/>
    <d v="2014-10-10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x v="2"/>
    <x v="0"/>
    <x v="3"/>
    <x v="0"/>
    <x v="0"/>
    <s v="None"/>
    <s v="Business Income (Koolikai)|Rent"/>
  </r>
  <r>
    <s v="Chase Freedom XX9381"/>
    <d v="2014-10-10T00:00:00"/>
    <n v="-0.01"/>
    <s v="X"/>
    <s v="Microsoft"/>
    <s v="#Apps#"/>
    <s v="Work Expense:Reimbursable expense"/>
    <m/>
    <m/>
    <m/>
    <x v="19"/>
    <x v="21"/>
    <m/>
    <m/>
    <s v="Apps"/>
    <m/>
    <x v="2"/>
    <x v="0"/>
    <x v="4"/>
    <x v="0"/>
    <x v="0"/>
    <s v="None"/>
    <s v="Work Expense|Reimbursable expense"/>
  </r>
  <r>
    <s v="Chase Freedom XX9381"/>
    <d v="2014-10-10T00:00:00"/>
    <n v="-0.01"/>
    <s v="X"/>
    <s v="Microsoft"/>
    <s v="#Apps#"/>
    <s v="Work Expense:Reimbursable expense"/>
    <m/>
    <m/>
    <m/>
    <x v="19"/>
    <x v="21"/>
    <m/>
    <m/>
    <s v="Apps"/>
    <m/>
    <x v="2"/>
    <x v="0"/>
    <x v="4"/>
    <x v="0"/>
    <x v="0"/>
    <s v="None"/>
    <s v="Work Expense|Reimbursable expense"/>
  </r>
  <r>
    <s v="MasterCard (Capital One)"/>
    <d v="2014-10-10T00:00:00"/>
    <n v="-3.91"/>
    <s v="X"/>
    <s v="7-Eleven"/>
    <s v="Slurpees"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10T00:00:00"/>
    <n v="-7.59"/>
    <s v="X"/>
    <s v="Great Steak &amp; Potato Company"/>
    <m/>
    <s v="Food &amp; Dining:Restaurants/From Receipt"/>
    <m/>
    <m/>
    <s v="From Receipt"/>
    <x v="15"/>
    <x v="15"/>
    <m/>
    <m/>
    <m/>
    <m/>
    <x v="2"/>
    <x v="0"/>
    <x v="3"/>
    <x v="0"/>
    <x v="0"/>
    <s v="None"/>
    <s v="Food &amp; Dining|Restaurants"/>
  </r>
  <r>
    <s v="MasterCard (Capital One)"/>
    <d v="2014-10-10T00:00:00"/>
    <n v="-32.630000000000003"/>
    <s v="X"/>
    <s v="Eddie Bauer"/>
    <m/>
    <s v="Shopping:Clothing/From Receipt"/>
    <m/>
    <m/>
    <s v="From Receipt"/>
    <x v="13"/>
    <x v="1"/>
    <m/>
    <m/>
    <m/>
    <m/>
    <x v="2"/>
    <x v="0"/>
    <x v="2"/>
    <x v="0"/>
    <x v="0"/>
    <s v="None"/>
    <s v="Shopping|Clothing"/>
  </r>
  <r>
    <s v="MasterCard (Capital One)"/>
    <d v="2014-10-10T00:00:00"/>
    <n v="-38"/>
    <s v="X"/>
    <s v="Banana Republic"/>
    <m/>
    <s v="Shopping:Clothing"/>
    <m/>
    <m/>
    <m/>
    <x v="13"/>
    <x v="1"/>
    <m/>
    <m/>
    <m/>
    <m/>
    <x v="2"/>
    <x v="0"/>
    <x v="2"/>
    <x v="0"/>
    <x v="0"/>
    <s v="None"/>
    <s v="Shopping|Clothing"/>
  </r>
  <r>
    <s v="MasterCard (Capital One)"/>
    <d v="2014-10-10T00:00:00"/>
    <n v="-64.569999999999993"/>
    <s v="X"/>
    <s v="Bass"/>
    <m/>
    <s v="Shopping:Clothing/From Receipt"/>
    <m/>
    <m/>
    <s v="From Receipt"/>
    <x v="13"/>
    <x v="1"/>
    <m/>
    <m/>
    <m/>
    <m/>
    <x v="2"/>
    <x v="0"/>
    <x v="2"/>
    <x v="0"/>
    <x v="0"/>
    <s v="None"/>
    <s v="Shopping|Clothing"/>
  </r>
  <r>
    <s v="MasterCard (Capital One)"/>
    <d v="2014-10-10T00:00:00"/>
    <n v="-65.099999999999994"/>
    <s v="X"/>
    <s v="Children's Place"/>
    <s v="Coats for Zach and Josh"/>
    <s v="Kids:Clothing/From Receipt"/>
    <m/>
    <m/>
    <s v="From Receipt"/>
    <x v="27"/>
    <x v="1"/>
    <m/>
    <m/>
    <m/>
    <m/>
    <x v="2"/>
    <x v="0"/>
    <x v="3"/>
    <x v="0"/>
    <x v="0"/>
    <s v="None"/>
    <s v="Kids|Clothing"/>
  </r>
  <r>
    <s v="MasterCard (Capital One)"/>
    <d v="2014-10-10T00:00:00"/>
    <n v="-73.849999999999994"/>
    <s v="X"/>
    <s v="Ann Taylor"/>
    <m/>
    <s v="Shopping:Clothing/From Receipt"/>
    <m/>
    <m/>
    <s v="From Receipt"/>
    <x v="13"/>
    <x v="1"/>
    <m/>
    <m/>
    <m/>
    <m/>
    <x v="2"/>
    <x v="0"/>
    <x v="2"/>
    <x v="0"/>
    <x v="0"/>
    <s v="None"/>
    <s v="Shopping|Clothing"/>
  </r>
  <r>
    <s v="MasterCard (Capital One)"/>
    <d v="2014-10-10T00:00:00"/>
    <n v="-138.43"/>
    <s v="X"/>
    <s v="Ann Taylor"/>
    <m/>
    <s v="Shopping:Clothing/From Receipt"/>
    <m/>
    <m/>
    <s v="From Receipt"/>
    <x v="13"/>
    <x v="1"/>
    <m/>
    <m/>
    <m/>
    <m/>
    <x v="2"/>
    <x v="0"/>
    <x v="2"/>
    <x v="0"/>
    <x v="0"/>
    <s v="None"/>
    <s v="Shopping|Clothing"/>
  </r>
  <r>
    <s v="MasterCard (Capital One)"/>
    <d v="2014-10-09T00:00:00"/>
    <n v="-5"/>
    <s v="X"/>
    <s v="Sq Mobile Mayan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09T00:00:00"/>
    <n v="-12.1"/>
    <s v="X"/>
    <s v="Circle K"/>
    <s v="#Sedona#"/>
    <s v="Vacation:Transportation"/>
    <m/>
    <m/>
    <m/>
    <x v="23"/>
    <x v="26"/>
    <m/>
    <m/>
    <s v="Sedona"/>
    <m/>
    <x v="2"/>
    <x v="0"/>
    <x v="4"/>
    <x v="0"/>
    <x v="0"/>
    <s v="None"/>
    <s v="Vacation|Transportation"/>
  </r>
  <r>
    <s v="MasterCard (Capital One)"/>
    <d v="2014-10-09T00:00:00"/>
    <n v="-36.49"/>
    <s v="X"/>
    <s v="Shell"/>
    <s v="#Sedona#"/>
    <s v="Vacation:Transportation"/>
    <m/>
    <m/>
    <m/>
    <x v="23"/>
    <x v="26"/>
    <m/>
    <m/>
    <s v="Sedona"/>
    <m/>
    <x v="2"/>
    <x v="0"/>
    <x v="4"/>
    <x v="0"/>
    <x v="0"/>
    <s v="None"/>
    <s v="Vacation|Transportation"/>
  </r>
  <r>
    <s v="MasterCard (Capital One)"/>
    <d v="2014-10-09T00:00:00"/>
    <n v="-53.76"/>
    <s v="X"/>
    <s v="Shuttlepark"/>
    <s v="#Sedona#"/>
    <s v="Vacation:Transportation"/>
    <m/>
    <m/>
    <m/>
    <x v="23"/>
    <x v="26"/>
    <m/>
    <m/>
    <s v="Sedona"/>
    <m/>
    <x v="2"/>
    <x v="0"/>
    <x v="4"/>
    <x v="0"/>
    <x v="0"/>
    <s v="None"/>
    <s v="Vacation|Transportation"/>
  </r>
  <r>
    <s v="MasterCard (Capital One)"/>
    <d v="2014-10-09T00:00:00"/>
    <n v="-527.30999999999995"/>
    <s v="X"/>
    <s v="Southwest Inn At Sedona"/>
    <s v="#Sedona#"/>
    <s v="Vacation:Lodging/From Receipt"/>
    <m/>
    <m/>
    <s v="From Receipt"/>
    <x v="23"/>
    <x v="9"/>
    <m/>
    <m/>
    <s v="Sedona"/>
    <m/>
    <x v="2"/>
    <x v="0"/>
    <x v="4"/>
    <x v="0"/>
    <x v="0"/>
    <s v="None"/>
    <s v="Vacation|Lodging"/>
  </r>
  <r>
    <s v="First Tech - Checking (5544)"/>
    <d v="2014-10-08T00:00:00"/>
    <n v="-65.599999999999994"/>
    <s v="X"/>
    <s v="Artistic Checks"/>
    <s v="New checks"/>
    <s v="Business Expenses (Koolikai):Office Expenses (Business)"/>
    <m/>
    <m/>
    <m/>
    <x v="36"/>
    <x v="42"/>
    <m/>
    <m/>
    <m/>
    <m/>
    <x v="2"/>
    <x v="0"/>
    <x v="3"/>
    <x v="0"/>
    <x v="0"/>
    <s v="None"/>
    <s v="Business Expenses (Koolikai)|Office Expenses (Business)"/>
  </r>
  <r>
    <s v="MasterCard (Capital One)"/>
    <d v="2014-10-08T00:00:00"/>
    <n v="-7.64"/>
    <s v="X"/>
    <s v="Walgreens"/>
    <s v="#Sedona#Hat for hiking in the rain."/>
    <s v="Vacation:Trinkets/From Receipt"/>
    <m/>
    <m/>
    <s v="From Receipt"/>
    <x v="23"/>
    <x v="28"/>
    <m/>
    <m/>
    <s v="Sedona"/>
    <m/>
    <x v="2"/>
    <x v="0"/>
    <x v="4"/>
    <x v="0"/>
    <x v="0"/>
    <s v="None"/>
    <s v="Vacation|Trinkets"/>
  </r>
  <r>
    <s v="MasterCard (Capital One)"/>
    <d v="2014-10-08T00:00:00"/>
    <n v="-10.97"/>
    <s v="X"/>
    <s v="Eisenart Innovations"/>
    <s v="#Sedona#"/>
    <s v="Vacation:Trinkets/From Receipt"/>
    <m/>
    <m/>
    <s v="From Receipt"/>
    <x v="23"/>
    <x v="28"/>
    <m/>
    <m/>
    <s v="Sedona"/>
    <m/>
    <x v="2"/>
    <x v="0"/>
    <x v="4"/>
    <x v="0"/>
    <x v="0"/>
    <s v="None"/>
    <s v="Vacation|Trinkets"/>
  </r>
  <r>
    <s v="MasterCard (Capital One)"/>
    <d v="2014-10-08T00:00:00"/>
    <n v="-11.98"/>
    <s v="X"/>
    <s v="Oak Creek Market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8T00:00:00"/>
    <n v="-13.46"/>
    <s v="X"/>
    <s v="Oak Creek Market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8T00:00:00"/>
    <n v="-52.99"/>
    <s v="X"/>
    <s v="Elote Cafe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First Tech - Checking (5544)"/>
    <d v="2014-10-07T00:00:00"/>
    <n v="-3864.19"/>
    <s v="X"/>
    <s v="Wells Fargo Home Mortgage"/>
    <s v="ACH Debit--WF HOME MTG ACH - AUTO PAY"/>
    <s v="Home:Mortgage"/>
    <m/>
    <m/>
    <m/>
    <x v="14"/>
    <x v="27"/>
    <m/>
    <m/>
    <m/>
    <m/>
    <x v="2"/>
    <x v="0"/>
    <x v="3"/>
    <x v="0"/>
    <x v="0"/>
    <s v="None"/>
    <s v="Home|Mortgage"/>
  </r>
  <r>
    <s v="MasterCard (Capital One)"/>
    <d v="2014-10-07T00:00:00"/>
    <n v="-18.899999999999999"/>
    <s v="X"/>
    <s v="Golden Goose Cafe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7T00:00:00"/>
    <n v="-54.02"/>
    <s v="X"/>
    <s v="Creekside Restaurant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7T00:00:00"/>
    <n v="-67.900000000000006"/>
    <s v="X"/>
    <s v="Dahl Diluca Ristoran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7T00:00:00"/>
    <n v="-114"/>
    <s v="X"/>
    <s v="Sedonas New Day"/>
    <s v="#Sedona# Spa"/>
    <s v="Vacation:Activities/From Receipt"/>
    <m/>
    <m/>
    <s v="From Receipt"/>
    <x v="23"/>
    <x v="39"/>
    <m/>
    <m/>
    <s v="Sedona"/>
    <m/>
    <x v="2"/>
    <x v="0"/>
    <x v="4"/>
    <x v="0"/>
    <x v="0"/>
    <s v="None"/>
    <s v="Vacation|Activities"/>
  </r>
  <r>
    <s v="First Tech - Checking (5544)"/>
    <d v="2014-10-06T00:00:00"/>
    <n v="-98.42"/>
    <s v="X"/>
    <s v="Chase Autopay (Amazon)"/>
    <s v="Account xx8482"/>
    <s v="[Chase Amazon (XX8482)]"/>
    <m/>
    <m/>
    <m/>
    <x v="6"/>
    <x v="0"/>
    <m/>
    <m/>
    <m/>
    <m/>
    <x v="2"/>
    <x v="0"/>
    <x v="1"/>
    <x v="1"/>
    <x v="1"/>
    <e v="#N/A"/>
    <s v="[Chase Amazon (XX8482)]"/>
  </r>
  <r>
    <s v="Chase Amazon (XX8482)"/>
    <d v="2014-10-06T00:00:00"/>
    <n v="98.42"/>
    <s v="X"/>
    <s v="Chase Autopay (Amazon)"/>
    <s v="Account xx8482@BAL:$0.00@@CAT:@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MasterCard (Capital One)"/>
    <d v="2014-10-06T00:00:00"/>
    <n v="-4.95"/>
    <s v="X"/>
    <s v="Oak Creek Market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6T00:00:00"/>
    <n v="-6.4"/>
    <s v="X"/>
    <s v="Oak Creek Market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6T00:00:00"/>
    <n v="-6.53"/>
    <s v="X"/>
    <s v="Kokopelli Dreams"/>
    <s v="#Sedona#"/>
    <s v="Vacation:Trinkets/From Receipt"/>
    <m/>
    <m/>
    <s v="From Receipt"/>
    <x v="23"/>
    <x v="28"/>
    <m/>
    <m/>
    <s v="Sedona"/>
    <m/>
    <x v="2"/>
    <x v="0"/>
    <x v="4"/>
    <x v="0"/>
    <x v="0"/>
    <s v="None"/>
    <s v="Vacation|Trinkets"/>
  </r>
  <r>
    <s v="MasterCard (Capital One)"/>
    <d v="2014-10-06T00:00:00"/>
    <n v="-28.53"/>
    <s v="X"/>
    <s v="Zonies Galleria"/>
    <s v="#Sedona#"/>
    <s v="Vacation:Trinkets/From Receipt"/>
    <m/>
    <m/>
    <s v="From Receipt"/>
    <x v="23"/>
    <x v="28"/>
    <m/>
    <m/>
    <s v="Sedona"/>
    <m/>
    <x v="2"/>
    <x v="0"/>
    <x v="4"/>
    <x v="0"/>
    <x v="0"/>
    <s v="None"/>
    <s v="Vacation|Trinkets"/>
  </r>
  <r>
    <s v="MasterCard (Capital One)"/>
    <d v="2014-10-06T00:00:00"/>
    <n v="-30.67"/>
    <s v="X"/>
    <s v="Kokopelli Dreams"/>
    <s v="#Sedona#"/>
    <s v="Vacation:Trinkets/From Receipt"/>
    <m/>
    <m/>
    <s v="From Receipt"/>
    <x v="23"/>
    <x v="28"/>
    <m/>
    <m/>
    <s v="Sedona"/>
    <m/>
    <x v="2"/>
    <x v="0"/>
    <x v="4"/>
    <x v="0"/>
    <x v="0"/>
    <s v="None"/>
    <s v="Vacation|Trinkets"/>
  </r>
  <r>
    <s v="MasterCard (Capital One)"/>
    <d v="2014-10-06T00:00:00"/>
    <n v="-40.53"/>
    <s v="X"/>
    <s v="Tumbleweed Willie"/>
    <s v="#Sedona#"/>
    <s v="Vacation:Trinkets"/>
    <m/>
    <m/>
    <m/>
    <x v="23"/>
    <x v="28"/>
    <m/>
    <m/>
    <s v="Sedona"/>
    <m/>
    <x v="2"/>
    <x v="0"/>
    <x v="4"/>
    <x v="0"/>
    <x v="0"/>
    <s v="None"/>
    <s v="Vacation|Trinkets"/>
  </r>
  <r>
    <s v="Edward Jones - Investment Account"/>
    <d v="2014-10-06T00:00:00"/>
    <n v="28.8"/>
    <s v="c"/>
    <m/>
    <s v="CASH DIV ON 120 AT $.24 PER SHARE"/>
    <m/>
    <s v="Div"/>
    <m/>
    <m/>
    <x v="26"/>
    <x v="0"/>
    <m/>
    <m/>
    <m/>
    <m/>
    <x v="2"/>
    <x v="0"/>
    <x v="1"/>
    <x v="1"/>
    <x v="1"/>
    <e v="#N/A"/>
    <n v="0"/>
  </r>
  <r>
    <s v="MasterCard (Capital One)"/>
    <d v="2014-10-05T00:00:00"/>
    <n v="-8.89"/>
    <s v="X"/>
    <s v="Taco Del Mar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05T00:00:00"/>
    <n v="-13.16"/>
    <s v="X"/>
    <s v="Feliz Navidad Sedona"/>
    <s v="#Sedona# Prickly pear cactus"/>
    <s v="Vacation:Trinkets/From Receipt"/>
    <m/>
    <m/>
    <s v="From Receipt"/>
    <x v="23"/>
    <x v="28"/>
    <m/>
    <m/>
    <s v="Sedona"/>
    <m/>
    <x v="2"/>
    <x v="0"/>
    <x v="4"/>
    <x v="0"/>
    <x v="0"/>
    <s v="None"/>
    <s v="Vacation|Trinkets"/>
  </r>
  <r>
    <s v="MasterCard (Capital One)"/>
    <d v="2014-10-05T00:00:00"/>
    <n v="-25.12"/>
    <s v="X"/>
    <s v="Rincon Del Tlaquepaque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5T00:00:00"/>
    <n v="-35.75"/>
    <s v="X"/>
    <s v="Heartline Cafe"/>
    <s v="#Sedona#"/>
    <s v="Vacation:Food/From Receipt"/>
    <m/>
    <m/>
    <s v="From Receipt"/>
    <x v="23"/>
    <x v="8"/>
    <m/>
    <m/>
    <s v="Sedona"/>
    <m/>
    <x v="2"/>
    <x v="0"/>
    <x v="4"/>
    <x v="0"/>
    <x v="0"/>
    <s v="None"/>
    <s v="Vacation|Food"/>
  </r>
  <r>
    <s v="MasterCard (Capital One)"/>
    <d v="2014-10-05T00:00:00"/>
    <n v="-41.5"/>
    <s v="X"/>
    <s v="Hilltop Restaurant"/>
    <s v="#Sedona#"/>
    <s v="Vacation:Food"/>
    <m/>
    <m/>
    <m/>
    <x v="23"/>
    <x v="8"/>
    <m/>
    <m/>
    <s v="Sedona"/>
    <m/>
    <x v="2"/>
    <x v="0"/>
    <x v="4"/>
    <x v="0"/>
    <x v="0"/>
    <s v="None"/>
    <s v="Vacation|Food"/>
  </r>
  <r>
    <s v="MasterCard (Capital One)"/>
    <d v="2014-10-04T00:00:00"/>
    <n v="-20"/>
    <s v="X"/>
    <s v="Groupon"/>
    <s v="@BAL:2386.54@@CAT:@ Kangaroo &amp; Kiwi (exp 1/31/15)"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04T00:00:00"/>
    <n v="-20.76"/>
    <s v="X"/>
    <s v="Aerovironment"/>
    <s v="Subscription for DC Fast chargers"/>
    <s v="Auto &amp; Transport:Gas &amp; Fuel"/>
    <m/>
    <m/>
    <m/>
    <x v="17"/>
    <x v="37"/>
    <m/>
    <m/>
    <m/>
    <m/>
    <x v="2"/>
    <x v="0"/>
    <x v="3"/>
    <x v="0"/>
    <x v="0"/>
    <s v="None"/>
    <s v="Auto &amp; Transport|Gas &amp; Fuel"/>
  </r>
  <r>
    <s v="MasterCard (Capital One)"/>
    <d v="2014-10-04T00:00:00"/>
    <n v="-40.659999999999997"/>
    <s v="X"/>
    <s v="Shell"/>
    <m/>
    <s v="Auto &amp; Transport:Gas &amp; Fuel"/>
    <m/>
    <m/>
    <m/>
    <x v="17"/>
    <x v="37"/>
    <m/>
    <m/>
    <m/>
    <m/>
    <x v="2"/>
    <x v="0"/>
    <x v="3"/>
    <x v="0"/>
    <x v="0"/>
    <s v="None"/>
    <s v="Auto &amp; Transport|Gas &amp; Fuel"/>
  </r>
  <r>
    <s v="MasterCard (Capital One)"/>
    <d v="2014-10-04T00:00:00"/>
    <n v="-84.78"/>
    <s v="X"/>
    <s v="Fred Meyer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MasterCard (Capital One)"/>
    <d v="2014-10-04T00:00:00"/>
    <n v="-96.63"/>
    <s v="X"/>
    <s v="Trader Joe's"/>
    <m/>
    <s v="Food &amp; Dining:Groceries/From Receipt"/>
    <m/>
    <m/>
    <s v="From Receipt"/>
    <x v="15"/>
    <x v="3"/>
    <m/>
    <m/>
    <m/>
    <m/>
    <x v="2"/>
    <x v="0"/>
    <x v="3"/>
    <x v="0"/>
    <x v="0"/>
    <s v="None"/>
    <s v="Food &amp; Dining|Groceries"/>
  </r>
  <r>
    <s v="First Tech - Checking (5544)"/>
    <d v="2014-10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2"/>
    <x v="0"/>
    <x v="3"/>
    <x v="0"/>
    <x v="0"/>
    <s v="None"/>
    <s v="Kids|American Funds 529A"/>
  </r>
  <r>
    <s v="MasterCard (Capital One)"/>
    <d v="2014-10-03T00:00:00"/>
    <n v="-8.75"/>
    <s v="X"/>
    <s v="Netflix"/>
    <m/>
    <s v="Entertainment:Movies &amp; DVDs"/>
    <m/>
    <m/>
    <m/>
    <x v="30"/>
    <x v="43"/>
    <m/>
    <m/>
    <m/>
    <m/>
    <x v="2"/>
    <x v="0"/>
    <x v="6"/>
    <x v="0"/>
    <x v="0"/>
    <s v="None"/>
    <s v="Entertainment|Movies &amp; DVDs"/>
  </r>
  <r>
    <s v="MasterCard (Capital One)"/>
    <d v="2014-10-03T00:00:00"/>
    <n v="-20.170000000000002"/>
    <s v="X"/>
    <s v="Fred Meyer"/>
    <m/>
    <s v="Food &amp; Dining:Groceries"/>
    <m/>
    <m/>
    <m/>
    <x v="15"/>
    <x v="3"/>
    <m/>
    <m/>
    <m/>
    <m/>
    <x v="2"/>
    <x v="0"/>
    <x v="3"/>
    <x v="0"/>
    <x v="0"/>
    <s v="None"/>
    <s v="Food &amp; Dining|Groceries"/>
  </r>
  <r>
    <s v="First Tech - Checking (5544)"/>
    <d v="2014-10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2"/>
    <x v="0"/>
    <x v="3"/>
    <x v="0"/>
    <x v="0"/>
    <s v="None"/>
    <s v="Business Expenses (Koolikai)|Mortgage (Business)"/>
  </r>
  <r>
    <s v="First Tech - Checking (5544)"/>
    <d v="2014-10-02T00:00:00"/>
    <n v="-2679.43"/>
    <s v="X"/>
    <s v="Capital One (Autopay)"/>
    <s v="ACH Debit--CAPITAL ONE  - CRCARDPMT"/>
    <s v="[MasterCard (Capital One)]"/>
    <m/>
    <m/>
    <m/>
    <x v="38"/>
    <x v="0"/>
    <m/>
    <m/>
    <m/>
    <m/>
    <x v="2"/>
    <x v="0"/>
    <x v="0"/>
    <x v="0"/>
    <x v="0"/>
    <s v="None"/>
    <s v="[MasterCard (Capital One)]"/>
  </r>
  <r>
    <s v="First Tech - Checking (5544)"/>
    <d v="2014-10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2"/>
    <x v="0"/>
    <x v="3"/>
    <x v="0"/>
    <x v="0"/>
    <s v="None"/>
    <s v="Business Expenses (Koolikai)|Mortgage (Business)"/>
  </r>
  <r>
    <s v="Chase Freedom XX9381"/>
    <d v="2014-10-02T00:00:00"/>
    <n v="-9.01"/>
    <s v="X"/>
    <s v="Menchie Frozen Yogurt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MasterCard (Capital One)"/>
    <d v="2014-10-02T00:00:00"/>
    <n v="2679.43"/>
    <s v="X"/>
    <s v="Capital One (Autopay)"/>
    <s v="ACH Debit--CAPITAL ONE  - CRCARDPMT"/>
    <s v="[First Tech - Checking (5544)]"/>
    <m/>
    <m/>
    <m/>
    <x v="21"/>
    <x v="0"/>
    <m/>
    <m/>
    <m/>
    <m/>
    <x v="2"/>
    <x v="0"/>
    <x v="0"/>
    <x v="0"/>
    <x v="0"/>
    <s v="None"/>
    <s v="[First Tech - Checking (5544)]"/>
  </r>
  <r>
    <s v="MasterCard (Capital One)"/>
    <d v="2014-10-02T00:00:00"/>
    <n v="-13.2"/>
    <s v="X"/>
    <s v="Bluebird Ice Cream"/>
    <m/>
    <s v="Food &amp; Dining:Restaurants"/>
    <m/>
    <m/>
    <m/>
    <x v="15"/>
    <x v="15"/>
    <m/>
    <m/>
    <m/>
    <m/>
    <x v="2"/>
    <x v="0"/>
    <x v="3"/>
    <x v="0"/>
    <x v="0"/>
    <s v="None"/>
    <s v="Food &amp; Dining|Restaurants"/>
  </r>
  <r>
    <s v="First Tech - Checking (5544)"/>
    <d v="2014-10-01T00:00:00"/>
    <n v="-2052"/>
    <s v="X"/>
    <s v="Phinney Ridge CDC"/>
    <s v="ACH Debit--PHINNEY RIDGE LU 504759859 - CONTRIBUTN"/>
    <s v="Kids:Daycare"/>
    <m/>
    <m/>
    <m/>
    <x v="27"/>
    <x v="35"/>
    <m/>
    <m/>
    <m/>
    <m/>
    <x v="2"/>
    <x v="0"/>
    <x v="3"/>
    <x v="0"/>
    <x v="0"/>
    <s v="None"/>
    <s v="Kids|Daycare"/>
  </r>
  <r>
    <s v="Capital One - Investment (6759)"/>
    <d v="2014-09-30T00:00:00"/>
    <n v="19.41"/>
    <s v="X"/>
    <s v="Capital One (Interest Income)"/>
    <m/>
    <s v="Interest Income"/>
    <m/>
    <m/>
    <m/>
    <x v="40"/>
    <x v="0"/>
    <m/>
    <m/>
    <m/>
    <m/>
    <x v="3"/>
    <x v="0"/>
    <x v="3"/>
    <x v="0"/>
    <x v="0"/>
    <s v="None"/>
    <s v="Interest Income"/>
  </r>
  <r>
    <s v="Capital One - Long Term Emergency (1201)"/>
    <d v="2014-09-30T00:00:00"/>
    <n v="48.72"/>
    <s v="X"/>
    <s v="Capital One (Interest Income)"/>
    <m/>
    <s v="Interest Income"/>
    <m/>
    <m/>
    <m/>
    <x v="40"/>
    <x v="0"/>
    <m/>
    <m/>
    <m/>
    <m/>
    <x v="3"/>
    <x v="0"/>
    <x v="3"/>
    <x v="0"/>
    <x v="0"/>
    <s v="None"/>
    <s v="Interest Income"/>
  </r>
  <r>
    <s v="Capital One - Secondary Savings (3126)"/>
    <d v="2014-09-30T00:00:00"/>
    <n v="0.02"/>
    <s v="X"/>
    <s v="Capital One (Interest Income)"/>
    <m/>
    <s v="Interest Income"/>
    <m/>
    <m/>
    <m/>
    <x v="40"/>
    <x v="0"/>
    <m/>
    <m/>
    <m/>
    <m/>
    <x v="3"/>
    <x v="0"/>
    <x v="3"/>
    <x v="0"/>
    <x v="0"/>
    <s v="None"/>
    <s v="Interest Income"/>
  </r>
  <r>
    <s v="Capital One - Vacation (4959)"/>
    <d v="2014-09-30T00:00:00"/>
    <n v="2.06"/>
    <s v="X"/>
    <s v="Capital One (Interest Income)"/>
    <m/>
    <s v="Interest Income"/>
    <m/>
    <m/>
    <m/>
    <x v="40"/>
    <x v="0"/>
    <m/>
    <m/>
    <m/>
    <m/>
    <x v="3"/>
    <x v="0"/>
    <x v="3"/>
    <x v="0"/>
    <x v="0"/>
    <s v="None"/>
    <s v="Interest Income"/>
  </r>
  <r>
    <s v="Koolikai - Sec Dep XX1200"/>
    <d v="2014-09-30T00:00:00"/>
    <n v="0.19"/>
    <s v="X"/>
    <s v="First Tech (Dividend)"/>
    <s v="Credit Dividend--"/>
    <s v="Interest Income"/>
    <m/>
    <m/>
    <m/>
    <x v="40"/>
    <x v="0"/>
    <m/>
    <m/>
    <m/>
    <m/>
    <x v="3"/>
    <x v="0"/>
    <x v="3"/>
    <x v="0"/>
    <x v="0"/>
    <s v="None"/>
    <s v="Interest Income"/>
  </r>
  <r>
    <s v="Schwab - Checking (9784)"/>
    <d v="2014-09-30T00:00:00"/>
    <n v="0.06"/>
    <s v="X"/>
    <s v="Interest Paid"/>
    <m/>
    <s v="Interest Income"/>
    <m/>
    <m/>
    <m/>
    <x v="40"/>
    <x v="0"/>
    <m/>
    <m/>
    <m/>
    <m/>
    <x v="3"/>
    <x v="0"/>
    <x v="3"/>
    <x v="0"/>
    <x v="0"/>
    <s v="None"/>
    <s v="Interest Income"/>
  </r>
  <r>
    <s v="MasterCard (Capital One)"/>
    <d v="2014-09-30T00:00:00"/>
    <n v="-2.37"/>
    <s v="X"/>
    <s v="Ken Market"/>
    <m/>
    <s v="Food &amp; Dining:Groceries"/>
    <m/>
    <m/>
    <m/>
    <x v="15"/>
    <x v="3"/>
    <m/>
    <m/>
    <m/>
    <m/>
    <x v="3"/>
    <x v="0"/>
    <x v="3"/>
    <x v="0"/>
    <x v="0"/>
    <s v="None"/>
    <s v="Food &amp; Dining|Groceries"/>
  </r>
  <r>
    <s v="MasterCard (Capital One)"/>
    <d v="2014-09-30T00:00:00"/>
    <n v="-4.75"/>
    <s v="X"/>
    <s v="Fresh Table 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30T00:00:00"/>
    <n v="-8.1999999999999993"/>
    <s v="X"/>
    <s v="Fresh Table 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30T00:00:00"/>
    <n v="-43.8"/>
    <s v="X"/>
    <s v="Super Jock n Jill"/>
    <s v="#Stay Fit# Ang's shoe inserts"/>
    <s v="Health &amp; Fitness:Sports"/>
    <m/>
    <m/>
    <m/>
    <x v="18"/>
    <x v="23"/>
    <m/>
    <m/>
    <s v="Stay Fit"/>
    <m/>
    <x v="3"/>
    <x v="0"/>
    <x v="4"/>
    <x v="0"/>
    <x v="0"/>
    <s v="None"/>
    <s v="Health &amp; Fitness|Sports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x v="3"/>
    <x v="0"/>
    <x v="4"/>
    <x v="0"/>
    <x v="0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x v="3"/>
    <x v="0"/>
    <x v="4"/>
    <x v="0"/>
    <x v="0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x v="3"/>
    <x v="0"/>
    <x v="4"/>
    <x v="0"/>
    <x v="0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x v="3"/>
    <x v="0"/>
    <x v="4"/>
    <x v="0"/>
    <x v="0"/>
    <s v="None"/>
    <s v="Vacation|Transportation"/>
  </r>
  <r>
    <s v="First Tech - Checking (5544)"/>
    <d v="2014-09-29T00:00:00"/>
    <n v="6058.12"/>
    <s v="X"/>
    <s v="CRAB (Paystub)"/>
    <s v="ACH Deposit--Cancer Research  - Payroll"/>
    <s v="Net Salary"/>
    <m/>
    <m/>
    <m/>
    <x v="35"/>
    <x v="0"/>
    <m/>
    <m/>
    <m/>
    <m/>
    <x v="3"/>
    <x v="0"/>
    <x v="3"/>
    <x v="0"/>
    <x v="0"/>
    <s v="None"/>
    <s v="Net Salary"/>
  </r>
  <r>
    <s v="First Tech - Checking (5544)"/>
    <d v="2014-09-29T00:00:00"/>
    <n v="22136.080000000002"/>
    <s v="X"/>
    <s v="Microsoft (Paystub)"/>
    <s v="ACH Deposit--MICROSOFT  - EDIPAYMENT"/>
    <s v="Net Salary"/>
    <m/>
    <m/>
    <m/>
    <x v="35"/>
    <x v="0"/>
    <m/>
    <m/>
    <m/>
    <m/>
    <x v="3"/>
    <x v="0"/>
    <x v="3"/>
    <x v="0"/>
    <x v="0"/>
    <s v="None"/>
    <s v="Net Salary"/>
  </r>
  <r>
    <s v="First Tech - Checking (5544)"/>
    <d v="2014-09-29T00:00:00"/>
    <n v="-117"/>
    <s v="X"/>
    <s v="Cleaning Authority, The"/>
    <s v="ACH Debit--THE CLEANING AUT  - ONLINE PMT"/>
    <s v="Home:Home Services"/>
    <m/>
    <m/>
    <m/>
    <x v="14"/>
    <x v="46"/>
    <m/>
    <m/>
    <m/>
    <m/>
    <x v="3"/>
    <x v="0"/>
    <x v="3"/>
    <x v="0"/>
    <x v="0"/>
    <s v="None"/>
    <s v="Home|Home Services"/>
  </r>
  <r>
    <s v="First Tech - Checking (5544)"/>
    <d v="2014-09-29T00:00:00"/>
    <n v="-539.61"/>
    <s v="X"/>
    <s v="Chase Autopay (Freedom)"/>
    <s v="@BAL:61785.65@@CAT:@"/>
    <s v="[Chase Freedom XX9381]"/>
    <m/>
    <m/>
    <m/>
    <x v="7"/>
    <x v="0"/>
    <m/>
    <m/>
    <m/>
    <m/>
    <x v="3"/>
    <x v="0"/>
    <x v="1"/>
    <x v="1"/>
    <x v="1"/>
    <e v="#N/A"/>
    <s v="[Chase Freedom XX9381]"/>
  </r>
  <r>
    <s v="Chase Freedom XX9381"/>
    <d v="2014-09-29T00:00:00"/>
    <n v="539.61"/>
    <s v="X"/>
    <s v="Chase Autopay (Freedom)"/>
    <s v="ACH Debit--CHASE  - AUTOPAY"/>
    <s v="[First Tech - Checking (5544)]"/>
    <m/>
    <m/>
    <m/>
    <x v="21"/>
    <x v="0"/>
    <m/>
    <m/>
    <m/>
    <m/>
    <x v="3"/>
    <x v="0"/>
    <x v="0"/>
    <x v="0"/>
    <x v="0"/>
    <s v="None"/>
    <s v="[First Tech - Checking (5544)]"/>
  </r>
  <r>
    <s v="Target Red Card"/>
    <d v="2014-09-29T00:00:00"/>
    <n v="-54.49"/>
    <s v="X"/>
    <s v="Target"/>
    <m/>
    <s v="Kids:Clothing/From Receipt"/>
    <m/>
    <m/>
    <s v="From Receipt"/>
    <x v="27"/>
    <x v="1"/>
    <m/>
    <m/>
    <m/>
    <m/>
    <x v="3"/>
    <x v="0"/>
    <x v="3"/>
    <x v="0"/>
    <x v="0"/>
    <s v="None"/>
    <s v="Kids|Clothing"/>
  </r>
  <r>
    <s v="Edward Jones - Roth IRA"/>
    <d v="2014-09-29T00:00:00"/>
    <m/>
    <m/>
    <m/>
    <s v="0.274 shares added to account"/>
    <m/>
    <s v="ShrsIn"/>
    <m/>
    <m/>
    <x v="26"/>
    <x v="0"/>
    <m/>
    <m/>
    <m/>
    <m/>
    <x v="3"/>
    <x v="0"/>
    <x v="1"/>
    <x v="1"/>
    <x v="1"/>
    <e v="#N/A"/>
    <n v="0"/>
  </r>
  <r>
    <s v="Chase Freedom XX9381"/>
    <d v="2014-09-28T00:00:00"/>
    <n v="-7.57"/>
    <s v="X"/>
    <s v="Pike Place Common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Freedom XX9381"/>
    <d v="2014-09-28T00:00:00"/>
    <n v="-100"/>
    <s v="X"/>
    <s v="Pike Place Common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28T00:00:00"/>
    <n v="43.79"/>
    <s v="X"/>
    <s v="Fred Meyer"/>
    <m/>
    <s v="Kids:Clothing/From Receipt"/>
    <m/>
    <m/>
    <s v="From Receipt"/>
    <x v="27"/>
    <x v="1"/>
    <m/>
    <m/>
    <m/>
    <m/>
    <x v="3"/>
    <x v="0"/>
    <x v="3"/>
    <x v="0"/>
    <x v="0"/>
    <s v="None"/>
    <s v="Kids|Clothing"/>
  </r>
  <r>
    <s v="MasterCard (Capital One)"/>
    <d v="2014-09-28T00:00:00"/>
    <n v="-22.71"/>
    <s v="X"/>
    <s v="Fred Meyer"/>
    <s v="Flowers"/>
    <s v="Projects:Landscaping/From Receipt"/>
    <m/>
    <s v="Split"/>
    <s v="From Receipt"/>
    <x v="39"/>
    <x v="47"/>
    <m/>
    <m/>
    <m/>
    <m/>
    <x v="3"/>
    <x v="0"/>
    <x v="6"/>
    <x v="0"/>
    <x v="0"/>
    <s v="None"/>
    <s v="Projects|Landscaping"/>
  </r>
  <r>
    <s v="MasterCard (Capital One)"/>
    <d v="2014-09-28T00:00:00"/>
    <n v="-2.5"/>
    <s v="X"/>
    <s v="Fred Meyer"/>
    <m/>
    <s v="Food &amp; Dining:Groceries/From Receipt"/>
    <m/>
    <s v="Split"/>
    <s v="From Receipt"/>
    <x v="15"/>
    <x v="3"/>
    <m/>
    <m/>
    <m/>
    <m/>
    <x v="3"/>
    <x v="0"/>
    <x v="3"/>
    <x v="0"/>
    <x v="0"/>
    <s v="None"/>
    <s v="Food &amp; Dining|Groceries"/>
  </r>
  <r>
    <s v="MasterCard (Capital One)"/>
    <d v="2014-09-28T00:00:00"/>
    <n v="-50.45"/>
    <s v="X"/>
    <s v="California Pizza Kitchen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27T00:00:00"/>
    <n v="-9.86"/>
    <s v="X"/>
    <s v="Playdate Cafe"/>
    <m/>
    <s v="Kids:Kids Activities"/>
    <m/>
    <m/>
    <m/>
    <x v="27"/>
    <x v="12"/>
    <m/>
    <m/>
    <m/>
    <m/>
    <x v="3"/>
    <x v="0"/>
    <x v="3"/>
    <x v="0"/>
    <x v="0"/>
    <s v="None"/>
    <s v="Kids|Kids Activities"/>
  </r>
  <r>
    <s v="MasterCard (Capital One)"/>
    <d v="2014-09-27T00:00:00"/>
    <n v="-17.5"/>
    <s v="X"/>
    <s v="Fred Meyer"/>
    <s v="Swimming goggles"/>
    <s v="Health &amp; Fitness:Sports/From Receipt"/>
    <m/>
    <m/>
    <s v="From Receipt"/>
    <x v="18"/>
    <x v="23"/>
    <m/>
    <m/>
    <m/>
    <m/>
    <x v="3"/>
    <x v="0"/>
    <x v="4"/>
    <x v="0"/>
    <x v="0"/>
    <s v="None"/>
    <s v="Health &amp; Fitness|Sports"/>
  </r>
  <r>
    <s v="MasterCard (Capital One)"/>
    <d v="2014-09-27T00:00:00"/>
    <n v="-25.6"/>
    <s v="X"/>
    <s v="Playdate 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27T00:00:00"/>
    <n v="-9.84"/>
    <s v="X"/>
    <s v="Fred Meyer"/>
    <s v="Propane #Kalaloch 2015#"/>
    <s v="Vacation:Food/From Receipt"/>
    <m/>
    <s v="Split"/>
    <s v="From Receipt"/>
    <x v="23"/>
    <x v="8"/>
    <m/>
    <m/>
    <s v="Kalaloch 2015"/>
    <m/>
    <x v="3"/>
    <x v="0"/>
    <x v="4"/>
    <x v="0"/>
    <x v="0"/>
    <s v="None"/>
    <s v="Vacation|Food"/>
  </r>
  <r>
    <s v="MasterCard (Capital One)"/>
    <d v="2014-09-27T00:00:00"/>
    <n v="-13.13"/>
    <s v="X"/>
    <s v="Fred Meyer"/>
    <s v="Lantern globe"/>
    <s v="Shopping:Hobbies:Camping Equipment/From Receipt"/>
    <m/>
    <s v="Split"/>
    <s v="From Receipt"/>
    <x v="13"/>
    <x v="48"/>
    <s v="Camping Equipment"/>
    <m/>
    <m/>
    <m/>
    <x v="3"/>
    <x v="0"/>
    <x v="2"/>
    <x v="0"/>
    <x v="0"/>
    <s v="None"/>
    <s v="Shopping|Hobbies"/>
  </r>
  <r>
    <s v="MasterCard (Capital One)"/>
    <d v="2014-09-27T00:00:00"/>
    <n v="-37.22"/>
    <s v="X"/>
    <s v="Fred Meyer"/>
    <s v="Tod boy 4-1"/>
    <s v="Kids:Clothing/From Receipt"/>
    <m/>
    <s v="Split"/>
    <s v="From Receipt"/>
    <x v="27"/>
    <x v="1"/>
    <m/>
    <m/>
    <m/>
    <m/>
    <x v="3"/>
    <x v="0"/>
    <x v="3"/>
    <x v="0"/>
    <x v="0"/>
    <s v="None"/>
    <s v="Kids|Clothing"/>
  </r>
  <r>
    <s v="MasterCard (Capital One)"/>
    <d v="2014-09-27T00:00:00"/>
    <n v="-27.36"/>
    <s v="X"/>
    <s v="Fred Meyer"/>
    <s v="Tod girl 4-1"/>
    <s v="Kids:Clothing/From Receipt"/>
    <m/>
    <s v="Split"/>
    <s v="From Receipt"/>
    <x v="27"/>
    <x v="1"/>
    <m/>
    <m/>
    <m/>
    <m/>
    <x v="3"/>
    <x v="0"/>
    <x v="3"/>
    <x v="0"/>
    <x v="0"/>
    <s v="None"/>
    <s v="Kids|Clothing"/>
  </r>
  <r>
    <s v="MasterCard (Capital One)"/>
    <d v="2014-09-27T00:00:00"/>
    <n v="-24.07"/>
    <s v="X"/>
    <s v="Fred Meyer"/>
    <s v="2x Slippers for boys"/>
    <s v="Kids:Clothing/From Receipt"/>
    <m/>
    <s v="Split"/>
    <s v="From Receipt"/>
    <x v="27"/>
    <x v="1"/>
    <m/>
    <m/>
    <m/>
    <m/>
    <x v="3"/>
    <x v="0"/>
    <x v="3"/>
    <x v="0"/>
    <x v="0"/>
    <s v="None"/>
    <s v="Kids|Clothing"/>
  </r>
  <r>
    <s v="MasterCard (Capital One)"/>
    <d v="2014-09-27T00:00:00"/>
    <n v="-87.39"/>
    <s v="X"/>
    <s v="Fred Meyer"/>
    <m/>
    <s v="Food &amp; Dining:Groceries/From Receipt"/>
    <m/>
    <s v="Split"/>
    <s v="From Receipt"/>
    <x v="15"/>
    <x v="3"/>
    <m/>
    <m/>
    <m/>
    <m/>
    <x v="3"/>
    <x v="0"/>
    <x v="3"/>
    <x v="0"/>
    <x v="0"/>
    <s v="None"/>
    <s v="Food &amp; Dining|Groceries"/>
  </r>
  <r>
    <s v="Chase Freedom XX9381"/>
    <d v="2014-09-26T00:00:00"/>
    <n v="-32.47"/>
    <s v="X"/>
    <s v="74th St Al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26T00:00:00"/>
    <n v="-26.59"/>
    <s v="X"/>
    <s v="Ken's Market"/>
    <m/>
    <s v="Food &amp; Dining:Groceries"/>
    <m/>
    <m/>
    <m/>
    <x v="15"/>
    <x v="3"/>
    <m/>
    <m/>
    <m/>
    <m/>
    <x v="3"/>
    <x v="0"/>
    <x v="3"/>
    <x v="0"/>
    <x v="0"/>
    <s v="None"/>
    <s v="Food &amp; Dining|Groceries"/>
  </r>
  <r>
    <s v="Chase Freedom XX9381"/>
    <d v="2014-09-25T00:00:00"/>
    <n v="-6.1"/>
    <s v="X"/>
    <s v="Acapulco Fresh Mexican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Freedom XX9381"/>
    <d v="2014-09-25T00:00:00"/>
    <n v="-8.67"/>
    <s v="X"/>
    <s v="Taco Del Mar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Koolikai - Checking XX2129"/>
    <d v="2014-09-24T00:00:00"/>
    <n v="-146.91999999999999"/>
    <s v="X"/>
    <s v="Chase - Koolikai (Autopay)"/>
    <s v="ACH Debit--CHASE  - AUTOPAYBUS"/>
    <s v="[Koolikai Credit Card]"/>
    <m/>
    <m/>
    <m/>
    <x v="9"/>
    <x v="0"/>
    <m/>
    <m/>
    <m/>
    <m/>
    <x v="3"/>
    <x v="0"/>
    <x v="0"/>
    <x v="0"/>
    <x v="0"/>
    <s v="None"/>
    <s v="[Koolikai Credit Card]"/>
  </r>
  <r>
    <s v="Chase Freedom XX9381"/>
    <d v="2014-09-24T00:00:00"/>
    <n v="-6.3"/>
    <s v="X"/>
    <s v="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24T00:00:00"/>
    <n v="50"/>
    <s v="X"/>
    <s v="Capital One (Cash Back)"/>
    <m/>
    <s v="Other Inc"/>
    <m/>
    <m/>
    <m/>
    <x v="29"/>
    <x v="0"/>
    <m/>
    <m/>
    <m/>
    <m/>
    <x v="3"/>
    <x v="0"/>
    <x v="3"/>
    <x v="0"/>
    <x v="0"/>
    <s v="None"/>
    <s v="Other Inc"/>
  </r>
  <r>
    <s v="First Tech - Checking (5544)"/>
    <d v="2014-09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3"/>
    <x v="0"/>
    <x v="3"/>
    <x v="0"/>
    <x v="0"/>
    <s v="None"/>
    <s v="Auto &amp; Transport|Auto Lease Payment"/>
  </r>
  <r>
    <s v="Chase Freedom XX9381"/>
    <d v="2014-09-23T00:00:00"/>
    <n v="-31.96"/>
    <s v="X"/>
    <s v="Home Depot"/>
    <s v="Hack saw blades, door sweeps, caulk"/>
    <s v="Business Expenses (Koolikai):Tools"/>
    <m/>
    <m/>
    <m/>
    <x v="36"/>
    <x v="49"/>
    <m/>
    <m/>
    <m/>
    <m/>
    <x v="3"/>
    <x v="0"/>
    <x v="4"/>
    <x v="0"/>
    <x v="0"/>
    <s v="None"/>
    <s v="Business Expenses (Koolikai)|Tools"/>
  </r>
  <r>
    <s v="Koolikai Credit Card"/>
    <d v="2014-09-23T00:00:00"/>
    <n v="146.91999999999999"/>
    <s v="X"/>
    <s v="Chase - Koolikai (Autopay)"/>
    <m/>
    <s v="[Koolikai - Checking XX2129]"/>
    <m/>
    <m/>
    <m/>
    <x v="25"/>
    <x v="0"/>
    <m/>
    <m/>
    <m/>
    <m/>
    <x v="3"/>
    <x v="0"/>
    <x v="0"/>
    <x v="0"/>
    <x v="0"/>
    <s v="None"/>
    <s v="[Koolikai - Checking XX2129]"/>
  </r>
  <r>
    <s v="First Tech - Checking (5544)"/>
    <d v="2014-09-22T00:00:00"/>
    <n v="-85.11"/>
    <s v="X"/>
    <s v="Seattle City Light"/>
    <s v="ACH Debit--CITY OF SEATTLE  - 1 - SCL De"/>
    <s v="Bills &amp; Utilities:Utilities"/>
    <m/>
    <m/>
    <m/>
    <x v="34"/>
    <x v="18"/>
    <m/>
    <m/>
    <m/>
    <m/>
    <x v="3"/>
    <x v="0"/>
    <x v="3"/>
    <x v="0"/>
    <x v="0"/>
    <s v="None"/>
    <s v="Bills &amp; Utilities|Utilities"/>
  </r>
  <r>
    <s v="Chase Freedom XX9381"/>
    <d v="2014-09-22T00:00:00"/>
    <n v="-0.5"/>
    <s v="X"/>
    <s v="Park"/>
    <m/>
    <s v="Auto &amp; Transport:Parking"/>
    <m/>
    <m/>
    <m/>
    <x v="17"/>
    <x v="11"/>
    <m/>
    <m/>
    <m/>
    <m/>
    <x v="3"/>
    <x v="0"/>
    <x v="3"/>
    <x v="0"/>
    <x v="0"/>
    <s v="None"/>
    <s v="Auto &amp; Transport|Parking"/>
  </r>
  <r>
    <s v="Chase Freedom XX9381"/>
    <d v="2014-09-22T00:00:00"/>
    <n v="-29.09"/>
    <s v="X"/>
    <s v="Skillet Diner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Freedom XX9381"/>
    <d v="2014-09-22T00:00:00"/>
    <n v="-52.92"/>
    <s v="X"/>
    <s v="Old Spaghetti Fctry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Freedom XX9381"/>
    <d v="2014-09-21T00:00:00"/>
    <n v="-6.3"/>
    <s v="X"/>
    <s v="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Freedom XX9381"/>
    <d v="2014-09-21T00:00:00"/>
    <n v="-8.2100000000000009"/>
    <s v="X"/>
    <s v="Officemax"/>
    <s v="Envelopes"/>
    <s v="Business Expenses (Koolikai):Office Expenses (Business)"/>
    <m/>
    <m/>
    <m/>
    <x v="36"/>
    <x v="42"/>
    <m/>
    <m/>
    <m/>
    <m/>
    <x v="3"/>
    <x v="0"/>
    <x v="3"/>
    <x v="0"/>
    <x v="0"/>
    <s v="None"/>
    <s v="Business Expenses (Koolikai)|Office Expenses (Business)"/>
  </r>
  <r>
    <s v="Chase Freedom XX9381"/>
    <d v="2014-09-21T00:00:00"/>
    <n v="-57"/>
    <s v="X"/>
    <s v="Beehive Salon"/>
    <m/>
    <s v="Personal Care:Hair"/>
    <m/>
    <m/>
    <m/>
    <x v="31"/>
    <x v="16"/>
    <m/>
    <m/>
    <m/>
    <m/>
    <x v="3"/>
    <x v="0"/>
    <x v="3"/>
    <x v="0"/>
    <x v="0"/>
    <s v="None"/>
    <s v="Personal Care|Hair"/>
  </r>
  <r>
    <s v="Chase Freedom XX9381"/>
    <d v="2014-09-21T00:00:00"/>
    <n v="-19.690000000000001"/>
    <s v="X"/>
    <s v="Fred Meyer"/>
    <s v="Flowers"/>
    <s v="Projects:Landscaping/From Receipt"/>
    <m/>
    <s v="Split"/>
    <s v="From Receipt"/>
    <x v="39"/>
    <x v="47"/>
    <m/>
    <m/>
    <m/>
    <m/>
    <x v="3"/>
    <x v="0"/>
    <x v="6"/>
    <x v="0"/>
    <x v="0"/>
    <s v="None"/>
    <s v="Projects|Landscaping"/>
  </r>
  <r>
    <s v="Chase Freedom XX9381"/>
    <d v="2014-09-21T00:00:00"/>
    <n v="-105.64"/>
    <s v="X"/>
    <s v="Fred Meyer"/>
    <m/>
    <s v="Food &amp; Dining:Groceries/From Receipt"/>
    <m/>
    <s v="Split"/>
    <s v="From Receipt"/>
    <x v="15"/>
    <x v="3"/>
    <m/>
    <m/>
    <m/>
    <m/>
    <x v="3"/>
    <x v="0"/>
    <x v="3"/>
    <x v="0"/>
    <x v="0"/>
    <s v="None"/>
    <s v="Food &amp; Dining|Groceries"/>
  </r>
  <r>
    <s v="Chase Freedom XX9381"/>
    <d v="2014-09-19T00:00:00"/>
    <n v="-11.95"/>
    <s v="X"/>
    <s v="T-mobile"/>
    <m/>
    <s v="Bills &amp; Utilities:Mobile Phone"/>
    <m/>
    <m/>
    <m/>
    <x v="34"/>
    <x v="24"/>
    <m/>
    <m/>
    <m/>
    <m/>
    <x v="3"/>
    <x v="0"/>
    <x v="5"/>
    <x v="0"/>
    <x v="0"/>
    <s v="None"/>
    <s v="Bills &amp; Utilities|Mobile Phone"/>
  </r>
  <r>
    <s v="Chase Freedom XX9381"/>
    <d v="2014-09-19T00:00:00"/>
    <n v="-575.15"/>
    <s v="X"/>
    <s v="Farmers Insurance"/>
    <s v="Mom's insurance"/>
    <s v="Gifts"/>
    <m/>
    <m/>
    <m/>
    <x v="28"/>
    <x v="0"/>
    <m/>
    <m/>
    <m/>
    <m/>
    <x v="3"/>
    <x v="0"/>
    <x v="3"/>
    <x v="0"/>
    <x v="0"/>
    <s v="None"/>
    <s v="Gifts"/>
  </r>
  <r>
    <s v="Chase Freedom XX9381"/>
    <d v="2014-09-18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8T00:00:00"/>
    <n v="-6.1"/>
    <s v="X"/>
    <s v="Acapulco Fresh Mexican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Edward Jones - Roth IRA"/>
    <d v="2014-09-18T00:00:00"/>
    <n v="15.72"/>
    <s v="c"/>
    <m/>
    <m/>
    <m/>
    <s v="ReinvDiv"/>
    <m/>
    <m/>
    <x v="26"/>
    <x v="0"/>
    <m/>
    <m/>
    <m/>
    <m/>
    <x v="3"/>
    <x v="0"/>
    <x v="1"/>
    <x v="1"/>
    <x v="1"/>
    <e v="#N/A"/>
    <n v="0"/>
  </r>
  <r>
    <s v="Chase Freedom XX9381"/>
    <d v="2014-09-17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7.43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7.43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7.8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7.8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33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51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6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7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78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94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94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28.95"/>
    <s v="X"/>
    <s v="Adjustmen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Kmar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Liquorland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Liquorland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Kmar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7.43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7.43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7.88"/>
    <s v="X"/>
    <s v="Big W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7.8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33"/>
    <s v="X"/>
    <s v="Kmar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51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68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78"/>
    <s v="X"/>
    <s v="Kmar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78"/>
    <s v="X"/>
    <s v="Kmart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94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94"/>
    <s v="X"/>
    <s v="Cole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7T00:00:00"/>
    <n v="-28.95"/>
    <s v="X"/>
    <s v="Woolworths"/>
    <m/>
    <s v="Misc Expenses:Fraud"/>
    <m/>
    <m/>
    <m/>
    <x v="45"/>
    <x v="50"/>
    <m/>
    <m/>
    <m/>
    <m/>
    <x v="3"/>
    <x v="0"/>
    <x v="1"/>
    <x v="1"/>
    <x v="1"/>
    <e v="#N/A"/>
    <s v="Misc Expenses|Fraud"/>
  </r>
  <r>
    <s v="MasterCard (Capital One)"/>
    <d v="2014-09-16T00:00:00"/>
    <n v="-5.49"/>
    <s v="X"/>
    <s v="Sq Hallava Falafel"/>
    <s v="Food truck at Microsoft"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First Tech - Checking (5544)"/>
    <d v="2014-09-15T00:00:00"/>
    <n v="62"/>
    <s v="X"/>
    <s v="Balance Refund Jcgprdid"/>
    <s v="Received as a check"/>
    <s v="[REI Mastercard (xx1787)]"/>
    <m/>
    <m/>
    <m/>
    <x v="11"/>
    <x v="0"/>
    <m/>
    <m/>
    <m/>
    <m/>
    <x v="3"/>
    <x v="0"/>
    <x v="1"/>
    <x v="1"/>
    <x v="1"/>
    <e v="#N/A"/>
    <s v="[REI Mastercard (xx1787)]"/>
  </r>
  <r>
    <s v="First Tech - Checking (5544)"/>
    <d v="2014-09-15T00:00:00"/>
    <n v="-45.02"/>
    <s v="X"/>
    <s v="Puget Sound Energy"/>
    <s v="ACH Debit--PUGET SOUND ENER DIRECT DEBITING - PSE BILL  41250464"/>
    <s v="Bills &amp; Utilities:Utilities"/>
    <m/>
    <m/>
    <m/>
    <x v="34"/>
    <x v="18"/>
    <m/>
    <m/>
    <m/>
    <m/>
    <x v="3"/>
    <x v="0"/>
    <x v="3"/>
    <x v="0"/>
    <x v="0"/>
    <s v="None"/>
    <s v="Bills &amp; Utilities|Utilities"/>
  </r>
  <r>
    <s v="First Tech - Checking (5544)"/>
    <d v="2014-09-15T00:00:00"/>
    <n v="-115"/>
    <s v="X"/>
    <s v="Cleaning Authority, The"/>
    <s v="ACH Debit--THE CLEANING AUT  - ONLINE PMT"/>
    <s v="Home:Home Services"/>
    <m/>
    <m/>
    <m/>
    <x v="14"/>
    <x v="46"/>
    <m/>
    <m/>
    <m/>
    <m/>
    <x v="3"/>
    <x v="0"/>
    <x v="3"/>
    <x v="0"/>
    <x v="0"/>
    <s v="None"/>
    <s v="Home|Home Services"/>
  </r>
  <r>
    <s v="First Tech - Checking (5544)"/>
    <d v="2014-09-15T00:00:00"/>
    <n v="-48"/>
    <s v="X"/>
    <s v="Poppy Weber"/>
    <s v="Check--"/>
    <s v="Kids:Babysitter"/>
    <n v="2134"/>
    <m/>
    <m/>
    <x v="27"/>
    <x v="13"/>
    <m/>
    <m/>
    <m/>
    <m/>
    <x v="3"/>
    <x v="0"/>
    <x v="3"/>
    <x v="0"/>
    <x v="0"/>
    <s v="None"/>
    <s v="Kids|Babysitter"/>
  </r>
  <r>
    <s v="Chase Amazon (XX8482)"/>
    <d v="2014-09-15T00:00:00"/>
    <n v="-1.62"/>
    <s v="X"/>
    <s v="Amazon"/>
    <s v="5pc SN74HC595N Shift Registers"/>
    <s v="Shopping:Electronics &amp; Software"/>
    <m/>
    <m/>
    <m/>
    <x v="13"/>
    <x v="20"/>
    <m/>
    <m/>
    <m/>
    <m/>
    <x v="3"/>
    <x v="0"/>
    <x v="2"/>
    <x v="0"/>
    <x v="0"/>
    <s v="None"/>
    <s v="Shopping|Electronics &amp; Software"/>
  </r>
  <r>
    <s v="MasterCard (Capital One)"/>
    <d v="2014-09-15T00:00:00"/>
    <n v="-5.6"/>
    <s v="X"/>
    <s v="Ken Market"/>
    <m/>
    <s v="Food &amp; Dining:Groceries"/>
    <m/>
    <m/>
    <m/>
    <x v="15"/>
    <x v="3"/>
    <m/>
    <m/>
    <m/>
    <m/>
    <x v="3"/>
    <x v="0"/>
    <x v="3"/>
    <x v="0"/>
    <x v="0"/>
    <s v="None"/>
    <s v="Food &amp; Dining|Groceries"/>
  </r>
  <r>
    <s v="MasterCard (Capital One)"/>
    <d v="2014-09-15T00:00:00"/>
    <n v="-60"/>
    <s v="X"/>
    <s v="Phinney Neighborhood Association"/>
    <m/>
    <s v="Charity:Charity (Cash)"/>
    <m/>
    <m/>
    <m/>
    <x v="22"/>
    <x v="7"/>
    <m/>
    <m/>
    <m/>
    <m/>
    <x v="3"/>
    <x v="0"/>
    <x v="2"/>
    <x v="0"/>
    <x v="0"/>
    <s v="None"/>
    <s v="Charity|Charity (Cash)"/>
  </r>
  <r>
    <s v="MasterCard (Capital One)"/>
    <d v="2014-09-15T00:00:00"/>
    <n v="-72.92"/>
    <s v="X"/>
    <s v="Fred Meyer"/>
    <m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REI Mastercard (xx1787)"/>
    <d v="2014-09-15T00:00:00"/>
    <n v="-62"/>
    <s v="X"/>
    <s v="Balance Refund Jcgprdid"/>
    <s v="Received as a check"/>
    <s v="[First Tech - Checking (5544)]"/>
    <m/>
    <m/>
    <m/>
    <x v="21"/>
    <x v="0"/>
    <m/>
    <m/>
    <m/>
    <m/>
    <x v="3"/>
    <x v="0"/>
    <x v="0"/>
    <x v="0"/>
    <x v="0"/>
    <s v="None"/>
    <s v="[First Tech - Checking (5544)]"/>
  </r>
  <r>
    <s v="First Tech - Checking (5544)"/>
    <d v="2014-09-14T00:00:00"/>
    <n v="23434.66"/>
    <s v="X"/>
    <s v="Microsoft (Paystub)"/>
    <s v="ACH Deposit--MICROSOFT  - EDIPAYMENT"/>
    <s v="Net Salary"/>
    <m/>
    <m/>
    <m/>
    <x v="35"/>
    <x v="0"/>
    <m/>
    <m/>
    <m/>
    <m/>
    <x v="3"/>
    <x v="0"/>
    <x v="3"/>
    <x v="0"/>
    <x v="0"/>
    <s v="None"/>
    <s v="Net Salary"/>
  </r>
  <r>
    <s v="Chase Freedom XX9381"/>
    <d v="2014-09-14T00:00:00"/>
    <n v="-10.9"/>
    <s v="X"/>
    <s v="Bluebird Ice Cream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4T00:00:00"/>
    <n v="-21.72"/>
    <s v="X"/>
    <s v="Mcdonald'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4T00:00:00"/>
    <n v="-23.4"/>
    <s v="X"/>
    <s v="Remlinger Farm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3T00:00:00"/>
    <n v="-4.37"/>
    <s v="X"/>
    <s v="Third Place Books"/>
    <m/>
    <s v="Shopping:Books"/>
    <m/>
    <m/>
    <m/>
    <x v="13"/>
    <x v="51"/>
    <m/>
    <m/>
    <m/>
    <m/>
    <x v="3"/>
    <x v="0"/>
    <x v="6"/>
    <x v="0"/>
    <x v="0"/>
    <s v="None"/>
    <s v="Shopping|Books"/>
  </r>
  <r>
    <s v="MasterCard (Capital One)"/>
    <d v="2014-09-13T00:00:00"/>
    <n v="-5.45"/>
    <s v="X"/>
    <s v="Safeway"/>
    <m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MasterCard (Capital One)"/>
    <d v="2014-09-13T00:00:00"/>
    <n v="-12.5"/>
    <s v="X"/>
    <s v="Marcoe Candy Company"/>
    <s v="Food at the fair"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3T00:00:00"/>
    <n v="-14"/>
    <s v="X"/>
    <s v="Washington State Fair"/>
    <s v="Puyallup Fair - Rides"/>
    <s v="Kids:Kids Activities"/>
    <m/>
    <m/>
    <m/>
    <x v="27"/>
    <x v="12"/>
    <m/>
    <m/>
    <m/>
    <m/>
    <x v="3"/>
    <x v="0"/>
    <x v="3"/>
    <x v="0"/>
    <x v="0"/>
    <s v="None"/>
    <s v="Kids|Kids Activities"/>
  </r>
  <r>
    <s v="MasterCard (Capital One)"/>
    <d v="2014-09-13T00:00:00"/>
    <n v="-20"/>
    <s v="X"/>
    <s v="Safeway"/>
    <s v="Puyallup Fair - Tickets"/>
    <s v="Kids:Kids Activities/From Receipt"/>
    <m/>
    <m/>
    <s v="From Receipt"/>
    <x v="27"/>
    <x v="12"/>
    <m/>
    <m/>
    <m/>
    <m/>
    <x v="3"/>
    <x v="0"/>
    <x v="3"/>
    <x v="0"/>
    <x v="0"/>
    <s v="None"/>
    <s v="Kids|Kids Activities"/>
  </r>
  <r>
    <s v="MasterCard (Capital One)"/>
    <d v="2014-09-13T00:00:00"/>
    <n v="-28.5"/>
    <s v="X"/>
    <s v="Washington State Fair"/>
    <s v="Puyallup Fair - Rides"/>
    <s v="Kids:Kids Activities"/>
    <m/>
    <m/>
    <m/>
    <x v="27"/>
    <x v="12"/>
    <m/>
    <m/>
    <m/>
    <m/>
    <x v="3"/>
    <x v="0"/>
    <x v="3"/>
    <x v="0"/>
    <x v="0"/>
    <s v="None"/>
    <s v="Kids|Kids Activities"/>
  </r>
  <r>
    <s v="MasterCard (Capital One)"/>
    <d v="2014-09-13T00:00:00"/>
    <n v="-84"/>
    <s v="X"/>
    <s v="Vios Cafe 3rd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Koolikai Credit Card"/>
    <d v="2014-09-12T00:00:00"/>
    <n v="-148.16"/>
    <s v="X"/>
    <s v="Verizon Wireless"/>
    <m/>
    <s v="Business Expenses (Koolikai):Cell Phone"/>
    <m/>
    <m/>
    <m/>
    <x v="36"/>
    <x v="22"/>
    <m/>
    <m/>
    <m/>
    <m/>
    <x v="3"/>
    <x v="0"/>
    <x v="3"/>
    <x v="0"/>
    <x v="0"/>
    <s v="None"/>
    <s v="Business Expenses (Koolikai)|Cell Phone"/>
  </r>
  <r>
    <s v="MasterCard (Capital One)"/>
    <d v="2014-09-12T00:00:00"/>
    <n v="-7.11"/>
    <s v="X"/>
    <s v="Fresh Table 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2T00:00:00"/>
    <n v="-27"/>
    <s v="X"/>
    <s v="Seattle Public Libraries"/>
    <s v="Book fair"/>
    <s v="Shopping:Books/From Receipt"/>
    <m/>
    <m/>
    <s v="From Receipt"/>
    <x v="13"/>
    <x v="51"/>
    <m/>
    <m/>
    <m/>
    <m/>
    <x v="3"/>
    <x v="0"/>
    <x v="6"/>
    <x v="0"/>
    <x v="0"/>
    <s v="None"/>
    <s v="Shopping|Books"/>
  </r>
  <r>
    <s v="MasterCard (Capital One)"/>
    <d v="2014-09-12T00:00:00"/>
    <n v="-56.43"/>
    <s v="X"/>
    <s v="Pies &amp; Pint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Chase Amazon (XX8482)"/>
    <d v="2014-09-11T00:00:00"/>
    <n v="-4.4800000000000004"/>
    <s v="X"/>
    <s v="Amazon"/>
    <s v="Colored LEDs"/>
    <s v="Shopping:Electronics &amp; Software"/>
    <m/>
    <m/>
    <m/>
    <x v="13"/>
    <x v="20"/>
    <m/>
    <m/>
    <m/>
    <m/>
    <x v="3"/>
    <x v="0"/>
    <x v="2"/>
    <x v="0"/>
    <x v="0"/>
    <s v="None"/>
    <s v="Shopping|Electronics &amp; Software"/>
  </r>
  <r>
    <s v="Chase Amazon (XX8482)"/>
    <d v="2014-09-11T00:00:00"/>
    <n v="-79.56"/>
    <s v="X"/>
    <s v="Amazon"/>
    <s v="Wet suits for Zach and Josh"/>
    <s v="Health &amp; Fitness:Sports"/>
    <m/>
    <m/>
    <m/>
    <x v="18"/>
    <x v="23"/>
    <m/>
    <m/>
    <m/>
    <m/>
    <x v="3"/>
    <x v="0"/>
    <x v="4"/>
    <x v="0"/>
    <x v="0"/>
    <s v="None"/>
    <s v="Health &amp; Fitness|Sports"/>
  </r>
  <r>
    <s v="MasterCard (Capital One)"/>
    <d v="2014-09-11T00:00:00"/>
    <n v="-5.22"/>
    <s v="X"/>
    <s v="Mcdonald'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1T00:00:00"/>
    <n v="-9.4"/>
    <s v="X"/>
    <s v="Jamba Juic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1T00:00:00"/>
    <n v="-18.329999999999998"/>
    <s v="X"/>
    <s v="Canyons Redmond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11T00:00:00"/>
    <n v="-25"/>
    <s v="X"/>
    <s v="Virginia Mason Visual"/>
    <s v="Angela's contacts"/>
    <s v="Health &amp; Fitness:Eyecare/From Receipt"/>
    <m/>
    <m/>
    <s v="From Receipt"/>
    <x v="18"/>
    <x v="5"/>
    <m/>
    <m/>
    <m/>
    <m/>
    <x v="3"/>
    <x v="0"/>
    <x v="4"/>
    <x v="0"/>
    <x v="0"/>
    <s v="None"/>
    <s v="Health &amp; Fitness|Eyecare"/>
  </r>
  <r>
    <s v="Chase Amazon (XX8482)"/>
    <d v="2014-09-10T00:00:00"/>
    <n v="-2.76"/>
    <s v="X"/>
    <s v="Amazon"/>
    <s v="Anti-static tweezers"/>
    <s v="Business Expenses (Koolikai):Tools"/>
    <m/>
    <m/>
    <m/>
    <x v="36"/>
    <x v="49"/>
    <m/>
    <m/>
    <m/>
    <m/>
    <x v="3"/>
    <x v="0"/>
    <x v="4"/>
    <x v="0"/>
    <x v="0"/>
    <s v="None"/>
    <s v="Business Expenses (Koolikai)|Tools"/>
  </r>
  <r>
    <s v="Chase Amazon (XX8482)"/>
    <d v="2014-09-09T00:00:00"/>
    <n v="-10"/>
    <s v="X"/>
    <s v="Amazon"/>
    <s v="Potentiometers"/>
    <s v="Shopping:Electronics &amp; Software"/>
    <m/>
    <m/>
    <m/>
    <x v="13"/>
    <x v="20"/>
    <m/>
    <m/>
    <m/>
    <m/>
    <x v="3"/>
    <x v="0"/>
    <x v="2"/>
    <x v="0"/>
    <x v="0"/>
    <s v="None"/>
    <s v="Shopping|Electronics &amp; Software"/>
  </r>
  <r>
    <s v="Chase Freedom XX9381"/>
    <d v="2014-09-09T00:00:00"/>
    <n v="-0.01"/>
    <s v="X"/>
    <s v="Microsoft"/>
    <s v="#Apps#"/>
    <s v="Work Expense:Reimbursable expense"/>
    <m/>
    <m/>
    <m/>
    <x v="19"/>
    <x v="21"/>
    <m/>
    <m/>
    <s v="Apps"/>
    <m/>
    <x v="3"/>
    <x v="0"/>
    <x v="4"/>
    <x v="0"/>
    <x v="0"/>
    <s v="None"/>
    <s v="Work Expense|Reimbursable expense"/>
  </r>
  <r>
    <s v="MasterCard (Capital One)"/>
    <d v="2014-09-09T00:00:00"/>
    <n v="-10"/>
    <s v="X"/>
    <s v="Walgreens"/>
    <m/>
    <s v="Health &amp; Fitness:Pharmacy/From Receipt"/>
    <m/>
    <m/>
    <s v="From Receipt"/>
    <x v="18"/>
    <x v="38"/>
    <m/>
    <m/>
    <m/>
    <m/>
    <x v="3"/>
    <x v="0"/>
    <x v="4"/>
    <x v="0"/>
    <x v="0"/>
    <s v="None"/>
    <s v="Health &amp; Fitness|Pharmacy"/>
  </r>
  <r>
    <s v="MasterCard (Capital One)"/>
    <d v="2014-09-09T00:00:00"/>
    <n v="-29.61"/>
    <s v="X"/>
    <s v="Fred Meyer"/>
    <m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First Tech - Checking (5544)"/>
    <d v="2014-09-08T00:00:00"/>
    <n v="109.69"/>
    <s v="X"/>
    <s v="Taylor &amp; Francis"/>
    <s v="Angela's book royalties"/>
    <s v="Morale Money"/>
    <m/>
    <m/>
    <m/>
    <x v="46"/>
    <x v="0"/>
    <m/>
    <m/>
    <m/>
    <m/>
    <x v="3"/>
    <x v="0"/>
    <x v="1"/>
    <x v="1"/>
    <x v="1"/>
    <e v="#N/A"/>
    <s v="Morale Money"/>
  </r>
  <r>
    <s v="Koolikai - Checking XX2129"/>
    <d v="2014-09-08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x v="3"/>
    <x v="0"/>
    <x v="3"/>
    <x v="0"/>
    <x v="0"/>
    <s v="None"/>
    <s v="Business Income (Koolikai)|Rent"/>
  </r>
  <r>
    <s v="American Express (Costco)"/>
    <d v="2014-09-08T00:00:00"/>
    <n v="26.84"/>
    <s v="X"/>
    <s v="Costco Whse Seattle"/>
    <s v="Matress Inflator (Return)"/>
    <s v="Shopping:Hobbies:Camping Equipment/From Receipt"/>
    <m/>
    <m/>
    <s v="From Receipt"/>
    <x v="13"/>
    <x v="48"/>
    <s v="Camping Equipment"/>
    <m/>
    <m/>
    <m/>
    <x v="3"/>
    <x v="0"/>
    <x v="2"/>
    <x v="0"/>
    <x v="0"/>
    <s v="None"/>
    <s v="Shopping|Hobbies"/>
  </r>
  <r>
    <s v="American Express (Costco)"/>
    <d v="2014-09-08T00:00:00"/>
    <n v="-127.85"/>
    <s v="X"/>
    <s v="Costco"/>
    <s v="@BAL:-$101.01@@CAT:@"/>
    <s v="Food &amp; Dining:Groceries"/>
    <m/>
    <m/>
    <m/>
    <x v="15"/>
    <x v="3"/>
    <m/>
    <m/>
    <m/>
    <m/>
    <x v="3"/>
    <x v="0"/>
    <x v="3"/>
    <x v="0"/>
    <x v="0"/>
    <s v="None"/>
    <s v="Food &amp; Dining|Groceries"/>
  </r>
  <r>
    <s v="Chase Amazon (XX8482)"/>
    <d v="2014-09-08T00:00:00"/>
    <n v="0"/>
    <s v="X"/>
    <s v="Opening Balance"/>
    <m/>
    <s v="[Chase Amazon (XX8482)]"/>
    <m/>
    <m/>
    <m/>
    <x v="6"/>
    <x v="0"/>
    <m/>
    <m/>
    <m/>
    <m/>
    <x v="3"/>
    <x v="0"/>
    <x v="1"/>
    <x v="1"/>
    <x v="1"/>
    <e v="#N/A"/>
    <s v="[Chase Amazon (XX8482)]"/>
  </r>
  <r>
    <s v="MasterCard (Capital One)"/>
    <d v="2014-09-07T00:00:00"/>
    <n v="2.93"/>
    <s v="X"/>
    <s v="Home Depot"/>
    <s v="Returned conduit"/>
    <s v="Projects:Electric Car Setup"/>
    <m/>
    <m/>
    <m/>
    <x v="39"/>
    <x v="52"/>
    <m/>
    <m/>
    <m/>
    <m/>
    <x v="3"/>
    <x v="0"/>
    <x v="6"/>
    <x v="0"/>
    <x v="0"/>
    <s v="None"/>
    <s v="Projects|Electric Car Setup"/>
  </r>
  <r>
    <s v="MasterCard (Capital One)"/>
    <d v="2014-09-07T00:00:00"/>
    <n v="-36"/>
    <s v="X"/>
    <s v="Bright Horizons Back"/>
    <m/>
    <s v="Kids:Daycare"/>
    <m/>
    <m/>
    <m/>
    <x v="27"/>
    <x v="35"/>
    <m/>
    <m/>
    <m/>
    <m/>
    <x v="3"/>
    <x v="0"/>
    <x v="3"/>
    <x v="0"/>
    <x v="0"/>
    <s v="None"/>
    <s v="Kids|Daycare"/>
  </r>
  <r>
    <s v="MasterCard (Capital One)"/>
    <d v="2014-09-06T00:00:00"/>
    <n v="-3.7"/>
    <s v="X"/>
    <s v="Park"/>
    <m/>
    <s v="Auto &amp; Transport:Parking"/>
    <m/>
    <m/>
    <m/>
    <x v="17"/>
    <x v="11"/>
    <m/>
    <m/>
    <m/>
    <m/>
    <x v="3"/>
    <x v="0"/>
    <x v="3"/>
    <x v="0"/>
    <x v="0"/>
    <s v="None"/>
    <s v="Auto &amp; Transport|Parking"/>
  </r>
  <r>
    <s v="MasterCard (Capital One)"/>
    <d v="2014-09-06T00:00:00"/>
    <n v="-5.25"/>
    <s v="X"/>
    <s v="Bartell Drug"/>
    <m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MasterCard (Capital One)"/>
    <d v="2014-09-06T00:00:00"/>
    <n v="-26.99"/>
    <s v="X"/>
    <s v="Bastille Cafe Bar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06T00:00:00"/>
    <n v="-30.45"/>
    <s v="X"/>
    <s v="Ballard Mkt Thrift"/>
    <m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MasterCard (Capital One)"/>
    <d v="2014-09-06T00:00:00"/>
    <n v="-98.08"/>
    <s v="X"/>
    <s v="Il Bistro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06T00:00:00"/>
    <n v="-128.30000000000001"/>
    <s v="X"/>
    <s v="Fred Meyer"/>
    <m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First Tech - Checking (5544)"/>
    <d v="2014-09-05T00:00:00"/>
    <n v="-53.25"/>
    <s v="X"/>
    <s v="Kirk Boettcher"/>
    <s v="ACH Debit--KIRK BOETTCHER  - ONLINE PMT"/>
    <s v="Health &amp; Fitness:Dentist"/>
    <m/>
    <m/>
    <m/>
    <x v="18"/>
    <x v="53"/>
    <m/>
    <m/>
    <m/>
    <m/>
    <x v="3"/>
    <x v="0"/>
    <x v="4"/>
    <x v="0"/>
    <x v="0"/>
    <s v="None"/>
    <s v="Health &amp; Fitness|Dentist"/>
  </r>
  <r>
    <s v="First Tech - Checking (5544)"/>
    <d v="2014-09-05T00:00:00"/>
    <n v="-3864.19"/>
    <s v="X"/>
    <s v="Wells Fargo Home Mortgage"/>
    <s v="ACH Debit--WF HOME MTG ACH - AUTO PAY"/>
    <s v="Home:Mortgage"/>
    <m/>
    <m/>
    <m/>
    <x v="14"/>
    <x v="27"/>
    <m/>
    <m/>
    <m/>
    <m/>
    <x v="3"/>
    <x v="0"/>
    <x v="3"/>
    <x v="0"/>
    <x v="0"/>
    <s v="None"/>
    <s v="Home|Mortgage"/>
  </r>
  <r>
    <s v="MasterCard (Capital One)"/>
    <d v="2014-09-05T00:00:00"/>
    <n v="-7.04"/>
    <s v="X"/>
    <s v="Taco Del Mar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04T00:00:00"/>
    <n v="-5.1100000000000003"/>
    <s v="X"/>
    <s v="Molly Moon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04T00:00:00"/>
    <n v="-32.03"/>
    <s v="X"/>
    <s v="Poquitos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04T00:00:00"/>
    <n v="-36"/>
    <s v="X"/>
    <s v="Seattle Rep Ticketing"/>
    <s v="Upcharge for ticket exchange"/>
    <s v="Entertainment"/>
    <m/>
    <m/>
    <m/>
    <x v="30"/>
    <x v="0"/>
    <m/>
    <m/>
    <m/>
    <m/>
    <x v="3"/>
    <x v="0"/>
    <x v="3"/>
    <x v="0"/>
    <x v="0"/>
    <s v="None"/>
    <s v="Entertainment"/>
  </r>
  <r>
    <s v="First Tech - Checking (5544)"/>
    <d v="2014-09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3"/>
    <x v="0"/>
    <x v="3"/>
    <x v="0"/>
    <x v="0"/>
    <s v="None"/>
    <s v="Kids|American Funds 529A"/>
  </r>
  <r>
    <s v="First Tech - Checking (5544)"/>
    <d v="2014-09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3"/>
    <x v="0"/>
    <x v="3"/>
    <x v="0"/>
    <x v="0"/>
    <s v="None"/>
    <s v="Business Expenses (Koolikai)|Mortgage (Business)"/>
  </r>
  <r>
    <s v="First Tech - Checking (5544)"/>
    <d v="2014-09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3"/>
    <x v="0"/>
    <x v="3"/>
    <x v="0"/>
    <x v="0"/>
    <s v="None"/>
    <s v="Business Expenses (Koolikai)|Mortgage (Business)"/>
  </r>
  <r>
    <s v="MasterCard (Capital One)"/>
    <d v="2014-09-03T00:00:00"/>
    <n v="-8.75"/>
    <s v="X"/>
    <s v="Netflix"/>
    <m/>
    <s v="Entertainment:Movies &amp; DVDs"/>
    <m/>
    <m/>
    <m/>
    <x v="30"/>
    <x v="43"/>
    <m/>
    <m/>
    <m/>
    <m/>
    <x v="3"/>
    <x v="0"/>
    <x v="6"/>
    <x v="0"/>
    <x v="0"/>
    <s v="None"/>
    <s v="Entertainment|Movies &amp; DVDs"/>
  </r>
  <r>
    <s v="MasterCard (Capital One)"/>
    <d v="2014-09-03T00:00:00"/>
    <n v="-30"/>
    <s v="X"/>
    <s v="Blk Pancan"/>
    <m/>
    <s v="Charity:Charity (Cash)"/>
    <m/>
    <m/>
    <m/>
    <x v="22"/>
    <x v="7"/>
    <m/>
    <m/>
    <m/>
    <m/>
    <x v="3"/>
    <x v="0"/>
    <x v="2"/>
    <x v="0"/>
    <x v="0"/>
    <s v="None"/>
    <s v="Charity|Charity (Cash)"/>
  </r>
  <r>
    <s v="MasterCard (Capital One)"/>
    <d v="2014-09-03T00:00:00"/>
    <n v="-43.45"/>
    <s v="X"/>
    <s v="Fred Meyer"/>
    <s v="@BAL:2679.43@@CAT:@"/>
    <s v="Food &amp; Dining:Groceries/From Receipt"/>
    <m/>
    <m/>
    <s v="From Receipt"/>
    <x v="15"/>
    <x v="3"/>
    <m/>
    <m/>
    <m/>
    <m/>
    <x v="3"/>
    <x v="0"/>
    <x v="3"/>
    <x v="0"/>
    <x v="0"/>
    <s v="None"/>
    <s v="Food &amp; Dining|Groceries"/>
  </r>
  <r>
    <s v="First Tech - Checking (5544)"/>
    <d v="2014-09-02T00:00:00"/>
    <n v="-2459.96"/>
    <s v="X"/>
    <s v="Capital One (Autopay)"/>
    <s v="ACH Debit--CAPITAL ONE  - CRCARDPMT"/>
    <s v="[MasterCard (Capital One)]"/>
    <m/>
    <m/>
    <m/>
    <x v="38"/>
    <x v="0"/>
    <m/>
    <m/>
    <m/>
    <m/>
    <x v="3"/>
    <x v="0"/>
    <x v="0"/>
    <x v="0"/>
    <x v="0"/>
    <s v="None"/>
    <s v="[MasterCard (Capital One)]"/>
  </r>
  <r>
    <s v="MasterCard (Capital One)"/>
    <d v="2014-09-02T00:00:00"/>
    <n v="2459.96"/>
    <s v="X"/>
    <s v="Capital One (Autopay)"/>
    <s v="ACH Debit--CAPITAL ONE  - CRCARDPMT"/>
    <s v="[First Tech - Checking (5544)]"/>
    <m/>
    <m/>
    <m/>
    <x v="21"/>
    <x v="0"/>
    <m/>
    <m/>
    <m/>
    <m/>
    <x v="3"/>
    <x v="0"/>
    <x v="0"/>
    <x v="0"/>
    <x v="0"/>
    <s v="None"/>
    <s v="[First Tech - Checking (5544)]"/>
  </r>
  <r>
    <s v="MasterCard (Capital One)"/>
    <d v="2014-09-02T00:00:00"/>
    <n v="-4.37"/>
    <s v="X"/>
    <s v="Bartell Drug"/>
    <s v="Cards"/>
    <s v="Gifts/From Receipt"/>
    <m/>
    <m/>
    <s v="From Receipt"/>
    <x v="28"/>
    <x v="0"/>
    <m/>
    <m/>
    <m/>
    <m/>
    <x v="3"/>
    <x v="0"/>
    <x v="3"/>
    <x v="0"/>
    <x v="0"/>
    <s v="None"/>
    <s v="Gifts"/>
  </r>
  <r>
    <s v="MasterCard (Capital One)"/>
    <d v="2014-09-02T00:00:00"/>
    <n v="-9.3000000000000007"/>
    <s v="X"/>
    <s v="Fresh Table Cafe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MasterCard (Capital One)"/>
    <d v="2014-09-02T00:00:00"/>
    <n v="-20.98"/>
    <s v="X"/>
    <s v="Comcast"/>
    <m/>
    <s v="Bills &amp; Utilities:Television"/>
    <m/>
    <s v="Split"/>
    <m/>
    <x v="34"/>
    <x v="32"/>
    <m/>
    <m/>
    <m/>
    <m/>
    <x v="3"/>
    <x v="0"/>
    <x v="3"/>
    <x v="0"/>
    <x v="0"/>
    <s v="None"/>
    <s v="Bills &amp; Utilities|Television"/>
  </r>
  <r>
    <s v="MasterCard (Capital One)"/>
    <d v="2014-09-02T00:00:00"/>
    <n v="-66.53"/>
    <s v="X"/>
    <s v="Comcast"/>
    <m/>
    <s v="Business Expenses (Koolikai):Internet"/>
    <m/>
    <s v="Split"/>
    <m/>
    <x v="36"/>
    <x v="33"/>
    <m/>
    <m/>
    <m/>
    <m/>
    <x v="3"/>
    <x v="0"/>
    <x v="3"/>
    <x v="0"/>
    <x v="0"/>
    <s v="None"/>
    <s v="Business Expenses (Koolikai)|Internet"/>
  </r>
  <r>
    <s v="MasterCard (Capital One)"/>
    <d v="2014-09-02T00:00:00"/>
    <n v="-44.52"/>
    <s v="X"/>
    <s v="Comcast"/>
    <m/>
    <s v="Bills &amp; Utilities:Home Phone"/>
    <m/>
    <s v="Split"/>
    <m/>
    <x v="34"/>
    <x v="34"/>
    <m/>
    <m/>
    <m/>
    <m/>
    <x v="3"/>
    <x v="0"/>
    <x v="3"/>
    <x v="0"/>
    <x v="0"/>
    <s v="None"/>
    <s v="Bills &amp; Utilities|Home Phone"/>
  </r>
  <r>
    <s v="First Tech - Checking (5544)"/>
    <d v="2014-09-01T00:00:00"/>
    <n v="-2052"/>
    <s v="X"/>
    <s v="Phinney Ridge CDC"/>
    <s v="ACH Debit--PHINNEY RIDGE LU 504759859 - CONTRIBUTN"/>
    <s v="Kids:Daycare"/>
    <m/>
    <m/>
    <m/>
    <x v="27"/>
    <x v="35"/>
    <m/>
    <m/>
    <m/>
    <m/>
    <x v="3"/>
    <x v="0"/>
    <x v="3"/>
    <x v="0"/>
    <x v="0"/>
    <s v="None"/>
    <s v="Kids|Daycare"/>
  </r>
  <r>
    <s v="Chase Freedom XX9381"/>
    <d v="2014-09-01T00:00:00"/>
    <n v="-5.45"/>
    <s v="X"/>
    <s v="Piroshky Piroshky"/>
    <m/>
    <s v="Food &amp; Dining:Restaurants"/>
    <m/>
    <m/>
    <m/>
    <x v="15"/>
    <x v="15"/>
    <m/>
    <m/>
    <m/>
    <m/>
    <x v="3"/>
    <x v="0"/>
    <x v="3"/>
    <x v="0"/>
    <x v="0"/>
    <s v="None"/>
    <s v="Food &amp; Dining|Restaurants"/>
  </r>
  <r>
    <s v="Koolikai - Sec Dep XX1200"/>
    <d v="2014-08-31T00:00:00"/>
    <n v="0.19"/>
    <s v="X"/>
    <s v="First Tech (Dividend)"/>
    <s v="Credit Dividend--"/>
    <s v="Interest Income"/>
    <m/>
    <m/>
    <m/>
    <x v="40"/>
    <x v="0"/>
    <m/>
    <m/>
    <m/>
    <m/>
    <x v="4"/>
    <x v="0"/>
    <x v="3"/>
    <x v="0"/>
    <x v="0"/>
    <s v="None"/>
    <s v="Interest Income"/>
  </r>
  <r>
    <s v="Chase Freedom XX9381"/>
    <d v="2014-08-31T00:00:00"/>
    <n v="-29.63"/>
    <s v="X"/>
    <s v="7-Eleven"/>
    <s v="#Mt. Rainier 2014#"/>
    <s v="Vacation:Transportation"/>
    <m/>
    <m/>
    <m/>
    <x v="23"/>
    <x v="26"/>
    <m/>
    <m/>
    <s v="Mt. Rainier 2014"/>
    <m/>
    <x v="4"/>
    <x v="0"/>
    <x v="4"/>
    <x v="0"/>
    <x v="0"/>
    <s v="None"/>
    <s v="Vacation|Transportation"/>
  </r>
  <r>
    <s v="MasterCard (Capital One)"/>
    <d v="2014-08-31T00:00:00"/>
    <n v="21.79"/>
    <s v="X"/>
    <s v="Top Ten Toys"/>
    <m/>
    <s v="Kids:Toys/From Receipt"/>
    <m/>
    <m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31T00:00:00"/>
    <n v="-1"/>
    <s v="X"/>
    <s v="Blink Network Llc"/>
    <m/>
    <s v="Auto &amp; Transport:Gas &amp; Fuel"/>
    <m/>
    <m/>
    <m/>
    <x v="17"/>
    <x v="37"/>
    <m/>
    <m/>
    <m/>
    <m/>
    <x v="4"/>
    <x v="0"/>
    <x v="3"/>
    <x v="0"/>
    <x v="0"/>
    <s v="None"/>
    <s v="Auto &amp; Transport|Gas &amp; Fuel"/>
  </r>
  <r>
    <s v="MasterCard (Capital One)"/>
    <d v="2014-08-31T00:00:00"/>
    <n v="-3.82"/>
    <s v="X"/>
    <s v="Hallmark"/>
    <m/>
    <s v="Gifts"/>
    <m/>
    <m/>
    <m/>
    <x v="28"/>
    <x v="0"/>
    <m/>
    <m/>
    <m/>
    <m/>
    <x v="4"/>
    <x v="0"/>
    <x v="3"/>
    <x v="0"/>
    <x v="0"/>
    <s v="None"/>
    <s v="Gifts"/>
  </r>
  <r>
    <s v="MasterCard (Capital One)"/>
    <d v="2014-08-31T00:00:00"/>
    <n v="-4.38"/>
    <s v="X"/>
    <s v="Playdate Sea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31T00:00:00"/>
    <n v="-4.93"/>
    <s v="X"/>
    <s v="Playdate Sea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31T00:00:00"/>
    <n v="-7.39"/>
    <s v="X"/>
    <s v="Jimmy John's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31T00:00:00"/>
    <n v="-8.7899999999999991"/>
    <s v="X"/>
    <s v="Barnes &amp; Noble"/>
    <m/>
    <s v="Shopping:Books/From Receipt"/>
    <m/>
    <m/>
    <s v="From Receipt"/>
    <x v="13"/>
    <x v="51"/>
    <m/>
    <m/>
    <m/>
    <m/>
    <x v="4"/>
    <x v="0"/>
    <x v="6"/>
    <x v="0"/>
    <x v="0"/>
    <s v="None"/>
    <s v="Shopping|Books"/>
  </r>
  <r>
    <s v="MasterCard (Capital One)"/>
    <d v="2014-08-31T00:00:00"/>
    <n v="-21.66"/>
    <s v="X"/>
    <s v="Fred Meyer"/>
    <m/>
    <s v="Kids:Clothing/From Receipt"/>
    <m/>
    <m/>
    <s v="From Receipt"/>
    <x v="27"/>
    <x v="1"/>
    <m/>
    <m/>
    <m/>
    <m/>
    <x v="4"/>
    <x v="0"/>
    <x v="3"/>
    <x v="0"/>
    <x v="0"/>
    <s v="None"/>
    <s v="Kids|Clothing"/>
  </r>
  <r>
    <s v="MasterCard (Capital One)"/>
    <d v="2014-08-31T00:00:00"/>
    <n v="-31.34"/>
    <s v="X"/>
    <s v="Fred Meyer"/>
    <m/>
    <s v="Kids:Toys/From Receipt"/>
    <m/>
    <m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31T00:00:00"/>
    <n v="-58.61"/>
    <s v="X"/>
    <s v="Fred Meyer"/>
    <m/>
    <s v="Food &amp; Dining:Groceries/From Receipt"/>
    <m/>
    <s v="Split"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31T00:00:00"/>
    <n v="-5.46"/>
    <s v="X"/>
    <s v="Fred Meyer"/>
    <s v="Card holder"/>
    <s v="Home:Furnishings/From Receipt"/>
    <m/>
    <s v="Split"/>
    <s v="From Receipt"/>
    <x v="14"/>
    <x v="2"/>
    <m/>
    <m/>
    <m/>
    <m/>
    <x v="4"/>
    <x v="0"/>
    <x v="3"/>
    <x v="0"/>
    <x v="0"/>
    <s v="None"/>
    <s v="Home|Furnishings"/>
  </r>
  <r>
    <s v="Koolikai - Checking XX2129"/>
    <d v="2014-08-30T00:00:00"/>
    <n v="2195"/>
    <s v="X"/>
    <s v="John Schaibley"/>
    <s v="Deposit--Shared Branch Mobile Deposit          First Tech FC CA"/>
    <s v="Business Income (Koolikai):Rent/9602:From Receipt"/>
    <m/>
    <m/>
    <s v="9602:From Receipt"/>
    <x v="37"/>
    <x v="25"/>
    <m/>
    <m/>
    <m/>
    <m/>
    <x v="4"/>
    <x v="0"/>
    <x v="3"/>
    <x v="0"/>
    <x v="0"/>
    <s v="None"/>
    <s v="Business Income (Koolikai)|Rent"/>
  </r>
  <r>
    <s v="MasterCard (Capital One)"/>
    <d v="2014-08-30T00:00:00"/>
    <n v="-7.06"/>
    <s v="X"/>
    <s v="Amazon"/>
    <s v="Alligator clips"/>
    <s v="Shopping:Electronics &amp; Software"/>
    <m/>
    <m/>
    <m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30T00:00:00"/>
    <n v="-19.23"/>
    <s v="X"/>
    <s v="Pizza Express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Capital One - Investment (6759)"/>
    <d v="2014-08-29T00:00:00"/>
    <n v="20.05"/>
    <s v="X"/>
    <s v="Capital One (Interest Income)"/>
    <s v="@CAT:@@BAL:$47,216.19@"/>
    <s v="Interest Income"/>
    <s v="INT"/>
    <m/>
    <m/>
    <x v="40"/>
    <x v="0"/>
    <m/>
    <m/>
    <m/>
    <m/>
    <x v="4"/>
    <x v="0"/>
    <x v="3"/>
    <x v="0"/>
    <x v="0"/>
    <s v="None"/>
    <s v="Interest Income"/>
  </r>
  <r>
    <s v="Capital One - Long Term Emergency (1201)"/>
    <d v="2014-08-29T00:00:00"/>
    <n v="50.32"/>
    <s v="X"/>
    <s v="Capital One (Interest Income)"/>
    <m/>
    <s v="Interest Income"/>
    <s v="INT"/>
    <m/>
    <m/>
    <x v="40"/>
    <x v="0"/>
    <m/>
    <m/>
    <m/>
    <m/>
    <x v="4"/>
    <x v="0"/>
    <x v="3"/>
    <x v="0"/>
    <x v="0"/>
    <s v="None"/>
    <s v="Interest Income"/>
  </r>
  <r>
    <s v="Capital One - Secondary Savings (3126)"/>
    <d v="2014-08-29T00:00:00"/>
    <n v="0.02"/>
    <s v="X"/>
    <s v="Capital One (Interest Income)"/>
    <m/>
    <s v="Interest Income"/>
    <s v="INT"/>
    <m/>
    <m/>
    <x v="40"/>
    <x v="0"/>
    <m/>
    <m/>
    <m/>
    <m/>
    <x v="4"/>
    <x v="0"/>
    <x v="3"/>
    <x v="0"/>
    <x v="0"/>
    <s v="None"/>
    <s v="Interest Income"/>
  </r>
  <r>
    <s v="Capital One - Vacation (4959)"/>
    <d v="2014-08-29T00:00:00"/>
    <n v="2.13"/>
    <s v="X"/>
    <s v="Capital One (Interest Income)"/>
    <m/>
    <s v="Interest Income"/>
    <s v="INT"/>
    <m/>
    <m/>
    <x v="40"/>
    <x v="0"/>
    <m/>
    <m/>
    <m/>
    <m/>
    <x v="4"/>
    <x v="0"/>
    <x v="3"/>
    <x v="0"/>
    <x v="0"/>
    <s v="None"/>
    <s v="Interest Income"/>
  </r>
  <r>
    <s v="First Tech - Checking (5544)"/>
    <d v="2014-08-29T00:00:00"/>
    <n v="3649.46"/>
    <s v="X"/>
    <s v="Microsoft (Paystub)"/>
    <s v="ACH Deposit--MICROSOFT  - EDIPAYMENT"/>
    <s v="Net Salary"/>
    <m/>
    <m/>
    <m/>
    <x v="35"/>
    <x v="0"/>
    <m/>
    <m/>
    <m/>
    <m/>
    <x v="4"/>
    <x v="0"/>
    <x v="3"/>
    <x v="0"/>
    <x v="0"/>
    <s v="None"/>
    <s v="Net Salary"/>
  </r>
  <r>
    <s v="First Tech - Checking (5544)"/>
    <d v="2014-08-29T00:00:00"/>
    <n v="6058.12"/>
    <s v="X"/>
    <s v="CRAB (Paystub)"/>
    <s v="ACH Deposit--Cancer Research  - Payroll"/>
    <s v="Net Salary"/>
    <m/>
    <m/>
    <m/>
    <x v="35"/>
    <x v="0"/>
    <m/>
    <m/>
    <m/>
    <m/>
    <x v="4"/>
    <x v="0"/>
    <x v="3"/>
    <x v="0"/>
    <x v="0"/>
    <s v="None"/>
    <s v="Net Salary"/>
  </r>
  <r>
    <s v="First Tech - Checking (5544)"/>
    <d v="2014-08-29T00:00:00"/>
    <n v="-252.79"/>
    <s v="X"/>
    <s v="Seattle Public Utilities"/>
    <s v="@BAL:$25,600.65@;@CAT:@"/>
    <s v="Bills &amp; Utilities:Utilities"/>
    <m/>
    <m/>
    <m/>
    <x v="34"/>
    <x v="18"/>
    <m/>
    <m/>
    <m/>
    <m/>
    <x v="4"/>
    <x v="0"/>
    <x v="3"/>
    <x v="0"/>
    <x v="0"/>
    <s v="None"/>
    <s v="Bills &amp; Utilities|Utilities"/>
  </r>
  <r>
    <s v="Schwab - Checking (9784)"/>
    <d v="2014-08-29T00:00:00"/>
    <n v="0.06"/>
    <s v="X"/>
    <s v="Interest Paid"/>
    <m/>
    <s v="Interest Income"/>
    <m/>
    <m/>
    <m/>
    <x v="40"/>
    <x v="0"/>
    <m/>
    <m/>
    <m/>
    <m/>
    <x v="4"/>
    <x v="0"/>
    <x v="3"/>
    <x v="0"/>
    <x v="0"/>
    <s v="None"/>
    <s v="Interest Income"/>
  </r>
  <r>
    <s v="Chase Freedom XX9381"/>
    <d v="2014-08-29T00:00:00"/>
    <n v="-28.28"/>
    <s v="X"/>
    <s v="Shell"/>
    <m/>
    <s v="Auto &amp; Transport:Gas &amp; Fuel"/>
    <m/>
    <m/>
    <m/>
    <x v="17"/>
    <x v="37"/>
    <m/>
    <m/>
    <m/>
    <m/>
    <x v="4"/>
    <x v="0"/>
    <x v="3"/>
    <x v="0"/>
    <x v="0"/>
    <s v="None"/>
    <s v="Auto &amp; Transport|Gas &amp; Fuel"/>
  </r>
  <r>
    <s v="Chase Freedom XX9381"/>
    <d v="2014-08-29T00:00:00"/>
    <n v="-95.85"/>
    <s v="X"/>
    <s v="Alexander's Country Inn"/>
    <s v="#Mt. Rainier 2014#"/>
    <s v="Vacation:Food"/>
    <m/>
    <m/>
    <m/>
    <x v="23"/>
    <x v="8"/>
    <m/>
    <m/>
    <s v="Mt. Rainier 2014"/>
    <m/>
    <x v="4"/>
    <x v="0"/>
    <x v="4"/>
    <x v="0"/>
    <x v="0"/>
    <s v="None"/>
    <s v="Vacation|Food"/>
  </r>
  <r>
    <s v="MasterCard (Capital One)"/>
    <d v="2014-08-29T00:00:00"/>
    <n v="-9.9"/>
    <s v="X"/>
    <s v="Amazon"/>
    <s v="Shift registers"/>
    <s v="Shopping:Electronics &amp; Software/From Receipt"/>
    <m/>
    <m/>
    <s v="From Receipt"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29T00:00:00"/>
    <n v="-15"/>
    <s v="X"/>
    <s v="Mount Rainier Nisq"/>
    <s v="#Mt. Rainier 2014#"/>
    <s v="Vacation:Activities"/>
    <m/>
    <m/>
    <m/>
    <x v="23"/>
    <x v="39"/>
    <m/>
    <m/>
    <s v="Mt. Rainier 2014"/>
    <m/>
    <x v="4"/>
    <x v="0"/>
    <x v="4"/>
    <x v="0"/>
    <x v="0"/>
    <s v="None"/>
    <s v="Vacation|Activities"/>
  </r>
  <r>
    <s v="MasterCard (Capital One)"/>
    <d v="2014-08-29T00:00:00"/>
    <n v="-16.079999999999998"/>
    <s v="X"/>
    <s v="Copper Creek Inn"/>
    <s v="#Mt. Rainier 2014#"/>
    <s v="Vacation:Food"/>
    <m/>
    <m/>
    <m/>
    <x v="23"/>
    <x v="8"/>
    <m/>
    <m/>
    <s v="Mt. Rainier 2014"/>
    <m/>
    <x v="4"/>
    <x v="0"/>
    <x v="4"/>
    <x v="0"/>
    <x v="0"/>
    <s v="None"/>
    <s v="Vacation|Food"/>
  </r>
  <r>
    <s v="MasterCard (Capital One)"/>
    <d v="2014-08-29T00:00:00"/>
    <n v="-21.53"/>
    <s v="X"/>
    <s v="Jackson Visitors Center"/>
    <s v="#Mt. Rainier 2014# T-Shirts"/>
    <s v="Vacation:Trinkets/From Receipt"/>
    <m/>
    <m/>
    <s v="From Receipt"/>
    <x v="23"/>
    <x v="28"/>
    <m/>
    <m/>
    <s v="Mt. Rainier 2014"/>
    <m/>
    <x v="4"/>
    <x v="0"/>
    <x v="4"/>
    <x v="0"/>
    <x v="0"/>
    <s v="None"/>
    <s v="Vacation|Trinkets"/>
  </r>
  <r>
    <s v="MasterCard (Capital One)"/>
    <d v="2014-08-29T00:00:00"/>
    <n v="-25.9"/>
    <s v="X"/>
    <s v="Jackson Vision"/>
    <m/>
    <s v="Health &amp; Fitness:Eyecare"/>
    <m/>
    <m/>
    <m/>
    <x v="18"/>
    <x v="5"/>
    <m/>
    <m/>
    <m/>
    <m/>
    <x v="4"/>
    <x v="0"/>
    <x v="4"/>
    <x v="0"/>
    <x v="0"/>
    <s v="None"/>
    <s v="Health &amp; Fitness|Eyecare"/>
  </r>
  <r>
    <s v="MasterCard (Capital One)"/>
    <d v="2014-08-29T00:00:00"/>
    <n v="-37.71"/>
    <s v="X"/>
    <s v="Copper Creek Inn"/>
    <s v="#Mt. Rainier 2014#"/>
    <s v="Vacation:Food"/>
    <m/>
    <m/>
    <m/>
    <x v="23"/>
    <x v="8"/>
    <m/>
    <m/>
    <s v="Mt. Rainier 2014"/>
    <m/>
    <x v="4"/>
    <x v="0"/>
    <x v="4"/>
    <x v="0"/>
    <x v="0"/>
    <s v="None"/>
    <s v="Vacation|Food"/>
  </r>
  <r>
    <s v="MasterCard (Capital One)"/>
    <d v="2014-08-29T00:00:00"/>
    <n v="-73.84"/>
    <s v="X"/>
    <s v="Copper Creek Inn"/>
    <s v="#Mt. Rainier 2014#"/>
    <s v="Vacation:Food"/>
    <m/>
    <m/>
    <m/>
    <x v="23"/>
    <x v="8"/>
    <m/>
    <m/>
    <s v="Mt. Rainier 2014"/>
    <m/>
    <x v="4"/>
    <x v="0"/>
    <x v="4"/>
    <x v="0"/>
    <x v="0"/>
    <s v="None"/>
    <s v="Vacation|Food"/>
  </r>
  <r>
    <s v="MasterCard (Capital One)"/>
    <d v="2014-08-28T00:00:00"/>
    <n v="-10.89"/>
    <s v="X"/>
    <s v="Northwest Trek"/>
    <s v="#Mt. Rainier 2014#"/>
    <s v="Vacation:Food"/>
    <m/>
    <m/>
    <m/>
    <x v="23"/>
    <x v="8"/>
    <m/>
    <m/>
    <s v="Mt. Rainier 2014"/>
    <m/>
    <x v="4"/>
    <x v="0"/>
    <x v="4"/>
    <x v="0"/>
    <x v="0"/>
    <s v="None"/>
    <s v="Vacation|Food"/>
  </r>
  <r>
    <s v="MasterCard (Capital One)"/>
    <d v="2014-08-28T00:00:00"/>
    <n v="-21.58"/>
    <s v="X"/>
    <s v="Northwest Trek"/>
    <s v="Bubble guns"/>
    <s v="Kids:Toys/From Receipt"/>
    <m/>
    <m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28T00:00:00"/>
    <n v="-24.02"/>
    <s v="X"/>
    <s v="Ikea"/>
    <m/>
    <s v="Home:Furnishings"/>
    <m/>
    <m/>
    <m/>
    <x v="14"/>
    <x v="2"/>
    <m/>
    <m/>
    <m/>
    <m/>
    <x v="4"/>
    <x v="0"/>
    <x v="3"/>
    <x v="0"/>
    <x v="0"/>
    <s v="None"/>
    <s v="Home|Furnishings"/>
  </r>
  <r>
    <s v="MasterCard (Capital One)"/>
    <d v="2014-08-28T00:00:00"/>
    <n v="-46"/>
    <s v="X"/>
    <s v="Nw Trek Wildlife"/>
    <s v="#Mt. Rainier 2014#"/>
    <s v="Vacation:Activities"/>
    <m/>
    <m/>
    <m/>
    <x v="23"/>
    <x v="39"/>
    <m/>
    <m/>
    <s v="Mt. Rainier 2014"/>
    <m/>
    <x v="4"/>
    <x v="0"/>
    <x v="4"/>
    <x v="0"/>
    <x v="0"/>
    <s v="None"/>
    <s v="Vacation|Activities"/>
  </r>
  <r>
    <s v="MasterCard (Capital One)"/>
    <d v="2014-08-28T00:00:00"/>
    <n v="-258.27"/>
    <s v="X"/>
    <s v="Alexander's Country Inn"/>
    <s v="#Mt. Rainier 2014#"/>
    <s v="Vacation:Lodging"/>
    <m/>
    <m/>
    <m/>
    <x v="23"/>
    <x v="9"/>
    <m/>
    <m/>
    <s v="Mt. Rainier 2014"/>
    <m/>
    <x v="4"/>
    <x v="0"/>
    <x v="4"/>
    <x v="0"/>
    <x v="0"/>
    <s v="None"/>
    <s v="Vacation|Lodging"/>
  </r>
  <r>
    <s v="First Tech - Checking (5544)"/>
    <d v="2014-08-27T00:00:00"/>
    <n v="-186.29"/>
    <s v="X"/>
    <s v="Chase Autopay (Freedom)"/>
    <s v="ACH Debit--CHASE  - AUTOPAY"/>
    <s v="[Chase Freedom XX9381]"/>
    <m/>
    <m/>
    <m/>
    <x v="7"/>
    <x v="0"/>
    <m/>
    <m/>
    <m/>
    <m/>
    <x v="4"/>
    <x v="0"/>
    <x v="1"/>
    <x v="1"/>
    <x v="1"/>
    <e v="#N/A"/>
    <s v="[Chase Freedom XX9381]"/>
  </r>
  <r>
    <s v="Chase Freedom XX9381"/>
    <d v="2014-08-27T00:00:00"/>
    <n v="186.29"/>
    <s v="X"/>
    <s v="Chase Autopay (Freedom)"/>
    <s v="ACH Debit--CHASE  - AUTOPAY"/>
    <s v="[First Tech - Checking (5544)]"/>
    <m/>
    <m/>
    <m/>
    <x v="21"/>
    <x v="0"/>
    <m/>
    <m/>
    <m/>
    <m/>
    <x v="4"/>
    <x v="0"/>
    <x v="0"/>
    <x v="0"/>
    <x v="0"/>
    <s v="None"/>
    <s v="[First Tech - Checking (5544)]"/>
  </r>
  <r>
    <s v="MasterCard (Capital One)"/>
    <d v="2014-08-27T00:00:00"/>
    <n v="25"/>
    <s v="X"/>
    <s v="Capital One (Cash Back)"/>
    <m/>
    <s v="Other Inc"/>
    <m/>
    <m/>
    <m/>
    <x v="29"/>
    <x v="0"/>
    <m/>
    <m/>
    <m/>
    <m/>
    <x v="4"/>
    <x v="0"/>
    <x v="3"/>
    <x v="0"/>
    <x v="0"/>
    <s v="None"/>
    <s v="Other Inc"/>
  </r>
  <r>
    <s v="MasterCard (Capital One)"/>
    <d v="2014-08-27T00:00:00"/>
    <n v="-4.37"/>
    <s v="X"/>
    <s v="Fred Meyer"/>
    <s v="#Kalaloch 2014# Camping fuel"/>
    <s v="Vacation:Food/From Receipt"/>
    <m/>
    <m/>
    <s v="From Receipt"/>
    <x v="23"/>
    <x v="8"/>
    <m/>
    <m/>
    <s v="Kalaloch 2014"/>
    <m/>
    <x v="4"/>
    <x v="0"/>
    <x v="4"/>
    <x v="0"/>
    <x v="0"/>
    <s v="None"/>
    <s v="Vacation|Food"/>
  </r>
  <r>
    <s v="MasterCard (Capital One)"/>
    <d v="2014-08-27T00:00:00"/>
    <n v="-5.5"/>
    <s v="X"/>
    <s v="Ferry Food People"/>
    <s v="#Orcas Island 2014#"/>
    <s v="Vacation:Food/From Receipt"/>
    <m/>
    <m/>
    <s v="From Receipt"/>
    <x v="23"/>
    <x v="8"/>
    <m/>
    <m/>
    <s v="Orcas Island 2014"/>
    <m/>
    <x v="4"/>
    <x v="0"/>
    <x v="4"/>
    <x v="0"/>
    <x v="0"/>
    <s v="None"/>
    <s v="Vacation|Food"/>
  </r>
  <r>
    <s v="MasterCard (Capital One)"/>
    <d v="2014-08-26T00:00:00"/>
    <n v="-1.99"/>
    <s v="X"/>
    <s v="Landmark"/>
    <s v="Ice  #Orcas Island 2014#"/>
    <s v="Vacation:Food/From Receipt"/>
    <m/>
    <m/>
    <s v="From Receipt"/>
    <x v="23"/>
    <x v="8"/>
    <m/>
    <m/>
    <s v="Orcas Island 2014"/>
    <m/>
    <x v="4"/>
    <x v="0"/>
    <x v="4"/>
    <x v="0"/>
    <x v="0"/>
    <s v="None"/>
    <s v="Vacation|Food"/>
  </r>
  <r>
    <s v="MasterCard (Capital One)"/>
    <d v="2014-08-26T00:00:00"/>
    <n v="-6.49"/>
    <s v="X"/>
    <s v="Sq Orcas Adventure"/>
    <s v="#Orcas Island 2014#"/>
    <s v="Vacation:Food"/>
    <m/>
    <m/>
    <m/>
    <x v="23"/>
    <x v="8"/>
    <m/>
    <m/>
    <s v="Orcas Island 2014"/>
    <m/>
    <x v="4"/>
    <x v="0"/>
    <x v="4"/>
    <x v="0"/>
    <x v="0"/>
    <s v="None"/>
    <s v="Vacation|Food"/>
  </r>
  <r>
    <s v="MasterCard (Capital One)"/>
    <d v="2014-08-26T00:00:00"/>
    <n v="-19.420000000000002"/>
    <s v="X"/>
    <s v="Shell"/>
    <s v="#Orcas Island 2014#"/>
    <s v="Vacation:Transportation"/>
    <m/>
    <m/>
    <m/>
    <x v="23"/>
    <x v="26"/>
    <m/>
    <m/>
    <s v="Orcas Island 2014"/>
    <m/>
    <x v="4"/>
    <x v="0"/>
    <x v="4"/>
    <x v="0"/>
    <x v="0"/>
    <s v="None"/>
    <s v="Vacation|Transportation"/>
  </r>
  <r>
    <s v="MasterCard (Capital One)"/>
    <d v="2014-08-26T00:00:00"/>
    <n v="-32.69"/>
    <s v="X"/>
    <s v="Orcas Landing Hotel"/>
    <s v="#Orcas Island 2014#"/>
    <s v="Vacation:Food"/>
    <m/>
    <m/>
    <m/>
    <x v="23"/>
    <x v="8"/>
    <m/>
    <m/>
    <s v="Orcas Island 2014"/>
    <m/>
    <x v="4"/>
    <x v="0"/>
    <x v="4"/>
    <x v="0"/>
    <x v="0"/>
    <s v="None"/>
    <s v="Vacation|Food"/>
  </r>
  <r>
    <s v="First Tech - Checking (5544)"/>
    <d v="2014-08-25T00:00:00"/>
    <n v="-88.17"/>
    <s v="X"/>
    <s v="American Express (Autopay)"/>
    <s v="ACH Debit--AMEX EPayment AM - ACH PMT"/>
    <s v="[American Express (Costco)]"/>
    <m/>
    <m/>
    <m/>
    <x v="20"/>
    <x v="0"/>
    <m/>
    <m/>
    <m/>
    <m/>
    <x v="4"/>
    <x v="0"/>
    <x v="0"/>
    <x v="0"/>
    <x v="0"/>
    <s v="None"/>
    <s v="[American Express (Costco)]"/>
  </r>
  <r>
    <s v="First Tech - Checking (5544)"/>
    <d v="2014-08-25T00:00:00"/>
    <n v="-394.2"/>
    <s v="X"/>
    <s v="Caesar's Gardens"/>
    <s v="ACH Debit--CATHLEEN CAESAR  - ONLINE PMT"/>
    <s v="Projects:Landscaping"/>
    <m/>
    <m/>
    <m/>
    <x v="39"/>
    <x v="47"/>
    <m/>
    <m/>
    <m/>
    <m/>
    <x v="4"/>
    <x v="0"/>
    <x v="6"/>
    <x v="0"/>
    <x v="0"/>
    <s v="None"/>
    <s v="Projects|Landscaping"/>
  </r>
  <r>
    <s v="Koolikai - Checking XX2129"/>
    <d v="2014-08-25T00:00:00"/>
    <n v="-146.97999999999999"/>
    <s v="X"/>
    <s v="Chase - Koolikai (Autopay)"/>
    <s v="ACH Debit--CHASE  - AUTOPAYBUS"/>
    <s v="[Koolikai Credit Card]"/>
    <m/>
    <m/>
    <m/>
    <x v="9"/>
    <x v="0"/>
    <m/>
    <m/>
    <m/>
    <m/>
    <x v="4"/>
    <x v="0"/>
    <x v="0"/>
    <x v="0"/>
    <x v="0"/>
    <s v="None"/>
    <s v="[Koolikai Credit Card]"/>
  </r>
  <r>
    <s v="American Express (Costco)"/>
    <d v="2014-08-25T00:00:00"/>
    <n v="88.17"/>
    <s v="X"/>
    <s v="American Express (Autopay)"/>
    <s v="ACH Debit--AMEX EPayment AM - ACH PMT"/>
    <s v="[First Tech - Checking (5544)]"/>
    <m/>
    <m/>
    <m/>
    <x v="21"/>
    <x v="0"/>
    <m/>
    <m/>
    <m/>
    <m/>
    <x v="4"/>
    <x v="0"/>
    <x v="0"/>
    <x v="0"/>
    <x v="0"/>
    <s v="None"/>
    <s v="[First Tech - Checking (5544)]"/>
  </r>
  <r>
    <s v="MasterCard (Capital One)"/>
    <d v="2014-08-25T00:00:00"/>
    <n v="-64.05"/>
    <s v="X"/>
    <s v="Wsferries Anacortes"/>
    <s v="#Orcas Island 2014#"/>
    <s v="Vacation:Transportation"/>
    <m/>
    <m/>
    <m/>
    <x v="23"/>
    <x v="26"/>
    <m/>
    <m/>
    <s v="Orcas Island 2014"/>
    <m/>
    <x v="4"/>
    <x v="0"/>
    <x v="4"/>
    <x v="0"/>
    <x v="0"/>
    <s v="None"/>
    <s v="Vacation|Transportation"/>
  </r>
  <r>
    <s v="MasterCard (Capital One)"/>
    <d v="2014-08-25T00:00:00"/>
    <n v="-211.4"/>
    <s v="X"/>
    <s v="Orcas Landing Hotel"/>
    <s v="#Orcas Island 2014#"/>
    <s v="Vacation:Lodging/From Receipt"/>
    <m/>
    <m/>
    <s v="From Receipt"/>
    <x v="23"/>
    <x v="9"/>
    <m/>
    <m/>
    <s v="Orcas Island 2014"/>
    <m/>
    <x v="4"/>
    <x v="0"/>
    <x v="4"/>
    <x v="0"/>
    <x v="0"/>
    <s v="None"/>
    <s v="Vacation|Lodging"/>
  </r>
  <r>
    <s v="MasterCard (Capital One)"/>
    <d v="2014-08-24T00:00:00"/>
    <n v="14.77"/>
    <s v="X"/>
    <s v="Amazon Services Kindle"/>
    <s v="Accidental purchase of arduino book on Kindle"/>
    <s v="Shopping:Books/From Receipt"/>
    <m/>
    <m/>
    <s v="From Receipt"/>
    <x v="13"/>
    <x v="51"/>
    <m/>
    <m/>
    <m/>
    <m/>
    <x v="4"/>
    <x v="0"/>
    <x v="6"/>
    <x v="0"/>
    <x v="0"/>
    <s v="None"/>
    <s v="Shopping|Books"/>
  </r>
  <r>
    <s v="MasterCard (Capital One)"/>
    <d v="2014-08-24T00:00:00"/>
    <n v="25.93"/>
    <s v="X"/>
    <s v="Home Depot"/>
    <s v="Returned unnecessary items for roof repair"/>
    <s v="Business Expenses (Koolikai):Repairs/7231:From Receipt"/>
    <m/>
    <m/>
    <s v="7231:From Receipt"/>
    <x v="36"/>
    <x v="41"/>
    <m/>
    <m/>
    <m/>
    <m/>
    <x v="4"/>
    <x v="0"/>
    <x v="4"/>
    <x v="0"/>
    <x v="0"/>
    <s v="None"/>
    <s v="Business Expenses (Koolikai)|Repairs"/>
  </r>
  <r>
    <s v="MasterCard (Capital One)"/>
    <d v="2014-08-24T00:00:00"/>
    <n v="-7.49"/>
    <s v="X"/>
    <s v="Fred Meyer"/>
    <m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24T00:00:00"/>
    <n v="-14.77"/>
    <s v="X"/>
    <s v="Amazon Services Kindle"/>
    <s v="Accidental purchase of arduino book on Kindle"/>
    <s v="Shopping:Books/From Receipt"/>
    <m/>
    <m/>
    <s v="From Receipt"/>
    <x v="13"/>
    <x v="51"/>
    <m/>
    <m/>
    <m/>
    <m/>
    <x v="4"/>
    <x v="0"/>
    <x v="6"/>
    <x v="0"/>
    <x v="0"/>
    <s v="None"/>
    <s v="Shopping|Books"/>
  </r>
  <r>
    <s v="MasterCard (Capital One)"/>
    <d v="2014-08-24T00:00:00"/>
    <n v="-27.3"/>
    <s v="X"/>
    <s v="Top Ten Toys"/>
    <m/>
    <s v="Gifts/From Receipt"/>
    <m/>
    <m/>
    <s v="From Receipt"/>
    <x v="28"/>
    <x v="0"/>
    <m/>
    <m/>
    <m/>
    <m/>
    <x v="4"/>
    <x v="0"/>
    <x v="3"/>
    <x v="0"/>
    <x v="0"/>
    <s v="None"/>
    <s v="Gifts"/>
  </r>
  <r>
    <s v="MasterCard (Capital One)"/>
    <d v="2014-08-24T00:00:00"/>
    <n v="-29.41"/>
    <s v="X"/>
    <s v="Fred Meyer"/>
    <m/>
    <s v="Kids:Clothing"/>
    <m/>
    <m/>
    <m/>
    <x v="27"/>
    <x v="1"/>
    <m/>
    <m/>
    <m/>
    <m/>
    <x v="4"/>
    <x v="0"/>
    <x v="3"/>
    <x v="0"/>
    <x v="0"/>
    <s v="None"/>
    <s v="Kids|Clothing"/>
  </r>
  <r>
    <s v="MasterCard (Capital One)"/>
    <d v="2014-08-24T00:00:00"/>
    <n v="-34"/>
    <s v="X"/>
    <s v="Rudys Barber Shop"/>
    <m/>
    <s v="Personal Care:Hair"/>
    <m/>
    <m/>
    <m/>
    <x v="31"/>
    <x v="16"/>
    <m/>
    <m/>
    <m/>
    <m/>
    <x v="4"/>
    <x v="0"/>
    <x v="3"/>
    <x v="0"/>
    <x v="0"/>
    <s v="None"/>
    <s v="Personal Care|Hair"/>
  </r>
  <r>
    <s v="MasterCard (Capital One)"/>
    <d v="2014-08-24T00:00:00"/>
    <n v="-45.53"/>
    <s v="X"/>
    <s v="Home Depot"/>
    <s v="Bathroom Sink repairs at 7231"/>
    <s v="Business Expenses (Koolikai):Repairs/7231"/>
    <m/>
    <m/>
    <n v="7231"/>
    <x v="36"/>
    <x v="41"/>
    <m/>
    <m/>
    <m/>
    <m/>
    <x v="4"/>
    <x v="0"/>
    <x v="4"/>
    <x v="0"/>
    <x v="0"/>
    <s v="None"/>
    <s v="Business Expenses (Koolikai)|Repairs"/>
  </r>
  <r>
    <s v="MasterCard (Capital One)"/>
    <d v="2014-08-23T00:00:00"/>
    <n v="-2.74"/>
    <s v="X"/>
    <s v="Fred Meyer"/>
    <m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23T00:00:00"/>
    <n v="-26.61"/>
    <s v="X"/>
    <s v="Fred Meyer"/>
    <m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23T00:00:00"/>
    <n v="-104.63"/>
    <s v="X"/>
    <s v="Fred Meyer"/>
    <s v="#Kalaloch 2014#"/>
    <s v="Vacation:Food/From Receipt"/>
    <m/>
    <m/>
    <s v="From Receipt"/>
    <x v="23"/>
    <x v="8"/>
    <m/>
    <m/>
    <s v="Kalaloch 2014"/>
    <m/>
    <x v="4"/>
    <x v="0"/>
    <x v="4"/>
    <x v="0"/>
    <x v="0"/>
    <s v="None"/>
    <s v="Vacation|Food"/>
  </r>
  <r>
    <s v="Koolikai Credit Card"/>
    <d v="2014-08-22T00:00:00"/>
    <n v="146.97999999999999"/>
    <s v="X"/>
    <s v="Chase - Koolikai (Autopay)"/>
    <m/>
    <s v="[Koolikai - Checking XX2129]"/>
    <m/>
    <m/>
    <m/>
    <x v="25"/>
    <x v="0"/>
    <m/>
    <m/>
    <m/>
    <m/>
    <x v="4"/>
    <x v="0"/>
    <x v="0"/>
    <x v="0"/>
    <x v="0"/>
    <s v="None"/>
    <s v="[Koolikai - Checking XX2129]"/>
  </r>
  <r>
    <s v="First Tech - Checking (5544)"/>
    <d v="2014-08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4"/>
    <x v="0"/>
    <x v="3"/>
    <x v="0"/>
    <x v="0"/>
    <s v="None"/>
    <s v="Auto &amp; Transport|Auto Lease Payment"/>
  </r>
  <r>
    <s v="MasterCard (Capital One)"/>
    <d v="2014-08-21T00:00:00"/>
    <n v="-24.14"/>
    <s v="X"/>
    <s v="Fred Meyer"/>
    <s v="#CRAB Breakfast# Bagels, juice"/>
    <s v="Work Expense:Reimbursable expense/From Receipt"/>
    <m/>
    <s v="Split"/>
    <s v="From Receipt"/>
    <x v="19"/>
    <x v="21"/>
    <m/>
    <m/>
    <s v="CRAB Breakfast"/>
    <m/>
    <x v="4"/>
    <x v="0"/>
    <x v="4"/>
    <x v="0"/>
    <x v="0"/>
    <s v="None"/>
    <s v="Work Expense|Reimbursable expense"/>
  </r>
  <r>
    <s v="MasterCard (Capital One)"/>
    <d v="2014-08-21T00:00:00"/>
    <n v="-1.27"/>
    <s v="X"/>
    <s v="Fred Meyer"/>
    <s v="Pencil box"/>
    <s v="Kids:Toys/From Receipt"/>
    <m/>
    <s v="Split"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20T00:00:00"/>
    <n v="-5.73"/>
    <s v="X"/>
    <s v="Ken Market"/>
    <m/>
    <s v="Food &amp; Dining:Groceries"/>
    <m/>
    <m/>
    <m/>
    <x v="15"/>
    <x v="3"/>
    <m/>
    <m/>
    <m/>
    <m/>
    <x v="4"/>
    <x v="0"/>
    <x v="3"/>
    <x v="0"/>
    <x v="0"/>
    <s v="None"/>
    <s v="Food &amp; Dining|Groceries"/>
  </r>
  <r>
    <s v="Chase Freedom XX9381"/>
    <d v="2014-08-19T00:00:00"/>
    <n v="-8.5299999999999994"/>
    <s v="X"/>
    <s v="Amazon"/>
    <s v="Voltage regulator and key pad"/>
    <s v="Shopping:Electronics &amp; Software"/>
    <m/>
    <m/>
    <m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19T00:00:00"/>
    <n v="-64"/>
    <s v="X"/>
    <s v="Beach Comber Kids Cuts"/>
    <s v="2011: BEACHCOMBER KIDS CUT SEATTLE WA 981030000 USA"/>
    <s v="Personal Care:Hair"/>
    <m/>
    <m/>
    <m/>
    <x v="31"/>
    <x v="16"/>
    <m/>
    <m/>
    <m/>
    <m/>
    <x v="4"/>
    <x v="0"/>
    <x v="3"/>
    <x v="0"/>
    <x v="0"/>
    <s v="None"/>
    <s v="Personal Care|Hair"/>
  </r>
  <r>
    <s v="First Tech - Checking (5544)"/>
    <d v="2014-08-18T00:00:00"/>
    <n v="-10000"/>
    <s v="X"/>
    <s v="Internal Revenue Service"/>
    <s v="ACH Debit--IRS  - USATAXPYMT"/>
    <s v="Tax:Fed"/>
    <m/>
    <m/>
    <m/>
    <x v="47"/>
    <x v="54"/>
    <m/>
    <m/>
    <m/>
    <m/>
    <x v="4"/>
    <x v="0"/>
    <x v="6"/>
    <x v="0"/>
    <x v="0"/>
    <s v="None"/>
    <s v="Tax|Fed"/>
  </r>
  <r>
    <s v="MasterCard (Capital One)"/>
    <d v="2014-08-18T00:00:00"/>
    <n v="-4.8"/>
    <s v="X"/>
    <s v="Amazon"/>
    <s v="Multimeter"/>
    <s v="Shopping:Electronics &amp; Software/From Receipt"/>
    <m/>
    <m/>
    <s v="From Receipt"/>
    <x v="13"/>
    <x v="20"/>
    <m/>
    <m/>
    <m/>
    <m/>
    <x v="4"/>
    <x v="0"/>
    <x v="2"/>
    <x v="0"/>
    <x v="0"/>
    <s v="None"/>
    <s v="Shopping|Electronics &amp; Software"/>
  </r>
  <r>
    <s v="Chase Freedom XX9381"/>
    <d v="2014-08-17T00:00:00"/>
    <n v="-3.54"/>
    <s v="X"/>
    <s v="Amazon"/>
    <s v="Photo resistors"/>
    <s v="Shopping:Electronics &amp; Software"/>
    <m/>
    <m/>
    <m/>
    <x v="13"/>
    <x v="20"/>
    <m/>
    <m/>
    <m/>
    <m/>
    <x v="4"/>
    <x v="0"/>
    <x v="2"/>
    <x v="0"/>
    <x v="0"/>
    <s v="None"/>
    <s v="Shopping|Electronics &amp; Software"/>
  </r>
  <r>
    <s v="Chase Freedom XX9381"/>
    <d v="2014-08-17T00:00:00"/>
    <n v="-15.01"/>
    <s v="X"/>
    <s v="Amazon"/>
    <s v="Jumper wires"/>
    <s v="Shopping:Electronics &amp; Software"/>
    <m/>
    <m/>
    <m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17T00:00:00"/>
    <n v="27.34"/>
    <s v="X"/>
    <s v="Home Depot"/>
    <s v="Returned 10 year smoke alarm"/>
    <s v="Home:Home Improvement/From Receipt"/>
    <m/>
    <m/>
    <s v="From Receipt"/>
    <x v="14"/>
    <x v="19"/>
    <m/>
    <m/>
    <m/>
    <m/>
    <x v="4"/>
    <x v="0"/>
    <x v="4"/>
    <x v="0"/>
    <x v="0"/>
    <s v="None"/>
    <s v="Home|Home Improvement"/>
  </r>
  <r>
    <s v="MasterCard (Capital One)"/>
    <d v="2014-08-17T00:00:00"/>
    <n v="-5.75"/>
    <s v="X"/>
    <s v="Amazon"/>
    <s v="Distance sensor"/>
    <s v="Shopping:Electronics &amp; Software/From Receipt"/>
    <m/>
    <m/>
    <s v="From Receipt"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17T00:00:00"/>
    <n v="-8.19"/>
    <s v="X"/>
    <s v="Amazon"/>
    <s v="Multimeter"/>
    <s v="Shopping:Electronics &amp; Software/From Receipt"/>
    <m/>
    <m/>
    <s v="From Receipt"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17T00:00:00"/>
    <n v="-8.73"/>
    <s v="X"/>
    <s v="Mcdonald's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7T00:00:00"/>
    <n v="-105.25"/>
    <s v="X"/>
    <s v="Home Depot"/>
    <s v="Garage repairs at 7231"/>
    <s v="Business Expenses (Koolikai):Repairs/7231:From Receipt"/>
    <m/>
    <m/>
    <s v="7231:From Receipt"/>
    <x v="36"/>
    <x v="41"/>
    <m/>
    <m/>
    <m/>
    <m/>
    <x v="4"/>
    <x v="0"/>
    <x v="4"/>
    <x v="0"/>
    <x v="0"/>
    <s v="None"/>
    <s v="Business Expenses (Koolikai)|Repairs"/>
  </r>
  <r>
    <s v="MasterCard (Capital One)"/>
    <d v="2014-08-16T00:00:00"/>
    <n v="-7.78"/>
    <s v="X"/>
    <s v="Imagine Children Mus"/>
    <s v="Bouncy lights"/>
    <s v="Kids:Toys/From Receipt"/>
    <m/>
    <m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16T00:00:00"/>
    <n v="-12.77"/>
    <s v="X"/>
    <s v="Dairy Queen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6T00:00:00"/>
    <n v="-17.02"/>
    <s v="X"/>
    <s v="Trader Joe's"/>
    <m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16T00:00:00"/>
    <n v="-24.93"/>
    <s v="X"/>
    <s v="Spartas Pizza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6T00:00:00"/>
    <n v="-71.05"/>
    <s v="X"/>
    <s v="Fred Meyer"/>
    <m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First Tech - Checking (5544)"/>
    <d v="2014-08-15T00:00:00"/>
    <n v="3221.49"/>
    <s v="X"/>
    <s v="Microsoft (Paystub)"/>
    <s v="ACH Deposit--MICROSOFT  - EDIPAYMENT"/>
    <s v="Net Salary"/>
    <m/>
    <m/>
    <m/>
    <x v="35"/>
    <x v="0"/>
    <m/>
    <m/>
    <m/>
    <m/>
    <x v="4"/>
    <x v="0"/>
    <x v="3"/>
    <x v="0"/>
    <x v="0"/>
    <s v="None"/>
    <s v="Net Salary"/>
  </r>
  <r>
    <s v="MasterCard (Capital One)"/>
    <d v="2014-08-15T00:00:00"/>
    <n v="-4.93"/>
    <s v="X"/>
    <s v="7-Eleven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5T00:00:00"/>
    <n v="-6"/>
    <s v="X"/>
    <s v="Park"/>
    <m/>
    <s v="Auto &amp; Transport:Parking"/>
    <m/>
    <m/>
    <m/>
    <x v="17"/>
    <x v="11"/>
    <m/>
    <m/>
    <m/>
    <m/>
    <x v="4"/>
    <x v="0"/>
    <x v="3"/>
    <x v="0"/>
    <x v="0"/>
    <s v="None"/>
    <s v="Auto &amp; Transport|Parking"/>
  </r>
  <r>
    <s v="MasterCard (Capital One)"/>
    <d v="2014-08-15T00:00:00"/>
    <n v="-8"/>
    <s v="X"/>
    <s v="Impark"/>
    <m/>
    <s v="Auto &amp; Transport:Parking"/>
    <m/>
    <m/>
    <m/>
    <x v="17"/>
    <x v="11"/>
    <m/>
    <m/>
    <m/>
    <m/>
    <x v="4"/>
    <x v="0"/>
    <x v="3"/>
    <x v="0"/>
    <x v="0"/>
    <s v="None"/>
    <s v="Auto &amp; Transport|Parking"/>
  </r>
  <r>
    <s v="First Tech - Checking (5544)"/>
    <d v="2014-08-13T00:00:00"/>
    <n v="-45.2"/>
    <s v="X"/>
    <s v="Puget Sound Energy"/>
    <s v="ACH Debit--PUGET SOUND ENER DIRECT DEBITING - PSE BILL  45000438"/>
    <s v="Bills &amp; Utilities:Utilities"/>
    <m/>
    <m/>
    <m/>
    <x v="34"/>
    <x v="18"/>
    <m/>
    <m/>
    <m/>
    <m/>
    <x v="4"/>
    <x v="0"/>
    <x v="3"/>
    <x v="0"/>
    <x v="0"/>
    <s v="None"/>
    <s v="Bills &amp; Utilities|Utilities"/>
  </r>
  <r>
    <s v="MasterCard (Capital One)"/>
    <d v="2014-08-13T00:00:00"/>
    <n v="-12.95"/>
    <s v="X"/>
    <s v="Dragonfish Asian Cafe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3T00:00:00"/>
    <n v="-42.13"/>
    <s v="X"/>
    <s v="Oliver Twist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3T00:00:00"/>
    <n v="-8.08"/>
    <s v="X"/>
    <s v="Fred Meyer"/>
    <m/>
    <s v="Gifts/From Receipt"/>
    <m/>
    <s v="Split"/>
    <s v="From Receipt"/>
    <x v="28"/>
    <x v="0"/>
    <m/>
    <m/>
    <m/>
    <m/>
    <x v="4"/>
    <x v="0"/>
    <x v="3"/>
    <x v="0"/>
    <x v="0"/>
    <s v="None"/>
    <s v="Gifts"/>
  </r>
  <r>
    <s v="MasterCard (Capital One)"/>
    <d v="2014-08-13T00:00:00"/>
    <n v="-81.5"/>
    <s v="X"/>
    <s v="Fred Meyer"/>
    <m/>
    <s v="Food &amp; Dining:Groceries/From Receipt"/>
    <m/>
    <s v="Split"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13T00:00:00"/>
    <n v="-3.93"/>
    <s v="X"/>
    <s v="Fresh Table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13T00:00:00"/>
    <n v="-93"/>
    <s v="X"/>
    <s v="Seattle Shakespeare"/>
    <s v="Twelfth night"/>
    <s v="Entertainment"/>
    <m/>
    <m/>
    <m/>
    <x v="30"/>
    <x v="0"/>
    <m/>
    <m/>
    <m/>
    <m/>
    <x v="4"/>
    <x v="0"/>
    <x v="3"/>
    <x v="0"/>
    <x v="0"/>
    <s v="None"/>
    <s v="Entertainment"/>
  </r>
  <r>
    <s v="Chase Freedom XX9381"/>
    <d v="2014-08-12T00:00:00"/>
    <n v="-3.63"/>
    <s v="X"/>
    <s v="Amazon"/>
    <s v="More blind repair materials"/>
    <s v="Home:Home Improvement"/>
    <m/>
    <m/>
    <m/>
    <x v="14"/>
    <x v="19"/>
    <m/>
    <m/>
    <m/>
    <m/>
    <x v="4"/>
    <x v="0"/>
    <x v="4"/>
    <x v="0"/>
    <x v="0"/>
    <s v="None"/>
    <s v="Home|Home Improvement"/>
  </r>
  <r>
    <s v="Chase Freedom XX9381"/>
    <d v="2014-08-12T00:00:00"/>
    <n v="-43.37"/>
    <s v="X"/>
    <s v="Valero"/>
    <m/>
    <s v="Auto &amp; Transport:Gas &amp; Fuel"/>
    <m/>
    <m/>
    <m/>
    <x v="17"/>
    <x v="37"/>
    <m/>
    <m/>
    <m/>
    <m/>
    <x v="4"/>
    <x v="0"/>
    <x v="3"/>
    <x v="0"/>
    <x v="0"/>
    <s v="None"/>
    <s v="Auto &amp; Transport|Gas &amp; Fuel"/>
  </r>
  <r>
    <s v="Koolikai Credit Card"/>
    <d v="2014-08-12T00:00:00"/>
    <n v="-146.91999999999999"/>
    <s v="X"/>
    <s v="Verizon Wireless"/>
    <m/>
    <s v="Business Expenses (Koolikai):Cell Phone"/>
    <m/>
    <m/>
    <m/>
    <x v="36"/>
    <x v="22"/>
    <m/>
    <m/>
    <m/>
    <m/>
    <x v="4"/>
    <x v="0"/>
    <x v="3"/>
    <x v="0"/>
    <x v="0"/>
    <s v="None"/>
    <s v="Business Expenses (Koolikai)|Cell Phone"/>
  </r>
  <r>
    <s v="MasterCard (Capital One)"/>
    <d v="2014-08-12T00:00:00"/>
    <n v="-103.19"/>
    <s v="X"/>
    <s v="Parts Express"/>
    <s v="Arduino kit"/>
    <s v="Shopping:Electronics &amp; Software"/>
    <m/>
    <m/>
    <m/>
    <x v="13"/>
    <x v="20"/>
    <m/>
    <m/>
    <m/>
    <m/>
    <x v="4"/>
    <x v="0"/>
    <x v="2"/>
    <x v="0"/>
    <x v="0"/>
    <s v="None"/>
    <s v="Shopping|Electronics &amp; Software"/>
  </r>
  <r>
    <s v="MasterCard (Capital One)"/>
    <d v="2014-08-11T00:00:00"/>
    <n v="-37.72"/>
    <s v="X"/>
    <s v="Fred Meyer"/>
    <m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11T00:00:00"/>
    <n v="-50"/>
    <s v="X"/>
    <s v="National MS Society"/>
    <m/>
    <s v="Charity:Charity (Cash)"/>
    <m/>
    <m/>
    <m/>
    <x v="22"/>
    <x v="7"/>
    <m/>
    <m/>
    <m/>
    <m/>
    <x v="4"/>
    <x v="0"/>
    <x v="2"/>
    <x v="0"/>
    <x v="0"/>
    <s v="None"/>
    <s v="Charity|Charity (Cash)"/>
  </r>
  <r>
    <s v="MasterCard (Capital One)"/>
    <d v="2014-08-11T00:00:00"/>
    <n v="-136"/>
    <s v="X"/>
    <s v="Seattle Parks And Recreation"/>
    <s v="Swimming lessons for Zach and Josh"/>
    <s v="Kids:Kids Activities"/>
    <m/>
    <m/>
    <m/>
    <x v="27"/>
    <x v="12"/>
    <m/>
    <m/>
    <m/>
    <m/>
    <x v="4"/>
    <x v="0"/>
    <x v="3"/>
    <x v="0"/>
    <x v="0"/>
    <s v="None"/>
    <s v="Kids|Kids Activities"/>
  </r>
  <r>
    <s v="First Tech - Checking (5544)"/>
    <d v="2014-08-10T00:00:00"/>
    <n v="100"/>
    <s v="X"/>
    <s v="EFI Rebate Processing"/>
    <s v="Rebate for purchase of washing machine"/>
    <s v="Projects:Appliances"/>
    <m/>
    <m/>
    <m/>
    <x v="39"/>
    <x v="36"/>
    <m/>
    <m/>
    <m/>
    <m/>
    <x v="4"/>
    <x v="0"/>
    <x v="6"/>
    <x v="0"/>
    <x v="0"/>
    <s v="None"/>
    <s v="Projects|Appliances"/>
  </r>
  <r>
    <s v="Chase Freedom XX9381"/>
    <d v="2014-08-10T00:00:00"/>
    <n v="-36.78"/>
    <s v="X"/>
    <s v="Shell"/>
    <m/>
    <s v="Auto &amp; Transport:Gas &amp; Fuel"/>
    <m/>
    <m/>
    <m/>
    <x v="17"/>
    <x v="37"/>
    <m/>
    <m/>
    <m/>
    <m/>
    <x v="4"/>
    <x v="0"/>
    <x v="3"/>
    <x v="0"/>
    <x v="0"/>
    <s v="None"/>
    <s v="Auto &amp; Transport|Gas &amp; Fuel"/>
  </r>
  <r>
    <s v="MasterCard (Capital One)"/>
    <d v="2014-08-10T00:00:00"/>
    <n v="-20.420000000000002"/>
    <s v="X"/>
    <s v="Wendy's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First Tech - Checking (5544)"/>
    <d v="2014-08-08T00:00:00"/>
    <n v="-60.35"/>
    <s v="X"/>
    <s v="Target (Autopay)"/>
    <s v="ACH Debit--TARGET CARD SRVC 001 - AUTO PYMT"/>
    <s v="[Target Red Card]"/>
    <m/>
    <m/>
    <m/>
    <x v="12"/>
    <x v="0"/>
    <m/>
    <m/>
    <m/>
    <m/>
    <x v="4"/>
    <x v="0"/>
    <x v="0"/>
    <x v="0"/>
    <x v="0"/>
    <s v="None"/>
    <s v="[Target Red Card]"/>
  </r>
  <r>
    <s v="Chase Freedom XX9381"/>
    <d v="2014-08-08T00:00:00"/>
    <n v="-20.329999999999998"/>
    <s v="X"/>
    <s v="Amazon"/>
    <s v="Rechargeable batteries"/>
    <s v="Kids:Toys"/>
    <m/>
    <m/>
    <m/>
    <x v="27"/>
    <x v="14"/>
    <m/>
    <m/>
    <m/>
    <m/>
    <x v="4"/>
    <x v="0"/>
    <x v="3"/>
    <x v="0"/>
    <x v="0"/>
    <s v="None"/>
    <s v="Kids|Toys"/>
  </r>
  <r>
    <s v="Target Red Card"/>
    <d v="2014-08-08T00:00:00"/>
    <n v="60.35"/>
    <s v="X"/>
    <s v="Target (Autopay)"/>
    <s v="ACH Debit--TARGET CARD SRVC 001 - AUTO PYMT"/>
    <s v="[First Tech - Checking (5544)]"/>
    <m/>
    <m/>
    <m/>
    <x v="21"/>
    <x v="0"/>
    <m/>
    <m/>
    <m/>
    <m/>
    <x v="4"/>
    <x v="0"/>
    <x v="0"/>
    <x v="0"/>
    <x v="0"/>
    <s v="None"/>
    <s v="[First Tech - Checking (5544)]"/>
  </r>
  <r>
    <s v="MasterCard (Capital One)"/>
    <d v="2014-08-07T00:00:00"/>
    <n v="-7.65"/>
    <s v="X"/>
    <s v="Fred Meyer"/>
    <s v="Water gun"/>
    <s v="Kids:Toys/From Receipt"/>
    <m/>
    <s v="Split"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07T00:00:00"/>
    <n v="-43.79"/>
    <s v="X"/>
    <s v="Fred Meyer"/>
    <s v="Air pump"/>
    <s v="Shopping:Hobbies:Camping Equipment/From Receipt"/>
    <m/>
    <s v="Split"/>
    <s v="From Receipt"/>
    <x v="13"/>
    <x v="48"/>
    <s v="Camping Equipment"/>
    <m/>
    <m/>
    <m/>
    <x v="4"/>
    <x v="0"/>
    <x v="2"/>
    <x v="0"/>
    <x v="0"/>
    <s v="None"/>
    <s v="Shopping|Hobbies"/>
  </r>
  <r>
    <s v="MasterCard (Capital One)"/>
    <d v="2014-08-07T00:00:00"/>
    <n v="-10.94"/>
    <s v="X"/>
    <s v="Fred Meyer"/>
    <s v="Batteries"/>
    <s v="Kids:Toys/From Receipt"/>
    <m/>
    <s v="Split"/>
    <s v="From Receipt"/>
    <x v="27"/>
    <x v="14"/>
    <m/>
    <m/>
    <m/>
    <m/>
    <x v="4"/>
    <x v="0"/>
    <x v="3"/>
    <x v="0"/>
    <x v="0"/>
    <s v="None"/>
    <s v="Kids|Toys"/>
  </r>
  <r>
    <s v="MasterCard (Capital One)"/>
    <d v="2014-08-07T00:00:00"/>
    <n v="-10.86"/>
    <s v="X"/>
    <s v="KFC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Schwab - Checking (9784)"/>
    <d v="2014-08-06T00:00:00"/>
    <n v="-40"/>
    <s v="X"/>
    <s v="First Tech 154th"/>
    <s v="Cash for lunches, etc."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06T00:00:00"/>
    <n v="-6"/>
    <s v="X"/>
    <s v="Fred Meyer"/>
    <s v="Mini biners and mantel"/>
    <s v="Shopping:Hobbies:Camping Equipment/From Receipt"/>
    <m/>
    <s v="Split"/>
    <s v="From Receipt"/>
    <x v="13"/>
    <x v="48"/>
    <s v="Camping Equipment"/>
    <m/>
    <m/>
    <m/>
    <x v="4"/>
    <x v="0"/>
    <x v="2"/>
    <x v="0"/>
    <x v="0"/>
    <s v="None"/>
    <s v="Shopping|Hobbies"/>
  </r>
  <r>
    <s v="MasterCard (Capital One)"/>
    <d v="2014-08-06T00:00:00"/>
    <n v="-67.77"/>
    <s v="X"/>
    <s v="Fred Meyer"/>
    <m/>
    <s v="Food &amp; Dining:Groceries/From Receipt"/>
    <m/>
    <s v="Split"/>
    <s v="From Receipt"/>
    <x v="15"/>
    <x v="3"/>
    <m/>
    <m/>
    <m/>
    <m/>
    <x v="4"/>
    <x v="0"/>
    <x v="3"/>
    <x v="0"/>
    <x v="0"/>
    <s v="None"/>
    <s v="Food &amp; Dining|Groceries"/>
  </r>
  <r>
    <s v="First Tech - Checking (5544)"/>
    <d v="2014-08-05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4"/>
    <x v="0"/>
    <x v="3"/>
    <x v="0"/>
    <x v="0"/>
    <s v="None"/>
    <s v="Kids|American Funds 529A"/>
  </r>
  <r>
    <s v="First Tech - Checking (5544)"/>
    <d v="2014-08-05T00:00:00"/>
    <n v="-3864.19"/>
    <s v="X"/>
    <s v="Wells Fargo Home Mortgage"/>
    <s v="ACH Debit--WF HOME MTG ACH - AUTO PAY"/>
    <s v="Home:Mortgage"/>
    <m/>
    <m/>
    <m/>
    <x v="14"/>
    <x v="27"/>
    <m/>
    <m/>
    <m/>
    <m/>
    <x v="4"/>
    <x v="0"/>
    <x v="3"/>
    <x v="0"/>
    <x v="0"/>
    <s v="None"/>
    <s v="Home|Mortgage"/>
  </r>
  <r>
    <s v="First Tech - Checking (5544)"/>
    <d v="2014-08-05T00:00:00"/>
    <n v="-70"/>
    <s v="X"/>
    <s v="Patricia Anderson"/>
    <s v="Check--"/>
    <s v="Kids:Babysitter"/>
    <n v="2133"/>
    <m/>
    <m/>
    <x v="27"/>
    <x v="13"/>
    <m/>
    <m/>
    <m/>
    <m/>
    <x v="4"/>
    <x v="0"/>
    <x v="3"/>
    <x v="0"/>
    <x v="0"/>
    <s v="None"/>
    <s v="Kids|Babysitter"/>
  </r>
  <r>
    <s v="MasterCard (Capital One)"/>
    <d v="2014-08-05T00:00:00"/>
    <n v="25"/>
    <s v="X"/>
    <s v="Capital One (Cash Back)"/>
    <s v="2011: CREDIT-CASH BACK REWARD"/>
    <s v="Other Inc"/>
    <m/>
    <m/>
    <m/>
    <x v="29"/>
    <x v="0"/>
    <m/>
    <m/>
    <m/>
    <m/>
    <x v="4"/>
    <x v="0"/>
    <x v="3"/>
    <x v="0"/>
    <x v="0"/>
    <s v="None"/>
    <s v="Other Inc"/>
  </r>
  <r>
    <s v="MasterCard (Capital One)"/>
    <d v="2014-08-05T00:00:00"/>
    <n v="-14.22"/>
    <s v="X"/>
    <s v="Amazon"/>
    <s v="Camping lantern"/>
    <s v="Shopping:Hobbies:Camping Equipment/From Receipt"/>
    <m/>
    <m/>
    <s v="From Receipt"/>
    <x v="13"/>
    <x v="48"/>
    <s v="Camping Equipment"/>
    <m/>
    <m/>
    <m/>
    <x v="4"/>
    <x v="0"/>
    <x v="2"/>
    <x v="0"/>
    <x v="0"/>
    <s v="None"/>
    <s v="Shopping|Hobbies"/>
  </r>
  <r>
    <s v="MasterCard (Capital One)"/>
    <d v="2014-08-05T00:00:00"/>
    <n v="-2.25"/>
    <s v="X"/>
    <s v="Park"/>
    <m/>
    <s v="Auto &amp; Transport:Parking"/>
    <m/>
    <m/>
    <m/>
    <x v="17"/>
    <x v="11"/>
    <m/>
    <m/>
    <m/>
    <m/>
    <x v="4"/>
    <x v="0"/>
    <x v="3"/>
    <x v="0"/>
    <x v="0"/>
    <s v="None"/>
    <s v="Auto &amp; Transport|Parking"/>
  </r>
  <r>
    <s v="MasterCard (Capital One)"/>
    <d v="2014-08-05T00:00:00"/>
    <n v="-29.09"/>
    <s v="X"/>
    <s v="Barrio"/>
    <m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First Tech - Checking (5544)"/>
    <d v="2014-08-04T00:00:00"/>
    <n v="632.09"/>
    <s v="X"/>
    <s v="Bryndel Swift"/>
    <s v="Deposit--Shared Branch Mobile Deposit          First Tech FC CA"/>
    <s v="Projects:Fence/7231"/>
    <m/>
    <m/>
    <n v="7231"/>
    <x v="39"/>
    <x v="55"/>
    <m/>
    <m/>
    <m/>
    <m/>
    <x v="4"/>
    <x v="0"/>
    <x v="6"/>
    <x v="0"/>
    <x v="0"/>
    <s v="None"/>
    <s v="Projects|Fence"/>
  </r>
  <r>
    <s v="First Tech - Checking (5544)"/>
    <d v="2014-08-04T00:00:00"/>
    <n v="1000"/>
    <s v="X"/>
    <s v="Fred Hutchinson"/>
    <s v="Compensation for Angela participating in round table"/>
    <s v="Other Inc"/>
    <m/>
    <m/>
    <m/>
    <x v="29"/>
    <x v="0"/>
    <m/>
    <m/>
    <m/>
    <m/>
    <x v="4"/>
    <x v="0"/>
    <x v="3"/>
    <x v="0"/>
    <x v="0"/>
    <s v="None"/>
    <s v="Other Inc"/>
  </r>
  <r>
    <s v="First Tech - Checking (5544)"/>
    <d v="2014-08-04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4"/>
    <x v="0"/>
    <x v="3"/>
    <x v="0"/>
    <x v="0"/>
    <s v="None"/>
    <s v="Business Expenses (Koolikai)|Mortgage (Business)"/>
  </r>
  <r>
    <s v="First Tech - Checking (5544)"/>
    <d v="2014-08-04T00:00:00"/>
    <n v="-2837.01"/>
    <s v="X"/>
    <s v="Capital One (Autopay)"/>
    <s v="ACH Debit--CAPITAL ONE  - CRCARDPMT"/>
    <s v="[MasterCard (Capital One)]"/>
    <m/>
    <m/>
    <m/>
    <x v="38"/>
    <x v="0"/>
    <m/>
    <m/>
    <m/>
    <m/>
    <x v="4"/>
    <x v="0"/>
    <x v="0"/>
    <x v="0"/>
    <x v="0"/>
    <s v="None"/>
    <s v="[MasterCard (Capital One)]"/>
  </r>
  <r>
    <s v="First Tech - Checking (5544)"/>
    <d v="2014-08-04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4"/>
    <x v="0"/>
    <x v="3"/>
    <x v="0"/>
    <x v="0"/>
    <s v="None"/>
    <s v="Business Expenses (Koolikai)|Mortgage (Business)"/>
  </r>
  <r>
    <s v="Koolikai - Checking XX2129"/>
    <d v="2014-08-04T00:00:00"/>
    <n v="2295"/>
    <s v="X"/>
    <s v="Aaron Ausland"/>
    <s v="Deposit--Shared Branch Mobile Deposit          First Tech FC CA"/>
    <s v="Business Income (Koolikai):Rent/7231:From Receipt"/>
    <m/>
    <m/>
    <s v="7231:From Receipt"/>
    <x v="37"/>
    <x v="25"/>
    <m/>
    <m/>
    <m/>
    <m/>
    <x v="4"/>
    <x v="0"/>
    <x v="3"/>
    <x v="0"/>
    <x v="0"/>
    <s v="None"/>
    <s v="Business Income (Koolikai)|Rent"/>
  </r>
  <r>
    <s v="MasterCard (Capital One)"/>
    <d v="2014-08-04T00:00:00"/>
    <n v="-23.9"/>
    <s v="X"/>
    <s v="Amazon"/>
    <s v="Camping toaster and griddle"/>
    <s v="Shopping:Hobbies:Camping Equipment/From Receipt"/>
    <m/>
    <m/>
    <s v="From Receipt"/>
    <x v="13"/>
    <x v="48"/>
    <s v="Camping Equipment"/>
    <m/>
    <m/>
    <m/>
    <x v="4"/>
    <x v="0"/>
    <x v="2"/>
    <x v="0"/>
    <x v="0"/>
    <s v="None"/>
    <s v="Shopping|Hobbies"/>
  </r>
  <r>
    <s v="MasterCard (Capital One)"/>
    <d v="2014-08-04T00:00:00"/>
    <n v="-32.85"/>
    <s v="X"/>
    <s v="Groundspeak Membership Groundspeak"/>
    <s v="2011: Groundspeak Membership 866-436-2224 WA 98103 USA"/>
    <s v="Shopping:Hobbies"/>
    <m/>
    <m/>
    <m/>
    <x v="13"/>
    <x v="48"/>
    <m/>
    <m/>
    <m/>
    <m/>
    <x v="4"/>
    <x v="0"/>
    <x v="2"/>
    <x v="0"/>
    <x v="0"/>
    <s v="None"/>
    <s v="Shopping|Hobbies"/>
  </r>
  <r>
    <s v="Chase Freedom XX9381"/>
    <d v="2014-08-03T00:00:00"/>
    <n v="-249.21"/>
    <s v="X"/>
    <s v="Amazon"/>
    <s v="Smoke detectors"/>
    <s v="Home:Home Improvement"/>
    <m/>
    <m/>
    <m/>
    <x v="14"/>
    <x v="19"/>
    <m/>
    <m/>
    <m/>
    <m/>
    <x v="4"/>
    <x v="0"/>
    <x v="4"/>
    <x v="0"/>
    <x v="0"/>
    <s v="None"/>
    <s v="Home|Home Improvement"/>
  </r>
  <r>
    <s v="MasterCard (Capital One)"/>
    <d v="2014-08-03T00:00:00"/>
    <n v="-8.75"/>
    <s v="X"/>
    <s v="Netflix"/>
    <s v="2011: NETFLIX.COM NETFLIX.COM CA 95032 USA"/>
    <s v="Entertainment:Movies &amp; DVDs"/>
    <m/>
    <m/>
    <m/>
    <x v="30"/>
    <x v="43"/>
    <m/>
    <m/>
    <m/>
    <m/>
    <x v="4"/>
    <x v="0"/>
    <x v="6"/>
    <x v="0"/>
    <x v="0"/>
    <s v="None"/>
    <s v="Entertainment|Movies &amp; DVDs"/>
  </r>
  <r>
    <s v="MasterCard (Capital One)"/>
    <d v="2014-08-03T00:00:00"/>
    <n v="-12.97"/>
    <s v="X"/>
    <s v="Taco Del Mar"/>
    <s v="2011: TACO DEL MAR GREENWOOD SEATTLE WA 98103 USA"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03T00:00:00"/>
    <n v="-37.04"/>
    <s v="X"/>
    <s v="Trader Joe's"/>
    <s v="2011: TRADER JOE'S #147 QPS SEATTLE WA 98107 USA"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03T00:00:00"/>
    <n v="-78.959999999999994"/>
    <s v="X"/>
    <s v="Fred Meyer"/>
    <s v="@BAL:2459.96@@CAT:@"/>
    <s v="Food &amp; Dining:Groceries/From Receipt"/>
    <m/>
    <m/>
    <s v="From Receipt"/>
    <x v="15"/>
    <x v="3"/>
    <m/>
    <m/>
    <m/>
    <m/>
    <x v="4"/>
    <x v="0"/>
    <x v="3"/>
    <x v="0"/>
    <x v="0"/>
    <s v="None"/>
    <s v="Food &amp; Dining|Groceries"/>
  </r>
  <r>
    <s v="MasterCard (Capital One)"/>
    <d v="2014-08-02T00:00:00"/>
    <n v="-0.6"/>
    <s v="X"/>
    <s v="Seattle Park Seattle"/>
    <s v="2011: SEATTLE 684-PARK SEATTLE WA 98104 USA"/>
    <s v="Auto &amp; Transport:Parking"/>
    <m/>
    <m/>
    <m/>
    <x v="17"/>
    <x v="11"/>
    <m/>
    <m/>
    <m/>
    <m/>
    <x v="4"/>
    <x v="0"/>
    <x v="3"/>
    <x v="0"/>
    <x v="0"/>
    <s v="None"/>
    <s v="Auto &amp; Transport|Parking"/>
  </r>
  <r>
    <s v="MasterCard (Capital One)"/>
    <d v="2014-08-02T00:00:00"/>
    <n v="-8.15"/>
    <s v="X"/>
    <s v="J Aime Les Crepes"/>
    <s v="2011: J'AIME LES CREPES KINGSTON WA 98346 USA"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MasterCard (Capital One)"/>
    <d v="2014-08-02T00:00:00"/>
    <n v="-16"/>
    <s v="X"/>
    <s v="Wsferries Ed Seattle"/>
    <s v="2011: WSFERRIES-ED 888087971 SEATTLE WA 98121 USA"/>
    <s v="Kids:Kids Activities"/>
    <m/>
    <m/>
    <m/>
    <x v="27"/>
    <x v="12"/>
    <m/>
    <m/>
    <m/>
    <m/>
    <x v="4"/>
    <x v="0"/>
    <x v="3"/>
    <x v="0"/>
    <x v="0"/>
    <s v="None"/>
    <s v="Kids|Kids Activities"/>
  </r>
  <r>
    <s v="MasterCard (Capital One)"/>
    <d v="2014-08-02T00:00:00"/>
    <n v="-20"/>
    <s v="X"/>
    <s v="Ken's Market"/>
    <s v="2011: KEN'S MARKET #75-116 SEATTLE WA 98103 USA"/>
    <s v="Food &amp; Dining:Groceries"/>
    <m/>
    <m/>
    <m/>
    <x v="15"/>
    <x v="3"/>
    <m/>
    <m/>
    <m/>
    <m/>
    <x v="4"/>
    <x v="0"/>
    <x v="3"/>
    <x v="0"/>
    <x v="0"/>
    <s v="None"/>
    <s v="Food &amp; Dining|Groceries"/>
  </r>
  <r>
    <s v="MasterCard (Capital One)"/>
    <d v="2014-08-02T00:00:00"/>
    <n v="-20.98"/>
    <s v="X"/>
    <s v="Comcast"/>
    <s v="2011: COMCAST CABLE COMM 800-COMCAST WA 98087 USA"/>
    <s v="Bills &amp; Utilities:Television"/>
    <m/>
    <s v="Split"/>
    <m/>
    <x v="34"/>
    <x v="32"/>
    <m/>
    <m/>
    <m/>
    <m/>
    <x v="4"/>
    <x v="0"/>
    <x v="3"/>
    <x v="0"/>
    <x v="0"/>
    <s v="None"/>
    <s v="Bills &amp; Utilities|Television"/>
  </r>
  <r>
    <s v="MasterCard (Capital One)"/>
    <d v="2014-08-02T00:00:00"/>
    <n v="-66.53"/>
    <s v="X"/>
    <s v="Comcast"/>
    <m/>
    <s v="Business Expenses (Koolikai):Internet"/>
    <m/>
    <s v="Split"/>
    <m/>
    <x v="36"/>
    <x v="33"/>
    <m/>
    <m/>
    <m/>
    <m/>
    <x v="4"/>
    <x v="0"/>
    <x v="3"/>
    <x v="0"/>
    <x v="0"/>
    <s v="None"/>
    <s v="Business Expenses (Koolikai)|Internet"/>
  </r>
  <r>
    <s v="MasterCard (Capital One)"/>
    <d v="2014-08-02T00:00:00"/>
    <n v="-44.54"/>
    <s v="X"/>
    <s v="Comcast"/>
    <m/>
    <s v="Bills &amp; Utilities:Home Phone"/>
    <m/>
    <s v="Split"/>
    <m/>
    <x v="34"/>
    <x v="34"/>
    <m/>
    <m/>
    <m/>
    <m/>
    <x v="4"/>
    <x v="0"/>
    <x v="3"/>
    <x v="0"/>
    <x v="0"/>
    <s v="None"/>
    <s v="Bills &amp; Utilities|Home Phone"/>
  </r>
  <r>
    <s v="MasterCard (Capital One)"/>
    <d v="2014-08-02T00:00:00"/>
    <n v="-149.38"/>
    <s v="X"/>
    <s v="Volterra"/>
    <s v="2011: VOLTERRA SEATTLE WA 98107 USA"/>
    <s v="Food &amp; Dining:Restaurants"/>
    <m/>
    <m/>
    <m/>
    <x v="15"/>
    <x v="15"/>
    <m/>
    <m/>
    <m/>
    <m/>
    <x v="4"/>
    <x v="0"/>
    <x v="3"/>
    <x v="0"/>
    <x v="0"/>
    <s v="None"/>
    <s v="Food &amp; Dining|Restaurants"/>
  </r>
  <r>
    <s v="First Tech - Checking (5544)"/>
    <d v="2014-08-01T00:00:00"/>
    <n v="-1976"/>
    <s v="X"/>
    <s v="Phinney Ridge Lu 504759859 - Con"/>
    <s v="ACH Debit--PHINNEY RIDGE LU 504759859 - CONTRIBUTN"/>
    <s v="Kids:Daycare"/>
    <m/>
    <m/>
    <m/>
    <x v="27"/>
    <x v="35"/>
    <m/>
    <m/>
    <m/>
    <m/>
    <x v="4"/>
    <x v="0"/>
    <x v="3"/>
    <x v="0"/>
    <x v="0"/>
    <s v="None"/>
    <s v="Kids|Daycare"/>
  </r>
  <r>
    <s v="MasterCard (Capital One)"/>
    <d v="2014-08-01T00:00:00"/>
    <n v="2837.01"/>
    <s v="X"/>
    <s v="Capital One (Autopay)"/>
    <s v="2011: CAPITAL ONE AUTOPAY PYMT AuthDate 06-JUL"/>
    <s v="[First Tech - Checking (5544)]"/>
    <m/>
    <m/>
    <m/>
    <x v="21"/>
    <x v="0"/>
    <m/>
    <m/>
    <m/>
    <m/>
    <x v="4"/>
    <x v="0"/>
    <x v="0"/>
    <x v="0"/>
    <x v="0"/>
    <s v="None"/>
    <s v="[First Tech - Checking (5544)]"/>
  </r>
  <r>
    <s v="Capital One - Investment (6759)"/>
    <d v="2014-07-31T00:00:00"/>
    <n v="20.04"/>
    <s v="X"/>
    <s v="Capital One (Interest Income)"/>
    <s v="@CAT:@"/>
    <s v="Interest Income"/>
    <s v="INT"/>
    <m/>
    <m/>
    <x v="40"/>
    <x v="0"/>
    <m/>
    <m/>
    <m/>
    <m/>
    <x v="5"/>
    <x v="0"/>
    <x v="3"/>
    <x v="0"/>
    <x v="0"/>
    <s v="None"/>
    <s v="Interest Income"/>
  </r>
  <r>
    <s v="Capital One - Long Term Emergency (1201)"/>
    <d v="2014-07-31T00:00:00"/>
    <n v="50.3"/>
    <s v="X"/>
    <s v="Capital One (Interest Income)"/>
    <m/>
    <s v="Interest Income"/>
    <s v="INT"/>
    <m/>
    <m/>
    <x v="40"/>
    <x v="0"/>
    <m/>
    <m/>
    <m/>
    <m/>
    <x v="5"/>
    <x v="0"/>
    <x v="3"/>
    <x v="0"/>
    <x v="0"/>
    <s v="None"/>
    <s v="Interest Income"/>
  </r>
  <r>
    <s v="Capital One - Secondary Savings (3126)"/>
    <d v="2014-07-31T00:00:00"/>
    <n v="0.02"/>
    <s v="X"/>
    <s v="Capital One (Interest Income)"/>
    <m/>
    <s v="Interest Income"/>
    <s v="INT"/>
    <m/>
    <m/>
    <x v="40"/>
    <x v="0"/>
    <m/>
    <m/>
    <m/>
    <m/>
    <x v="5"/>
    <x v="0"/>
    <x v="3"/>
    <x v="0"/>
    <x v="0"/>
    <s v="None"/>
    <s v="Interest Income"/>
  </r>
  <r>
    <s v="Capital One - Vacation (4959)"/>
    <d v="2014-07-31T00:00:00"/>
    <n v="2.13"/>
    <s v="X"/>
    <s v="Capital One (Interest Income)"/>
    <m/>
    <s v="Interest Income"/>
    <s v="INT"/>
    <m/>
    <m/>
    <x v="40"/>
    <x v="0"/>
    <m/>
    <m/>
    <m/>
    <m/>
    <x v="5"/>
    <x v="0"/>
    <x v="3"/>
    <x v="0"/>
    <x v="0"/>
    <s v="None"/>
    <s v="Interest Income"/>
  </r>
  <r>
    <s v="Koolikai - Checking XX2129"/>
    <d v="2014-07-31T00:00:00"/>
    <n v="2195"/>
    <s v="X"/>
    <s v="John Schaibley"/>
    <s v="Deposit--Shared Branch Mobile Deposit          First Tech FC CA"/>
    <s v="Business Income (Koolikai):Rent/9602:From Receipt"/>
    <m/>
    <m/>
    <s v="9602:From Receipt"/>
    <x v="37"/>
    <x v="25"/>
    <m/>
    <m/>
    <m/>
    <m/>
    <x v="5"/>
    <x v="0"/>
    <x v="3"/>
    <x v="0"/>
    <x v="0"/>
    <s v="None"/>
    <s v="Business Income (Koolikai)|Rent"/>
  </r>
  <r>
    <s v="Koolikai - Sec Dep XX1200"/>
    <d v="2014-07-31T00:00:00"/>
    <n v="0.19"/>
    <s v="X"/>
    <s v="First Tech (Dividend)"/>
    <s v="Credit Dividend--"/>
    <s v="Interest Income"/>
    <m/>
    <m/>
    <m/>
    <x v="40"/>
    <x v="0"/>
    <m/>
    <m/>
    <m/>
    <m/>
    <x v="5"/>
    <x v="0"/>
    <x v="3"/>
    <x v="0"/>
    <x v="0"/>
    <s v="None"/>
    <s v="Interest Income"/>
  </r>
  <r>
    <s v="Schwab - Checking (9784)"/>
    <d v="2014-07-31T00:00:00"/>
    <n v="7.0000000000000007E-2"/>
    <s v="X"/>
    <s v="Interest Paid"/>
    <m/>
    <s v="Interest Income"/>
    <m/>
    <m/>
    <m/>
    <x v="40"/>
    <x v="0"/>
    <m/>
    <m/>
    <m/>
    <m/>
    <x v="5"/>
    <x v="0"/>
    <x v="3"/>
    <x v="0"/>
    <x v="0"/>
    <s v="None"/>
    <s v="Interest Income"/>
  </r>
  <r>
    <s v="Schwab - Checking (9784)"/>
    <d v="2014-07-31T00:00:00"/>
    <n v="5"/>
    <s v="X"/>
    <s v="ATM Fee Refund"/>
    <m/>
    <s v="Bank Fees &amp; Charges:ATM Fee"/>
    <m/>
    <m/>
    <m/>
    <x v="32"/>
    <x v="17"/>
    <m/>
    <m/>
    <m/>
    <m/>
    <x v="5"/>
    <x v="0"/>
    <x v="3"/>
    <x v="0"/>
    <x v="0"/>
    <s v="None"/>
    <s v="Bank Fees &amp; Charges|ATM Fee"/>
  </r>
  <r>
    <s v="American Express (Costco)"/>
    <d v="2014-07-31T00:00:00"/>
    <n v="-26.27"/>
    <s v="X"/>
    <s v="Costco"/>
    <s v="Matress inflator"/>
    <s v="Shopping:Hobbies:Camping Equipment"/>
    <m/>
    <s v="Split"/>
    <m/>
    <x v="13"/>
    <x v="48"/>
    <s v="Camping Equipment"/>
    <m/>
    <m/>
    <m/>
    <x v="5"/>
    <x v="0"/>
    <x v="2"/>
    <x v="0"/>
    <x v="0"/>
    <s v="None"/>
    <s v="Shopping|Hobbies"/>
  </r>
  <r>
    <s v="American Express (Costco)"/>
    <d v="2014-07-31T00:00:00"/>
    <n v="-61.9"/>
    <s v="X"/>
    <s v="Costco"/>
    <m/>
    <s v="Food &amp; Dining:Groceries"/>
    <m/>
    <s v="Split"/>
    <m/>
    <x v="15"/>
    <x v="3"/>
    <m/>
    <m/>
    <m/>
    <m/>
    <x v="5"/>
    <x v="0"/>
    <x v="3"/>
    <x v="0"/>
    <x v="0"/>
    <s v="None"/>
    <s v="Food &amp; Dining|Groceries"/>
  </r>
  <r>
    <s v="Chase Freedom XX9381"/>
    <d v="2014-07-31T00:00:00"/>
    <n v="-35.520000000000003"/>
    <s v="X"/>
    <s v="Blinds.Com"/>
    <s v="Repair materials for blinds"/>
    <s v="Home:Home Improvement"/>
    <m/>
    <m/>
    <m/>
    <x v="14"/>
    <x v="19"/>
    <m/>
    <m/>
    <m/>
    <m/>
    <x v="5"/>
    <x v="0"/>
    <x v="4"/>
    <x v="0"/>
    <x v="0"/>
    <s v="None"/>
    <s v="Home|Home Improvement"/>
  </r>
  <r>
    <s v="First Tech - Checking (5544)"/>
    <d v="2014-07-30T00:00:00"/>
    <n v="3159.33"/>
    <s v="X"/>
    <s v="Microsoft (Paystub)"/>
    <s v="ACH Deposit--MICROSOFT  - EDIPAYMENT"/>
    <s v="Net Salary"/>
    <m/>
    <m/>
    <m/>
    <x v="35"/>
    <x v="0"/>
    <m/>
    <m/>
    <m/>
    <m/>
    <x v="5"/>
    <x v="0"/>
    <x v="3"/>
    <x v="0"/>
    <x v="0"/>
    <s v="None"/>
    <s v="Net Salary"/>
  </r>
  <r>
    <s v="First Tech - Checking (5544)"/>
    <d v="2014-07-30T00:00:00"/>
    <n v="6058.12"/>
    <s v="X"/>
    <s v="CRAB (Paystub)"/>
    <s v="@CAT:@;@BAL:36,949.10@"/>
    <s v="Net Salary"/>
    <m/>
    <m/>
    <m/>
    <x v="35"/>
    <x v="0"/>
    <m/>
    <m/>
    <m/>
    <m/>
    <x v="5"/>
    <x v="0"/>
    <x v="3"/>
    <x v="0"/>
    <x v="0"/>
    <s v="None"/>
    <s v="Net Salary"/>
  </r>
  <r>
    <s v="MasterCard (Capital One)"/>
    <d v="2014-07-30T00:00:00"/>
    <n v="-1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30T00:00:00"/>
    <n v="-21.9"/>
    <s v="X"/>
    <s v="Fred Meyer"/>
    <m/>
    <s v="Kids:Clothing/From Receipt"/>
    <m/>
    <s v="Split"/>
    <s v="From Receipt"/>
    <x v="27"/>
    <x v="1"/>
    <m/>
    <m/>
    <m/>
    <m/>
    <x v="5"/>
    <x v="0"/>
    <x v="3"/>
    <x v="0"/>
    <x v="0"/>
    <s v="None"/>
    <s v="Kids|Clothing"/>
  </r>
  <r>
    <s v="First Tech - Checking (5544)"/>
    <d v="2014-07-28T00:00:00"/>
    <n v="-115"/>
    <s v="X"/>
    <s v="Cleaning Authority, The"/>
    <s v="ACH Debit--THE CLEANING AUT  - ONLINE PMT"/>
    <s v="Home:Home Services"/>
    <m/>
    <m/>
    <m/>
    <x v="14"/>
    <x v="46"/>
    <m/>
    <m/>
    <m/>
    <m/>
    <x v="5"/>
    <x v="0"/>
    <x v="3"/>
    <x v="0"/>
    <x v="0"/>
    <s v="None"/>
    <s v="Home|Home Services"/>
  </r>
  <r>
    <s v="First Tech - Checking (5544)"/>
    <d v="2014-07-28T00:00:00"/>
    <n v="-968.25"/>
    <s v="X"/>
    <s v="Chase  - Autopay"/>
    <s v="ACH Debit--CHASE  - AUTOPAY"/>
    <s v="[Chase Freedom XX9381]"/>
    <m/>
    <m/>
    <m/>
    <x v="7"/>
    <x v="0"/>
    <m/>
    <m/>
    <m/>
    <m/>
    <x v="5"/>
    <x v="0"/>
    <x v="1"/>
    <x v="1"/>
    <x v="1"/>
    <e v="#N/A"/>
    <s v="[Chase Freedom XX9381]"/>
  </r>
  <r>
    <s v="Chase Freedom XX9381"/>
    <d v="2014-07-28T00:00:00"/>
    <n v="-20"/>
    <s v="X"/>
    <s v="Safeway"/>
    <m/>
    <s v="Food &amp; Dining:Groceries"/>
    <m/>
    <m/>
    <m/>
    <x v="15"/>
    <x v="3"/>
    <m/>
    <m/>
    <m/>
    <m/>
    <x v="5"/>
    <x v="0"/>
    <x v="3"/>
    <x v="0"/>
    <x v="0"/>
    <s v="None"/>
    <s v="Food &amp; Dining|Groceries"/>
  </r>
  <r>
    <s v="Chase Freedom XX9381"/>
    <d v="2014-07-28T00:00:00"/>
    <n v="-47.4"/>
    <s v="X"/>
    <s v="Safeway"/>
    <s v="#Deception Pass 2014#"/>
    <s v="Vacation:Food/From Receipt"/>
    <m/>
    <m/>
    <s v="From Receipt"/>
    <x v="23"/>
    <x v="8"/>
    <m/>
    <m/>
    <s v="Deception Pass 2014"/>
    <m/>
    <x v="5"/>
    <x v="0"/>
    <x v="4"/>
    <x v="0"/>
    <x v="0"/>
    <s v="None"/>
    <s v="Vacation|Food"/>
  </r>
  <r>
    <s v="MasterCard (Capital One)"/>
    <d v="2014-07-28T00:00:00"/>
    <n v="-53.65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28T00:00:00"/>
    <n v="-9.84"/>
    <s v="X"/>
    <s v="Fred Meyer"/>
    <s v="Camping fuel #Kalaloch 2014#"/>
    <s v="Vacation:Food/From Receipt"/>
    <m/>
    <s v="Split"/>
    <s v="From Receipt"/>
    <x v="23"/>
    <x v="8"/>
    <m/>
    <m/>
    <s v="Kalaloch 2014"/>
    <m/>
    <x v="5"/>
    <x v="0"/>
    <x v="4"/>
    <x v="0"/>
    <x v="0"/>
    <s v="None"/>
    <s v="Vacation|Food"/>
  </r>
  <r>
    <s v="Capital One - Long Term Emergency (1201)"/>
    <d v="2014-07-25T00:00:00"/>
    <n v="14.75"/>
    <s v="X"/>
    <s v="Quarterly Bonus Int"/>
    <m/>
    <s v="Interest Income"/>
    <m/>
    <m/>
    <m/>
    <x v="40"/>
    <x v="0"/>
    <m/>
    <m/>
    <m/>
    <m/>
    <x v="5"/>
    <x v="0"/>
    <x v="3"/>
    <x v="0"/>
    <x v="0"/>
    <s v="None"/>
    <s v="Interest Income"/>
  </r>
  <r>
    <s v="Chase Freedom XX9381"/>
    <d v="2014-07-25T00:00:00"/>
    <n v="968.25"/>
    <s v="X"/>
    <s v="Chase Autopay (Freedom)"/>
    <m/>
    <s v="[First Tech - Checking (5544)]"/>
    <m/>
    <m/>
    <m/>
    <x v="21"/>
    <x v="0"/>
    <m/>
    <m/>
    <m/>
    <m/>
    <x v="5"/>
    <x v="0"/>
    <x v="0"/>
    <x v="0"/>
    <x v="0"/>
    <s v="None"/>
    <s v="[First Tech - Checking (5544)]"/>
  </r>
  <r>
    <s v="First Tech - Checking (5544)"/>
    <d v="2014-07-24T00:00:00"/>
    <n v="16.41"/>
    <s v="X"/>
    <s v="Stay Fit Credit"/>
    <s v="#Stay Fit# ACH Deposit--STAY FIT MICROSO 304254681"/>
    <s v="Health &amp; Fitness:Sports"/>
    <m/>
    <m/>
    <m/>
    <x v="18"/>
    <x v="23"/>
    <m/>
    <m/>
    <s v="Stay Fit"/>
    <m/>
    <x v="5"/>
    <x v="0"/>
    <x v="4"/>
    <x v="0"/>
    <x v="0"/>
    <s v="None"/>
    <s v="Health &amp; Fitness|Sports"/>
  </r>
  <r>
    <s v="Koolikai - Checking XX2129"/>
    <d v="2014-07-24T00:00:00"/>
    <n v="-231.67"/>
    <s v="X"/>
    <s v="Chase - Koolikai (Autopay)"/>
    <s v="ACH Debit--CHASE  - AUTOPAYBUS"/>
    <s v="[Koolikai Credit Card]"/>
    <m/>
    <m/>
    <m/>
    <x v="9"/>
    <x v="0"/>
    <m/>
    <m/>
    <m/>
    <m/>
    <x v="5"/>
    <x v="0"/>
    <x v="0"/>
    <x v="0"/>
    <x v="0"/>
    <s v="None"/>
    <s v="[Koolikai Credit Card]"/>
  </r>
  <r>
    <s v="MasterCard (Capital One)"/>
    <d v="2014-07-24T00:00:00"/>
    <n v="-122.1"/>
    <s v="X"/>
    <s v="Fred Meyer"/>
    <s v="2011: FRED-MEYER #0122 SEATTLE WA 98117 USA"/>
    <s v="Food &amp; Dining:Groceries"/>
    <m/>
    <s v="Split"/>
    <m/>
    <x v="15"/>
    <x v="3"/>
    <m/>
    <m/>
    <m/>
    <m/>
    <x v="5"/>
    <x v="0"/>
    <x v="3"/>
    <x v="0"/>
    <x v="0"/>
    <s v="None"/>
    <s v="Food &amp; Dining|Groceries"/>
  </r>
  <r>
    <s v="MasterCard (Capital One)"/>
    <d v="2014-07-24T00:00:00"/>
    <n v="-5.46"/>
    <s v="X"/>
    <s v="Fred Meyer"/>
    <s v="Glow sticks"/>
    <s v="Kids:Toys/From Receipt"/>
    <m/>
    <s v="Split"/>
    <s v="From Receipt"/>
    <x v="27"/>
    <x v="14"/>
    <m/>
    <m/>
    <m/>
    <m/>
    <x v="5"/>
    <x v="0"/>
    <x v="3"/>
    <x v="0"/>
    <x v="0"/>
    <s v="None"/>
    <s v="Kids|Toys"/>
  </r>
  <r>
    <s v="First Tech - Checking (5544)"/>
    <d v="2014-07-23T00:00:00"/>
    <n v="-75.19"/>
    <s v="X"/>
    <s v="American Express (Autopay)"/>
    <s v="ACH Debit--AMEX EPayment AM - ACH PMT"/>
    <s v="[American Express (Costco)]"/>
    <m/>
    <m/>
    <m/>
    <x v="20"/>
    <x v="0"/>
    <m/>
    <m/>
    <m/>
    <m/>
    <x v="5"/>
    <x v="0"/>
    <x v="0"/>
    <x v="0"/>
    <x v="0"/>
    <s v="None"/>
    <s v="[American Express (Costco)]"/>
  </r>
  <r>
    <s v="First Tech - Checking (5544)"/>
    <d v="2014-07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5"/>
    <x v="0"/>
    <x v="3"/>
    <x v="0"/>
    <x v="0"/>
    <s v="None"/>
    <s v="Auto &amp; Transport|Auto Lease Payment"/>
  </r>
  <r>
    <s v="American Express (Costco)"/>
    <d v="2014-07-23T00:00:00"/>
    <n v="75.19"/>
    <s v="X"/>
    <s v="American Express (Autopay)"/>
    <s v="ACH Debit--AMEX EPayment AM - ACH PMT"/>
    <s v="[First Tech - Checking (5544)]"/>
    <m/>
    <m/>
    <m/>
    <x v="21"/>
    <x v="0"/>
    <m/>
    <m/>
    <m/>
    <m/>
    <x v="5"/>
    <x v="0"/>
    <x v="0"/>
    <x v="0"/>
    <x v="0"/>
    <s v="None"/>
    <s v="[First Tech - Checking (5544)]"/>
  </r>
  <r>
    <s v="Koolikai Credit Card"/>
    <d v="2014-07-23T00:00:00"/>
    <n v="231.67"/>
    <s v="X"/>
    <s v="Chase - Koolikai (Autopay)"/>
    <m/>
    <s v="[Koolikai - Checking XX2129]"/>
    <m/>
    <m/>
    <m/>
    <x v="25"/>
    <x v="0"/>
    <m/>
    <m/>
    <m/>
    <m/>
    <x v="5"/>
    <x v="0"/>
    <x v="0"/>
    <x v="0"/>
    <x v="0"/>
    <s v="None"/>
    <s v="[Koolikai - Checking XX2129]"/>
  </r>
  <r>
    <s v="Schwab - Checking (9784)"/>
    <d v="2014-07-22T00:00:00"/>
    <n v="-26.66"/>
    <s v="X"/>
    <s v="Fred Meyer"/>
    <m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Schwab - Checking (9784)"/>
    <d v="2014-07-22T00:00:00"/>
    <n v="-20"/>
    <s v="X"/>
    <s v="Fred Meyer"/>
    <s v="Cash back"/>
    <s v="Food &amp; Dining:Restaurants/From Receipt"/>
    <m/>
    <s v="Split"/>
    <s v="From Receipt"/>
    <x v="15"/>
    <x v="15"/>
    <m/>
    <m/>
    <m/>
    <m/>
    <x v="5"/>
    <x v="0"/>
    <x v="3"/>
    <x v="0"/>
    <x v="0"/>
    <s v="None"/>
    <s v="Food &amp; Dining|Restaurants"/>
  </r>
  <r>
    <s v="MasterCard (Capital One)"/>
    <d v="2014-07-20T00:00:00"/>
    <n v="-11.83"/>
    <s v="X"/>
    <s v="Pie Seattle Center"/>
    <s v="2011: PIE - SEATTLE CENTER SEATTLE WA 98109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20T00:00:00"/>
    <n v="-12"/>
    <s v="X"/>
    <s v="Children's Museum"/>
    <s v="2011: THE CHILDRENS MUSEUM S 206-4411768 WA 981094623 USA"/>
    <s v="Kids:Kids Activities"/>
    <m/>
    <m/>
    <m/>
    <x v="27"/>
    <x v="12"/>
    <m/>
    <m/>
    <m/>
    <m/>
    <x v="5"/>
    <x v="0"/>
    <x v="3"/>
    <x v="0"/>
    <x v="0"/>
    <s v="None"/>
    <s v="Kids|Kids Activities"/>
  </r>
  <r>
    <s v="MasterCard (Capital One)"/>
    <d v="2014-07-20T00:00:00"/>
    <n v="-18.23"/>
    <s v="X"/>
    <s v="Mod Superfast Pizza"/>
    <s v="2011: MOD SUPERFAST PIZZA - SEATTLE WA 98109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19T00:00:00"/>
    <n v="-31.68"/>
    <s v="X"/>
    <s v="Home Depot"/>
    <s v="Smoke alarm, tape measures, hole cover"/>
    <s v="Business Expenses (Koolikai):Office Expenses (Business)/From Receipt"/>
    <m/>
    <m/>
    <s v="From Receipt"/>
    <x v="36"/>
    <x v="42"/>
    <m/>
    <m/>
    <m/>
    <m/>
    <x v="5"/>
    <x v="0"/>
    <x v="3"/>
    <x v="0"/>
    <x v="0"/>
    <s v="None"/>
    <s v="Business Expenses (Koolikai)|Office Expenses (Business)"/>
  </r>
  <r>
    <s v="MasterCard (Capital One)"/>
    <d v="2014-07-19T00:00:00"/>
    <n v="-50.03"/>
    <s v="X"/>
    <s v="Lucianos Pizza &amp; Pasta"/>
    <s v="2011: LUCIANOS PIZZA AND PAS SEATTLE WA 98116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19T00:00:00"/>
    <n v="-2.6"/>
    <s v="X"/>
    <s v="Fred Meyer"/>
    <s v="Drawing pad and notebooks"/>
    <s v="Kids:Toys/From Receipt"/>
    <m/>
    <s v="Split"/>
    <s v="From Receipt"/>
    <x v="27"/>
    <x v="14"/>
    <m/>
    <m/>
    <m/>
    <m/>
    <x v="5"/>
    <x v="0"/>
    <x v="3"/>
    <x v="0"/>
    <x v="0"/>
    <s v="None"/>
    <s v="Kids|Toys"/>
  </r>
  <r>
    <s v="MasterCard (Capital One)"/>
    <d v="2014-07-19T00:00:00"/>
    <n v="-70.73"/>
    <s v="X"/>
    <s v="Fred Meyer"/>
    <m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18T00:00:00"/>
    <n v="-6.56"/>
    <s v="X"/>
    <s v="Greenwood Hardware"/>
    <s v="Sprinkler"/>
    <s v="Projects:Landscaping"/>
    <m/>
    <m/>
    <m/>
    <x v="39"/>
    <x v="47"/>
    <m/>
    <m/>
    <m/>
    <m/>
    <x v="5"/>
    <x v="0"/>
    <x v="6"/>
    <x v="0"/>
    <x v="0"/>
    <s v="None"/>
    <s v="Projects|Landscaping"/>
  </r>
  <r>
    <s v="MasterCard (Capital One)"/>
    <d v="2014-07-17T00:00:00"/>
    <n v="-21.9"/>
    <s v="X"/>
    <s v="Eastside Ski Sport"/>
    <s v="#Stay Fit# Bike repairs"/>
    <s v="Health &amp; Fitness:Sports/From Receipt"/>
    <m/>
    <m/>
    <s v="From Receipt"/>
    <x v="18"/>
    <x v="23"/>
    <m/>
    <m/>
    <s v="Stay Fit"/>
    <m/>
    <x v="5"/>
    <x v="0"/>
    <x v="4"/>
    <x v="0"/>
    <x v="0"/>
    <s v="None"/>
    <s v="Health &amp; Fitness|Sports"/>
  </r>
  <r>
    <s v="MasterCard (Capital One)"/>
    <d v="2014-07-17T00:00:00"/>
    <n v="-42.14"/>
    <s v="X"/>
    <s v="Phinney Market"/>
    <s v="2011: PHINNEY MARKET PUB &amp; E SEATTLE WA 9810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17T00:00:00"/>
    <n v="-46.87"/>
    <s v="X"/>
    <s v="Poquitos"/>
    <s v="2011: POQUITOS SEATTLE WA 98122 USA"/>
    <s v="Food &amp; Dining:Restaurants/From Receipt"/>
    <m/>
    <m/>
    <s v="From Receipt"/>
    <x v="15"/>
    <x v="15"/>
    <m/>
    <m/>
    <m/>
    <m/>
    <x v="5"/>
    <x v="0"/>
    <x v="3"/>
    <x v="0"/>
    <x v="0"/>
    <s v="None"/>
    <s v="Food &amp; Dining|Restaurants"/>
  </r>
  <r>
    <s v="MasterCard (Capital One)"/>
    <d v="2014-07-17T00:00:00"/>
    <n v="-100"/>
    <s v="X"/>
    <s v="Eurest"/>
    <s v="2011: CAFE 86 11171386 REDMOND WA 98052 USA"/>
    <s v="Food &amp; Dining:Restaurants/From Receipt"/>
    <m/>
    <m/>
    <s v="From Receipt"/>
    <x v="15"/>
    <x v="15"/>
    <m/>
    <m/>
    <m/>
    <m/>
    <x v="5"/>
    <x v="0"/>
    <x v="3"/>
    <x v="0"/>
    <x v="0"/>
    <s v="None"/>
    <s v="Food &amp; Dining|Restaurants"/>
  </r>
  <r>
    <s v="MasterCard (Capital One)"/>
    <d v="2014-07-17T00:00:00"/>
    <n v="-170.77"/>
    <s v="X"/>
    <s v="Southwest Inn At Sedona"/>
    <s v="#Sedona#"/>
    <s v="Vacation:Transportation"/>
    <m/>
    <m/>
    <m/>
    <x v="23"/>
    <x v="26"/>
    <m/>
    <m/>
    <s v="Sedona"/>
    <m/>
    <x v="5"/>
    <x v="0"/>
    <x v="4"/>
    <x v="0"/>
    <x v="0"/>
    <s v="None"/>
    <s v="Vacation|Transportation"/>
  </r>
  <r>
    <s v="First Tech - Checking (5544)"/>
    <d v="2014-07-16T00:00:00"/>
    <n v="-65"/>
    <s v="X"/>
    <s v="Sue Schoedal"/>
    <s v="Check--"/>
    <s v="Kids:Babysitter"/>
    <n v="2132"/>
    <m/>
    <m/>
    <x v="27"/>
    <x v="13"/>
    <m/>
    <m/>
    <m/>
    <m/>
    <x v="5"/>
    <x v="0"/>
    <x v="3"/>
    <x v="0"/>
    <x v="0"/>
    <s v="None"/>
    <s v="Kids|Babysitter"/>
  </r>
  <r>
    <s v="First Tech - Checking (5544)"/>
    <d v="2014-07-15T00:00:00"/>
    <n v="-51.08"/>
    <s v="X"/>
    <s v="Puget Sound Energy"/>
    <s v="ACH Debit--PUGET SOUND ENER DIRECT DEBITING - PSE BILL  12504348"/>
    <s v="Bills &amp; Utilities:Utilities"/>
    <m/>
    <m/>
    <m/>
    <x v="34"/>
    <x v="18"/>
    <m/>
    <m/>
    <m/>
    <m/>
    <x v="5"/>
    <x v="0"/>
    <x v="3"/>
    <x v="0"/>
    <x v="0"/>
    <s v="None"/>
    <s v="Bills &amp; Utilities|Utilities"/>
  </r>
  <r>
    <s v="MasterCard (Capital One)"/>
    <d v="2014-07-15T00:00:00"/>
    <n v="25"/>
    <s v="X"/>
    <s v="Capital One (Cash Back)"/>
    <s v="2011: CREDIT-CASH BACK REWARD"/>
    <s v="Other Inc"/>
    <m/>
    <m/>
    <m/>
    <x v="29"/>
    <x v="0"/>
    <m/>
    <m/>
    <m/>
    <m/>
    <x v="5"/>
    <x v="0"/>
    <x v="3"/>
    <x v="0"/>
    <x v="0"/>
    <s v="None"/>
    <s v="Other Inc"/>
  </r>
  <r>
    <s v="MasterCard (Capital One)"/>
    <d v="2014-07-15T00:00:00"/>
    <n v="-298"/>
    <s v="X"/>
    <s v="Alaska Air"/>
    <s v="#Sedona#"/>
    <s v="Vacation:Transportation"/>
    <m/>
    <m/>
    <m/>
    <x v="23"/>
    <x v="26"/>
    <m/>
    <m/>
    <s v="Sedona"/>
    <m/>
    <x v="5"/>
    <x v="0"/>
    <x v="4"/>
    <x v="0"/>
    <x v="0"/>
    <s v="None"/>
    <s v="Vacation|Transportation"/>
  </r>
  <r>
    <s v="First Tech - Checking (5544)"/>
    <d v="2014-07-14T00:00:00"/>
    <n v="3165.2"/>
    <s v="X"/>
    <s v="Microsoft (Paystub)"/>
    <s v="ACH Deposit--MICROSOFT  - EDIPAYMENT"/>
    <s v="Net Salary"/>
    <m/>
    <m/>
    <m/>
    <x v="35"/>
    <x v="0"/>
    <m/>
    <m/>
    <m/>
    <m/>
    <x v="5"/>
    <x v="0"/>
    <x v="3"/>
    <x v="0"/>
    <x v="0"/>
    <s v="None"/>
    <s v="Net Salary"/>
  </r>
  <r>
    <s v="First Tech - Checking (5544)"/>
    <d v="2014-07-14T00:00:00"/>
    <n v="-105.38"/>
    <s v="X"/>
    <s v="Seattle City Light"/>
    <s v="ACH Debit--CITY OF SEATTLE  - 1 - SCL De"/>
    <s v="Bills &amp; Utilities:Utilities"/>
    <m/>
    <m/>
    <m/>
    <x v="34"/>
    <x v="18"/>
    <m/>
    <m/>
    <m/>
    <m/>
    <x v="5"/>
    <x v="0"/>
    <x v="3"/>
    <x v="0"/>
    <x v="0"/>
    <s v="None"/>
    <s v="Bills &amp; Utilities|Utilities"/>
  </r>
  <r>
    <s v="MasterCard (Capital One)"/>
    <d v="2014-07-14T00:00:00"/>
    <n v="-15.86"/>
    <s v="X"/>
    <s v="Diamond Parking"/>
    <s v="2011: DIAMOND PARKING A096 SEATTLE WA 98101 USA"/>
    <s v="Auto &amp; Transport:Parking"/>
    <m/>
    <m/>
    <m/>
    <x v="17"/>
    <x v="11"/>
    <m/>
    <m/>
    <m/>
    <m/>
    <x v="5"/>
    <x v="0"/>
    <x v="3"/>
    <x v="0"/>
    <x v="0"/>
    <s v="None"/>
    <s v="Auto &amp; Transport|Parking"/>
  </r>
  <r>
    <s v="Koolikai Credit Card"/>
    <d v="2014-07-13T00:00:00"/>
    <n v="-146.97999999999999"/>
    <s v="X"/>
    <s v="Verizon Wireless"/>
    <m/>
    <s v="Business Expenses (Koolikai):Cell Phone"/>
    <m/>
    <m/>
    <m/>
    <x v="36"/>
    <x v="22"/>
    <m/>
    <m/>
    <m/>
    <m/>
    <x v="5"/>
    <x v="0"/>
    <x v="3"/>
    <x v="0"/>
    <x v="0"/>
    <s v="None"/>
    <s v="Business Expenses (Koolikai)|Cell Phone"/>
  </r>
  <r>
    <s v="MasterCard (Capital One)"/>
    <d v="2014-07-13T00:00:00"/>
    <n v="-13.13"/>
    <s v="X"/>
    <s v="Bartell Drug"/>
    <s v="Sunscreen"/>
    <s v="Food &amp; Dining:Groceries/From Receipt"/>
    <m/>
    <m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13T00:00:00"/>
    <n v="-16.43"/>
    <s v="X"/>
    <s v="Fred Meyer"/>
    <s v="2011: FRED-MEYER #0122 SEATTLE WA 98117 USA"/>
    <s v="Food &amp; Dining:Groceries/From Receipt"/>
    <m/>
    <m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13T00:00:00"/>
    <n v="-19.510000000000002"/>
    <s v="X"/>
    <s v="Mcdonald's"/>
    <s v="2011: MCDONALD'S F459 SEATTLE WA 98107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13T00:00:00"/>
    <n v="-21.88"/>
    <s v="X"/>
    <s v="Officemax"/>
    <s v="Mesh stacking letter trays"/>
    <s v="Business Expenses (Koolikai):Office Expenses (Business)/From Receipt"/>
    <m/>
    <m/>
    <s v="From Receipt"/>
    <x v="36"/>
    <x v="42"/>
    <m/>
    <m/>
    <m/>
    <m/>
    <x v="5"/>
    <x v="0"/>
    <x v="3"/>
    <x v="0"/>
    <x v="0"/>
    <s v="None"/>
    <s v="Business Expenses (Koolikai)|Office Expenses (Business)"/>
  </r>
  <r>
    <s v="MasterCard (Capital One)"/>
    <d v="2014-07-13T00:00:00"/>
    <n v="-24.16"/>
    <s v="X"/>
    <s v="Trader Joe's"/>
    <s v="2011: TRADER JOE'S #147 QPS SEATTLE WA 98107 USA"/>
    <s v="Food &amp; Dining:Groceries/From Receipt"/>
    <m/>
    <m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13T00:00:00"/>
    <n v="-4.92"/>
    <s v="X"/>
    <s v="Fred Meyer"/>
    <s v="2011: FRED-MEYER #0608 SEATTLE WA 98107 USA"/>
    <s v="Kids:Toys/From Receipt"/>
    <m/>
    <s v="Split"/>
    <s v="From Receipt"/>
    <x v="27"/>
    <x v="14"/>
    <m/>
    <m/>
    <m/>
    <m/>
    <x v="5"/>
    <x v="0"/>
    <x v="3"/>
    <x v="0"/>
    <x v="0"/>
    <s v="None"/>
    <s v="Kids|Toys"/>
  </r>
  <r>
    <s v="MasterCard (Capital One)"/>
    <d v="2014-07-13T00:00:00"/>
    <n v="-3.27"/>
    <s v="X"/>
    <s v="Fred Meyer"/>
    <s v="Gladware"/>
    <s v="Home:Furnishings/From Receipt"/>
    <m/>
    <s v="Split"/>
    <s v="From Receipt"/>
    <x v="14"/>
    <x v="2"/>
    <m/>
    <m/>
    <m/>
    <m/>
    <x v="5"/>
    <x v="0"/>
    <x v="3"/>
    <x v="0"/>
    <x v="0"/>
    <s v="None"/>
    <s v="Home|Furnishings"/>
  </r>
  <r>
    <s v="MasterCard (Capital One)"/>
    <d v="2014-07-13T00:00:00"/>
    <n v="-69.760000000000005"/>
    <s v="X"/>
    <s v="Fred Meyer"/>
    <m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Schwab - Checking (9784)"/>
    <d v="2014-07-12T00:00:00"/>
    <n v="-2"/>
    <s v="X"/>
    <s v="Ken's Market"/>
    <m/>
    <s v="Bank Fees &amp; Charges:ATM Fee/From Receipt"/>
    <m/>
    <s v="Split"/>
    <s v="From Receipt"/>
    <x v="32"/>
    <x v="17"/>
    <m/>
    <m/>
    <m/>
    <m/>
    <x v="5"/>
    <x v="0"/>
    <x v="3"/>
    <x v="0"/>
    <x v="0"/>
    <s v="None"/>
    <s v="Bank Fees &amp; Charges|ATM Fee"/>
  </r>
  <r>
    <s v="Schwab - Checking (9784)"/>
    <d v="2014-07-12T00:00:00"/>
    <n v="-15"/>
    <s v="X"/>
    <s v="Ken's Market"/>
    <s v="Folding table"/>
    <s v="Shopping:Hobbies:Camping Equipment/From Receipt"/>
    <m/>
    <s v="Split"/>
    <s v="From Receipt"/>
    <x v="13"/>
    <x v="48"/>
    <s v="Camping Equipment"/>
    <m/>
    <m/>
    <m/>
    <x v="5"/>
    <x v="0"/>
    <x v="2"/>
    <x v="0"/>
    <x v="0"/>
    <s v="None"/>
    <s v="Shopping|Hobbies"/>
  </r>
  <r>
    <s v="Schwab - Checking (9784)"/>
    <d v="2014-07-12T00:00:00"/>
    <n v="-5"/>
    <s v="X"/>
    <s v="Ken's Market"/>
    <m/>
    <s v="Food &amp; Dining:Restaurants/From Receipt"/>
    <m/>
    <s v="Split"/>
    <s v="From Receipt"/>
    <x v="15"/>
    <x v="15"/>
    <m/>
    <m/>
    <m/>
    <m/>
    <x v="5"/>
    <x v="0"/>
    <x v="3"/>
    <x v="0"/>
    <x v="0"/>
    <s v="None"/>
    <s v="Food &amp; Dining|Restaurants"/>
  </r>
  <r>
    <s v="Schwab - Checking (9784)"/>
    <d v="2014-07-12T00:00:00"/>
    <n v="-40"/>
    <s v="X"/>
    <s v="Bank Of America"/>
    <s v="Seattle Science Center, Polish"/>
    <s v="Food &amp; Dining:Restaurants"/>
    <m/>
    <s v="Split"/>
    <m/>
    <x v="15"/>
    <x v="15"/>
    <m/>
    <m/>
    <m/>
    <m/>
    <x v="5"/>
    <x v="0"/>
    <x v="3"/>
    <x v="0"/>
    <x v="0"/>
    <s v="None"/>
    <s v="Food &amp; Dining|Restaurants"/>
  </r>
  <r>
    <s v="Schwab - Checking (9784)"/>
    <d v="2014-07-12T00:00:00"/>
    <n v="-3"/>
    <s v="X"/>
    <s v="Bank Of America"/>
    <m/>
    <s v="Bank Fees &amp; Charges:ATM Fee"/>
    <m/>
    <s v="Split"/>
    <m/>
    <x v="32"/>
    <x v="17"/>
    <m/>
    <m/>
    <m/>
    <m/>
    <x v="5"/>
    <x v="0"/>
    <x v="3"/>
    <x v="0"/>
    <x v="0"/>
    <s v="None"/>
    <s v="Bank Fees &amp; Charges|ATM Fee"/>
  </r>
  <r>
    <s v="MasterCard (Capital One)"/>
    <d v="2014-07-12T00:00:00"/>
    <n v="-1.1000000000000001"/>
    <s v="X"/>
    <s v="City Of Kirkland - Parking"/>
    <s v="2011: CITY KIRKLAND PARKING KIRKLAND WA 98033 USA"/>
    <s v="Auto &amp; Transport:Parking"/>
    <m/>
    <m/>
    <m/>
    <x v="17"/>
    <x v="11"/>
    <m/>
    <m/>
    <m/>
    <m/>
    <x v="5"/>
    <x v="0"/>
    <x v="3"/>
    <x v="0"/>
    <x v="0"/>
    <s v="None"/>
    <s v="Auto &amp; Transport|Parking"/>
  </r>
  <r>
    <s v="MasterCard (Capital One)"/>
    <d v="2014-07-12T00:00:00"/>
    <n v="-3.85"/>
    <s v="X"/>
    <s v="Blue Bird"/>
    <s v="2011: BLUEBIRD ICE CREAM GRE SEATTLE WA 9810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12T00:00:00"/>
    <n v="-85.47"/>
    <s v="X"/>
    <s v="Beehive Salon"/>
    <s v="2011: BEEHIVE SALON SEATTLE WA 981036264 USA"/>
    <s v="Personal Care:Hair"/>
    <m/>
    <m/>
    <m/>
    <x v="31"/>
    <x v="16"/>
    <m/>
    <m/>
    <m/>
    <m/>
    <x v="5"/>
    <x v="0"/>
    <x v="3"/>
    <x v="0"/>
    <x v="0"/>
    <s v="None"/>
    <s v="Personal Care|Hair"/>
  </r>
  <r>
    <s v="MasterCard (Capital One)"/>
    <d v="2014-07-12T00:00:00"/>
    <n v="-115.45"/>
    <s v="X"/>
    <s v="Zig Zag Cafe"/>
    <s v="2011: ZIG ZAG CAFE SEATTLE WA 98101 USA"/>
    <s v="Food &amp; Dining:Restaurants/From Receipt"/>
    <m/>
    <m/>
    <s v="From Receipt"/>
    <x v="15"/>
    <x v="15"/>
    <m/>
    <m/>
    <m/>
    <m/>
    <x v="5"/>
    <x v="0"/>
    <x v="3"/>
    <x v="0"/>
    <x v="0"/>
    <s v="None"/>
    <s v="Food &amp; Dining|Restaurants"/>
  </r>
  <r>
    <s v="MasterCard (Capital One)"/>
    <d v="2014-07-11T00:00:00"/>
    <n v="-7.2"/>
    <s v="X"/>
    <s v="Good Go Internet"/>
    <s v="2011: GOOD2GO-INTERNET 08669368246 WA 98105 USA"/>
    <s v="Auto &amp; Transport:Tolls"/>
    <m/>
    <m/>
    <m/>
    <x v="17"/>
    <x v="40"/>
    <m/>
    <m/>
    <m/>
    <m/>
    <x v="5"/>
    <x v="0"/>
    <x v="4"/>
    <x v="0"/>
    <x v="0"/>
    <s v="None"/>
    <s v="Auto &amp; Transport|Tolls"/>
  </r>
  <r>
    <s v="MasterCard (Capital One)"/>
    <d v="2014-07-11T00:00:00"/>
    <n v="-17"/>
    <s v="X"/>
    <s v="The Grape Choice"/>
    <s v="2011: THE GRAPE CHOICE KIRKLAND WA 9803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First Tech - Checking (5544)"/>
    <d v="2014-07-10T00:00:00"/>
    <n v="-115"/>
    <s v="X"/>
    <s v="Cleaning Authority, The"/>
    <s v="ACH Debit--THE CLEANING AUT  - ONLINE PMT"/>
    <s v="Home:Home Services"/>
    <m/>
    <m/>
    <m/>
    <x v="14"/>
    <x v="46"/>
    <m/>
    <m/>
    <m/>
    <m/>
    <x v="5"/>
    <x v="0"/>
    <x v="3"/>
    <x v="0"/>
    <x v="0"/>
    <s v="None"/>
    <s v="Home|Home Services"/>
  </r>
  <r>
    <s v="Koolikai - Checking XX2129"/>
    <d v="2014-07-09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x v="5"/>
    <x v="0"/>
    <x v="3"/>
    <x v="0"/>
    <x v="0"/>
    <s v="None"/>
    <s v="Business Income (Koolikai)|Rent"/>
  </r>
  <r>
    <s v="MasterCard (Capital One)"/>
    <d v="2014-07-09T00:00:00"/>
    <n v="-6.55"/>
    <s v="X"/>
    <s v="Greenwood Hardware"/>
    <s v="House keys"/>
    <s v="Business Expenses (Koolikai):Office Expenses (Business)"/>
    <m/>
    <m/>
    <m/>
    <x v="36"/>
    <x v="42"/>
    <m/>
    <m/>
    <m/>
    <m/>
    <x v="5"/>
    <x v="0"/>
    <x v="3"/>
    <x v="0"/>
    <x v="0"/>
    <s v="None"/>
    <s v="Business Expenses (Koolikai)|Office Expenses (Business)"/>
  </r>
  <r>
    <s v="First Tech - Checking (5544)"/>
    <d v="2014-07-08T00:00:00"/>
    <n v="-109.06"/>
    <s v="X"/>
    <s v="Target (Autopay)"/>
    <s v="ACH Debit--TARGET CARD SRVC 001 - AUTO PYMT"/>
    <s v="[Target Red Card]"/>
    <m/>
    <m/>
    <m/>
    <x v="12"/>
    <x v="0"/>
    <m/>
    <m/>
    <m/>
    <m/>
    <x v="5"/>
    <x v="0"/>
    <x v="0"/>
    <x v="0"/>
    <x v="0"/>
    <s v="None"/>
    <s v="[Target Red Card]"/>
  </r>
  <r>
    <s v="First Tech - Checking (5544)"/>
    <d v="2014-07-08T00:00:00"/>
    <n v="-3748.69"/>
    <s v="X"/>
    <s v="Wells Fargo Home Mortgage"/>
    <s v="ACH Debit--WF HOME MTG ACH - AUTO PAY"/>
    <s v="Home:Mortgage"/>
    <m/>
    <m/>
    <m/>
    <x v="14"/>
    <x v="27"/>
    <m/>
    <m/>
    <m/>
    <m/>
    <x v="5"/>
    <x v="0"/>
    <x v="3"/>
    <x v="0"/>
    <x v="0"/>
    <s v="None"/>
    <s v="Home|Mortgage"/>
  </r>
  <r>
    <s v="Chase Freedom XX9381"/>
    <d v="2014-07-08T00:00:00"/>
    <n v="-5.1100000000000003"/>
    <s v="X"/>
    <s v="Shell"/>
    <s v="#Mt. St. Helens#"/>
    <s v="Vacation:Food"/>
    <m/>
    <m/>
    <m/>
    <x v="23"/>
    <x v="8"/>
    <m/>
    <m/>
    <s v="Mt. St. Helens"/>
    <m/>
    <x v="5"/>
    <x v="0"/>
    <x v="4"/>
    <x v="0"/>
    <x v="0"/>
    <s v="None"/>
    <s v="Vacation|Food"/>
  </r>
  <r>
    <s v="Chase Freedom XX9381"/>
    <d v="2014-07-08T00:00:00"/>
    <n v="-23.44"/>
    <s v="X"/>
    <s v="Shell"/>
    <s v="#Mt. St. Helens#"/>
    <s v="Vacation:Transportation"/>
    <m/>
    <m/>
    <m/>
    <x v="23"/>
    <x v="26"/>
    <m/>
    <m/>
    <s v="Mt. St. Helens"/>
    <m/>
    <x v="5"/>
    <x v="0"/>
    <x v="4"/>
    <x v="0"/>
    <x v="0"/>
    <s v="None"/>
    <s v="Vacation|Transportation"/>
  </r>
  <r>
    <s v="MasterCard (Capital One)"/>
    <d v="2014-07-08T00:00:00"/>
    <n v="-6.13"/>
    <s v="X"/>
    <s v="Bakker's Fine Dry Cleaning"/>
    <s v="2011: BAKKER'S FINE DRYCLEAN SEATTLE WA 98103 USA"/>
    <s v="Shopping:Clothing"/>
    <m/>
    <m/>
    <m/>
    <x v="13"/>
    <x v="1"/>
    <m/>
    <m/>
    <m/>
    <m/>
    <x v="5"/>
    <x v="0"/>
    <x v="2"/>
    <x v="0"/>
    <x v="0"/>
    <s v="None"/>
    <s v="Shopping|Clothing"/>
  </r>
  <r>
    <s v="MasterCard (Capital One)"/>
    <d v="2014-07-08T00:00:00"/>
    <n v="-258.27"/>
    <s v="X"/>
    <s v="Alexanders Country Inn"/>
    <s v="#Mt. Rainier 2014#"/>
    <s v="Vacation:Lodging"/>
    <m/>
    <m/>
    <m/>
    <x v="23"/>
    <x v="9"/>
    <m/>
    <m/>
    <s v="Mt. Rainier 2014"/>
    <m/>
    <x v="5"/>
    <x v="0"/>
    <x v="4"/>
    <x v="0"/>
    <x v="0"/>
    <s v="None"/>
    <s v="Vacation|Lodging"/>
  </r>
  <r>
    <s v="Chase Freedom XX9381"/>
    <d v="2014-07-07T00:00:00"/>
    <n v="-1.31"/>
    <s v="X"/>
    <s v="Redbox"/>
    <m/>
    <s v="Entertainment:Movies &amp; DVDs"/>
    <m/>
    <m/>
    <m/>
    <x v="30"/>
    <x v="43"/>
    <m/>
    <m/>
    <m/>
    <m/>
    <x v="5"/>
    <x v="0"/>
    <x v="6"/>
    <x v="0"/>
    <x v="0"/>
    <s v="None"/>
    <s v="Entertainment|Movies &amp; DVDs"/>
  </r>
  <r>
    <s v="Chase Freedom XX9381"/>
    <d v="2014-07-07T00:00:00"/>
    <n v="-49.58"/>
    <s v="X"/>
    <s v="Shell"/>
    <s v="#Mt. St. Helens#"/>
    <s v="Vacation:Transportation"/>
    <m/>
    <m/>
    <m/>
    <x v="23"/>
    <x v="26"/>
    <m/>
    <m/>
    <s v="Mt. St. Helens"/>
    <m/>
    <x v="5"/>
    <x v="0"/>
    <x v="4"/>
    <x v="0"/>
    <x v="0"/>
    <s v="None"/>
    <s v="Vacation|Transportation"/>
  </r>
  <r>
    <s v="Edward Jones - Investment Account"/>
    <d v="2014-07-07T00:00:00"/>
    <n v="28.8"/>
    <s v="c"/>
    <m/>
    <s v="CASH DIV ON 120 AT $.24 PER SHARE"/>
    <m/>
    <s v="Div"/>
    <m/>
    <m/>
    <x v="26"/>
    <x v="0"/>
    <m/>
    <m/>
    <m/>
    <m/>
    <x v="5"/>
    <x v="0"/>
    <x v="1"/>
    <x v="1"/>
    <x v="1"/>
    <e v="#N/A"/>
    <n v="0"/>
  </r>
  <r>
    <s v="Chase Freedom XX9381"/>
    <d v="2014-07-06T00:00:00"/>
    <n v="-3.93"/>
    <s v="X"/>
    <s v="Arco"/>
    <m/>
    <s v="Auto &amp; Transport:Gas &amp; Fuel"/>
    <m/>
    <m/>
    <m/>
    <x v="17"/>
    <x v="37"/>
    <m/>
    <m/>
    <m/>
    <m/>
    <x v="5"/>
    <x v="0"/>
    <x v="3"/>
    <x v="0"/>
    <x v="0"/>
    <s v="None"/>
    <s v="Auto &amp; Transport|Gas &amp; Fuel"/>
  </r>
  <r>
    <s v="MasterCard (Capital One)"/>
    <d v="2014-07-06T00:00:00"/>
    <n v="-5"/>
    <s v="X"/>
    <s v="Silverlake Visitor Ctr"/>
    <s v="#Mt. St. Helens# Visitor's center"/>
    <s v="Vacation:Activities"/>
    <m/>
    <m/>
    <m/>
    <x v="23"/>
    <x v="39"/>
    <m/>
    <m/>
    <s v="Mt. St. Helens"/>
    <m/>
    <x v="5"/>
    <x v="0"/>
    <x v="4"/>
    <x v="0"/>
    <x v="0"/>
    <s v="None"/>
    <s v="Vacation|Activities"/>
  </r>
  <r>
    <s v="MasterCard (Capital One)"/>
    <d v="2014-07-06T00:00:00"/>
    <n v="-6.3"/>
    <s v="X"/>
    <s v="Subway"/>
    <s v="2011: SUBWAY 00525212 KIRKLAND WA 9803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Target Red Card"/>
    <d v="2014-07-06T00:00:00"/>
    <n v="109.06"/>
    <s v="X"/>
    <s v="Target (Autopay)"/>
    <m/>
    <s v="[First Tech - Checking (5544)]"/>
    <m/>
    <m/>
    <m/>
    <x v="21"/>
    <x v="0"/>
    <m/>
    <m/>
    <m/>
    <m/>
    <x v="5"/>
    <x v="0"/>
    <x v="0"/>
    <x v="0"/>
    <x v="0"/>
    <s v="None"/>
    <s v="[First Tech - Checking (5544)]"/>
  </r>
  <r>
    <s v="MasterCard (Capital One)"/>
    <d v="2014-07-05T00:00:00"/>
    <n v="19.68"/>
    <s v="X"/>
    <s v="Home Depot"/>
    <s v="@CAT:@ Cat5E expansion board (returned)"/>
    <s v="Business Expenses (Koolikai):Repairs/7231:From Receipt"/>
    <m/>
    <m/>
    <s v="7231:From Receipt"/>
    <x v="36"/>
    <x v="41"/>
    <m/>
    <m/>
    <m/>
    <m/>
    <x v="5"/>
    <x v="0"/>
    <x v="4"/>
    <x v="0"/>
    <x v="0"/>
    <s v="None"/>
    <s v="Business Expenses (Koolikai)|Repairs"/>
  </r>
  <r>
    <s v="MasterCard (Capital One)"/>
    <d v="2014-07-05T00:00:00"/>
    <n v="-6.76"/>
    <s v="X"/>
    <s v="Menchie Frozen Yogurt"/>
    <s v="2011: MENCHIE`S FROZEN YOGUR KIRKLAND WA 9803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05T00:00:00"/>
    <n v="-8.48"/>
    <s v="X"/>
    <s v="Home Depot"/>
    <s v="Office conversion (grommit for cables, shelf supports, etc)"/>
    <s v="Business Expenses (Koolikai):Office Expenses (Business)/From Receipt"/>
    <m/>
    <m/>
    <s v="From Receipt"/>
    <x v="36"/>
    <x v="42"/>
    <m/>
    <m/>
    <m/>
    <m/>
    <x v="5"/>
    <x v="0"/>
    <x v="3"/>
    <x v="0"/>
    <x v="0"/>
    <s v="None"/>
    <s v="Business Expenses (Koolikai)|Office Expenses (Business)"/>
  </r>
  <r>
    <s v="MasterCard (Capital One)"/>
    <d v="2014-07-05T00:00:00"/>
    <n v="-8.67"/>
    <s v="X"/>
    <s v="Home Depot"/>
    <s v="Alligator clips"/>
    <s v="Home:Home Improvement/From Receipt"/>
    <m/>
    <m/>
    <s v="From Receipt"/>
    <x v="14"/>
    <x v="19"/>
    <m/>
    <m/>
    <m/>
    <m/>
    <x v="5"/>
    <x v="0"/>
    <x v="4"/>
    <x v="0"/>
    <x v="0"/>
    <s v="None"/>
    <s v="Home|Home Improvement"/>
  </r>
  <r>
    <s v="MasterCard (Capital One)"/>
    <d v="2014-07-05T00:00:00"/>
    <n v="-26.15"/>
    <s v="X"/>
    <s v="Naked City Brewery"/>
    <s v="2011: NAKED CITY BREWERY SEATTLE WA 9810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04T00:00:00"/>
    <n v="-9.76"/>
    <s v="X"/>
    <s v="Ken's Market"/>
    <s v="2011: KEN'S MARKET #75-116 SEATTLE WA 98103 USA"/>
    <s v="Food &amp; Dining:Groceries"/>
    <m/>
    <m/>
    <m/>
    <x v="15"/>
    <x v="3"/>
    <m/>
    <m/>
    <m/>
    <m/>
    <x v="5"/>
    <x v="0"/>
    <x v="3"/>
    <x v="0"/>
    <x v="0"/>
    <s v="None"/>
    <s v="Food &amp; Dining|Groceries"/>
  </r>
  <r>
    <s v="MasterCard (Capital One)"/>
    <d v="2014-07-04T00:00:00"/>
    <n v="-12.81"/>
    <s v="X"/>
    <s v="Lancer"/>
    <s v="Quesedillas at Woodland Park Zoo"/>
    <s v="Food &amp; Dining:Restaurants/From Receipt"/>
    <m/>
    <m/>
    <s v="From Receipt"/>
    <x v="15"/>
    <x v="15"/>
    <m/>
    <m/>
    <m/>
    <m/>
    <x v="5"/>
    <x v="0"/>
    <x v="3"/>
    <x v="0"/>
    <x v="0"/>
    <s v="None"/>
    <s v="Food &amp; Dining|Restaurants"/>
  </r>
  <r>
    <s v="MasterCard (Capital One)"/>
    <d v="2014-07-04T00:00:00"/>
    <n v="-12.95"/>
    <s v="X"/>
    <s v="Martino's"/>
    <s v="2011: MARTINO'S SEATTLE WA 98103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MasterCard (Capital One)"/>
    <d v="2014-07-04T00:00:00"/>
    <n v="-8.75"/>
    <s v="X"/>
    <s v="Fred Meyer"/>
    <s v="4D Pump... returned for gift c"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04T00:00:00"/>
    <n v="-122.99"/>
    <s v="X"/>
    <s v="Fred Meyer"/>
    <m/>
    <s v="Food &amp; Dining:Groceries/From Receipt"/>
    <m/>
    <s v="Split"/>
    <s v="From Receipt"/>
    <x v="15"/>
    <x v="3"/>
    <m/>
    <m/>
    <m/>
    <m/>
    <x v="5"/>
    <x v="0"/>
    <x v="3"/>
    <x v="0"/>
    <x v="0"/>
    <s v="None"/>
    <s v="Food &amp; Dining|Groceries"/>
  </r>
  <r>
    <s v="MasterCard (Capital One)"/>
    <d v="2014-07-03T00:00:00"/>
    <n v="-8.75"/>
    <s v="X"/>
    <s v="Netflix"/>
    <s v="2011: NETFLIX.COM NETFLIX.COM CA 95032 USA"/>
    <s v="Entertainment:Movies &amp; DVDs"/>
    <m/>
    <m/>
    <m/>
    <x v="30"/>
    <x v="43"/>
    <m/>
    <m/>
    <m/>
    <m/>
    <x v="5"/>
    <x v="0"/>
    <x v="6"/>
    <x v="0"/>
    <x v="0"/>
    <s v="None"/>
    <s v="Entertainment|Movies &amp; DVDs"/>
  </r>
  <r>
    <s v="MasterCard (Capital One)"/>
    <d v="2014-07-03T00:00:00"/>
    <n v="-24.89"/>
    <s v="X"/>
    <s v="Thai Siam Restaurant"/>
    <s v="2011: THAI SIAM RESTAURANT SEATTLE WA 98117 USA"/>
    <s v="Food &amp; Dining:Restaurants"/>
    <m/>
    <m/>
    <m/>
    <x v="15"/>
    <x v="15"/>
    <m/>
    <m/>
    <m/>
    <m/>
    <x v="5"/>
    <x v="0"/>
    <x v="3"/>
    <x v="0"/>
    <x v="0"/>
    <s v="None"/>
    <s v="Food &amp; Dining|Restaurants"/>
  </r>
  <r>
    <s v="First Tech - Checking (5544)"/>
    <d v="2014-07-02T00:00:00"/>
    <n v="903.11"/>
    <s v="X"/>
    <s v="Microsoft (Reimbursement)"/>
    <s v="#Go Cart Racing# with team"/>
    <s v="Work Expense:Reimbursement"/>
    <m/>
    <m/>
    <m/>
    <x v="19"/>
    <x v="6"/>
    <m/>
    <m/>
    <s v="Go Cart Racing"/>
    <m/>
    <x v="5"/>
    <x v="0"/>
    <x v="4"/>
    <x v="0"/>
    <x v="0"/>
    <s v="None"/>
    <s v="Work Expense|Reimbursement"/>
  </r>
  <r>
    <s v="First Tech - Checking (5544)"/>
    <d v="2014-07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5"/>
    <x v="0"/>
    <x v="3"/>
    <x v="0"/>
    <x v="0"/>
    <s v="None"/>
    <s v="Business Expenses (Koolikai)|Mortgage (Business)"/>
  </r>
  <r>
    <s v="First Tech - Checking (5544)"/>
    <d v="2014-07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5"/>
    <x v="0"/>
    <x v="3"/>
    <x v="0"/>
    <x v="0"/>
    <s v="None"/>
    <s v="Business Expenses (Koolikai)|Mortgage (Business)"/>
  </r>
  <r>
    <s v="First Tech - Checking (5544)"/>
    <d v="2014-07-02T00:00:00"/>
    <n v="-4284.17"/>
    <s v="X"/>
    <s v="Capital One (Autopay)"/>
    <s v="ACH Debit--CAPITAL ONE  - CRCARDPMT"/>
    <s v="[MasterCard (Capital One)]"/>
    <m/>
    <m/>
    <m/>
    <x v="38"/>
    <x v="0"/>
    <m/>
    <m/>
    <m/>
    <m/>
    <x v="5"/>
    <x v="0"/>
    <x v="0"/>
    <x v="0"/>
    <x v="0"/>
    <s v="None"/>
    <s v="[MasterCard (Capital One)]"/>
  </r>
  <r>
    <s v="MasterCard (Capital One)"/>
    <d v="2014-07-02T00:00:00"/>
    <n v="-9.8000000000000007"/>
    <s v="X"/>
    <s v="Ken's Market"/>
    <s v="2011: KEN'S MARKET #75-116 SEATTLE WA 98103 USA"/>
    <s v="Food &amp; Dining:Groceries"/>
    <m/>
    <m/>
    <m/>
    <x v="15"/>
    <x v="3"/>
    <m/>
    <m/>
    <m/>
    <m/>
    <x v="5"/>
    <x v="0"/>
    <x v="3"/>
    <x v="0"/>
    <x v="0"/>
    <s v="None"/>
    <s v="Food &amp; Dining|Groceries"/>
  </r>
  <r>
    <s v="MasterCard (Capital One)"/>
    <d v="2014-07-02T00:00:00"/>
    <n v="-15.86"/>
    <s v="X"/>
    <s v="Diamond Parking"/>
    <s v="2011: DIAMOND PARKING A096 SEATTLE WA 98101 USA"/>
    <s v="Auto &amp; Transport:Parking"/>
    <m/>
    <m/>
    <m/>
    <x v="17"/>
    <x v="11"/>
    <m/>
    <m/>
    <m/>
    <m/>
    <x v="5"/>
    <x v="0"/>
    <x v="3"/>
    <x v="0"/>
    <x v="0"/>
    <s v="None"/>
    <s v="Auto &amp; Transport|Parking"/>
  </r>
  <r>
    <s v="MasterCard (Capital One)"/>
    <d v="2014-07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x v="5"/>
    <x v="0"/>
    <x v="3"/>
    <x v="0"/>
    <x v="0"/>
    <s v="None"/>
    <s v="Bills &amp; Utilities|Television"/>
  </r>
  <r>
    <s v="MasterCard (Capital One)"/>
    <d v="2014-07-02T00:00:00"/>
    <n v="-64.08"/>
    <s v="X"/>
    <s v="Comcast"/>
    <m/>
    <s v="Business Expenses (Koolikai):Internet"/>
    <m/>
    <s v="Split"/>
    <m/>
    <x v="36"/>
    <x v="33"/>
    <m/>
    <m/>
    <m/>
    <m/>
    <x v="5"/>
    <x v="0"/>
    <x v="3"/>
    <x v="0"/>
    <x v="0"/>
    <s v="None"/>
    <s v="Business Expenses (Koolikai)|Internet"/>
  </r>
  <r>
    <s v="MasterCard (Capital One)"/>
    <d v="2014-07-02T00:00:00"/>
    <n v="-44.08"/>
    <s v="X"/>
    <s v="Comcast"/>
    <m/>
    <s v="Bills &amp; Utilities:Home Phone"/>
    <m/>
    <s v="Split"/>
    <m/>
    <x v="34"/>
    <x v="34"/>
    <m/>
    <m/>
    <m/>
    <m/>
    <x v="5"/>
    <x v="0"/>
    <x v="3"/>
    <x v="0"/>
    <x v="0"/>
    <s v="None"/>
    <s v="Bills &amp; Utilities|Home Phone"/>
  </r>
  <r>
    <s v="First Tech - Checking (5544)"/>
    <d v="2014-07-01T00:00:00"/>
    <n v="-1976"/>
    <s v="X"/>
    <s v="Phinney Ridge CDC"/>
    <s v="ACH Debit--PHINNEY RIDGE LU 504759859 - CONTRIBUTN"/>
    <s v="Kids:Daycare"/>
    <m/>
    <m/>
    <m/>
    <x v="27"/>
    <x v="35"/>
    <m/>
    <m/>
    <m/>
    <m/>
    <x v="5"/>
    <x v="0"/>
    <x v="3"/>
    <x v="0"/>
    <x v="0"/>
    <s v="None"/>
    <s v="Kids|Daycare"/>
  </r>
  <r>
    <s v="First Tech - Checking (5544)"/>
    <d v="2014-07-01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5"/>
    <x v="0"/>
    <x v="3"/>
    <x v="0"/>
    <x v="0"/>
    <s v="None"/>
    <s v="Kids|American Funds 529A"/>
  </r>
  <r>
    <s v="MasterCard (Capital One)"/>
    <d v="2014-07-01T00:00:00"/>
    <n v="4284.17"/>
    <s v="X"/>
    <s v="Capital One (Autopay)"/>
    <s v="2011: CAPITAL ONE AUTOPAY PYMT AuthDate 06-JUN"/>
    <s v="[First Tech - Checking (5544)]"/>
    <m/>
    <m/>
    <m/>
    <x v="21"/>
    <x v="0"/>
    <m/>
    <m/>
    <m/>
    <m/>
    <x v="5"/>
    <x v="0"/>
    <x v="0"/>
    <x v="0"/>
    <x v="0"/>
    <s v="None"/>
    <s v="[First Tech - Checking (5544)]"/>
  </r>
  <r>
    <s v="Capital One - Investment (6759)"/>
    <d v="2014-06-30T00:00:00"/>
    <n v="19.38"/>
    <s v="X"/>
    <s v="Capital One (Interest Income)"/>
    <s v="@CAT:@"/>
    <s v="Interest Income"/>
    <s v="INT"/>
    <m/>
    <m/>
    <x v="40"/>
    <x v="0"/>
    <m/>
    <m/>
    <m/>
    <m/>
    <x v="6"/>
    <x v="0"/>
    <x v="3"/>
    <x v="0"/>
    <x v="0"/>
    <s v="None"/>
    <s v="Interest Income"/>
  </r>
  <r>
    <s v="Capital One - Long Term Emergency (1201)"/>
    <d v="2014-06-30T00:00:00"/>
    <n v="48.65"/>
    <s v="X"/>
    <s v="Capital One (Interest Income)"/>
    <s v="@CAT:@"/>
    <s v="Interest Income"/>
    <s v="INT"/>
    <m/>
    <m/>
    <x v="40"/>
    <x v="0"/>
    <m/>
    <m/>
    <m/>
    <m/>
    <x v="6"/>
    <x v="0"/>
    <x v="3"/>
    <x v="0"/>
    <x v="0"/>
    <s v="None"/>
    <s v="Interest Income"/>
  </r>
  <r>
    <s v="Capital One - Secondary Savings (3126)"/>
    <d v="2014-06-30T00:00:00"/>
    <n v="0.02"/>
    <s v="X"/>
    <s v="Capital One (Interest Income)"/>
    <s v="@CAT:@"/>
    <s v="Interest Income"/>
    <s v="INT"/>
    <m/>
    <m/>
    <x v="40"/>
    <x v="0"/>
    <m/>
    <m/>
    <m/>
    <m/>
    <x v="6"/>
    <x v="0"/>
    <x v="3"/>
    <x v="0"/>
    <x v="0"/>
    <s v="None"/>
    <s v="Interest Income"/>
  </r>
  <r>
    <s v="Capital One - Vacation (4959)"/>
    <d v="2014-06-30T00:00:00"/>
    <n v="2.06"/>
    <s v="X"/>
    <s v="Capital One (Interest Income)"/>
    <s v="@CAT:@"/>
    <s v="Interest Income"/>
    <s v="INT"/>
    <m/>
    <m/>
    <x v="40"/>
    <x v="0"/>
    <m/>
    <m/>
    <m/>
    <m/>
    <x v="6"/>
    <x v="0"/>
    <x v="3"/>
    <x v="0"/>
    <x v="0"/>
    <s v="None"/>
    <s v="Interest Income"/>
  </r>
  <r>
    <s v="First Tech - Checking (5544)"/>
    <d v="2014-06-30T00:00:00"/>
    <n v="-211.95"/>
    <s v="X"/>
    <s v="City Of Seattle"/>
    <s v="@BAL:41495.16@;@CAT:@"/>
    <s v="Bills &amp; Utilities:Utilities"/>
    <m/>
    <m/>
    <m/>
    <x v="34"/>
    <x v="18"/>
    <m/>
    <m/>
    <m/>
    <m/>
    <x v="6"/>
    <x v="0"/>
    <x v="3"/>
    <x v="0"/>
    <x v="0"/>
    <s v="None"/>
    <s v="Bills &amp; Utilities|Utilities"/>
  </r>
  <r>
    <s v="First Tech - Short Term Emergency (5400)"/>
    <d v="2014-06-30T00:00:00"/>
    <n v="1.57"/>
    <s v="X"/>
    <s v="First Tech (Dividend)"/>
    <s v="Credit Dividend--"/>
    <s v="Interest Income"/>
    <m/>
    <m/>
    <m/>
    <x v="40"/>
    <x v="0"/>
    <m/>
    <m/>
    <m/>
    <m/>
    <x v="6"/>
    <x v="0"/>
    <x v="3"/>
    <x v="0"/>
    <x v="0"/>
    <s v="None"/>
    <s v="Interest Income"/>
  </r>
  <r>
    <s v="Koolikai - Sec Dep XX1200"/>
    <d v="2014-06-30T00:00:00"/>
    <n v="0.18"/>
    <s v="X"/>
    <s v="First Tech (Dividend)"/>
    <s v="Credit Dividend--"/>
    <s v="Interest Income"/>
    <m/>
    <m/>
    <m/>
    <x v="40"/>
    <x v="0"/>
    <m/>
    <m/>
    <m/>
    <m/>
    <x v="6"/>
    <x v="0"/>
    <x v="3"/>
    <x v="0"/>
    <x v="0"/>
    <s v="None"/>
    <s v="Interest Income"/>
  </r>
  <r>
    <s v="Schwab - Checking (9784)"/>
    <d v="2014-06-30T00:00:00"/>
    <n v="0.08"/>
    <s v="X"/>
    <s v="Interest Paid"/>
    <m/>
    <s v="Interest Income"/>
    <m/>
    <m/>
    <m/>
    <x v="40"/>
    <x v="0"/>
    <m/>
    <m/>
    <m/>
    <m/>
    <x v="6"/>
    <x v="0"/>
    <x v="3"/>
    <x v="0"/>
    <x v="0"/>
    <s v="None"/>
    <s v="Interest Income"/>
  </r>
  <r>
    <s v="Schwab - Checking (9784)"/>
    <d v="2014-06-30T00:00:00"/>
    <n v="7.25"/>
    <s v="X"/>
    <s v="ATM Fee Refund"/>
    <m/>
    <s v="Bank Fees &amp; Charges:ATM Fee"/>
    <m/>
    <m/>
    <m/>
    <x v="32"/>
    <x v="17"/>
    <m/>
    <m/>
    <m/>
    <m/>
    <x v="6"/>
    <x v="0"/>
    <x v="3"/>
    <x v="0"/>
    <x v="0"/>
    <s v="None"/>
    <s v="Bank Fees &amp; Charges|ATM Fee"/>
  </r>
  <r>
    <s v="MasterCard (Capital One)"/>
    <d v="2014-06-30T00:00:00"/>
    <n v="-27.34"/>
    <s v="X"/>
    <s v="Home Depot"/>
    <s v="Smoke detector"/>
    <s v="Business Expenses (Koolikai):Office Expenses (Business)"/>
    <m/>
    <m/>
    <m/>
    <x v="36"/>
    <x v="42"/>
    <m/>
    <m/>
    <m/>
    <m/>
    <x v="6"/>
    <x v="0"/>
    <x v="3"/>
    <x v="0"/>
    <x v="0"/>
    <s v="None"/>
    <s v="Business Expenses (Koolikai)|Office Expenses (Business)"/>
  </r>
  <r>
    <s v="First Tech - Checking (5544)"/>
    <d v="2014-06-29T00:00:00"/>
    <n v="21.17"/>
    <s v="X"/>
    <s v="Childrens Hospital"/>
    <s v="Deposit--Shared Branch Mobile Deposit          First Tech FC CA"/>
    <s v="Health &amp; Fitness:Doctor"/>
    <m/>
    <m/>
    <m/>
    <x v="18"/>
    <x v="56"/>
    <m/>
    <m/>
    <m/>
    <m/>
    <x v="6"/>
    <x v="0"/>
    <x v="4"/>
    <x v="0"/>
    <x v="0"/>
    <s v="None"/>
    <s v="Health &amp; Fitness|Doctor"/>
  </r>
  <r>
    <s v="First Tech - Checking (5544)"/>
    <d v="2014-06-29T00:00:00"/>
    <n v="3165.19"/>
    <s v="X"/>
    <s v="Microsoft (Paystub)"/>
    <s v="ACH Deposit--MICROSOFT  - EDIPAYMENT"/>
    <s v="Net Salary"/>
    <m/>
    <m/>
    <m/>
    <x v="35"/>
    <x v="0"/>
    <m/>
    <m/>
    <m/>
    <m/>
    <x v="6"/>
    <x v="0"/>
    <x v="3"/>
    <x v="0"/>
    <x v="0"/>
    <s v="None"/>
    <s v="Net Salary"/>
  </r>
  <r>
    <s v="First Tech - Checking (5544)"/>
    <d v="2014-06-29T00:00:00"/>
    <n v="6058.12"/>
    <s v="X"/>
    <s v="CRAB (Paystub)"/>
    <s v="ACH Deposit--Cancer Research  - Payroll"/>
    <s v="Net Salary"/>
    <m/>
    <m/>
    <m/>
    <x v="35"/>
    <x v="0"/>
    <m/>
    <m/>
    <m/>
    <m/>
    <x v="6"/>
    <x v="0"/>
    <x v="3"/>
    <x v="0"/>
    <x v="0"/>
    <s v="None"/>
    <s v="Net Salary"/>
  </r>
  <r>
    <s v="Chase Freedom XX9381"/>
    <d v="2014-06-29T00:00:00"/>
    <n v="-12.9"/>
    <s v="X"/>
    <s v="Burney Brothers Bbq"/>
    <s v="Lunch with Rich and Amy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29T00:00:00"/>
    <n v="-34"/>
    <s v="X"/>
    <s v="Rudys Barber Shop"/>
    <s v="2011: RUDYS BARBER SHOP - PH SEATTLE WA 98103 USA"/>
    <s v="Personal Care:Hair/From Receipt"/>
    <m/>
    <m/>
    <s v="From Receipt"/>
    <x v="31"/>
    <x v="16"/>
    <m/>
    <m/>
    <m/>
    <m/>
    <x v="6"/>
    <x v="0"/>
    <x v="3"/>
    <x v="0"/>
    <x v="0"/>
    <s v="None"/>
    <s v="Personal Care|Hair"/>
  </r>
  <r>
    <s v="MasterCard (Capital One)"/>
    <d v="2014-06-29T00:00:00"/>
    <n v="-99"/>
    <s v="X"/>
    <s v="Amazon"/>
    <s v="Prime membership"/>
    <s v="Subscriptions &amp; Dues"/>
    <m/>
    <m/>
    <m/>
    <x v="33"/>
    <x v="0"/>
    <m/>
    <m/>
    <m/>
    <m/>
    <x v="6"/>
    <x v="0"/>
    <x v="2"/>
    <x v="0"/>
    <x v="0"/>
    <s v="None"/>
    <s v="Subscriptions &amp; Dues"/>
  </r>
  <r>
    <s v="MasterCard (Capital One)"/>
    <d v="2014-06-28T00:00:00"/>
    <n v="-6.78"/>
    <s v="X"/>
    <s v="Newegg"/>
    <s v="Network cable"/>
    <s v="Projects:Boy's Room/From Receipt"/>
    <m/>
    <m/>
    <s v="From Receipt"/>
    <x v="39"/>
    <x v="57"/>
    <m/>
    <m/>
    <m/>
    <m/>
    <x v="6"/>
    <x v="0"/>
    <x v="6"/>
    <x v="0"/>
    <x v="0"/>
    <s v="None"/>
    <s v="Projects|Boy's Room"/>
  </r>
  <r>
    <s v="MasterCard (Capital One)"/>
    <d v="2014-06-28T00:00:00"/>
    <n v="-9.52"/>
    <s v="X"/>
    <s v="Swirl Wine Bar"/>
    <s v="2011: SWIRL SEATTLE WA 98155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28T00:00:00"/>
    <n v="-16.97"/>
    <s v="X"/>
    <s v="Honey Bear Bakery"/>
    <s v="2011: HONEY BEAR BAKERY LAKE FOREST P WA 98155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28T00:00:00"/>
    <n v="-19.68"/>
    <s v="X"/>
    <s v="Home Depot"/>
    <s v="CAT5E Data Port Expansion"/>
    <s v="Business Expenses (Koolikai):Repairs/7231:From Receipt"/>
    <m/>
    <m/>
    <s v="7231:From Receipt"/>
    <x v="36"/>
    <x v="41"/>
    <m/>
    <m/>
    <m/>
    <m/>
    <x v="6"/>
    <x v="0"/>
    <x v="4"/>
    <x v="0"/>
    <x v="0"/>
    <s v="None"/>
    <s v="Business Expenses (Koolikai)|Repairs"/>
  </r>
  <r>
    <s v="First Tech - Checking (5544)"/>
    <d v="2014-06-27T00:00:00"/>
    <n v="-954.76"/>
    <s v="X"/>
    <s v="Chase  - Autopay"/>
    <s v="ACH Debit--CHASE  - AUTOPAY"/>
    <s v="[Chase Freedom XX9381]"/>
    <m/>
    <m/>
    <m/>
    <x v="7"/>
    <x v="0"/>
    <m/>
    <m/>
    <m/>
    <m/>
    <x v="6"/>
    <x v="0"/>
    <x v="1"/>
    <x v="1"/>
    <x v="1"/>
    <e v="#N/A"/>
    <s v="[Chase Freedom XX9381]"/>
  </r>
  <r>
    <s v="Chase Freedom XX9381"/>
    <d v="2014-06-27T00:00:00"/>
    <n v="19.7"/>
    <s v="X"/>
    <s v="Fred Meyer"/>
    <s v="#Stay Fit# Returned bike lock"/>
    <s v="Health &amp; Fitness:Sports/From Receipt"/>
    <m/>
    <m/>
    <s v="From Receipt"/>
    <x v="18"/>
    <x v="23"/>
    <m/>
    <m/>
    <s v="Stay Fit"/>
    <m/>
    <x v="6"/>
    <x v="0"/>
    <x v="4"/>
    <x v="0"/>
    <x v="0"/>
    <s v="None"/>
    <s v="Health &amp; Fitness|Sports"/>
  </r>
  <r>
    <s v="Chase Freedom XX9381"/>
    <d v="2014-06-27T00:00:00"/>
    <n v="-10.91"/>
    <s v="X"/>
    <s v="Lowe's"/>
    <s v="Hose nozzles"/>
    <s v="Home:Home Improvement/From Receipt"/>
    <m/>
    <m/>
    <s v="From Receipt"/>
    <x v="14"/>
    <x v="19"/>
    <m/>
    <m/>
    <m/>
    <m/>
    <x v="6"/>
    <x v="0"/>
    <x v="4"/>
    <x v="0"/>
    <x v="0"/>
    <s v="None"/>
    <s v="Home|Home Improvement"/>
  </r>
  <r>
    <s v="Chase Freedom XX9381"/>
    <d v="2014-06-27T00:00:00"/>
    <n v="-24.05"/>
    <s v="X"/>
    <s v="Zeeks Pizza Phinney"/>
    <m/>
    <s v="Food &amp; Dining:Restaurants/From Receipt"/>
    <m/>
    <m/>
    <s v="From Receipt"/>
    <x v="15"/>
    <x v="15"/>
    <m/>
    <m/>
    <m/>
    <m/>
    <x v="6"/>
    <x v="0"/>
    <x v="3"/>
    <x v="0"/>
    <x v="0"/>
    <s v="None"/>
    <s v="Food &amp; Dining|Restaurants"/>
  </r>
  <r>
    <s v="Chase Freedom XX9381"/>
    <d v="2014-06-27T00:00:00"/>
    <n v="-688.86"/>
    <s v="X"/>
    <s v="Lowe's"/>
    <s v="Washing machine"/>
    <s v="Projects:Appliances"/>
    <m/>
    <m/>
    <m/>
    <x v="39"/>
    <x v="36"/>
    <m/>
    <m/>
    <m/>
    <m/>
    <x v="6"/>
    <x v="0"/>
    <x v="6"/>
    <x v="0"/>
    <x v="0"/>
    <s v="None"/>
    <s v="Projects|Appliances"/>
  </r>
  <r>
    <s v="MasterCard (Capital One)"/>
    <d v="2014-06-27T00:00:00"/>
    <n v="-10.85"/>
    <s v="X"/>
    <s v="Gymboree"/>
    <s v="2011: GYMBOREE 507350050731 TULALIP WA 98271 USA"/>
    <s v="Kids:Clothing/From Receipt"/>
    <m/>
    <m/>
    <s v="From Receipt"/>
    <x v="27"/>
    <x v="1"/>
    <m/>
    <m/>
    <m/>
    <m/>
    <x v="6"/>
    <x v="0"/>
    <x v="3"/>
    <x v="0"/>
    <x v="0"/>
    <s v="None"/>
    <s v="Kids|Clothing"/>
  </r>
  <r>
    <s v="MasterCard (Capital One)"/>
    <d v="2014-06-27T00:00:00"/>
    <n v="-33.64"/>
    <s v="X"/>
    <s v="Ann Taylor"/>
    <s v="2011: ANN TAYLOR LOFT #2955 TULALIP WA 98271 USA"/>
    <s v="Shopping:Clothing/From Receipt"/>
    <m/>
    <m/>
    <s v="From Receipt"/>
    <x v="13"/>
    <x v="1"/>
    <m/>
    <m/>
    <m/>
    <m/>
    <x v="6"/>
    <x v="0"/>
    <x v="2"/>
    <x v="0"/>
    <x v="0"/>
    <s v="None"/>
    <s v="Shopping|Clothing"/>
  </r>
  <r>
    <s v="MasterCard (Capital One)"/>
    <d v="2014-06-27T00:00:00"/>
    <n v="-49.92"/>
    <s v="X"/>
    <s v="Ann Taylor"/>
    <s v="2011: ANN TAYLOR FACTORY #12 TULALIP WA 98271 USA"/>
    <s v="Shopping:Clothing/From Receipt"/>
    <m/>
    <m/>
    <s v="From Receipt"/>
    <x v="13"/>
    <x v="1"/>
    <m/>
    <m/>
    <m/>
    <m/>
    <x v="6"/>
    <x v="0"/>
    <x v="2"/>
    <x v="0"/>
    <x v="0"/>
    <s v="None"/>
    <s v="Shopping|Clothing"/>
  </r>
  <r>
    <s v="MasterCard (Capital One)"/>
    <d v="2014-06-27T00:00:00"/>
    <n v="-77.650000000000006"/>
    <s v="X"/>
    <s v="Jockey"/>
    <s v="2011: JOCKEY SEATTLE WA TULALIP WA 98271 USA"/>
    <s v="Shopping:Clothing"/>
    <m/>
    <m/>
    <m/>
    <x v="13"/>
    <x v="1"/>
    <m/>
    <m/>
    <m/>
    <m/>
    <x v="6"/>
    <x v="0"/>
    <x v="2"/>
    <x v="0"/>
    <x v="0"/>
    <s v="None"/>
    <s v="Shopping|Clothing"/>
  </r>
  <r>
    <s v="Koolikai - Checking XX2129"/>
    <d v="2014-06-26T00:00:00"/>
    <n v="2195"/>
    <s v="X"/>
    <s v="John Schaibley"/>
    <s v="Deposit--Shared Branch Mobile Deposit          First Tech FC CA"/>
    <s v="Business Income (Koolikai):Rent/9602"/>
    <m/>
    <m/>
    <n v="9602"/>
    <x v="37"/>
    <x v="25"/>
    <m/>
    <m/>
    <m/>
    <m/>
    <x v="6"/>
    <x v="0"/>
    <x v="3"/>
    <x v="0"/>
    <x v="0"/>
    <s v="None"/>
    <s v="Business Income (Koolikai)|Rent"/>
  </r>
  <r>
    <s v="Schwab - Checking (9784)"/>
    <d v="2014-06-26T00:00:00"/>
    <n v="-23.68"/>
    <s v="X"/>
    <s v="Costco"/>
    <s v="Fruit snacks and olive oil"/>
    <s v="Food &amp; Dining:Groceries"/>
    <m/>
    <m/>
    <m/>
    <x v="15"/>
    <x v="3"/>
    <m/>
    <m/>
    <m/>
    <m/>
    <x v="6"/>
    <x v="0"/>
    <x v="3"/>
    <x v="0"/>
    <x v="0"/>
    <s v="None"/>
    <s v="Food &amp; Dining|Groceries"/>
  </r>
  <r>
    <s v="Chase Freedom XX9381"/>
    <d v="2014-06-26T00:00:00"/>
    <n v="954.76"/>
    <s v="X"/>
    <s v="Chase Autopay (Freedom)"/>
    <m/>
    <s v="[First Tech - Checking (5544)]"/>
    <m/>
    <m/>
    <m/>
    <x v="21"/>
    <x v="0"/>
    <m/>
    <m/>
    <m/>
    <m/>
    <x v="6"/>
    <x v="0"/>
    <x v="0"/>
    <x v="0"/>
    <x v="0"/>
    <s v="None"/>
    <s v="[First Tech - Checking (5544)]"/>
  </r>
  <r>
    <s v="MasterCard (Capital One)"/>
    <d v="2014-06-26T00:00:00"/>
    <n v="27.36"/>
    <s v="X"/>
    <s v="Macy's"/>
    <s v="Returned sharpening steel"/>
    <s v="Home:Furnishings/From Receipt"/>
    <m/>
    <m/>
    <s v="From Receipt"/>
    <x v="14"/>
    <x v="2"/>
    <m/>
    <m/>
    <m/>
    <m/>
    <x v="6"/>
    <x v="0"/>
    <x v="3"/>
    <x v="0"/>
    <x v="0"/>
    <s v="None"/>
    <s v="Home|Furnishings"/>
  </r>
  <r>
    <s v="MasterCard (Capital One)"/>
    <d v="2014-06-26T00:00:00"/>
    <n v="32.83"/>
    <s v="X"/>
    <s v="Childish Things"/>
    <s v="#Scottsdale 2014# Sun hats"/>
    <s v="Kids:Clothing/From Receipt"/>
    <m/>
    <m/>
    <s v="From Receipt"/>
    <x v="27"/>
    <x v="1"/>
    <m/>
    <m/>
    <s v="Scottsdale 2014"/>
    <m/>
    <x v="6"/>
    <x v="0"/>
    <x v="3"/>
    <x v="0"/>
    <x v="0"/>
    <s v="None"/>
    <s v="Kids|Clothing"/>
  </r>
  <r>
    <s v="MasterCard (Capital One)"/>
    <d v="2014-06-26T00:00:00"/>
    <n v="-13"/>
    <s v="X"/>
    <s v="Alaska Air"/>
    <s v="#Scottsdale 2014# Plane food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MasterCard (Capital One)"/>
    <d v="2014-06-26T00:00:00"/>
    <n v="-134.6"/>
    <s v="X"/>
    <s v="Fred Meyer"/>
    <s v="2011: FRED-MEYER #0122 SEATTLE WA 98117 USA"/>
    <s v="Food &amp; Dining:Groceries/From Receipt"/>
    <m/>
    <m/>
    <s v="From Receipt"/>
    <x v="15"/>
    <x v="3"/>
    <m/>
    <m/>
    <m/>
    <m/>
    <x v="6"/>
    <x v="0"/>
    <x v="3"/>
    <x v="0"/>
    <x v="0"/>
    <s v="None"/>
    <s v="Food &amp; Dining|Groceries"/>
  </r>
  <r>
    <s v="Target Red Card"/>
    <d v="2014-06-26T00:00:00"/>
    <n v="15.59"/>
    <s v="X"/>
    <s v="Target"/>
    <s v="#Stay Fit# Return of bike lock"/>
    <s v="Health &amp; Fitness:Sports/From Receipt"/>
    <n v="799999941771"/>
    <m/>
    <s v="From Receipt"/>
    <x v="18"/>
    <x v="23"/>
    <m/>
    <m/>
    <s v="Stay Fit"/>
    <m/>
    <x v="6"/>
    <x v="0"/>
    <x v="4"/>
    <x v="0"/>
    <x v="0"/>
    <s v="None"/>
    <s v="Health &amp; Fitness|Sports"/>
  </r>
  <r>
    <s v="Target Red Card"/>
    <d v="2014-06-26T00:00:00"/>
    <n v="-31.15"/>
    <s v="X"/>
    <s v="Target"/>
    <s v="Sheets for boys room"/>
    <s v="Home:Furnishings/From Receipt"/>
    <n v="799999941771"/>
    <s v="Split"/>
    <s v="From Receipt"/>
    <x v="14"/>
    <x v="2"/>
    <m/>
    <m/>
    <m/>
    <m/>
    <x v="6"/>
    <x v="0"/>
    <x v="3"/>
    <x v="0"/>
    <x v="0"/>
    <s v="None"/>
    <s v="Home|Furnishings"/>
  </r>
  <r>
    <s v="Target Red Card"/>
    <d v="2014-06-26T00:00:00"/>
    <n v="-6.19"/>
    <s v="X"/>
    <s v="Target"/>
    <s v="Birthday card"/>
    <s v="Gifts/From Receipt"/>
    <n v="799999941771"/>
    <s v="Split"/>
    <s v="From Receipt"/>
    <x v="28"/>
    <x v="0"/>
    <m/>
    <m/>
    <m/>
    <m/>
    <x v="6"/>
    <x v="0"/>
    <x v="3"/>
    <x v="0"/>
    <x v="0"/>
    <s v="None"/>
    <s v="Gifts"/>
  </r>
  <r>
    <s v="First Tech - Checking (5544)"/>
    <d v="2014-06-25T00:00:00"/>
    <n v="-200000"/>
    <s v="X"/>
    <s v="Lpl  - Debit"/>
    <s v="ACH Debit--LPL  - DEBIT"/>
    <s v="[LPL Financial]"/>
    <m/>
    <m/>
    <m/>
    <x v="44"/>
    <x v="0"/>
    <m/>
    <m/>
    <m/>
    <m/>
    <x v="6"/>
    <x v="0"/>
    <x v="1"/>
    <x v="1"/>
    <x v="1"/>
    <e v="#N/A"/>
    <s v="[LPL Financial]"/>
  </r>
  <r>
    <s v="Chase Freedom XX9381"/>
    <d v="2014-06-25T00:00:00"/>
    <n v="-45.84"/>
    <s v="X"/>
    <s v="Lowe's"/>
    <m/>
    <s v="Home:Home Improvement"/>
    <m/>
    <m/>
    <m/>
    <x v="14"/>
    <x v="19"/>
    <m/>
    <m/>
    <m/>
    <m/>
    <x v="6"/>
    <x v="0"/>
    <x v="4"/>
    <x v="0"/>
    <x v="0"/>
    <s v="None"/>
    <s v="Home|Home Improvement"/>
  </r>
  <r>
    <s v="MasterCard (Capital One)"/>
    <d v="2014-06-25T00:00:00"/>
    <n v="-55.21"/>
    <s v="X"/>
    <s v="Shuttlepark 2"/>
    <s v="#Scottsdale 2014#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LPL Financial"/>
    <d v="2014-06-25T00:00:00"/>
    <n v="200000"/>
    <m/>
    <s v="Lpl  - Debit"/>
    <s v="ACH Debit--LPL  - DEBIT"/>
    <s v="[First Tech - Checking (5544)]"/>
    <s v="XIn"/>
    <s v="Split"/>
    <m/>
    <x v="21"/>
    <x v="0"/>
    <m/>
    <m/>
    <m/>
    <m/>
    <x v="6"/>
    <x v="0"/>
    <x v="0"/>
    <x v="0"/>
    <x v="0"/>
    <s v="None"/>
    <s v="[First Tech - Checking (5544)]"/>
  </r>
  <r>
    <s v="Koolikai - Checking XX2129"/>
    <d v="2014-06-24T00:00:00"/>
    <n v="-343.98"/>
    <s v="X"/>
    <s v="Chase - Koolikai (Autopay)"/>
    <s v="ACH Debit--CHASE  - AUTOPAYBUS"/>
    <s v="[Koolikai Credit Card]"/>
    <m/>
    <m/>
    <m/>
    <x v="9"/>
    <x v="0"/>
    <m/>
    <m/>
    <m/>
    <m/>
    <x v="6"/>
    <x v="0"/>
    <x v="0"/>
    <x v="0"/>
    <x v="0"/>
    <s v="None"/>
    <s v="[Koolikai Credit Card]"/>
  </r>
  <r>
    <s v="MasterCard (Capital One)"/>
    <d v="2014-06-24T00:00:00"/>
    <n v="-25"/>
    <s v="X"/>
    <s v="Alaska Air"/>
    <s v="#Scottsdale 2014# Bag fee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MasterCard (Capital One)"/>
    <d v="2014-06-24T00:00:00"/>
    <n v="-33"/>
    <s v="X"/>
    <s v="Groupon"/>
    <s v="Groupon for Remlinger Farms"/>
    <s v="Kids:Kids Activities"/>
    <m/>
    <m/>
    <m/>
    <x v="27"/>
    <x v="12"/>
    <m/>
    <m/>
    <m/>
    <m/>
    <x v="6"/>
    <x v="0"/>
    <x v="3"/>
    <x v="0"/>
    <x v="0"/>
    <s v="None"/>
    <s v="Kids|Kids Activities"/>
  </r>
  <r>
    <s v="First Tech - Checking (5544)"/>
    <d v="2014-06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6"/>
    <x v="0"/>
    <x v="3"/>
    <x v="0"/>
    <x v="0"/>
    <s v="None"/>
    <s v="Auto &amp; Transport|Auto Lease Payment"/>
  </r>
  <r>
    <s v="First Tech - Checking (5544)"/>
    <d v="2014-06-23T00:00:00"/>
    <n v="-492.75"/>
    <s v="X"/>
    <s v="Caesar's Gardens"/>
    <s v="ACH Debit--CATHLEEN CAESAR  - ONLINE PMT"/>
    <s v="Projects:Landscaping"/>
    <m/>
    <m/>
    <m/>
    <x v="39"/>
    <x v="47"/>
    <m/>
    <m/>
    <m/>
    <m/>
    <x v="6"/>
    <x v="0"/>
    <x v="6"/>
    <x v="0"/>
    <x v="0"/>
    <s v="None"/>
    <s v="Projects|Landscaping"/>
  </r>
  <r>
    <s v="Schwab - Checking (9784)"/>
    <d v="2014-06-23T00:00:00"/>
    <n v="-63"/>
    <s v="X"/>
    <s v="Bank Of America"/>
    <s v="#Scottsdale 2014#"/>
    <s v="Vacation:Food"/>
    <m/>
    <m/>
    <m/>
    <x v="23"/>
    <x v="8"/>
    <m/>
    <m/>
    <s v="Scottsdale 2014"/>
    <m/>
    <x v="6"/>
    <x v="0"/>
    <x v="4"/>
    <x v="0"/>
    <x v="0"/>
    <s v="None"/>
    <s v="Vacation|Food"/>
  </r>
  <r>
    <s v="Chase Freedom XX9381"/>
    <d v="2014-06-23T00:00:00"/>
    <n v="-18.399999999999999"/>
    <s v="X"/>
    <s v="Target"/>
    <s v="#Scottsdale 2014# Sunglasses"/>
    <s v="Shopping:Clothing:Accessories/From Receipt"/>
    <m/>
    <m/>
    <s v="From Receipt"/>
    <x v="13"/>
    <x v="1"/>
    <s v="Accessories"/>
    <m/>
    <s v="Scottsdale 2014"/>
    <m/>
    <x v="6"/>
    <x v="0"/>
    <x v="2"/>
    <x v="0"/>
    <x v="0"/>
    <s v="None"/>
    <s v="Shopping|Clothing"/>
  </r>
  <r>
    <s v="Koolikai Credit Card"/>
    <d v="2014-06-23T00:00:00"/>
    <n v="343.98"/>
    <s v="X"/>
    <s v="Chase - Koolikai (Autopay)"/>
    <m/>
    <s v="[Koolikai - Checking XX2129]"/>
    <m/>
    <m/>
    <m/>
    <x v="25"/>
    <x v="0"/>
    <m/>
    <m/>
    <m/>
    <m/>
    <x v="6"/>
    <x v="0"/>
    <x v="0"/>
    <x v="0"/>
    <x v="0"/>
    <s v="None"/>
    <s v="[Koolikai - Checking XX2129]"/>
  </r>
  <r>
    <s v="MasterCard (Capital One)"/>
    <d v="2014-06-23T00:00:00"/>
    <n v="-19.940000000000001"/>
    <s v="X"/>
    <s v="Play Factory"/>
    <s v="#Scottsdale 2014#  Play factory (climbing wall, play area)"/>
    <s v="Vacation:Activities"/>
    <m/>
    <m/>
    <m/>
    <x v="23"/>
    <x v="39"/>
    <m/>
    <m/>
    <s v="Scottsdale 2014"/>
    <m/>
    <x v="6"/>
    <x v="0"/>
    <x v="4"/>
    <x v="0"/>
    <x v="0"/>
    <s v="None"/>
    <s v="Vacation|Activities"/>
  </r>
  <r>
    <s v="Chase Freedom XX9381"/>
    <d v="2014-06-22T00:00:00"/>
    <n v="-11.71"/>
    <s v="X"/>
    <s v="Gabb N Sat"/>
    <m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22T00:00:00"/>
    <n v="-32"/>
    <s v="X"/>
    <s v="Act City Mesaactnet"/>
    <s v="#Scottsdale 2014# Dinosaur museum"/>
    <s v="Vacation:Activities"/>
    <m/>
    <m/>
    <m/>
    <x v="23"/>
    <x v="39"/>
    <m/>
    <m/>
    <s v="Scottsdale 2014"/>
    <m/>
    <x v="6"/>
    <x v="0"/>
    <x v="4"/>
    <x v="0"/>
    <x v="0"/>
    <s v="None"/>
    <s v="Vacation|Activities"/>
  </r>
  <r>
    <s v="American Express (Costco)"/>
    <d v="2014-06-21T00:00:00"/>
    <n v="-43.16"/>
    <s v="X"/>
    <s v="Costco"/>
    <s v="Life vests for boys, recat as"/>
    <s v="Food &amp; Dining:Groceries"/>
    <m/>
    <s v="Split"/>
    <m/>
    <x v="15"/>
    <x v="3"/>
    <m/>
    <m/>
    <m/>
    <m/>
    <x v="6"/>
    <x v="0"/>
    <x v="3"/>
    <x v="0"/>
    <x v="0"/>
    <s v="None"/>
    <s v="Food &amp; Dining|Groceries"/>
  </r>
  <r>
    <s v="American Express (Costco)"/>
    <d v="2014-06-21T00:00:00"/>
    <n v="-32.03"/>
    <s v="X"/>
    <s v="Costco"/>
    <s v="#Scottsdale 2014#Groceries at"/>
    <s v="Vacation:Food"/>
    <m/>
    <s v="Split"/>
    <m/>
    <x v="23"/>
    <x v="8"/>
    <m/>
    <m/>
    <s v="Scottsdale 2014"/>
    <m/>
    <x v="6"/>
    <x v="0"/>
    <x v="4"/>
    <x v="0"/>
    <x v="0"/>
    <s v="None"/>
    <s v="Vacation|Food"/>
  </r>
  <r>
    <s v="MasterCard (Capital One)"/>
    <d v="2014-06-21T00:00:00"/>
    <n v="25"/>
    <s v="X"/>
    <s v="Capital One (Cash Back)"/>
    <s v="2011: CREDIT-CASH BACK REWARD"/>
    <s v="Other Inc"/>
    <m/>
    <m/>
    <m/>
    <x v="29"/>
    <x v="0"/>
    <m/>
    <m/>
    <m/>
    <m/>
    <x v="6"/>
    <x v="0"/>
    <x v="3"/>
    <x v="0"/>
    <x v="0"/>
    <s v="None"/>
    <s v="Other Inc"/>
  </r>
  <r>
    <s v="Target Red Card"/>
    <d v="2014-06-21T00:00:00"/>
    <n v="61.51"/>
    <s v="X"/>
    <s v="Target"/>
    <s v="Return of pool vests #Scottsdale 2014#"/>
    <s v="Vacation:Activities/From Receipt"/>
    <n v="799999941721"/>
    <m/>
    <s v="From Receipt"/>
    <x v="23"/>
    <x v="39"/>
    <m/>
    <m/>
    <s v="Scottsdale 2014"/>
    <m/>
    <x v="6"/>
    <x v="0"/>
    <x v="4"/>
    <x v="0"/>
    <x v="0"/>
    <s v="None"/>
    <s v="Vacation|Activities"/>
  </r>
  <r>
    <s v="MasterCard (Capital One)"/>
    <d v="2014-06-20T00:00:00"/>
    <n v="-20"/>
    <s v="X"/>
    <s v="Mc Cormick-stillman Railroad"/>
    <s v="#Scottsdale 2014#"/>
    <s v="Kids:Kids Activities"/>
    <m/>
    <m/>
    <m/>
    <x v="27"/>
    <x v="12"/>
    <m/>
    <m/>
    <s v="Scottsdale 2014"/>
    <m/>
    <x v="6"/>
    <x v="0"/>
    <x v="3"/>
    <x v="0"/>
    <x v="0"/>
    <s v="None"/>
    <s v="Kids|Kids Activities"/>
  </r>
  <r>
    <s v="Target Red Card"/>
    <d v="2014-06-20T00:00:00"/>
    <n v="-2.85"/>
    <s v="X"/>
    <s v="Food Avenue"/>
    <m/>
    <s v="Food &amp; Dining:Restaurants"/>
    <n v="799999941710"/>
    <m/>
    <m/>
    <x v="15"/>
    <x v="15"/>
    <m/>
    <m/>
    <m/>
    <m/>
    <x v="6"/>
    <x v="0"/>
    <x v="3"/>
    <x v="0"/>
    <x v="0"/>
    <s v="None"/>
    <s v="Food &amp; Dining|Restaurants"/>
  </r>
  <r>
    <s v="Target Red Card"/>
    <d v="2014-06-20T00:00:00"/>
    <n v="-4.8"/>
    <s v="X"/>
    <s v="Food Avenue"/>
    <m/>
    <s v="Food &amp; Dining:Restaurants"/>
    <n v="799999941710"/>
    <m/>
    <m/>
    <x v="15"/>
    <x v="15"/>
    <m/>
    <m/>
    <m/>
    <m/>
    <x v="6"/>
    <x v="0"/>
    <x v="3"/>
    <x v="0"/>
    <x v="0"/>
    <s v="None"/>
    <s v="Food &amp; Dining|Restaurants"/>
  </r>
  <r>
    <s v="Target Red Card"/>
    <d v="2014-06-20T00:00:00"/>
    <n v="-1.1000000000000001"/>
    <s v="X"/>
    <s v="Target"/>
    <s v="#Scottsdale 2014#"/>
    <s v="Vacation:Food/From Receipt"/>
    <n v="799999941710"/>
    <s v="Split"/>
    <s v="From Receipt"/>
    <x v="23"/>
    <x v="8"/>
    <m/>
    <m/>
    <s v="Scottsdale 2014"/>
    <m/>
    <x v="6"/>
    <x v="0"/>
    <x v="4"/>
    <x v="0"/>
    <x v="0"/>
    <s v="None"/>
    <s v="Vacation|Food"/>
  </r>
  <r>
    <s v="Target Red Card"/>
    <d v="2014-06-20T00:00:00"/>
    <n v="-77.88"/>
    <s v="X"/>
    <s v="Target"/>
    <s v="#Scottsdale 2014#Pool floats,"/>
    <s v="Vacation:Activities/From Receipt"/>
    <n v="799999941710"/>
    <s v="Split"/>
    <s v="From Receipt"/>
    <x v="23"/>
    <x v="39"/>
    <m/>
    <m/>
    <s v="Scottsdale 2014"/>
    <m/>
    <x v="6"/>
    <x v="0"/>
    <x v="4"/>
    <x v="0"/>
    <x v="0"/>
    <s v="None"/>
    <s v="Vacation|Activities"/>
  </r>
  <r>
    <s v="Target Red Card"/>
    <d v="2014-06-20T00:00:00"/>
    <n v="-13.48"/>
    <s v="X"/>
    <s v="Target"/>
    <s v="#Scottsdale 2014#Glasses and p"/>
    <s v="Vacation:Other/From Receipt"/>
    <n v="799999941710"/>
    <s v="Split"/>
    <s v="From Receipt"/>
    <x v="23"/>
    <x v="58"/>
    <m/>
    <m/>
    <s v="Scottsdale 2014"/>
    <m/>
    <x v="6"/>
    <x v="0"/>
    <x v="4"/>
    <x v="0"/>
    <x v="0"/>
    <s v="None"/>
    <s v="Vacation|Other"/>
  </r>
  <r>
    <s v="First Tech - Checking (5544)"/>
    <d v="2014-06-19T00:00:00"/>
    <n v="100000"/>
    <s v="X"/>
    <s v="Fid Bkg Svc Llc  - Moneyline"/>
    <s v="Fidelity brokerage services"/>
    <s v="[Fideity ESPP and Stock Awards]"/>
    <m/>
    <m/>
    <m/>
    <x v="43"/>
    <x v="0"/>
    <m/>
    <m/>
    <m/>
    <m/>
    <x v="6"/>
    <x v="0"/>
    <x v="1"/>
    <x v="1"/>
    <x v="1"/>
    <e v="#N/A"/>
    <s v="[Fideity ESPP and Stock Awards]"/>
  </r>
  <r>
    <s v="Koolikai Credit Card"/>
    <d v="2014-06-19T00:00:00"/>
    <n v="-12.81"/>
    <s v="X"/>
    <s v="Godaddy.Com"/>
    <m/>
    <s v="Business Expenses (Koolikai):Office Expenses (Business)"/>
    <m/>
    <m/>
    <m/>
    <x v="36"/>
    <x v="42"/>
    <m/>
    <m/>
    <m/>
    <m/>
    <x v="6"/>
    <x v="0"/>
    <x v="3"/>
    <x v="0"/>
    <x v="0"/>
    <s v="None"/>
    <s v="Business Expenses (Koolikai)|Office Expenses (Business)"/>
  </r>
  <r>
    <s v="MasterCard (Capital One)"/>
    <d v="2014-06-19T00:00:00"/>
    <n v="-13"/>
    <s v="X"/>
    <s v="Alaska Air"/>
    <s v="#Scottsdale 2014#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MasterCard (Capital One)"/>
    <d v="2014-06-19T00:00:00"/>
    <n v="-25"/>
    <s v="X"/>
    <s v="Alaska Air"/>
    <s v="#Scottsdale 2014#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Fideity ESPP and Stock Awards"/>
    <d v="2014-06-19T00:00:00"/>
    <n v="100000"/>
    <m/>
    <s v="Fid Bkg Svc Llc  - Moneyline"/>
    <s v="Fidelity brokerage services"/>
    <s v="[First Tech - Checking (5544)]"/>
    <s v="XOut"/>
    <s v="Split"/>
    <m/>
    <x v="21"/>
    <x v="0"/>
    <m/>
    <m/>
    <m/>
    <m/>
    <x v="6"/>
    <x v="0"/>
    <x v="0"/>
    <x v="0"/>
    <x v="0"/>
    <s v="None"/>
    <s v="[First Tech - Checking (5544)]"/>
  </r>
  <r>
    <s v="Koolikai Credit Card"/>
    <d v="2014-06-18T00:00:00"/>
    <n v="-71.88"/>
    <s v="X"/>
    <s v="Godaddy.Com"/>
    <m/>
    <s v="Business Expenses (Koolikai):Office Expenses (Business)"/>
    <m/>
    <m/>
    <m/>
    <x v="36"/>
    <x v="42"/>
    <m/>
    <m/>
    <m/>
    <m/>
    <x v="6"/>
    <x v="0"/>
    <x v="3"/>
    <x v="0"/>
    <x v="0"/>
    <s v="None"/>
    <s v="Business Expenses (Koolikai)|Office Expenses (Business)"/>
  </r>
  <r>
    <s v="MasterCard (Capital One)"/>
    <d v="2014-06-18T00:00:00"/>
    <n v="-10"/>
    <s v="X"/>
    <s v="Shuttlepark 2"/>
    <s v="#Scottsdale 2014#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MasterCard (Capital One)"/>
    <d v="2014-06-18T00:00:00"/>
    <n v="-15.86"/>
    <s v="X"/>
    <s v="Diamond Parking"/>
    <s v="#Scottsdale 2014#"/>
    <s v="Vacation:Transportation"/>
    <m/>
    <m/>
    <m/>
    <x v="23"/>
    <x v="26"/>
    <m/>
    <m/>
    <s v="Scottsdale 2014"/>
    <m/>
    <x v="6"/>
    <x v="0"/>
    <x v="4"/>
    <x v="0"/>
    <x v="0"/>
    <s v="None"/>
    <s v="Vacation|Transportation"/>
  </r>
  <r>
    <s v="MasterCard (Capital One)"/>
    <d v="2014-06-18T00:00:00"/>
    <n v="-18.63"/>
    <s v="X"/>
    <s v="Highlights"/>
    <s v="2011: HIGHLIGHTS FOR CHILDRE 800-255-9517 OH 43215 USA"/>
    <s v="Kids:Toys"/>
    <m/>
    <m/>
    <m/>
    <x v="27"/>
    <x v="14"/>
    <m/>
    <m/>
    <m/>
    <m/>
    <x v="6"/>
    <x v="0"/>
    <x v="3"/>
    <x v="0"/>
    <x v="0"/>
    <s v="None"/>
    <s v="Kids|Toys"/>
  </r>
  <r>
    <s v="MasterCard (Capital One)"/>
    <d v="2014-06-18T00:00:00"/>
    <n v="-903.11"/>
    <s v="X"/>
    <s v="K 1 Speed"/>
    <s v="#Go Cart Racing# with team"/>
    <s v="Work Expense:Reimbursable expense"/>
    <m/>
    <m/>
    <m/>
    <x v="19"/>
    <x v="21"/>
    <m/>
    <m/>
    <s v="Go Cart Racing"/>
    <m/>
    <x v="6"/>
    <x v="0"/>
    <x v="4"/>
    <x v="0"/>
    <x v="0"/>
    <s v="None"/>
    <s v="Work Expense|Reimbursable expense"/>
  </r>
  <r>
    <s v="First Tech - Checking (5544)"/>
    <d v="2014-06-17T00:00:00"/>
    <n v="38832"/>
    <s v="X"/>
    <s v="Transfer From 5562129, Reducing"/>
    <s v="Consolidating cash"/>
    <s v="[Koolikai - Checking XX2129]"/>
    <m/>
    <m/>
    <m/>
    <x v="25"/>
    <x v="0"/>
    <m/>
    <m/>
    <m/>
    <m/>
    <x v="6"/>
    <x v="0"/>
    <x v="0"/>
    <x v="0"/>
    <x v="0"/>
    <s v="None"/>
    <s v="[Koolikai - Checking XX2129]"/>
  </r>
  <r>
    <s v="First Tech - Checking (5544)"/>
    <d v="2014-06-17T00:00:00"/>
    <n v="71426"/>
    <s v="X"/>
    <s v="Transfer From 47755400, Reducin"/>
    <s v="Consolidating cash"/>
    <s v="[First Tech - Short Term Emergency (5400)]"/>
    <m/>
    <m/>
    <m/>
    <x v="4"/>
    <x v="0"/>
    <m/>
    <m/>
    <m/>
    <m/>
    <x v="6"/>
    <x v="0"/>
    <x v="0"/>
    <x v="0"/>
    <x v="0"/>
    <s v="None"/>
    <s v="[First Tech - Short Term Emergency (5400)]"/>
  </r>
  <r>
    <s v="First Tech - Short Term Emergency (5400)"/>
    <d v="2014-06-17T00:00:00"/>
    <n v="-71426"/>
    <s v="X"/>
    <s v="Transfer To 914775544, Reducing"/>
    <s v="Withdrawal-- Transfer to 914775544, reducing cash holdings"/>
    <s v="[First Tech - Checking (5544)]"/>
    <m/>
    <m/>
    <m/>
    <x v="21"/>
    <x v="0"/>
    <m/>
    <m/>
    <m/>
    <m/>
    <x v="6"/>
    <x v="0"/>
    <x v="0"/>
    <x v="0"/>
    <x v="0"/>
    <s v="None"/>
    <s v="[First Tech - Checking (5544)]"/>
  </r>
  <r>
    <s v="Koolikai - Checking XX2129"/>
    <d v="2014-06-17T00:00:00"/>
    <n v="-38832"/>
    <s v="X"/>
    <s v="Transfer"/>
    <s v="Withdrawal-- Transfer to 914775544, reducing cash holdings"/>
    <s v="[First Tech - Checking (5544)]"/>
    <m/>
    <m/>
    <m/>
    <x v="21"/>
    <x v="0"/>
    <m/>
    <m/>
    <m/>
    <m/>
    <x v="6"/>
    <x v="0"/>
    <x v="0"/>
    <x v="0"/>
    <x v="0"/>
    <s v="None"/>
    <s v="[First Tech - Checking (5544)]"/>
  </r>
  <r>
    <s v="Chase Freedom XX9381"/>
    <d v="2014-06-17T00:00:00"/>
    <n v="-8.1999999999999993"/>
    <s v="X"/>
    <s v="Fresh Table Cafe"/>
    <s v="2011: FRESH TABLE CAFE MET SEATTLE WA 98101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17T00:00:00"/>
    <n v="-250.75"/>
    <s v="X"/>
    <s v="Vehicle Licensing"/>
    <s v="Leaf"/>
    <s v="Auto &amp; Transport:Registration"/>
    <m/>
    <m/>
    <m/>
    <x v="17"/>
    <x v="4"/>
    <m/>
    <m/>
    <m/>
    <m/>
    <x v="6"/>
    <x v="0"/>
    <x v="2"/>
    <x v="0"/>
    <x v="0"/>
    <s v="None"/>
    <s v="Auto &amp; Transport|Registration"/>
  </r>
  <r>
    <s v="Chase Freedom XX9381"/>
    <d v="2014-06-16T00:00:00"/>
    <n v="-6.5"/>
    <s v="X"/>
    <s v="Bluebird Ice Cream"/>
    <m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16T00:00:00"/>
    <n v="-7.83"/>
    <s v="X"/>
    <s v="Amazon"/>
    <s v="Mickey and Friends play set"/>
    <s v="Kids:Toys/From Receipt"/>
    <m/>
    <m/>
    <s v="From Receipt"/>
    <x v="27"/>
    <x v="14"/>
    <m/>
    <m/>
    <m/>
    <m/>
    <x v="6"/>
    <x v="0"/>
    <x v="3"/>
    <x v="0"/>
    <x v="0"/>
    <s v="None"/>
    <s v="Kids|Toys"/>
  </r>
  <r>
    <s v="First Tech - Checking (5544)"/>
    <d v="2014-06-15T00:00:00"/>
    <n v="43"/>
    <s v="X"/>
    <s v="Seattle Children's Hospital"/>
    <s v="Reimbursement -- Don't know why"/>
    <s v="[Premera Health Care Payment]"/>
    <m/>
    <m/>
    <m/>
    <x v="42"/>
    <x v="0"/>
    <m/>
    <m/>
    <m/>
    <m/>
    <x v="6"/>
    <x v="0"/>
    <x v="0"/>
    <x v="0"/>
    <x v="0"/>
    <s v="None"/>
    <s v="[Premera Health Care Payment]"/>
  </r>
  <r>
    <s v="Schwab - Checking (9784)"/>
    <d v="2014-06-15T00:00:00"/>
    <n v="-20"/>
    <s v="X"/>
    <s v="P N 9201 Holman Road"/>
    <s v="Dicks drive in"/>
    <s v="Food &amp; Dining:Restaurants"/>
    <m/>
    <s v="Split"/>
    <m/>
    <x v="15"/>
    <x v="15"/>
    <m/>
    <m/>
    <m/>
    <m/>
    <x v="6"/>
    <x v="0"/>
    <x v="3"/>
    <x v="0"/>
    <x v="0"/>
    <s v="None"/>
    <s v="Food &amp; Dining|Restaurants"/>
  </r>
  <r>
    <s v="Schwab - Checking (9784)"/>
    <d v="2014-06-15T00:00:00"/>
    <n v="-2.25"/>
    <s v="X"/>
    <s v="P N 9201 Holman Road"/>
    <m/>
    <s v="Bank Fees &amp; Charges:ATM Fee"/>
    <m/>
    <s v="Split"/>
    <m/>
    <x v="32"/>
    <x v="17"/>
    <m/>
    <m/>
    <m/>
    <m/>
    <x v="6"/>
    <x v="0"/>
    <x v="3"/>
    <x v="0"/>
    <x v="0"/>
    <s v="None"/>
    <s v="Bank Fees &amp; Charges|ATM Fee"/>
  </r>
  <r>
    <s v="MasterCard (Capital One)"/>
    <d v="2014-06-15T00:00:00"/>
    <n v="-1.1100000000000001"/>
    <s v="X"/>
    <s v="Barnes &amp; Noble"/>
    <s v="2011: BARNES &amp; NOBLE #2280 SEATTLE WA 98125 USA"/>
    <s v="Shopping:Books"/>
    <m/>
    <m/>
    <m/>
    <x v="13"/>
    <x v="51"/>
    <m/>
    <m/>
    <m/>
    <m/>
    <x v="6"/>
    <x v="0"/>
    <x v="6"/>
    <x v="0"/>
    <x v="0"/>
    <s v="None"/>
    <s v="Shopping|Books"/>
  </r>
  <r>
    <s v="MasterCard (Capital One)"/>
    <d v="2014-06-15T00:00:00"/>
    <n v="-106.22"/>
    <s v="X"/>
    <s v="Playdate Sea"/>
    <s v="Punchcard"/>
    <s v="Kids:Kids Activities"/>
    <m/>
    <m/>
    <m/>
    <x v="27"/>
    <x v="12"/>
    <m/>
    <m/>
    <m/>
    <m/>
    <x v="6"/>
    <x v="0"/>
    <x v="3"/>
    <x v="0"/>
    <x v="0"/>
    <s v="None"/>
    <s v="Kids|Kids Activities"/>
  </r>
  <r>
    <s v="Premera Health Care Payment"/>
    <d v="2014-06-15T00:00:00"/>
    <n v="-43"/>
    <s v="X"/>
    <s v="Seattle Children's Hospital"/>
    <s v="Reimbursement -- Don't know why"/>
    <s v="[First Tech - Checking (5544)]"/>
    <m/>
    <m/>
    <m/>
    <x v="21"/>
    <x v="0"/>
    <m/>
    <m/>
    <m/>
    <m/>
    <x v="6"/>
    <x v="0"/>
    <x v="0"/>
    <x v="0"/>
    <x v="0"/>
    <s v="None"/>
    <s v="[First Tech - Checking (5544)]"/>
  </r>
  <r>
    <s v="MasterCard (Capital One)"/>
    <d v="2014-06-14T00:00:00"/>
    <n v="-10"/>
    <s v="X"/>
    <s v="Walgreens"/>
    <s v="Prescription #0834713"/>
    <s v="Health &amp; Fitness:Pharmacy/From Receipt"/>
    <m/>
    <s v="Split"/>
    <s v="From Receipt"/>
    <x v="18"/>
    <x v="38"/>
    <m/>
    <m/>
    <m/>
    <m/>
    <x v="6"/>
    <x v="0"/>
    <x v="4"/>
    <x v="0"/>
    <x v="0"/>
    <s v="None"/>
    <s v="Health &amp; Fitness|Pharmacy"/>
  </r>
  <r>
    <s v="MasterCard (Capital One)"/>
    <d v="2014-06-14T00:00:00"/>
    <n v="-6.56"/>
    <s v="X"/>
    <s v="Walgreens"/>
    <s v="Baby shampoo"/>
    <s v="Food &amp; Dining:Groceries/From Receipt"/>
    <m/>
    <s v="Split"/>
    <s v="From Receipt"/>
    <x v="15"/>
    <x v="3"/>
    <m/>
    <m/>
    <m/>
    <m/>
    <x v="6"/>
    <x v="0"/>
    <x v="3"/>
    <x v="0"/>
    <x v="0"/>
    <s v="None"/>
    <s v="Food &amp; Dining|Groceries"/>
  </r>
  <r>
    <s v="MasterCard (Capital One)"/>
    <d v="2014-06-14T00:00:00"/>
    <n v="-19.05"/>
    <s v="X"/>
    <s v="Top Ten Toys"/>
    <s v="Bulk miniatures, pirate ship stickers, beach stickers"/>
    <s v="Kids:Toys/From Receipt"/>
    <m/>
    <m/>
    <s v="From Receipt"/>
    <x v="27"/>
    <x v="14"/>
    <m/>
    <m/>
    <m/>
    <m/>
    <x v="6"/>
    <x v="0"/>
    <x v="3"/>
    <x v="0"/>
    <x v="0"/>
    <s v="None"/>
    <s v="Kids|Toys"/>
  </r>
  <r>
    <s v="MasterCard (Capital One)"/>
    <d v="2014-06-14T00:00:00"/>
    <n v="-32.83"/>
    <s v="X"/>
    <s v="Childish Things"/>
    <s v="#Scottsdale 2014# Sun hats"/>
    <s v="Kids:Clothing/From Receipt"/>
    <m/>
    <m/>
    <s v="From Receipt"/>
    <x v="27"/>
    <x v="1"/>
    <m/>
    <m/>
    <s v="Scottsdale 2014"/>
    <m/>
    <x v="6"/>
    <x v="0"/>
    <x v="3"/>
    <x v="0"/>
    <x v="0"/>
    <s v="None"/>
    <s v="Kids|Clothing"/>
  </r>
  <r>
    <s v="MasterCard (Capital One)"/>
    <d v="2014-06-14T00:00:00"/>
    <n v="-72.23"/>
    <s v="X"/>
    <s v="Phinney Market"/>
    <s v="2011: PHINNEY MARKET PUB &amp; E SEATTLE WA 98103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14T00:00:00"/>
    <n v="-21.89"/>
    <s v="X"/>
    <s v="Fred Meyer"/>
    <s v="DVD"/>
    <s v="Kids:Toys/From Receipt"/>
    <m/>
    <s v="Split"/>
    <s v="From Receipt"/>
    <x v="27"/>
    <x v="14"/>
    <m/>
    <m/>
    <m/>
    <m/>
    <x v="6"/>
    <x v="0"/>
    <x v="3"/>
    <x v="0"/>
    <x v="0"/>
    <s v="None"/>
    <s v="Kids|Toys"/>
  </r>
  <r>
    <s v="MasterCard (Capital One)"/>
    <d v="2014-06-14T00:00:00"/>
    <n v="-122.95"/>
    <s v="X"/>
    <s v="Fred Meyer"/>
    <m/>
    <s v="Food &amp; Dining:Groceries/From Receipt"/>
    <m/>
    <s v="Split"/>
    <s v="From Receipt"/>
    <x v="15"/>
    <x v="3"/>
    <m/>
    <m/>
    <m/>
    <m/>
    <x v="6"/>
    <x v="0"/>
    <x v="3"/>
    <x v="0"/>
    <x v="0"/>
    <s v="None"/>
    <s v="Food &amp; Dining|Groceries"/>
  </r>
  <r>
    <s v="First Tech - Checking (5544)"/>
    <d v="2014-06-13T00:00:00"/>
    <n v="-60.1"/>
    <s v="X"/>
    <s v="Puget Sound Energy"/>
    <s v="ACH Debit--PUGET SOUND ENER DIRECT DEBITING - PSE BILL  30000387"/>
    <s v="Bills &amp; Utilities:Utilities"/>
    <m/>
    <m/>
    <m/>
    <x v="34"/>
    <x v="18"/>
    <m/>
    <m/>
    <m/>
    <m/>
    <x v="6"/>
    <x v="0"/>
    <x v="3"/>
    <x v="0"/>
    <x v="0"/>
    <s v="None"/>
    <s v="Bills &amp; Utilities|Utilities"/>
  </r>
  <r>
    <s v="Chase Freedom XX9381"/>
    <d v="2014-06-13T00:00:00"/>
    <n v="-25"/>
    <s v="X"/>
    <s v="Oliver Twist"/>
    <m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13T00:00:00"/>
    <n v="-21.16"/>
    <s v="X"/>
    <s v="Hales Ales Ltd"/>
    <s v="2011: HALES ALES LTD SEATTLE WA 981074538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13T00:00:00"/>
    <n v="-65"/>
    <s v="X"/>
    <s v="Beach Comber Kids Cuts"/>
    <s v="2011: BEACHCOMBER KIDS CUT SEATTLE WA 981030000 USA"/>
    <s v="Personal Care:Hair"/>
    <m/>
    <m/>
    <m/>
    <x v="31"/>
    <x v="16"/>
    <m/>
    <m/>
    <m/>
    <m/>
    <x v="6"/>
    <x v="0"/>
    <x v="3"/>
    <x v="0"/>
    <x v="0"/>
    <s v="None"/>
    <s v="Personal Care|Hair"/>
  </r>
  <r>
    <s v="First Tech - Checking (5544)"/>
    <d v="2014-06-12T00:00:00"/>
    <n v="3165.19"/>
    <s v="X"/>
    <s v="Microsoft (Paystub)"/>
    <s v="ACH Deposit--MICROSOFT  - EDIPAYMENT"/>
    <s v="Net Salary"/>
    <m/>
    <m/>
    <m/>
    <x v="35"/>
    <x v="0"/>
    <m/>
    <m/>
    <m/>
    <m/>
    <x v="6"/>
    <x v="0"/>
    <x v="3"/>
    <x v="0"/>
    <x v="0"/>
    <s v="None"/>
    <s v="Net Salary"/>
  </r>
  <r>
    <s v="First Tech - Checking (5544)"/>
    <d v="2014-06-12T00:00:00"/>
    <n v="-1149.6199999999999"/>
    <s v="X"/>
    <s v="Premera Funding  - Hsa-fund  682"/>
    <s v="ACH Debit--PREMERA FUNDING  - HSA-FUND  6823"/>
    <s v="[Premera Health Care Payment]"/>
    <m/>
    <m/>
    <m/>
    <x v="42"/>
    <x v="0"/>
    <m/>
    <m/>
    <m/>
    <m/>
    <x v="6"/>
    <x v="0"/>
    <x v="0"/>
    <x v="0"/>
    <x v="0"/>
    <s v="None"/>
    <s v="[Premera Health Care Payment]"/>
  </r>
  <r>
    <s v="Koolikai Credit Card"/>
    <d v="2014-06-12T00:00:00"/>
    <n v="-146.97999999999999"/>
    <s v="X"/>
    <s v="Verizon Wireless"/>
    <m/>
    <s v="Business Expenses (Koolikai):Cell Phone"/>
    <m/>
    <m/>
    <m/>
    <x v="36"/>
    <x v="22"/>
    <m/>
    <m/>
    <m/>
    <m/>
    <x v="6"/>
    <x v="0"/>
    <x v="3"/>
    <x v="0"/>
    <x v="0"/>
    <s v="None"/>
    <s v="Business Expenses (Koolikai)|Cell Phone"/>
  </r>
  <r>
    <s v="Premera Health Care Payment"/>
    <d v="2014-06-12T00:00:00"/>
    <n v="1149.6199999999999"/>
    <m/>
    <s v="Premera Funding  - Hsa-fund  682"/>
    <s v="ACH Debit--PREMERA FUNDING  - HSA-FUND  6823"/>
    <s v="[First Tech - Checking (5544)]"/>
    <m/>
    <m/>
    <m/>
    <x v="21"/>
    <x v="0"/>
    <m/>
    <m/>
    <m/>
    <m/>
    <x v="6"/>
    <x v="0"/>
    <x v="0"/>
    <x v="0"/>
    <x v="0"/>
    <s v="None"/>
    <s v="[First Tech - Checking (5544)]"/>
  </r>
  <r>
    <s v="REI Mastercard (xx1787)"/>
    <d v="2014-06-12T00:00:00"/>
    <n v="62"/>
    <s v="X"/>
    <s v="Recreation.Gov Ballston Spa Ny"/>
    <s v="#Kalaloch 2014#"/>
    <s v="Vacation:Lodging"/>
    <m/>
    <m/>
    <m/>
    <x v="23"/>
    <x v="9"/>
    <m/>
    <m/>
    <s v="Kalaloch 2014"/>
    <m/>
    <x v="6"/>
    <x v="0"/>
    <x v="4"/>
    <x v="0"/>
    <x v="0"/>
    <s v="None"/>
    <s v="Vacation|Lodging"/>
  </r>
  <r>
    <s v="First Tech - Checking (5544)"/>
    <d v="2014-06-11T00:00:00"/>
    <n v="-115"/>
    <s v="X"/>
    <s v="Cleaning Authority, The"/>
    <s v="ACH Debit--THE CLEANING AUT  - ONLINE PMT"/>
    <s v="Home:Home Services"/>
    <m/>
    <m/>
    <m/>
    <x v="14"/>
    <x v="46"/>
    <m/>
    <m/>
    <m/>
    <m/>
    <x v="6"/>
    <x v="0"/>
    <x v="3"/>
    <x v="0"/>
    <x v="0"/>
    <s v="None"/>
    <s v="Home|Home Services"/>
  </r>
  <r>
    <s v="MasterCard (Capital One)"/>
    <d v="2014-06-11T00:00:00"/>
    <n v="25"/>
    <s v="X"/>
    <s v="Capital One (Cash Back)"/>
    <m/>
    <s v="Other Inc"/>
    <m/>
    <m/>
    <m/>
    <x v="29"/>
    <x v="0"/>
    <m/>
    <m/>
    <m/>
    <m/>
    <x v="6"/>
    <x v="0"/>
    <x v="3"/>
    <x v="0"/>
    <x v="0"/>
    <s v="None"/>
    <s v="Other Inc"/>
  </r>
  <r>
    <s v="MasterCard (Capital One)"/>
    <d v="2014-06-11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x v="6"/>
    <x v="0"/>
    <x v="4"/>
    <x v="0"/>
    <x v="0"/>
    <s v="None"/>
    <s v="Auto &amp; Transport|Tolls"/>
  </r>
  <r>
    <s v="MasterCard (Capital One)"/>
    <d v="2014-06-11T00:00:00"/>
    <n v="-43"/>
    <s v="X"/>
    <s v="Runners World"/>
    <m/>
    <s v="Subscriptions &amp; Dues"/>
    <m/>
    <m/>
    <m/>
    <x v="33"/>
    <x v="0"/>
    <m/>
    <m/>
    <m/>
    <m/>
    <x v="6"/>
    <x v="0"/>
    <x v="2"/>
    <x v="0"/>
    <x v="0"/>
    <s v="None"/>
    <s v="Subscriptions &amp; Dues"/>
  </r>
  <r>
    <s v="Chase Freedom XX9381"/>
    <d v="2014-06-09T00:00:00"/>
    <n v="-72.73"/>
    <s v="X"/>
    <s v="Twigs"/>
    <m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Schwab - Checking (9784)"/>
    <d v="2014-06-08T00:00:00"/>
    <n v="-45"/>
    <s v="X"/>
    <s v="Ken's Market"/>
    <m/>
    <s v="Kids:Babysitter/From Receipt"/>
    <m/>
    <s v="Split"/>
    <s v="From Receipt"/>
    <x v="27"/>
    <x v="13"/>
    <m/>
    <m/>
    <m/>
    <m/>
    <x v="6"/>
    <x v="0"/>
    <x v="3"/>
    <x v="0"/>
    <x v="0"/>
    <s v="None"/>
    <s v="Kids|Babysitter"/>
  </r>
  <r>
    <s v="Schwab - Checking (9784)"/>
    <d v="2014-06-08T00:00:00"/>
    <n v="-15"/>
    <s v="X"/>
    <s v="Ken's Market"/>
    <m/>
    <s v="Food &amp; Dining:Restaurants/From Receipt"/>
    <m/>
    <s v="Split"/>
    <s v="From Receipt"/>
    <x v="15"/>
    <x v="15"/>
    <m/>
    <m/>
    <m/>
    <m/>
    <x v="6"/>
    <x v="0"/>
    <x v="3"/>
    <x v="0"/>
    <x v="0"/>
    <s v="None"/>
    <s v="Food &amp; Dining|Restaurants"/>
  </r>
  <r>
    <s v="Schwab - Checking (9784)"/>
    <d v="2014-06-08T00:00:00"/>
    <n v="-2"/>
    <s v="X"/>
    <s v="Ken's Market"/>
    <m/>
    <s v="Bank Fees &amp; Charges:ATM Fee/From Receipt"/>
    <m/>
    <s v="Split"/>
    <s v="From Receipt"/>
    <x v="32"/>
    <x v="17"/>
    <m/>
    <m/>
    <m/>
    <m/>
    <x v="6"/>
    <x v="0"/>
    <x v="3"/>
    <x v="0"/>
    <x v="0"/>
    <s v="None"/>
    <s v="Bank Fees &amp; Charges|ATM Fee"/>
  </r>
  <r>
    <s v="MasterCard (Capital One)"/>
    <d v="2014-06-08T00:00:00"/>
    <n v="-13.13"/>
    <s v="X"/>
    <s v="Bartell Drug"/>
    <s v="Sunscreen #Scottsdale 2014#"/>
    <s v="Vacation:Other/From Receipt"/>
    <m/>
    <m/>
    <s v="From Receipt"/>
    <x v="23"/>
    <x v="58"/>
    <m/>
    <m/>
    <s v="Scottsdale 2014"/>
    <m/>
    <x v="6"/>
    <x v="0"/>
    <x v="4"/>
    <x v="0"/>
    <x v="0"/>
    <s v="None"/>
    <s v="Vacation|Other"/>
  </r>
  <r>
    <s v="MasterCard (Capital One)"/>
    <d v="2014-06-08T00:00:00"/>
    <n v="-70.16"/>
    <s v="X"/>
    <s v="Fred Meyer"/>
    <s v="2011: FRED-MEYER #0122 SEATTLE WA 98117 USA"/>
    <s v="Food &amp; Dining:Groceries/From Receipt"/>
    <m/>
    <m/>
    <s v="From Receipt"/>
    <x v="15"/>
    <x v="3"/>
    <m/>
    <m/>
    <m/>
    <m/>
    <x v="6"/>
    <x v="0"/>
    <x v="3"/>
    <x v="0"/>
    <x v="0"/>
    <s v="None"/>
    <s v="Food &amp; Dining|Groceries"/>
  </r>
  <r>
    <s v="MasterCard (Capital One)"/>
    <d v="2014-06-08T00:00:00"/>
    <n v="-132"/>
    <s v="X"/>
    <s v="Woodland Park Zoo"/>
    <s v="Zoo membership"/>
    <s v="Kids:Kids Activities/From Receipt"/>
    <m/>
    <m/>
    <s v="From Receipt"/>
    <x v="27"/>
    <x v="12"/>
    <m/>
    <m/>
    <m/>
    <m/>
    <x v="6"/>
    <x v="0"/>
    <x v="3"/>
    <x v="0"/>
    <x v="0"/>
    <s v="None"/>
    <s v="Kids|Kids Activities"/>
  </r>
  <r>
    <s v="Target Red Card"/>
    <d v="2014-06-08T00:00:00"/>
    <n v="-48.83"/>
    <s v="X"/>
    <s v="Target"/>
    <s v="Shorts and clothes for Scottsd"/>
    <s v="Kids:Clothing/From Receipt"/>
    <n v="799999941591"/>
    <s v="Split"/>
    <s v="From Receipt"/>
    <x v="27"/>
    <x v="1"/>
    <m/>
    <m/>
    <m/>
    <m/>
    <x v="6"/>
    <x v="0"/>
    <x v="3"/>
    <x v="0"/>
    <x v="0"/>
    <s v="None"/>
    <s v="Kids|Clothing"/>
  </r>
  <r>
    <s v="Target Red Card"/>
    <d v="2014-06-08T00:00:00"/>
    <n v="-20.67"/>
    <s v="X"/>
    <s v="Target"/>
    <s v="Sunscreen #Scottsdale 2014#"/>
    <s v="Vacation:Other/From Receipt"/>
    <n v="799999941591"/>
    <s v="Split"/>
    <s v="From Receipt"/>
    <x v="23"/>
    <x v="58"/>
    <m/>
    <m/>
    <s v="Scottsdale 2014"/>
    <m/>
    <x v="6"/>
    <x v="0"/>
    <x v="4"/>
    <x v="0"/>
    <x v="0"/>
    <s v="None"/>
    <s v="Vacation|Other"/>
  </r>
  <r>
    <s v="Target Red Card"/>
    <d v="2014-06-08T00:00:00"/>
    <n v="-16.18"/>
    <s v="X"/>
    <s v="Target"/>
    <s v="Father's day cards"/>
    <s v="Gifts/From Receipt"/>
    <n v="799999941591"/>
    <s v="Split"/>
    <s v="From Receipt"/>
    <x v="28"/>
    <x v="0"/>
    <m/>
    <m/>
    <m/>
    <m/>
    <x v="6"/>
    <x v="0"/>
    <x v="3"/>
    <x v="0"/>
    <x v="0"/>
    <s v="None"/>
    <s v="Gifts"/>
  </r>
  <r>
    <s v="Target Red Card"/>
    <d v="2014-06-08T00:00:00"/>
    <n v="-1.56"/>
    <s v="X"/>
    <s v="Target"/>
    <s v="Water guns"/>
    <s v="Kids:Toys/From Receipt"/>
    <n v="799999941591"/>
    <s v="Split"/>
    <s v="From Receipt"/>
    <x v="27"/>
    <x v="14"/>
    <m/>
    <m/>
    <m/>
    <m/>
    <x v="6"/>
    <x v="0"/>
    <x v="3"/>
    <x v="0"/>
    <x v="0"/>
    <s v="None"/>
    <s v="Kids|Toys"/>
  </r>
  <r>
    <s v="MasterCard (Capital One)"/>
    <d v="2014-06-07T00:00:00"/>
    <n v="-6.03"/>
    <s v="X"/>
    <s v="Home Depot"/>
    <s v="Paint roller covers"/>
    <s v="Business Expenses (Koolikai):Repairs"/>
    <m/>
    <m/>
    <m/>
    <x v="36"/>
    <x v="41"/>
    <m/>
    <m/>
    <m/>
    <m/>
    <x v="6"/>
    <x v="0"/>
    <x v="4"/>
    <x v="0"/>
    <x v="0"/>
    <s v="None"/>
    <s v="Business Expenses (Koolikai)|Repairs"/>
  </r>
  <r>
    <s v="MasterCard (Capital One)"/>
    <d v="2014-06-07T00:00:00"/>
    <n v="-12.02"/>
    <s v="X"/>
    <s v="Greenwood Hardware"/>
    <s v="Painting roller covers"/>
    <s v="Business Expenses (Koolikai):Repairs"/>
    <m/>
    <m/>
    <m/>
    <x v="36"/>
    <x v="41"/>
    <m/>
    <m/>
    <m/>
    <m/>
    <x v="6"/>
    <x v="0"/>
    <x v="4"/>
    <x v="0"/>
    <x v="0"/>
    <s v="None"/>
    <s v="Business Expenses (Koolikai)|Repairs"/>
  </r>
  <r>
    <s v="MasterCard (Capital One)"/>
    <d v="2014-06-06T00:00:00"/>
    <n v="-5.45"/>
    <s v="X"/>
    <s v="Fresh Table Cafe"/>
    <s v="2011: FRESH TABLE CAFE MET SEATTLE WA 98101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06T00:00:00"/>
    <n v="-9.5299999999999994"/>
    <s v="X"/>
    <s v="Fred Meyer"/>
    <s v="2011: FRED-MEYER #0122 SEATTLE WA 98117 USA"/>
    <s v="Food &amp; Dining:Groceries/From Receipt"/>
    <m/>
    <m/>
    <s v="From Receipt"/>
    <x v="15"/>
    <x v="3"/>
    <m/>
    <m/>
    <m/>
    <m/>
    <x v="6"/>
    <x v="0"/>
    <x v="3"/>
    <x v="0"/>
    <x v="0"/>
    <s v="None"/>
    <s v="Food &amp; Dining|Groceries"/>
  </r>
  <r>
    <s v="First Tech - Checking (5544)"/>
    <d v="2014-06-05T00:00:00"/>
    <n v="-3748.69"/>
    <s v="X"/>
    <s v="Wells Fargo Home Mortgage"/>
    <s v="ACH Debit--WF HOME MTG ACH - AUTO PAY"/>
    <s v="Home:Mortgage"/>
    <m/>
    <m/>
    <m/>
    <x v="14"/>
    <x v="27"/>
    <m/>
    <m/>
    <m/>
    <m/>
    <x v="6"/>
    <x v="0"/>
    <x v="3"/>
    <x v="0"/>
    <x v="0"/>
    <s v="None"/>
    <s v="Home|Mortgage"/>
  </r>
  <r>
    <s v="First Tech - Checking (5544)"/>
    <d v="2014-06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6"/>
    <x v="0"/>
    <x v="3"/>
    <x v="0"/>
    <x v="0"/>
    <s v="None"/>
    <s v="Kids|American Funds 529A"/>
  </r>
  <r>
    <s v="First Tech - Checking (5544)"/>
    <d v="2014-06-03T00:00:00"/>
    <n v="-2358.33"/>
    <s v="X"/>
    <s v="Capital One  - Crcardpmt"/>
    <s v="ACH Debit--CAPITAL ONE  - CRCARDPMT"/>
    <s v="[MasterCard (Capital One)]"/>
    <m/>
    <m/>
    <m/>
    <x v="38"/>
    <x v="0"/>
    <m/>
    <m/>
    <m/>
    <m/>
    <x v="6"/>
    <x v="0"/>
    <x v="0"/>
    <x v="0"/>
    <x v="0"/>
    <s v="None"/>
    <s v="[MasterCard (Capital One)]"/>
  </r>
  <r>
    <s v="Koolikai - Checking XX2129"/>
    <d v="2014-06-03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x v="6"/>
    <x v="0"/>
    <x v="3"/>
    <x v="0"/>
    <x v="0"/>
    <s v="None"/>
    <s v="Business Income (Koolikai)|Rent"/>
  </r>
  <r>
    <s v="MasterCard (Capital One)"/>
    <d v="2014-06-03T00:00:00"/>
    <n v="-8.75"/>
    <s v="X"/>
    <s v="Netflix"/>
    <s v="2011: NETFLIX.COM NETFLIX.COM CA 95032 USA"/>
    <s v="Entertainment:Movies &amp; DVDs"/>
    <m/>
    <m/>
    <m/>
    <x v="30"/>
    <x v="43"/>
    <m/>
    <m/>
    <m/>
    <m/>
    <x v="6"/>
    <x v="0"/>
    <x v="6"/>
    <x v="0"/>
    <x v="0"/>
    <s v="None"/>
    <s v="Entertainment|Movies &amp; DVDs"/>
  </r>
  <r>
    <s v="MasterCard (Capital One)"/>
    <d v="2014-06-03T00:00:00"/>
    <n v="-14.27"/>
    <s v="X"/>
    <s v="University Of Washington Medical Center"/>
    <s v="@BAL:$4284.17@ UWMC ONLINE BILL PAY 206-5981950 WA 98195 USA"/>
    <s v="Health &amp; Fitness:Doctor"/>
    <m/>
    <m/>
    <m/>
    <x v="18"/>
    <x v="56"/>
    <m/>
    <m/>
    <m/>
    <m/>
    <x v="6"/>
    <x v="0"/>
    <x v="4"/>
    <x v="0"/>
    <x v="0"/>
    <s v="None"/>
    <s v="Health &amp; Fitness|Doctor"/>
  </r>
  <r>
    <s v="First Tech - Checking (5544)"/>
    <d v="2014-06-02T00:00:00"/>
    <n v="2100"/>
    <s v="X"/>
    <s v="Pierre Kwan"/>
    <s v="Refund of rent and security deposit"/>
    <s v="Business Expenses (Koolikai):Rent"/>
    <m/>
    <s v="Split"/>
    <m/>
    <x v="36"/>
    <x v="25"/>
    <m/>
    <m/>
    <m/>
    <m/>
    <x v="6"/>
    <x v="0"/>
    <x v="1"/>
    <x v="1"/>
    <x v="1"/>
    <e v="#N/A"/>
    <s v="Business Expenses (Koolikai)|Rent"/>
  </r>
  <r>
    <s v="First Tech - Checking (5544)"/>
    <d v="2014-06-02T00:00:00"/>
    <n v="1000"/>
    <s v="X"/>
    <s v="Pierre Kwan"/>
    <m/>
    <s v="Business Expenses (Koolikai):Security Deposit"/>
    <m/>
    <s v="Split"/>
    <m/>
    <x v="36"/>
    <x v="59"/>
    <m/>
    <m/>
    <m/>
    <m/>
    <x v="6"/>
    <x v="0"/>
    <x v="4"/>
    <x v="0"/>
    <x v="0"/>
    <s v="None"/>
    <s v="Business Expenses (Koolikai)|Security Deposit"/>
  </r>
  <r>
    <s v="First Tech - Checking (5544)"/>
    <d v="2014-06-02T00:00:00"/>
    <n v="-1976"/>
    <s v="X"/>
    <s v="Phinney Ridge CDC"/>
    <s v="ACH Debit--PHINNEY RIDGE LU 504759859 - CONTRIBUTN"/>
    <s v="Kids:Daycare"/>
    <m/>
    <m/>
    <m/>
    <x v="27"/>
    <x v="35"/>
    <m/>
    <m/>
    <m/>
    <m/>
    <x v="6"/>
    <x v="0"/>
    <x v="3"/>
    <x v="0"/>
    <x v="0"/>
    <s v="None"/>
    <s v="Kids|Daycare"/>
  </r>
  <r>
    <s v="First Tech - Checking (5544)"/>
    <d v="2014-06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6"/>
    <x v="0"/>
    <x v="3"/>
    <x v="0"/>
    <x v="0"/>
    <s v="None"/>
    <s v="Business Expenses (Koolikai)|Mortgage (Business)"/>
  </r>
  <r>
    <s v="First Tech - Checking (5544)"/>
    <d v="2014-06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6"/>
    <x v="0"/>
    <x v="3"/>
    <x v="0"/>
    <x v="0"/>
    <s v="None"/>
    <s v="Business Expenses (Koolikai)|Mortgage (Business)"/>
  </r>
  <r>
    <s v="First Tech - Checking (5544)"/>
    <d v="2014-06-02T00:00:00"/>
    <n v="-60"/>
    <s v="X"/>
    <s v="Patricia Anderson"/>
    <s v="Check--"/>
    <s v="Kids:Babysitter"/>
    <n v="2131"/>
    <m/>
    <m/>
    <x v="27"/>
    <x v="13"/>
    <m/>
    <m/>
    <m/>
    <m/>
    <x v="6"/>
    <x v="0"/>
    <x v="3"/>
    <x v="0"/>
    <x v="0"/>
    <s v="None"/>
    <s v="Kids|Babysitter"/>
  </r>
  <r>
    <s v="Chase Freedom XX9381"/>
    <d v="2014-06-02T00:00:00"/>
    <n v="-62.85"/>
    <s v="X"/>
    <s v="Razzis Pizzeria"/>
    <m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x v="6"/>
    <x v="0"/>
    <x v="3"/>
    <x v="0"/>
    <x v="0"/>
    <s v="None"/>
    <s v="Bills &amp; Utilities|Television"/>
  </r>
  <r>
    <s v="MasterCard (Capital One)"/>
    <d v="2014-06-02T00:00:00"/>
    <n v="-64.08"/>
    <s v="X"/>
    <s v="Comcast"/>
    <m/>
    <s v="Business Expenses (Koolikai):Internet"/>
    <m/>
    <s v="Split"/>
    <m/>
    <x v="36"/>
    <x v="33"/>
    <m/>
    <m/>
    <m/>
    <m/>
    <x v="6"/>
    <x v="0"/>
    <x v="3"/>
    <x v="0"/>
    <x v="0"/>
    <s v="None"/>
    <s v="Business Expenses (Koolikai)|Internet"/>
  </r>
  <r>
    <s v="MasterCard (Capital One)"/>
    <d v="2014-06-02T00:00:00"/>
    <n v="-44.08"/>
    <s v="X"/>
    <s v="Comcast"/>
    <m/>
    <s v="Bills &amp; Utilities:Home Phone"/>
    <m/>
    <s v="Split"/>
    <m/>
    <x v="34"/>
    <x v="34"/>
    <m/>
    <m/>
    <m/>
    <m/>
    <x v="6"/>
    <x v="0"/>
    <x v="3"/>
    <x v="0"/>
    <x v="0"/>
    <s v="None"/>
    <s v="Bills &amp; Utilities|Home Phone"/>
  </r>
  <r>
    <s v="Chase Freedom XX9381"/>
    <d v="2014-06-01T00:00:00"/>
    <n v="-3.95"/>
    <s v="X"/>
    <s v="Cafe"/>
    <s v="2011: CAFE 86 11171386 REDMOND WA 98052 USA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Chase Freedom XX9381"/>
    <d v="2014-06-01T00:00:00"/>
    <n v="-100"/>
    <s v="X"/>
    <s v="Cafe"/>
    <s v="2011: CAFE 86 11171386 REDMOND WA 98052 USA @BAL:-954.76@"/>
    <s v="Food &amp; Dining:Restaurants"/>
    <m/>
    <m/>
    <m/>
    <x v="15"/>
    <x v="15"/>
    <m/>
    <m/>
    <m/>
    <m/>
    <x v="6"/>
    <x v="0"/>
    <x v="3"/>
    <x v="0"/>
    <x v="0"/>
    <s v="None"/>
    <s v="Food &amp; Dining|Restaurants"/>
  </r>
  <r>
    <s v="MasterCard (Capital One)"/>
    <d v="2014-06-01T00:00:00"/>
    <n v="2358.33"/>
    <s v="X"/>
    <s v="Capital One (Autopay)"/>
    <s v="2011: CAPITAL ONE AUTOPAY PYMT AuthDate 05-MAY"/>
    <s v="[First Tech - Checking (5544)]"/>
    <m/>
    <m/>
    <m/>
    <x v="21"/>
    <x v="0"/>
    <m/>
    <m/>
    <m/>
    <m/>
    <x v="6"/>
    <x v="0"/>
    <x v="0"/>
    <x v="0"/>
    <x v="0"/>
    <s v="None"/>
    <s v="[First Tech - Checking (5544)]"/>
  </r>
  <r>
    <s v="MasterCard (Capital One)"/>
    <d v="2014-06-01T00:00:00"/>
    <n v="-40.98"/>
    <s v="X"/>
    <s v="Fred Meyer"/>
    <s v="2011: FRED-MEYER #0122 SEATTLE WA 98117 USA"/>
    <s v="Food &amp; Dining:Groceries/From Receipt"/>
    <m/>
    <m/>
    <s v="From Receipt"/>
    <x v="15"/>
    <x v="3"/>
    <m/>
    <m/>
    <m/>
    <m/>
    <x v="6"/>
    <x v="0"/>
    <x v="3"/>
    <x v="0"/>
    <x v="0"/>
    <s v="None"/>
    <s v="Food &amp; Dining|Groceries"/>
  </r>
  <r>
    <s v="First Tech - Short Term Emergency (5400)"/>
    <d v="2014-05-31T00:00:00"/>
    <n v="1.57"/>
    <s v="X"/>
    <s v="First Tech (Dividend)"/>
    <s v="Credit Dividend--"/>
    <s v="Interest Income"/>
    <m/>
    <m/>
    <m/>
    <x v="40"/>
    <x v="0"/>
    <m/>
    <m/>
    <m/>
    <m/>
    <x v="7"/>
    <x v="0"/>
    <x v="3"/>
    <x v="0"/>
    <x v="0"/>
    <s v="None"/>
    <s v="Interest Income"/>
  </r>
  <r>
    <s v="Koolikai - Sec Dep XX1200"/>
    <d v="2014-05-31T00:00:00"/>
    <n v="0.19"/>
    <s v="X"/>
    <s v="First Tech (Dividend)"/>
    <s v="Credit Dividend--"/>
    <s v="Interest Income"/>
    <m/>
    <m/>
    <m/>
    <x v="40"/>
    <x v="0"/>
    <m/>
    <m/>
    <m/>
    <m/>
    <x v="7"/>
    <x v="0"/>
    <x v="3"/>
    <x v="0"/>
    <x v="0"/>
    <s v="None"/>
    <s v="Interest Income"/>
  </r>
  <r>
    <s v="MasterCard (Capital One)"/>
    <d v="2014-05-31T00:00:00"/>
    <n v="-49.17"/>
    <s v="X"/>
    <s v="Dsw Designer Shoe Warehouse"/>
    <s v="2011: DSW SEATTLE WA 98125 USA"/>
    <s v="Shopping:Clothing/From Receipt"/>
    <m/>
    <m/>
    <s v="From Receipt"/>
    <x v="13"/>
    <x v="1"/>
    <m/>
    <m/>
    <m/>
    <m/>
    <x v="7"/>
    <x v="0"/>
    <x v="2"/>
    <x v="0"/>
    <x v="0"/>
    <s v="None"/>
    <s v="Shopping|Clothing"/>
  </r>
  <r>
    <s v="MasterCard (Capital One)"/>
    <d v="2014-05-31T00:00:00"/>
    <n v="-167.19"/>
    <s v="X"/>
    <s v="Fred Meyer"/>
    <s v="2011: FRED-MEYER #0608 SEATTLE WA 98107 USA"/>
    <s v="Food &amp; Dining:Groceries/From Receipt"/>
    <m/>
    <s v="Split"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31T00:00:00"/>
    <n v="-17.5"/>
    <s v="X"/>
    <s v="Fred Meyer"/>
    <s v="Sunglasses"/>
    <s v="Kids:Clothing/From Receipt"/>
    <m/>
    <s v="Split"/>
    <s v="From Receipt"/>
    <x v="27"/>
    <x v="1"/>
    <m/>
    <m/>
    <m/>
    <m/>
    <x v="7"/>
    <x v="0"/>
    <x v="3"/>
    <x v="0"/>
    <x v="0"/>
    <s v="None"/>
    <s v="Kids|Clothing"/>
  </r>
  <r>
    <s v="Target Red Card"/>
    <d v="2014-05-31T00:00:00"/>
    <n v="-6.23"/>
    <s v="X"/>
    <s v="Target"/>
    <s v="Socks"/>
    <s v="Kids:Clothing/From Receipt"/>
    <n v="799999941511"/>
    <s v="Split"/>
    <s v="From Receipt"/>
    <x v="27"/>
    <x v="1"/>
    <m/>
    <m/>
    <m/>
    <m/>
    <x v="7"/>
    <x v="0"/>
    <x v="3"/>
    <x v="0"/>
    <x v="0"/>
    <s v="None"/>
    <s v="Kids|Clothing"/>
  </r>
  <r>
    <s v="Target Red Card"/>
    <d v="2014-05-31T00:00:00"/>
    <n v="-15.59"/>
    <s v="X"/>
    <s v="Target"/>
    <s v="#Stay Fit# Bike lock"/>
    <s v="Health &amp; Fitness:Sports/From Receipt"/>
    <n v="799999941511"/>
    <s v="Split"/>
    <s v="From Receipt"/>
    <x v="18"/>
    <x v="23"/>
    <m/>
    <m/>
    <s v="Stay Fit"/>
    <m/>
    <x v="7"/>
    <x v="0"/>
    <x v="4"/>
    <x v="0"/>
    <x v="0"/>
    <s v="None"/>
    <s v="Health &amp; Fitness|Sports"/>
  </r>
  <r>
    <s v="Capital One - Investment (6759)"/>
    <d v="2014-05-30T00:00:00"/>
    <n v="20.02"/>
    <s v="X"/>
    <s v="Capital One (Interest Income)"/>
    <s v="@CAT:@"/>
    <s v="Interest Income"/>
    <s v="INT"/>
    <m/>
    <m/>
    <x v="40"/>
    <x v="0"/>
    <m/>
    <m/>
    <m/>
    <m/>
    <x v="7"/>
    <x v="0"/>
    <x v="3"/>
    <x v="0"/>
    <x v="0"/>
    <s v="None"/>
    <s v="Interest Income"/>
  </r>
  <r>
    <s v="Capital One - Long Term Emergency (1201)"/>
    <d v="2014-05-30T00:00:00"/>
    <n v="50.26"/>
    <s v="X"/>
    <s v="Capital One (Interest Income)"/>
    <s v="@CAT:@"/>
    <s v="Interest Income"/>
    <s v="INT"/>
    <m/>
    <m/>
    <x v="40"/>
    <x v="0"/>
    <m/>
    <m/>
    <m/>
    <m/>
    <x v="7"/>
    <x v="0"/>
    <x v="3"/>
    <x v="0"/>
    <x v="0"/>
    <s v="None"/>
    <s v="Interest Income"/>
  </r>
  <r>
    <s v="Capital One - Secondary Savings (3126)"/>
    <d v="2014-05-30T00:00:00"/>
    <n v="0.02"/>
    <s v="X"/>
    <s v="Capital One (Interest Income)"/>
    <s v="@CAT:@"/>
    <s v="Interest Income"/>
    <s v="INT"/>
    <m/>
    <m/>
    <x v="40"/>
    <x v="0"/>
    <m/>
    <m/>
    <m/>
    <m/>
    <x v="7"/>
    <x v="0"/>
    <x v="3"/>
    <x v="0"/>
    <x v="0"/>
    <s v="None"/>
    <s v="Interest Income"/>
  </r>
  <r>
    <s v="Capital One - Vacation (4959)"/>
    <d v="2014-05-30T00:00:00"/>
    <n v="2.13"/>
    <s v="X"/>
    <s v="Capital One (Interest Income)"/>
    <s v="@CAT:@"/>
    <s v="Interest Income"/>
    <s v="INT"/>
    <m/>
    <m/>
    <x v="40"/>
    <x v="0"/>
    <m/>
    <m/>
    <m/>
    <m/>
    <x v="7"/>
    <x v="0"/>
    <x v="3"/>
    <x v="0"/>
    <x v="0"/>
    <s v="None"/>
    <s v="Interest Income"/>
  </r>
  <r>
    <s v="Schwab - Checking (9784)"/>
    <d v="2014-05-30T00:00:00"/>
    <n v="0.09"/>
    <s v="X"/>
    <s v="Interest Paid"/>
    <m/>
    <s v="Interest Income"/>
    <m/>
    <m/>
    <m/>
    <x v="40"/>
    <x v="0"/>
    <m/>
    <m/>
    <m/>
    <m/>
    <x v="7"/>
    <x v="0"/>
    <x v="3"/>
    <x v="0"/>
    <x v="0"/>
    <s v="None"/>
    <s v="Interest Income"/>
  </r>
  <r>
    <s v="Schwab - Checking (9784)"/>
    <d v="2014-05-30T00:00:00"/>
    <n v="2"/>
    <s v="X"/>
    <s v="ATM Fee Refund"/>
    <m/>
    <s v="Bank Fees &amp; Charges:ATM Fee"/>
    <m/>
    <m/>
    <m/>
    <x v="32"/>
    <x v="17"/>
    <m/>
    <m/>
    <m/>
    <m/>
    <x v="7"/>
    <x v="0"/>
    <x v="3"/>
    <x v="0"/>
    <x v="0"/>
    <s v="None"/>
    <s v="Bank Fees &amp; Charges|ATM Fee"/>
  </r>
  <r>
    <s v="First Tech - Checking (5544)"/>
    <d v="2014-05-29T00:00:00"/>
    <n v="3030.02"/>
    <s v="X"/>
    <s v="Microsoft (Paystub)"/>
    <s v="ACH Deposit--MICROSOFT  - EDIPAYMENT"/>
    <s v="Net Salary"/>
    <m/>
    <m/>
    <m/>
    <x v="35"/>
    <x v="0"/>
    <m/>
    <m/>
    <m/>
    <m/>
    <x v="7"/>
    <x v="0"/>
    <x v="3"/>
    <x v="0"/>
    <x v="0"/>
    <s v="None"/>
    <s v="Net Salary"/>
  </r>
  <r>
    <s v="First Tech - Checking (5544)"/>
    <d v="2014-05-29T00:00:00"/>
    <n v="6195.6"/>
    <s v="X"/>
    <s v="CRAB (Paystub)"/>
    <s v="@BAL:33,047.10@;@CAT:@"/>
    <s v="Net Salary"/>
    <m/>
    <m/>
    <m/>
    <x v="35"/>
    <x v="0"/>
    <m/>
    <m/>
    <m/>
    <m/>
    <x v="7"/>
    <x v="0"/>
    <x v="3"/>
    <x v="0"/>
    <x v="0"/>
    <s v="None"/>
    <s v="Net Salary"/>
  </r>
  <r>
    <s v="MasterCard (Capital One)"/>
    <d v="2014-05-28T00:00:00"/>
    <n v="25"/>
    <s v="X"/>
    <s v="Capital One (Cash Back)"/>
    <m/>
    <s v="Other Inc"/>
    <m/>
    <m/>
    <m/>
    <x v="29"/>
    <x v="0"/>
    <m/>
    <m/>
    <m/>
    <m/>
    <x v="7"/>
    <x v="0"/>
    <x v="3"/>
    <x v="0"/>
    <x v="0"/>
    <s v="None"/>
    <s v="Other Inc"/>
  </r>
  <r>
    <s v="MasterCard (Capital One)"/>
    <d v="2014-05-28T00:00:00"/>
    <n v="-76.599999999999994"/>
    <s v="X"/>
    <s v="Dsw Designer Shoe Warehouse"/>
    <s v="2011: DSW 00999953 COLUMBUS OH 43219 USA"/>
    <s v="Shopping:Clothing/From Receipt"/>
    <m/>
    <m/>
    <s v="From Receipt"/>
    <x v="13"/>
    <x v="1"/>
    <m/>
    <m/>
    <m/>
    <m/>
    <x v="7"/>
    <x v="0"/>
    <x v="2"/>
    <x v="0"/>
    <x v="0"/>
    <s v="None"/>
    <s v="Shopping|Clothing"/>
  </r>
  <r>
    <s v="MasterCard (Capital One)"/>
    <d v="2014-05-28T00:00:00"/>
    <n v="-163.16"/>
    <s v="X"/>
    <s v="Amazon"/>
    <s v="Bed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First Tech - Checking (5544)"/>
    <d v="2014-05-27T00:00:00"/>
    <n v="-523.65"/>
    <s v="X"/>
    <s v="Chase  - Autopay"/>
    <s v="ACH Debit--CHASE  - AUTOPAY"/>
    <s v="[Chase Freedom XX9381]"/>
    <m/>
    <m/>
    <m/>
    <x v="7"/>
    <x v="0"/>
    <m/>
    <m/>
    <m/>
    <m/>
    <x v="7"/>
    <x v="0"/>
    <x v="1"/>
    <x v="1"/>
    <x v="1"/>
    <e v="#N/A"/>
    <s v="[Chase Freedom XX9381]"/>
  </r>
  <r>
    <s v="Koolikai - Checking XX2129"/>
    <d v="2014-05-27T00:00:00"/>
    <n v="-130.86000000000001"/>
    <s v="X"/>
    <s v="Chase - Koolikai (Autopay)"/>
    <s v="@CAT:@BAL:38537.44@"/>
    <s v="[Koolikai Credit Card]"/>
    <m/>
    <m/>
    <m/>
    <x v="9"/>
    <x v="0"/>
    <m/>
    <m/>
    <m/>
    <m/>
    <x v="7"/>
    <x v="0"/>
    <x v="0"/>
    <x v="0"/>
    <x v="0"/>
    <s v="None"/>
    <s v="[Koolikai Credit Card]"/>
  </r>
  <r>
    <s v="Chase Freedom XX9381"/>
    <d v="2014-05-27T00:00:00"/>
    <n v="-8"/>
    <s v="X"/>
    <s v="George Bakery"/>
    <s v="North bend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Chase Freedom XX9381"/>
    <d v="2014-05-27T00:00:00"/>
    <n v="-43.84"/>
    <s v="X"/>
    <s v="Euro Lounge Cafe"/>
    <s v="North bend"/>
    <s v="Food &amp; Dining:Restaurants/From Receipt"/>
    <m/>
    <m/>
    <s v="From Receipt"/>
    <x v="15"/>
    <x v="15"/>
    <m/>
    <m/>
    <m/>
    <m/>
    <x v="7"/>
    <x v="0"/>
    <x v="3"/>
    <x v="0"/>
    <x v="0"/>
    <s v="None"/>
    <s v="Food &amp; Dining|Restaurants"/>
  </r>
  <r>
    <s v="MasterCard (Capital One)"/>
    <d v="2014-05-27T00:00:00"/>
    <n v="-72.150000000000006"/>
    <s v="X"/>
    <s v="Amazon"/>
    <s v="Night stand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72.150000000000006"/>
    <s v="X"/>
    <s v="Amazon"/>
    <s v="Night stand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6.99"/>
    <s v="X"/>
    <s v="Amazon"/>
    <s v="Train track adaptors"/>
    <s v="Kids:Toys/From Receipt"/>
    <m/>
    <s v="Split"/>
    <s v="From Receipt"/>
    <x v="27"/>
    <x v="14"/>
    <m/>
    <m/>
    <m/>
    <m/>
    <x v="7"/>
    <x v="0"/>
    <x v="3"/>
    <x v="0"/>
    <x v="0"/>
    <s v="None"/>
    <s v="Kids|Toys"/>
  </r>
  <r>
    <s v="MasterCard (Capital One)"/>
    <d v="2014-05-27T00:00:00"/>
    <n v="-39.9"/>
    <s v="X"/>
    <s v="Amazon"/>
    <s v="Mattress protectors"/>
    <s v="Home:Furnishings/From Receipt"/>
    <m/>
    <s v="Split"/>
    <s v="From Receipt"/>
    <x v="14"/>
    <x v="2"/>
    <m/>
    <m/>
    <m/>
    <m/>
    <x v="7"/>
    <x v="0"/>
    <x v="3"/>
    <x v="0"/>
    <x v="0"/>
    <s v="None"/>
    <s v="Home|Furnishings"/>
  </r>
  <r>
    <s v="MasterCard (Capital One)"/>
    <d v="2014-05-27T00:00:00"/>
    <n v="-15.83"/>
    <s v="X"/>
    <s v="Amazon"/>
    <s v="Take a walk, 3rd ed"/>
    <s v="Shopping:Books/From Receipt"/>
    <m/>
    <s v="Split"/>
    <s v="From Receipt"/>
    <x v="13"/>
    <x v="51"/>
    <m/>
    <m/>
    <m/>
    <m/>
    <x v="7"/>
    <x v="0"/>
    <x v="6"/>
    <x v="0"/>
    <x v="0"/>
    <s v="None"/>
    <s v="Shopping|Books"/>
  </r>
  <r>
    <s v="MasterCard (Capital One)"/>
    <d v="2014-05-27T00:00:00"/>
    <n v="-15.75"/>
    <s v="X"/>
    <s v="Amazon"/>
    <s v="Cars Magic Ink book"/>
    <s v="Kids:Toys/From Receipt"/>
    <m/>
    <s v="Split"/>
    <s v="From Receipt"/>
    <x v="27"/>
    <x v="14"/>
    <m/>
    <m/>
    <m/>
    <m/>
    <x v="7"/>
    <x v="0"/>
    <x v="3"/>
    <x v="0"/>
    <x v="0"/>
    <s v="None"/>
    <s v="Kids|Toys"/>
  </r>
  <r>
    <s v="MasterCard (Capital One)"/>
    <d v="2014-05-27T00:00:00"/>
    <n v="-22.09"/>
    <s v="X"/>
    <s v="Amazon"/>
    <s v="Train track pack"/>
    <s v="Kids:Toys/From Receipt"/>
    <m/>
    <s v="Split"/>
    <s v="From Receipt"/>
    <x v="27"/>
    <x v="14"/>
    <m/>
    <m/>
    <m/>
    <m/>
    <x v="7"/>
    <x v="0"/>
    <x v="3"/>
    <x v="0"/>
    <x v="0"/>
    <s v="None"/>
    <s v="Kids|Toys"/>
  </r>
  <r>
    <s v="MasterCard (Capital One)"/>
    <d v="2014-05-27T00:00:00"/>
    <n v="-12.98"/>
    <s v="X"/>
    <s v="Amazon"/>
    <s v="Soccer ball pillow"/>
    <s v="Projects:Boy's Room/From Receipt"/>
    <m/>
    <s v="Split"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114.96"/>
    <s v="X"/>
    <s v="Amazon"/>
    <s v="240Gb SSD"/>
    <s v="Shopping:Electronics &amp; Software/From Receipt"/>
    <m/>
    <m/>
    <s v="From Receipt"/>
    <x v="13"/>
    <x v="20"/>
    <m/>
    <m/>
    <m/>
    <m/>
    <x v="7"/>
    <x v="0"/>
    <x v="2"/>
    <x v="0"/>
    <x v="0"/>
    <s v="None"/>
    <s v="Shopping|Electronics &amp; Software"/>
  </r>
  <r>
    <s v="MasterCard (Capital One)"/>
    <d v="2014-05-27T00:00:00"/>
    <n v="-136.88"/>
    <s v="X"/>
    <s v="Amazon"/>
    <s v="Headboard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136.88"/>
    <s v="X"/>
    <s v="Amazon"/>
    <s v="Headboard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163.16"/>
    <s v="X"/>
    <s v="Amazon"/>
    <s v="Bed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167.52"/>
    <s v="X"/>
    <s v="Amazon"/>
    <s v="Mattress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7T00:00:00"/>
    <n v="-167.52"/>
    <s v="X"/>
    <s v="Amazon"/>
    <s v="Mattress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Chase Freedom XX9381"/>
    <d v="2014-05-26T00:00:00"/>
    <n v="523.65"/>
    <s v="X"/>
    <s v="Chase Autopay (Freedom)"/>
    <m/>
    <s v="[First Tech - Checking (5544)]"/>
    <m/>
    <m/>
    <m/>
    <x v="21"/>
    <x v="0"/>
    <m/>
    <m/>
    <m/>
    <m/>
    <x v="7"/>
    <x v="0"/>
    <x v="0"/>
    <x v="0"/>
    <x v="0"/>
    <s v="None"/>
    <s v="[First Tech - Checking (5544)]"/>
  </r>
  <r>
    <s v="Chase Freedom XX9381"/>
    <d v="2014-05-26T00:00:00"/>
    <n v="-23.11"/>
    <s v="X"/>
    <s v="Lunchbox Laboratory"/>
    <m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Chase Freedom XX9381"/>
    <d v="2014-05-26T00:00:00"/>
    <n v="-23.81"/>
    <s v="X"/>
    <s v="Lowe's"/>
    <s v="Paint"/>
    <s v="Home:Home Improvement/From Receipt"/>
    <m/>
    <m/>
    <s v="From Receipt"/>
    <x v="14"/>
    <x v="19"/>
    <m/>
    <m/>
    <m/>
    <m/>
    <x v="7"/>
    <x v="0"/>
    <x v="4"/>
    <x v="0"/>
    <x v="0"/>
    <s v="None"/>
    <s v="Home|Home Improvement"/>
  </r>
  <r>
    <s v="Chase Freedom XX9381"/>
    <d v="2014-05-26T00:00:00"/>
    <n v="-4.92"/>
    <s v="X"/>
    <s v="Fred Meyer"/>
    <s v="#Stay Fit# Safety mirror"/>
    <s v="Health &amp; Fitness:Sports/From Receipt"/>
    <m/>
    <s v="Split"/>
    <s v="From Receipt"/>
    <x v="18"/>
    <x v="23"/>
    <m/>
    <m/>
    <s v="Stay Fit"/>
    <m/>
    <x v="7"/>
    <x v="0"/>
    <x v="4"/>
    <x v="0"/>
    <x v="0"/>
    <s v="None"/>
    <s v="Health &amp; Fitness|Sports"/>
  </r>
  <r>
    <s v="Chase Freedom XX9381"/>
    <d v="2014-05-26T00:00:00"/>
    <n v="-6.89"/>
    <s v="X"/>
    <s v="Fred Meyer"/>
    <s v="Kick stand"/>
    <s v="Health &amp; Fitness:Sports/From Receipt"/>
    <m/>
    <s v="Split"/>
    <s v="From Receipt"/>
    <x v="18"/>
    <x v="23"/>
    <m/>
    <m/>
    <m/>
    <m/>
    <x v="7"/>
    <x v="0"/>
    <x v="4"/>
    <x v="0"/>
    <x v="0"/>
    <s v="None"/>
    <s v="Health &amp; Fitness|Sports"/>
  </r>
  <r>
    <s v="Chase Freedom XX9381"/>
    <d v="2014-05-26T00:00:00"/>
    <n v="-19.7"/>
    <s v="X"/>
    <s v="Fred Meyer"/>
    <s v="#Stay Fit# Bike lock"/>
    <s v="Health &amp; Fitness:Sports/From Receipt"/>
    <m/>
    <s v="Split"/>
    <s v="From Receipt"/>
    <x v="18"/>
    <x v="23"/>
    <m/>
    <m/>
    <s v="Stay Fit"/>
    <m/>
    <x v="7"/>
    <x v="0"/>
    <x v="4"/>
    <x v="0"/>
    <x v="0"/>
    <s v="None"/>
    <s v="Health &amp; Fitness|Sports"/>
  </r>
  <r>
    <s v="Chase Freedom XX9381"/>
    <d v="2014-05-26T00:00:00"/>
    <n v="-81.81"/>
    <s v="X"/>
    <s v="Fred Meyer"/>
    <m/>
    <s v="Food &amp; Dining:Groceries/From Receipt"/>
    <m/>
    <s v="Split"/>
    <s v="From Receipt"/>
    <x v="15"/>
    <x v="3"/>
    <m/>
    <m/>
    <m/>
    <m/>
    <x v="7"/>
    <x v="0"/>
    <x v="3"/>
    <x v="0"/>
    <x v="0"/>
    <s v="None"/>
    <s v="Food &amp; Dining|Groceries"/>
  </r>
  <r>
    <s v="Chase Freedom XX9381"/>
    <d v="2014-05-26T00:00:00"/>
    <n v="-290"/>
    <s v="X"/>
    <s v="Canlis"/>
    <m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26T00:00:00"/>
    <n v="-56"/>
    <s v="X"/>
    <s v="Nw Railway Museum"/>
    <s v="Snoqualamie Train Ride"/>
    <s v="Kids:Kids Activities"/>
    <m/>
    <m/>
    <m/>
    <x v="27"/>
    <x v="12"/>
    <m/>
    <m/>
    <m/>
    <m/>
    <x v="7"/>
    <x v="0"/>
    <x v="3"/>
    <x v="0"/>
    <x v="0"/>
    <s v="None"/>
    <s v="Kids|Kids Activities"/>
  </r>
  <r>
    <s v="MasterCard (Capital One)"/>
    <d v="2014-05-26T00:00:00"/>
    <n v="-155.47999999999999"/>
    <s v="X"/>
    <s v="Amazon"/>
    <s v="Chest of drawers"/>
    <s v="Projects:Boy's Room/From Receipt"/>
    <m/>
    <m/>
    <s v="From Receipt"/>
    <x v="39"/>
    <x v="57"/>
    <m/>
    <m/>
    <m/>
    <m/>
    <x v="7"/>
    <x v="0"/>
    <x v="6"/>
    <x v="0"/>
    <x v="0"/>
    <s v="None"/>
    <s v="Projects|Boy's Room"/>
  </r>
  <r>
    <s v="MasterCard (Capital One)"/>
    <d v="2014-05-25T00:00:00"/>
    <n v="-3"/>
    <s v="X"/>
    <s v="Diamond Parking"/>
    <m/>
    <s v="Auto &amp; Transport:Parking"/>
    <m/>
    <m/>
    <m/>
    <x v="17"/>
    <x v="11"/>
    <m/>
    <m/>
    <m/>
    <m/>
    <x v="7"/>
    <x v="0"/>
    <x v="3"/>
    <x v="0"/>
    <x v="0"/>
    <s v="None"/>
    <s v="Auto &amp; Transport|Parking"/>
  </r>
  <r>
    <s v="MasterCard (Capital One)"/>
    <d v="2014-05-25T00:00:00"/>
    <n v="-31.73"/>
    <s v="X"/>
    <s v="Stacias"/>
    <s v="@CAT:@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25T00:00:00"/>
    <n v="-34"/>
    <s v="X"/>
    <s v="Mount Rainier Scenic"/>
    <s v="#Mt. Rainier 2014# scenic railroad"/>
    <s v="Vacation:Activities"/>
    <m/>
    <m/>
    <m/>
    <x v="23"/>
    <x v="39"/>
    <m/>
    <m/>
    <s v="Mt. Rainier 2014"/>
    <m/>
    <x v="7"/>
    <x v="0"/>
    <x v="4"/>
    <x v="0"/>
    <x v="0"/>
    <s v="None"/>
    <s v="Vacation|Activities"/>
  </r>
  <r>
    <s v="Edward Jones - Roth IRA"/>
    <d v="2014-05-25T00:00:00"/>
    <m/>
    <m/>
    <m/>
    <s v="25.262 shares added to account"/>
    <m/>
    <s v="ShrsIn"/>
    <m/>
    <m/>
    <x v="26"/>
    <x v="0"/>
    <m/>
    <m/>
    <m/>
    <m/>
    <x v="7"/>
    <x v="0"/>
    <x v="1"/>
    <x v="1"/>
    <x v="1"/>
    <e v="#N/A"/>
    <n v="0"/>
  </r>
  <r>
    <s v="Edward Jones - Roth IRA"/>
    <d v="2014-05-25T00:00:00"/>
    <m/>
    <m/>
    <m/>
    <s v="108.118 shares added to account"/>
    <m/>
    <s v="ShrsIn"/>
    <m/>
    <m/>
    <x v="26"/>
    <x v="0"/>
    <m/>
    <m/>
    <m/>
    <m/>
    <x v="7"/>
    <x v="0"/>
    <x v="1"/>
    <x v="1"/>
    <x v="1"/>
    <e v="#N/A"/>
    <n v="0"/>
  </r>
  <r>
    <s v="MasterCard (Capital One)"/>
    <d v="2014-05-24T00:00:00"/>
    <n v="-31"/>
    <s v="X"/>
    <s v="Groupon"/>
    <s v="#Mt. Rainier 2014# Scenic railroad"/>
    <s v="Vacation:Activities"/>
    <m/>
    <m/>
    <m/>
    <x v="23"/>
    <x v="39"/>
    <m/>
    <m/>
    <s v="Mt. Rainier 2014"/>
    <m/>
    <x v="7"/>
    <x v="0"/>
    <x v="4"/>
    <x v="0"/>
    <x v="0"/>
    <s v="None"/>
    <s v="Vacation|Activities"/>
  </r>
  <r>
    <s v="MasterCard (Capital One)"/>
    <d v="2014-05-24T00:00:00"/>
    <n v="-43.75"/>
    <s v="X"/>
    <s v="Dsw Designer Shoe Warehouse"/>
    <m/>
    <s v="Shopping:Clothing/From Receipt"/>
    <m/>
    <m/>
    <s v="From Receipt"/>
    <x v="13"/>
    <x v="1"/>
    <m/>
    <m/>
    <m/>
    <m/>
    <x v="7"/>
    <x v="0"/>
    <x v="2"/>
    <x v="0"/>
    <x v="0"/>
    <s v="None"/>
    <s v="Shopping|Clothing"/>
  </r>
  <r>
    <s v="Edward Jones - Roth IRA"/>
    <d v="2014-05-24T00:00:00"/>
    <m/>
    <m/>
    <m/>
    <m/>
    <s v="[Edward Jones - Roth IRA]"/>
    <s v="Cash"/>
    <m/>
    <m/>
    <x v="48"/>
    <x v="0"/>
    <m/>
    <m/>
    <m/>
    <m/>
    <x v="7"/>
    <x v="0"/>
    <x v="1"/>
    <x v="1"/>
    <x v="1"/>
    <e v="#N/A"/>
    <s v="[Edward Jones - Roth IRA]"/>
  </r>
  <r>
    <s v="First Tech - Checking (5544)"/>
    <d v="2014-05-23T00:00:00"/>
    <n v="765.59"/>
    <s v="X"/>
    <s v="CRAB (Reimbursement)"/>
    <s v="#Group meeting Spring# Reimbursement for group meeting"/>
    <s v="Work Expense:Reimbursement"/>
    <m/>
    <m/>
    <m/>
    <x v="19"/>
    <x v="6"/>
    <m/>
    <m/>
    <s v="Group meeting Spring"/>
    <m/>
    <x v="7"/>
    <x v="0"/>
    <x v="4"/>
    <x v="0"/>
    <x v="0"/>
    <s v="None"/>
    <s v="Work Expense|Reimbursement"/>
  </r>
  <r>
    <s v="Koolikai - Checking XX2129"/>
    <d v="2014-05-23T00:00:00"/>
    <n v="2195"/>
    <s v="X"/>
    <s v="John Shaibley"/>
    <s v="June rent@CAT:@@BAL:38668.30@"/>
    <s v="Business Income (Koolikai):Rent/7231"/>
    <m/>
    <m/>
    <n v="7231"/>
    <x v="37"/>
    <x v="25"/>
    <m/>
    <m/>
    <m/>
    <m/>
    <x v="7"/>
    <x v="0"/>
    <x v="3"/>
    <x v="0"/>
    <x v="0"/>
    <s v="None"/>
    <s v="Business Income (Koolikai)|Rent"/>
  </r>
  <r>
    <s v="Chase Freedom XX9381"/>
    <d v="2014-05-23T00:00:00"/>
    <n v="-15.69"/>
    <s v="X"/>
    <s v="Paddy Coynes Irish"/>
    <m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Koolikai Credit Card"/>
    <d v="2014-05-23T00:00:00"/>
    <n v="130.86000000000001"/>
    <s v="X"/>
    <s v="Chase - Koolikai (Autopay)"/>
    <m/>
    <s v="[Koolikai - Checking XX2129]"/>
    <m/>
    <m/>
    <m/>
    <x v="25"/>
    <x v="0"/>
    <m/>
    <m/>
    <m/>
    <m/>
    <x v="7"/>
    <x v="0"/>
    <x v="0"/>
    <x v="0"/>
    <x v="0"/>
    <s v="None"/>
    <s v="[Koolikai - Checking XX2129]"/>
  </r>
  <r>
    <s v="First Tech - Checking (5544)"/>
    <d v="2014-05-22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7"/>
    <x v="0"/>
    <x v="3"/>
    <x v="0"/>
    <x v="0"/>
    <s v="None"/>
    <s v="Auto &amp; Transport|Auto Lease Payment"/>
  </r>
  <r>
    <s v="First Tech - Checking (5544)"/>
    <d v="2014-05-22T00:00:00"/>
    <n v="-30"/>
    <s v="X"/>
    <s v="Celina Glassburn"/>
    <s v="Teacher Appreciation Week"/>
    <s v="Kids:Daycare"/>
    <n v="2127"/>
    <m/>
    <m/>
    <x v="27"/>
    <x v="35"/>
    <m/>
    <m/>
    <m/>
    <m/>
    <x v="7"/>
    <x v="0"/>
    <x v="3"/>
    <x v="0"/>
    <x v="0"/>
    <s v="None"/>
    <s v="Kids|Daycare"/>
  </r>
  <r>
    <s v="MasterCard (Capital One)"/>
    <d v="2014-05-21T00:00:00"/>
    <n v="-7.94"/>
    <s v="X"/>
    <s v="Fred Meyer"/>
    <s v="2011: FRED-MEYER #0122 SEATTLE WA 98117 USA"/>
    <s v="Food &amp; Dining:Groceries/From Receipt"/>
    <m/>
    <m/>
    <s v="From Receipt"/>
    <x v="15"/>
    <x v="3"/>
    <m/>
    <m/>
    <m/>
    <m/>
    <x v="7"/>
    <x v="0"/>
    <x v="3"/>
    <x v="0"/>
    <x v="0"/>
    <s v="None"/>
    <s v="Food &amp; Dining|Groceries"/>
  </r>
  <r>
    <s v="Chase Freedom XX9381"/>
    <d v="2014-05-19T00:00:00"/>
    <n v="-38.299999999999997"/>
    <s v="X"/>
    <s v="Lowe's"/>
    <s v="Sink fixture"/>
    <s v="Business Expenses (Koolikai):Repairs/7231:From Receipt"/>
    <m/>
    <m/>
    <s v="7231:From Receipt"/>
    <x v="36"/>
    <x v="41"/>
    <m/>
    <m/>
    <m/>
    <m/>
    <x v="7"/>
    <x v="0"/>
    <x v="4"/>
    <x v="0"/>
    <x v="0"/>
    <s v="None"/>
    <s v="Business Expenses (Koolikai)|Repairs"/>
  </r>
  <r>
    <s v="Chase Freedom XX9381"/>
    <d v="2014-05-19T00:00:00"/>
    <n v="-53.99"/>
    <s v="X"/>
    <s v="Serendipity Cafe"/>
    <s v="@CAT:@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19T00:00:00"/>
    <n v="-6.15"/>
    <s v="X"/>
    <s v="Amazon"/>
    <s v="Coldplay Ghost Stories"/>
    <s v="Entertainment:Music"/>
    <m/>
    <m/>
    <m/>
    <x v="30"/>
    <x v="60"/>
    <m/>
    <m/>
    <m/>
    <m/>
    <x v="7"/>
    <x v="0"/>
    <x v="6"/>
    <x v="0"/>
    <x v="0"/>
    <s v="None"/>
    <s v="Entertainment|Music"/>
  </r>
  <r>
    <s v="MasterCard (Capital One)"/>
    <d v="2014-05-19T00:00:00"/>
    <n v="-46.58"/>
    <s v="X"/>
    <s v="Swedish Cent Bus"/>
    <s v="2011: SWEDISH CENT BUS SVCS 206-3204476 WA 981011176 USA"/>
    <s v="Health &amp; Fitness:Doctor"/>
    <m/>
    <m/>
    <m/>
    <x v="18"/>
    <x v="56"/>
    <m/>
    <m/>
    <m/>
    <m/>
    <x v="7"/>
    <x v="0"/>
    <x v="4"/>
    <x v="0"/>
    <x v="0"/>
    <s v="None"/>
    <s v="Health &amp; Fitness|Doctor"/>
  </r>
  <r>
    <s v="MasterCard (Capital One)"/>
    <d v="2014-05-19T00:00:00"/>
    <n v="-84.5"/>
    <s v="X"/>
    <s v="Wa Parksreservationswe Olympia"/>
    <s v="#Seaquest#"/>
    <s v="Vacation:Lodging"/>
    <m/>
    <m/>
    <m/>
    <x v="23"/>
    <x v="9"/>
    <m/>
    <m/>
    <s v="Seaquest"/>
    <m/>
    <x v="7"/>
    <x v="0"/>
    <x v="4"/>
    <x v="0"/>
    <x v="0"/>
    <s v="None"/>
    <s v="Vacation|Lodging"/>
  </r>
  <r>
    <s v="Schwab - Checking (9784)"/>
    <d v="2014-05-18T00:00:00"/>
    <n v="-116"/>
    <s v="X"/>
    <s v="Costco"/>
    <s v="@CAT:@@BAL:$1020.21@"/>
    <s v="Food &amp; Dining:Groceries/From Receipt"/>
    <m/>
    <s v="Split"/>
    <s v="From Receipt"/>
    <x v="15"/>
    <x v="3"/>
    <m/>
    <m/>
    <m/>
    <m/>
    <x v="7"/>
    <x v="0"/>
    <x v="3"/>
    <x v="0"/>
    <x v="0"/>
    <s v="None"/>
    <s v="Food &amp; Dining|Groceries"/>
  </r>
  <r>
    <s v="Schwab - Checking (9784)"/>
    <d v="2014-05-18T00:00:00"/>
    <n v="-43.78"/>
    <s v="X"/>
    <s v="Costco"/>
    <s v="Life vests for Arizona"/>
    <s v="Health &amp; Fitness:Sports/From Receipt"/>
    <m/>
    <s v="Split"/>
    <s v="From Receipt"/>
    <x v="18"/>
    <x v="23"/>
    <m/>
    <m/>
    <m/>
    <m/>
    <x v="7"/>
    <x v="0"/>
    <x v="4"/>
    <x v="0"/>
    <x v="0"/>
    <s v="None"/>
    <s v="Health &amp; Fitness|Sports"/>
  </r>
  <r>
    <s v="MasterCard (Capital One)"/>
    <d v="2014-05-17T00:00:00"/>
    <n v="-21.79"/>
    <s v="X"/>
    <s v="Top Ten Toys"/>
    <s v="2011: TOP TEN TOYS SEATTLE WA 98103 USA"/>
    <s v="Kids:Toys/From Receipt"/>
    <m/>
    <m/>
    <s v="From Receipt"/>
    <x v="27"/>
    <x v="14"/>
    <m/>
    <m/>
    <m/>
    <m/>
    <x v="7"/>
    <x v="0"/>
    <x v="3"/>
    <x v="0"/>
    <x v="0"/>
    <s v="None"/>
    <s v="Kids|Toys"/>
  </r>
  <r>
    <s v="MasterCard (Capital One)"/>
    <d v="2014-05-17T00:00:00"/>
    <n v="-26.28"/>
    <s v="X"/>
    <s v="Sq Sustudio Jewelry"/>
    <s v="Earings at the street fair"/>
    <s v="Shopping:Clothing/From Receipt"/>
    <m/>
    <m/>
    <s v="From Receipt"/>
    <x v="13"/>
    <x v="1"/>
    <m/>
    <m/>
    <m/>
    <m/>
    <x v="7"/>
    <x v="0"/>
    <x v="2"/>
    <x v="0"/>
    <x v="0"/>
    <s v="None"/>
    <s v="Shopping|Clothing"/>
  </r>
  <r>
    <s v="MasterCard (Capital One)"/>
    <d v="2014-05-17T00:00:00"/>
    <n v="-34"/>
    <s v="X"/>
    <s v="Rudys Barber Shop"/>
    <s v="2011: RUDYS BARBER SHOP - PH SEATTLE WA 98103 USA"/>
    <s v="Personal Care:Hair"/>
    <m/>
    <m/>
    <m/>
    <x v="31"/>
    <x v="16"/>
    <m/>
    <m/>
    <m/>
    <m/>
    <x v="7"/>
    <x v="0"/>
    <x v="3"/>
    <x v="0"/>
    <x v="0"/>
    <s v="None"/>
    <s v="Personal Care|Hair"/>
  </r>
  <r>
    <s v="MasterCard (Capital One)"/>
    <d v="2014-05-17T00:00:00"/>
    <n v="-84.79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17T00:00:00"/>
    <n v="-7.64"/>
    <s v="X"/>
    <s v="Fred Meyer"/>
    <s v="Bubble guns"/>
    <s v="Kids:Toys/From Receipt"/>
    <m/>
    <s v="Split"/>
    <s v="From Receipt"/>
    <x v="27"/>
    <x v="14"/>
    <m/>
    <m/>
    <m/>
    <m/>
    <x v="7"/>
    <x v="0"/>
    <x v="3"/>
    <x v="0"/>
    <x v="0"/>
    <s v="None"/>
    <s v="Kids|Toys"/>
  </r>
  <r>
    <s v="First Tech - Checking (5544)"/>
    <d v="2014-05-16T00:00:00"/>
    <n v="-115"/>
    <s v="X"/>
    <s v="Cleaning Authority, The"/>
    <s v="ACH Debit--THE CLEANING AUT  - ONLINE PMT"/>
    <s v="Home:Home Services"/>
    <m/>
    <m/>
    <m/>
    <x v="14"/>
    <x v="46"/>
    <m/>
    <m/>
    <m/>
    <m/>
    <x v="7"/>
    <x v="0"/>
    <x v="3"/>
    <x v="0"/>
    <x v="0"/>
    <s v="None"/>
    <s v="Home|Home Services"/>
  </r>
  <r>
    <s v="First Tech - Short Term Emergency (5400)"/>
    <d v="2014-05-16T00:00:00"/>
    <n v="71250.350000000006"/>
    <s v="X"/>
    <s v="Edward Jones"/>
    <s v="CHECK NUMBER: 133471432"/>
    <s v="[Edward Jones - Investment Account]"/>
    <m/>
    <m/>
    <m/>
    <x v="49"/>
    <x v="0"/>
    <m/>
    <m/>
    <m/>
    <m/>
    <x v="7"/>
    <x v="0"/>
    <x v="1"/>
    <x v="1"/>
    <x v="1"/>
    <e v="#N/A"/>
    <s v="[Edward Jones - Investment Account]"/>
  </r>
  <r>
    <s v="MasterCard (Capital One)"/>
    <d v="2014-05-16T00:00:00"/>
    <n v="-8.1999999999999993"/>
    <s v="X"/>
    <s v="Fresh Table Cafe"/>
    <s v="2011: FRESH TABLE CAFE MET SEATTLE WA 98101 USA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16T00:00:00"/>
    <n v="-60"/>
    <s v="X"/>
    <s v="Starbucks"/>
    <s v="Teacher appreciation gifts"/>
    <s v="Gifts/From Receipt"/>
    <m/>
    <m/>
    <s v="From Receipt"/>
    <x v="28"/>
    <x v="0"/>
    <m/>
    <m/>
    <m/>
    <m/>
    <x v="7"/>
    <x v="0"/>
    <x v="3"/>
    <x v="0"/>
    <x v="0"/>
    <s v="None"/>
    <s v="Gifts"/>
  </r>
  <r>
    <s v="Edward Jones - Investment Account"/>
    <d v="2014-05-16T00:00:00"/>
    <n v="71250.350000000006"/>
    <m/>
    <s v="Edward Jones"/>
    <s v="CHECK NUMBER: 133471432"/>
    <s v="[First Tech - Short Term Emergency (5400)]"/>
    <s v="XOut"/>
    <s v="Split"/>
    <m/>
    <x v="4"/>
    <x v="0"/>
    <m/>
    <m/>
    <m/>
    <m/>
    <x v="7"/>
    <x v="0"/>
    <x v="0"/>
    <x v="0"/>
    <x v="0"/>
    <s v="None"/>
    <s v="[First Tech - Short Term Emergency (5400)]"/>
  </r>
  <r>
    <s v="First Tech - Checking (5544)"/>
    <d v="2014-05-15T00:00:00"/>
    <n v="-110.13"/>
    <s v="X"/>
    <s v="Seattle City Light"/>
    <s v="ACH Debit--CITY OF SEATTLE  - 1 - SCL De"/>
    <s v="Bills &amp; Utilities:Utilities"/>
    <m/>
    <m/>
    <m/>
    <x v="34"/>
    <x v="18"/>
    <m/>
    <m/>
    <m/>
    <m/>
    <x v="7"/>
    <x v="0"/>
    <x v="3"/>
    <x v="0"/>
    <x v="0"/>
    <s v="None"/>
    <s v="Bills &amp; Utilities|Utilities"/>
  </r>
  <r>
    <s v="MasterCard (Capital One)"/>
    <d v="2014-05-15T00:00:00"/>
    <n v="-6.56"/>
    <s v="X"/>
    <s v="Fred Meyer"/>
    <s v="Seasonal VLM... no idea what this is"/>
    <s v="Kids:Clothing/From Receipt"/>
    <m/>
    <m/>
    <s v="From Receipt"/>
    <x v="27"/>
    <x v="1"/>
    <m/>
    <m/>
    <m/>
    <m/>
    <x v="7"/>
    <x v="0"/>
    <x v="3"/>
    <x v="0"/>
    <x v="0"/>
    <s v="None"/>
    <s v="Kids|Clothing"/>
  </r>
  <r>
    <s v="First Tech - Checking (5544)"/>
    <d v="2014-05-14T00:00:00"/>
    <n v="3165.21"/>
    <s v="X"/>
    <s v="Microsoft (Paystub)"/>
    <s v="ACH Deposit--MICROSOFT  - EDIPAYMENT"/>
    <s v="Net Salary"/>
    <m/>
    <m/>
    <m/>
    <x v="35"/>
    <x v="0"/>
    <m/>
    <m/>
    <m/>
    <m/>
    <x v="7"/>
    <x v="0"/>
    <x v="3"/>
    <x v="0"/>
    <x v="0"/>
    <s v="None"/>
    <s v="Net Salary"/>
  </r>
  <r>
    <s v="MasterCard (Capital One)"/>
    <d v="2014-05-14T00:00:00"/>
    <n v="-2.89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14T00:00:00"/>
    <n v="-6.56"/>
    <s v="X"/>
    <s v="Fred Meyer"/>
    <s v="Seasonal VLM... no idea what t"/>
    <s v="Kids:Toys/From Receipt"/>
    <m/>
    <s v="Split"/>
    <s v="From Receipt"/>
    <x v="27"/>
    <x v="14"/>
    <m/>
    <m/>
    <m/>
    <m/>
    <x v="7"/>
    <x v="0"/>
    <x v="3"/>
    <x v="0"/>
    <x v="0"/>
    <s v="None"/>
    <s v="Kids|Toys"/>
  </r>
  <r>
    <s v="First Tech - Checking (5544)"/>
    <d v="2014-05-13T00:00:00"/>
    <n v="-81.430000000000007"/>
    <s v="X"/>
    <s v="Puget Sound Energy"/>
    <s v="ACH Debit--PUGET SOUND ENER DIRECT DEBITING - PSE BILL  12500371"/>
    <s v="Bills &amp; Utilities:Utilities"/>
    <m/>
    <m/>
    <m/>
    <x v="34"/>
    <x v="18"/>
    <m/>
    <m/>
    <m/>
    <m/>
    <x v="7"/>
    <x v="0"/>
    <x v="3"/>
    <x v="0"/>
    <x v="0"/>
    <s v="None"/>
    <s v="Bills &amp; Utilities|Utilities"/>
  </r>
  <r>
    <s v="MasterCard (Capital One)"/>
    <d v="2014-05-13T00:00:00"/>
    <n v="-7.97"/>
    <s v="X"/>
    <s v="Ken's Market"/>
    <s v="2011: KEN'S MARKET #75-116 SEATTLE WA 98103 USA"/>
    <s v="Food &amp; Dining:Groceries"/>
    <m/>
    <m/>
    <m/>
    <x v="15"/>
    <x v="3"/>
    <m/>
    <m/>
    <m/>
    <m/>
    <x v="7"/>
    <x v="0"/>
    <x v="3"/>
    <x v="0"/>
    <x v="0"/>
    <s v="None"/>
    <s v="Food &amp; Dining|Groceries"/>
  </r>
  <r>
    <s v="First Tech - Checking (5544)"/>
    <d v="2014-05-12T00:00:00"/>
    <n v="12"/>
    <s v="X"/>
    <s v="Old Republic Title"/>
    <s v="Deposit--Shared Branch Mobile Deposit          First Tech FC CA"/>
    <s v="Other Inc"/>
    <m/>
    <m/>
    <m/>
    <x v="29"/>
    <x v="0"/>
    <m/>
    <m/>
    <m/>
    <m/>
    <x v="7"/>
    <x v="0"/>
    <x v="3"/>
    <x v="0"/>
    <x v="0"/>
    <s v="None"/>
    <s v="Other Inc"/>
  </r>
  <r>
    <s v="Koolikai - Checking XX2129"/>
    <d v="2014-05-12T00:00:00"/>
    <n v="-19.57"/>
    <s v="X"/>
    <s v="John Shaibley"/>
    <s v="Hinges for door"/>
    <s v="Business Expenses (Koolikai):Repairs"/>
    <n v="1092"/>
    <m/>
    <m/>
    <x v="36"/>
    <x v="41"/>
    <m/>
    <m/>
    <m/>
    <m/>
    <x v="7"/>
    <x v="0"/>
    <x v="4"/>
    <x v="0"/>
    <x v="0"/>
    <s v="None"/>
    <s v="Business Expenses (Koolikai)|Repairs"/>
  </r>
  <r>
    <s v="Koolikai - Checking XX2129"/>
    <d v="2014-05-12T00:00:00"/>
    <n v="-49.1"/>
    <s v="X"/>
    <s v="John Shaibley"/>
    <s v="Parts for washing machine"/>
    <s v="Business Expenses (Koolikai):Repairs"/>
    <n v="1093"/>
    <m/>
    <m/>
    <x v="36"/>
    <x v="41"/>
    <m/>
    <m/>
    <m/>
    <m/>
    <x v="7"/>
    <x v="0"/>
    <x v="4"/>
    <x v="0"/>
    <x v="0"/>
    <s v="None"/>
    <s v="Business Expenses (Koolikai)|Repairs"/>
  </r>
  <r>
    <s v="Chase Freedom XX9381"/>
    <d v="2014-05-12T00:00:00"/>
    <n v="-178.3"/>
    <s v="X"/>
    <s v="Vios Cafe 3rd"/>
    <m/>
    <s v="Food &amp; Dining:Restaurants/From Receipt"/>
    <m/>
    <m/>
    <s v="From Receipt"/>
    <x v="15"/>
    <x v="15"/>
    <m/>
    <m/>
    <m/>
    <m/>
    <x v="7"/>
    <x v="0"/>
    <x v="3"/>
    <x v="0"/>
    <x v="0"/>
    <s v="None"/>
    <s v="Food &amp; Dining|Restaurants"/>
  </r>
  <r>
    <s v="Koolikai Credit Card"/>
    <d v="2014-05-12T00:00:00"/>
    <n v="-146.97999999999999"/>
    <s v="X"/>
    <s v="Verizon Wireless"/>
    <m/>
    <s v="Business Expenses (Koolikai):Cell Phone"/>
    <m/>
    <m/>
    <m/>
    <x v="36"/>
    <x v="22"/>
    <m/>
    <m/>
    <m/>
    <m/>
    <x v="7"/>
    <x v="0"/>
    <x v="3"/>
    <x v="0"/>
    <x v="0"/>
    <s v="None"/>
    <s v="Business Expenses (Koolikai)|Cell Phone"/>
  </r>
  <r>
    <s v="MasterCard (Capital One)"/>
    <d v="2014-05-12T00:00:00"/>
    <n v="-94.61"/>
    <s v="X"/>
    <s v="Trader Joe's"/>
    <s v="2011: TRADER JOE'S #147 QPS SEATTLE WA 98107 USA"/>
    <s v="Food &amp; Dining:Groceries/From Receipt"/>
    <m/>
    <m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11T00:00:00"/>
    <n v="-4.2300000000000004"/>
    <s v="X"/>
    <s v="Amazon"/>
    <s v="Coldplay Ghost Stories"/>
    <s v="Entertainment:Music"/>
    <m/>
    <m/>
    <m/>
    <x v="30"/>
    <x v="60"/>
    <m/>
    <m/>
    <m/>
    <m/>
    <x v="7"/>
    <x v="0"/>
    <x v="6"/>
    <x v="0"/>
    <x v="0"/>
    <s v="None"/>
    <s v="Entertainment|Music"/>
  </r>
  <r>
    <s v="MasterCard (Capital One)"/>
    <d v="2014-05-11T00:00:00"/>
    <n v="-13.69"/>
    <s v="X"/>
    <s v="Recycled Cycles"/>
    <s v="#Stay Fit# Bike tune up on Angela's bike"/>
    <s v="Health &amp; Fitness:Sports"/>
    <m/>
    <m/>
    <m/>
    <x v="18"/>
    <x v="23"/>
    <m/>
    <m/>
    <s v="Stay Fit"/>
    <m/>
    <x v="7"/>
    <x v="0"/>
    <x v="4"/>
    <x v="0"/>
    <x v="0"/>
    <s v="None"/>
    <s v="Health &amp; Fitness|Sports"/>
  </r>
  <r>
    <s v="MasterCard (Capital One)"/>
    <d v="2014-05-11T00:00:00"/>
    <n v="-16.41"/>
    <s v="X"/>
    <s v="Gregg's Greenlake Cycle"/>
    <s v="#Stay Fit# Bike mirror"/>
    <s v="Health &amp; Fitness:Sports/From Receipt"/>
    <m/>
    <m/>
    <s v="From Receipt"/>
    <x v="18"/>
    <x v="23"/>
    <m/>
    <m/>
    <s v="Stay Fit"/>
    <m/>
    <x v="7"/>
    <x v="0"/>
    <x v="4"/>
    <x v="0"/>
    <x v="0"/>
    <s v="None"/>
    <s v="Health &amp; Fitness|Sports"/>
  </r>
  <r>
    <s v="MasterCard (Capital One)"/>
    <d v="2014-05-11T00:00:00"/>
    <n v="-142.9"/>
    <s v="X"/>
    <s v="Super Jock n Jill"/>
    <s v="#Stay Fit# Shoes and Inserts"/>
    <s v="Health &amp; Fitness:Sports"/>
    <m/>
    <m/>
    <m/>
    <x v="18"/>
    <x v="23"/>
    <m/>
    <m/>
    <s v="Stay Fit"/>
    <m/>
    <x v="7"/>
    <x v="0"/>
    <x v="4"/>
    <x v="0"/>
    <x v="0"/>
    <s v="None"/>
    <s v="Health &amp; Fitness|Sports"/>
  </r>
  <r>
    <s v="MasterCard (Capital One)"/>
    <d v="2014-05-10T00:00:00"/>
    <n v="-17.5"/>
    <s v="X"/>
    <s v="Third Place Books"/>
    <s v="2011: THIRD PLACE BOOKS SEATTLE WA 98115 USA"/>
    <s v="Shopping:Books"/>
    <m/>
    <m/>
    <m/>
    <x v="13"/>
    <x v="51"/>
    <m/>
    <m/>
    <m/>
    <m/>
    <x v="7"/>
    <x v="0"/>
    <x v="6"/>
    <x v="0"/>
    <x v="0"/>
    <s v="None"/>
    <s v="Shopping|Books"/>
  </r>
  <r>
    <s v="MasterCard (Capital One)"/>
    <d v="2014-05-10T00:00:00"/>
    <n v="-72.349999999999994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10T00:00:00"/>
    <n v="-6.01"/>
    <s v="X"/>
    <s v="Fred Meyer"/>
    <s v="Mother's Day Card"/>
    <s v="Gifts/From Receipt"/>
    <m/>
    <s v="Split"/>
    <s v="From Receipt"/>
    <x v="28"/>
    <x v="0"/>
    <m/>
    <m/>
    <m/>
    <m/>
    <x v="7"/>
    <x v="0"/>
    <x v="3"/>
    <x v="0"/>
    <x v="0"/>
    <s v="None"/>
    <s v="Gifts"/>
  </r>
  <r>
    <s v="MasterCard (Capital One)"/>
    <d v="2014-05-10T00:00:00"/>
    <n v="-21.89"/>
    <s v="X"/>
    <s v="Fred Meyer"/>
    <s v="Sunglasses"/>
    <s v="Shopping:Clothing:Accessories/From Receipt"/>
    <m/>
    <s v="Split"/>
    <s v="From Receipt"/>
    <x v="13"/>
    <x v="1"/>
    <s v="Accessories"/>
    <m/>
    <m/>
    <m/>
    <x v="7"/>
    <x v="0"/>
    <x v="2"/>
    <x v="0"/>
    <x v="0"/>
    <s v="None"/>
    <s v="Shopping|Clothing"/>
  </r>
  <r>
    <s v="Schwab - Checking (9784)"/>
    <d v="2014-05-09T00:00:00"/>
    <n v="-2"/>
    <s v="X"/>
    <s v="Ken's Market"/>
    <m/>
    <s v="Bank Fees &amp; Charges:ATM Fee"/>
    <m/>
    <s v="Split"/>
    <m/>
    <x v="32"/>
    <x v="17"/>
    <m/>
    <m/>
    <m/>
    <m/>
    <x v="7"/>
    <x v="0"/>
    <x v="3"/>
    <x v="0"/>
    <x v="0"/>
    <s v="None"/>
    <s v="Bank Fees &amp; Charges|ATM Fee"/>
  </r>
  <r>
    <s v="Schwab - Checking (9784)"/>
    <d v="2014-05-09T00:00:00"/>
    <n v="-30"/>
    <s v="X"/>
    <s v="Ken's Market"/>
    <m/>
    <s v="Kids:Babysitter"/>
    <m/>
    <s v="Split"/>
    <m/>
    <x v="27"/>
    <x v="13"/>
    <m/>
    <m/>
    <m/>
    <m/>
    <x v="7"/>
    <x v="0"/>
    <x v="3"/>
    <x v="0"/>
    <x v="0"/>
    <s v="None"/>
    <s v="Kids|Babysitter"/>
  </r>
  <r>
    <s v="Schwab - Checking (9784)"/>
    <d v="2014-05-09T00:00:00"/>
    <n v="-10"/>
    <s v="X"/>
    <s v="Ken's Market"/>
    <m/>
    <s v="Food &amp; Dining:Restaurants"/>
    <m/>
    <s v="Split"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09T00:00:00"/>
    <n v="25"/>
    <s v="X"/>
    <s v="Capital One (Cash Back)"/>
    <s v="2011: CREDIT-CASH BACK REWARD"/>
    <s v="Other Inc"/>
    <m/>
    <m/>
    <m/>
    <x v="29"/>
    <x v="0"/>
    <m/>
    <m/>
    <m/>
    <m/>
    <x v="7"/>
    <x v="0"/>
    <x v="3"/>
    <x v="0"/>
    <x v="0"/>
    <s v="None"/>
    <s v="Other Inc"/>
  </r>
  <r>
    <s v="Koolikai Credit Card"/>
    <d v="2014-05-08T00:00:00"/>
    <n v="-42"/>
    <s v="X"/>
    <s v="Bob Oates Sewer &amp; Rooter"/>
    <m/>
    <s v="Business Expenses (Koolikai):Repairs/7231"/>
    <m/>
    <m/>
    <n v="7231"/>
    <x v="36"/>
    <x v="41"/>
    <m/>
    <m/>
    <m/>
    <m/>
    <x v="7"/>
    <x v="0"/>
    <x v="4"/>
    <x v="0"/>
    <x v="0"/>
    <s v="None"/>
    <s v="Business Expenses (Koolikai)|Repairs"/>
  </r>
  <r>
    <s v="MasterCard (Capital One)"/>
    <d v="2014-05-08T00:00:00"/>
    <n v="-5.78"/>
    <s v="X"/>
    <s v="Ken's Market"/>
    <s v="2011: KEN'S MARKET #75-116 SEATTLE WA 98103 USA"/>
    <s v="Food &amp; Dining:Groceries/From Receipt"/>
    <m/>
    <m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08T00:00:00"/>
    <n v="-13.51"/>
    <s v="X"/>
    <s v="Taco Del Mar"/>
    <s v="2011: TACO DEL MAR GREENWOOD SEATTLE WA 98103 USA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07T00:00:00"/>
    <n v="-585"/>
    <s v="X"/>
    <s v="Stockwell Associat Lynnwood"/>
    <s v="2011: STOCKWELL AND ASSOCIAT LYNNWOOD WA 98036 USA"/>
    <s v="Business Expenses (Koolikai):Prof and Legal Fees"/>
    <m/>
    <m/>
    <m/>
    <x v="36"/>
    <x v="61"/>
    <m/>
    <m/>
    <m/>
    <m/>
    <x v="7"/>
    <x v="0"/>
    <x v="2"/>
    <x v="0"/>
    <x v="0"/>
    <s v="None"/>
    <s v="Business Expenses (Koolikai)|Prof and Legal Fees"/>
  </r>
  <r>
    <s v="First Tech - Checking (5544)"/>
    <d v="2014-05-06T00:00:00"/>
    <n v="-3748.69"/>
    <s v="X"/>
    <s v="Wells Fargo Home Mortgage"/>
    <s v="ACH Debit--WF HOME MTG ACH - AUTO PAY"/>
    <s v="Home:Mortgage"/>
    <m/>
    <m/>
    <m/>
    <x v="14"/>
    <x v="27"/>
    <m/>
    <m/>
    <m/>
    <m/>
    <x v="7"/>
    <x v="0"/>
    <x v="3"/>
    <x v="0"/>
    <x v="0"/>
    <s v="None"/>
    <s v="Home|Mortgage"/>
  </r>
  <r>
    <s v="First Tech - Checking (5544)"/>
    <d v="2014-05-06T00:00:00"/>
    <n v="-15487.26"/>
    <s v="X"/>
    <s v="Lincoln Mutual Insurance"/>
    <s v="Life insurance policy"/>
    <s v="Financial:Life Insurance"/>
    <m/>
    <m/>
    <m/>
    <x v="50"/>
    <x v="62"/>
    <m/>
    <m/>
    <m/>
    <m/>
    <x v="7"/>
    <x v="0"/>
    <x v="3"/>
    <x v="0"/>
    <x v="0"/>
    <s v="None"/>
    <s v="Financial|Life Insurance"/>
  </r>
  <r>
    <s v="Koolikai Credit Card"/>
    <d v="2014-05-06T00:00:00"/>
    <n v="15.84"/>
    <s v="X"/>
    <s v="Lowes #00252*"/>
    <s v="Sink fixture repair parts"/>
    <s v="Business Expenses (Koolikai):Repairs/9602:From Receipt"/>
    <m/>
    <m/>
    <s v="9602:From Receipt"/>
    <x v="36"/>
    <x v="41"/>
    <m/>
    <m/>
    <m/>
    <m/>
    <x v="7"/>
    <x v="0"/>
    <x v="4"/>
    <x v="0"/>
    <x v="0"/>
    <s v="None"/>
    <s v="Business Expenses (Koolikai)|Repairs"/>
  </r>
  <r>
    <s v="MasterCard (Capital One)"/>
    <d v="2014-05-06T00:00:00"/>
    <n v="-3.89"/>
    <s v="X"/>
    <s v="Ken's Market"/>
    <s v="2011: KEN'S MARKET #75-116 SEATTLE WA 98103 USA"/>
    <s v="Food &amp; Dining:Groceries"/>
    <m/>
    <m/>
    <m/>
    <x v="15"/>
    <x v="3"/>
    <m/>
    <m/>
    <m/>
    <m/>
    <x v="7"/>
    <x v="0"/>
    <x v="3"/>
    <x v="0"/>
    <x v="0"/>
    <s v="None"/>
    <s v="Food &amp; Dining|Groceries"/>
  </r>
  <r>
    <s v="First Tech - Checking (5544)"/>
    <d v="2014-05-05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7"/>
    <x v="0"/>
    <x v="3"/>
    <x v="0"/>
    <x v="0"/>
    <s v="None"/>
    <s v="Kids|American Funds 529A"/>
  </r>
  <r>
    <s v="Chase Freedom XX9381"/>
    <d v="2014-05-05T00:00:00"/>
    <n v="-62.45"/>
    <s v="X"/>
    <s v="Barking Dog Alehouse"/>
    <m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Koolikai Credit Card"/>
    <d v="2014-05-04T00:00:00"/>
    <n v="-155"/>
    <s v="X"/>
    <s v="Groupon"/>
    <s v="Bob Oates $200 for $155 deal"/>
    <s v="Business Expenses (Koolikai):Repairs/7231"/>
    <m/>
    <m/>
    <n v="7231"/>
    <x v="36"/>
    <x v="41"/>
    <m/>
    <m/>
    <m/>
    <m/>
    <x v="7"/>
    <x v="0"/>
    <x v="4"/>
    <x v="0"/>
    <x v="0"/>
    <s v="None"/>
    <s v="Business Expenses (Koolikai)|Repairs"/>
  </r>
  <r>
    <s v="MasterCard (Capital One)"/>
    <d v="2014-05-04T00:00:00"/>
    <n v="-2.4900000000000002"/>
    <s v="X"/>
    <s v="Ken's Market"/>
    <s v="2011: KEN'S MARKET #75-116 SEATTLE WA 98103 USA"/>
    <s v="Food &amp; Dining:Groceries/From Receipt"/>
    <m/>
    <m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04T00:00:00"/>
    <n v="-6.3"/>
    <s v="X"/>
    <s v="Playdate Cafe"/>
    <s v="2011: SQ *PLAYDATE CAFE Lynnwood WA 98036 USA"/>
    <s v="Kids:Kids Activities"/>
    <m/>
    <m/>
    <m/>
    <x v="27"/>
    <x v="12"/>
    <m/>
    <m/>
    <m/>
    <m/>
    <x v="7"/>
    <x v="0"/>
    <x v="3"/>
    <x v="0"/>
    <x v="0"/>
    <s v="None"/>
    <s v="Kids|Kids Activities"/>
  </r>
  <r>
    <s v="MasterCard (Capital One)"/>
    <d v="2014-05-04T00:00:00"/>
    <n v="-7.66"/>
    <s v="X"/>
    <s v="Playdate Cafe"/>
    <s v="2011: SQ *PLAYDATE CAFE Lynnwood WA 98036 USA"/>
    <s v="Kids:Kids Activities"/>
    <m/>
    <m/>
    <m/>
    <x v="27"/>
    <x v="12"/>
    <m/>
    <m/>
    <m/>
    <m/>
    <x v="7"/>
    <x v="0"/>
    <x v="3"/>
    <x v="0"/>
    <x v="0"/>
    <s v="None"/>
    <s v="Kids|Kids Activities"/>
  </r>
  <r>
    <s v="MasterCard (Capital One)"/>
    <d v="2014-05-04T00:00:00"/>
    <n v="-8.75"/>
    <s v="X"/>
    <s v="Netflix"/>
    <s v="2011: NETFLIX.COM NETFLIX.COM CA 95032 USA"/>
    <s v="Entertainment:Movies &amp; DVDs"/>
    <m/>
    <m/>
    <m/>
    <x v="30"/>
    <x v="43"/>
    <m/>
    <m/>
    <m/>
    <m/>
    <x v="7"/>
    <x v="0"/>
    <x v="6"/>
    <x v="0"/>
    <x v="0"/>
    <s v="None"/>
    <s v="Entertainment|Movies &amp; DVDs"/>
  </r>
  <r>
    <s v="MasterCard (Capital One)"/>
    <d v="2014-05-04T00:00:00"/>
    <n v="-9.31"/>
    <s v="X"/>
    <s v="Playdate Cafe"/>
    <s v="2011: SQ *PLAYDATE CAFE Lynnwood WA 98036 USA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04T00:00:00"/>
    <n v="-38"/>
    <s v="X"/>
    <s v="Paypal"/>
    <s v="2011: PAYPAL *THISTLETHEA @BAL:3115.35@"/>
    <s v="Kids:Kids Activities"/>
    <m/>
    <m/>
    <m/>
    <x v="27"/>
    <x v="12"/>
    <m/>
    <m/>
    <m/>
    <m/>
    <x v="7"/>
    <x v="0"/>
    <x v="3"/>
    <x v="0"/>
    <x v="0"/>
    <s v="None"/>
    <s v="Kids|Kids Activities"/>
  </r>
  <r>
    <s v="Koolikai - Checking XX2129"/>
    <d v="2014-05-03T00:00:00"/>
    <n v="2295"/>
    <s v="X"/>
    <s v="Aaron Ausland"/>
    <s v="Deposit--Shared Branch Mobile Deposit          First Tech FC CA"/>
    <s v="Business Income (Koolikai):Rent"/>
    <m/>
    <s v="Split"/>
    <m/>
    <x v="37"/>
    <x v="25"/>
    <m/>
    <m/>
    <m/>
    <m/>
    <x v="7"/>
    <x v="0"/>
    <x v="3"/>
    <x v="0"/>
    <x v="0"/>
    <s v="None"/>
    <s v="Business Income (Koolikai)|Rent"/>
  </r>
  <r>
    <s v="Koolikai - Checking XX2129"/>
    <d v="2014-05-03T00:00:00"/>
    <n v="88.66"/>
    <s v="X"/>
    <s v="Aaron Ausland"/>
    <m/>
    <s v="Business Expenses (Koolikai):Utilities (Business)"/>
    <m/>
    <s v="Split"/>
    <m/>
    <x v="36"/>
    <x v="63"/>
    <m/>
    <m/>
    <m/>
    <m/>
    <x v="7"/>
    <x v="0"/>
    <x v="3"/>
    <x v="0"/>
    <x v="0"/>
    <s v="None"/>
    <s v="Business Expenses (Koolikai)|Utilities (Business)"/>
  </r>
  <r>
    <s v="MasterCard (Capital One)"/>
    <d v="2014-05-03T00:00:00"/>
    <n v="-103.39"/>
    <s v="X"/>
    <s v="Fred Meyer"/>
    <s v="2011: FRED-MEYER #0608 SEATTLE WA 98107 USA"/>
    <s v="Food &amp; Dining:Groceries/From Receipt"/>
    <m/>
    <m/>
    <s v="From Receipt"/>
    <x v="15"/>
    <x v="3"/>
    <m/>
    <m/>
    <m/>
    <m/>
    <x v="7"/>
    <x v="0"/>
    <x v="3"/>
    <x v="0"/>
    <x v="0"/>
    <s v="None"/>
    <s v="Food &amp; Dining|Groceries"/>
  </r>
  <r>
    <s v="First Tech - Checking (5544)"/>
    <d v="2014-05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7"/>
    <x v="0"/>
    <x v="3"/>
    <x v="0"/>
    <x v="0"/>
    <s v="None"/>
    <s v="Business Expenses (Koolikai)|Mortgage (Business)"/>
  </r>
  <r>
    <s v="First Tech - Checking (5544)"/>
    <d v="2014-05-02T00:00:00"/>
    <n v="-2480.02"/>
    <s v="X"/>
    <s v="Capital One (Autopay)"/>
    <s v="ACH Debit--CAPITAL ONE  - CRCARDPMT"/>
    <s v="[MasterCard (Capital One)]"/>
    <m/>
    <m/>
    <m/>
    <x v="38"/>
    <x v="0"/>
    <m/>
    <m/>
    <m/>
    <m/>
    <x v="7"/>
    <x v="0"/>
    <x v="0"/>
    <x v="0"/>
    <x v="0"/>
    <s v="None"/>
    <s v="[MasterCard (Capital One)]"/>
  </r>
  <r>
    <s v="First Tech - Checking (5544)"/>
    <d v="2014-05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7"/>
    <x v="0"/>
    <x v="3"/>
    <x v="0"/>
    <x v="0"/>
    <s v="None"/>
    <s v="Business Expenses (Koolikai)|Mortgage (Business)"/>
  </r>
  <r>
    <s v="MasterCard (Capital One)"/>
    <d v="2014-05-02T00:00:00"/>
    <n v="2480.02"/>
    <s v="X"/>
    <s v="Capital One (Autopay)"/>
    <s v="ACH Debit--CAPITAL ONE  - CRCARDPMT"/>
    <s v="[First Tech - Checking (5544)]"/>
    <m/>
    <m/>
    <m/>
    <x v="21"/>
    <x v="0"/>
    <m/>
    <m/>
    <m/>
    <m/>
    <x v="7"/>
    <x v="0"/>
    <x v="0"/>
    <x v="0"/>
    <x v="0"/>
    <s v="None"/>
    <s v="[First Tech - Checking (5544)]"/>
  </r>
  <r>
    <s v="MasterCard (Capital One)"/>
    <d v="2014-05-02T00:00:00"/>
    <n v="-11.24"/>
    <s v="X"/>
    <s v="Ken's Market"/>
    <s v="@CAT:@"/>
    <s v="Food &amp; Dining:Groceries"/>
    <m/>
    <m/>
    <m/>
    <x v="15"/>
    <x v="3"/>
    <m/>
    <m/>
    <m/>
    <m/>
    <x v="7"/>
    <x v="0"/>
    <x v="3"/>
    <x v="0"/>
    <x v="0"/>
    <s v="None"/>
    <s v="Food &amp; Dining|Groceries"/>
  </r>
  <r>
    <s v="MasterCard (Capital One)"/>
    <d v="2014-05-02T00:00:00"/>
    <n v="-21.89"/>
    <s v="X"/>
    <s v="Fred Meyer"/>
    <s v="2011: FRED-MEYER #0023 BELLEVUE WA 98007 USA"/>
    <s v="Food &amp; Dining:Groceries/From Receipt"/>
    <m/>
    <m/>
    <s v="From Receipt"/>
    <x v="15"/>
    <x v="3"/>
    <m/>
    <m/>
    <m/>
    <m/>
    <x v="7"/>
    <x v="0"/>
    <x v="3"/>
    <x v="0"/>
    <x v="0"/>
    <s v="None"/>
    <s v="Food &amp; Dining|Groceries"/>
  </r>
  <r>
    <s v="MasterCard (Capital One)"/>
    <d v="2014-05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x v="7"/>
    <x v="0"/>
    <x v="3"/>
    <x v="0"/>
    <x v="0"/>
    <s v="None"/>
    <s v="Bills &amp; Utilities|Television"/>
  </r>
  <r>
    <s v="MasterCard (Capital One)"/>
    <d v="2014-05-02T00:00:00"/>
    <n v="-64.08"/>
    <s v="X"/>
    <s v="Comcast"/>
    <m/>
    <s v="Business Expenses (Koolikai):Internet"/>
    <m/>
    <s v="Split"/>
    <m/>
    <x v="36"/>
    <x v="33"/>
    <m/>
    <m/>
    <m/>
    <m/>
    <x v="7"/>
    <x v="0"/>
    <x v="3"/>
    <x v="0"/>
    <x v="0"/>
    <s v="None"/>
    <s v="Business Expenses (Koolikai)|Internet"/>
  </r>
  <r>
    <s v="MasterCard (Capital One)"/>
    <d v="2014-05-02T00:00:00"/>
    <n v="-44.08"/>
    <s v="X"/>
    <s v="Comcast"/>
    <m/>
    <s v="Bills &amp; Utilities:Home Phone"/>
    <m/>
    <s v="Split"/>
    <m/>
    <x v="34"/>
    <x v="34"/>
    <m/>
    <m/>
    <m/>
    <m/>
    <x v="7"/>
    <x v="0"/>
    <x v="3"/>
    <x v="0"/>
    <x v="0"/>
    <s v="None"/>
    <s v="Bills &amp; Utilities|Home Phone"/>
  </r>
  <r>
    <s v="MasterCard (Capital One)"/>
    <d v="2014-05-02T00:00:00"/>
    <n v="-569.88"/>
    <s v="X"/>
    <s v="Hyatt"/>
    <s v="#Group meeting Spring#"/>
    <s v="Work Expense:Reimbursable expense"/>
    <m/>
    <m/>
    <m/>
    <x v="19"/>
    <x v="21"/>
    <m/>
    <m/>
    <s v="Group meeting Spring"/>
    <m/>
    <x v="7"/>
    <x v="0"/>
    <x v="4"/>
    <x v="0"/>
    <x v="0"/>
    <s v="None"/>
    <s v="Work Expense|Reimbursable expense"/>
  </r>
  <r>
    <s v="First Tech - Checking (5544)"/>
    <d v="2014-05-01T00:00:00"/>
    <n v="-1976"/>
    <s v="X"/>
    <s v="Phinney Ridge CDC"/>
    <s v="ACH Debit--PHINNEY RIDGE LU 504759859 - CONTRIBUTN"/>
    <s v="Kids:Daycare"/>
    <m/>
    <m/>
    <m/>
    <x v="27"/>
    <x v="35"/>
    <m/>
    <m/>
    <m/>
    <m/>
    <x v="7"/>
    <x v="0"/>
    <x v="3"/>
    <x v="0"/>
    <x v="0"/>
    <s v="None"/>
    <s v="Kids|Daycare"/>
  </r>
  <r>
    <s v="Schwab - Checking (9784)"/>
    <d v="2014-05-01T00:00:00"/>
    <n v="-8.65"/>
    <s v="X"/>
    <s v="Bartell Drugs"/>
    <s v="2011: 09 BARTELL DRUGS SEATTLE WA 98103 USA"/>
    <s v="Food &amp; Dining:Groceries"/>
    <m/>
    <m/>
    <m/>
    <x v="15"/>
    <x v="3"/>
    <m/>
    <m/>
    <m/>
    <m/>
    <x v="7"/>
    <x v="0"/>
    <x v="3"/>
    <x v="0"/>
    <x v="0"/>
    <s v="None"/>
    <s v="Food &amp; Dining|Groceries"/>
  </r>
  <r>
    <s v="Chase Freedom XX9381"/>
    <d v="2014-05-01T00:00:00"/>
    <n v="-2.4500000000000002"/>
    <s v="X"/>
    <s v="Breaking Bread"/>
    <s v="#Group meeting Spring#"/>
    <s v="Work Expense:Reimbursable expense"/>
    <m/>
    <m/>
    <m/>
    <x v="19"/>
    <x v="21"/>
    <m/>
    <m/>
    <s v="Group meeting Spring"/>
    <m/>
    <x v="7"/>
    <x v="0"/>
    <x v="4"/>
    <x v="0"/>
    <x v="0"/>
    <s v="None"/>
    <s v="Work Expense|Reimbursable expense"/>
  </r>
  <r>
    <s v="Chase Freedom XX9381"/>
    <d v="2014-05-01T00:00:00"/>
    <n v="-4.12"/>
    <s v="X"/>
    <s v="Taco Del Mar"/>
    <s v="2011: TACO DEL MAR GREENWOOD SEATTLE WA 98103 USA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Chase Freedom XX9381"/>
    <d v="2014-05-01T00:00:00"/>
    <n v="-10.95"/>
    <s v="X"/>
    <s v="Breaking Bread"/>
    <s v="#Group meeting Spring#"/>
    <s v="Work Expense:Reimbursable expense/From Receipt"/>
    <m/>
    <m/>
    <s v="From Receipt"/>
    <x v="19"/>
    <x v="21"/>
    <m/>
    <m/>
    <s v="Group meeting Spring"/>
    <m/>
    <x v="7"/>
    <x v="0"/>
    <x v="4"/>
    <x v="0"/>
    <x v="0"/>
    <s v="None"/>
    <s v="Work Expense|Reimbursable expense"/>
  </r>
  <r>
    <s v="Chase Freedom XX9381"/>
    <d v="2014-05-01T00:00:00"/>
    <n v="-53.63"/>
    <s v="X"/>
    <s v="Marketbar"/>
    <s v="#Group meeting Spring#"/>
    <s v="Work Expense:Reimbursable expense"/>
    <m/>
    <m/>
    <m/>
    <x v="19"/>
    <x v="21"/>
    <m/>
    <m/>
    <s v="Group meeting Spring"/>
    <m/>
    <x v="7"/>
    <x v="0"/>
    <x v="4"/>
    <x v="0"/>
    <x v="0"/>
    <s v="None"/>
    <s v="Work Expense|Reimbursable expense"/>
  </r>
  <r>
    <s v="Chase Freedom XX9381"/>
    <d v="2014-05-01T00:00:00"/>
    <n v="-54.93"/>
    <s v="X"/>
    <s v="Perbacco"/>
    <s v="#Group meeting Spring#"/>
    <s v="Work Expense:Reimbursable expense/From Receipt"/>
    <m/>
    <m/>
    <s v="From Receipt"/>
    <x v="19"/>
    <x v="21"/>
    <m/>
    <m/>
    <s v="Group meeting Spring"/>
    <m/>
    <x v="7"/>
    <x v="0"/>
    <x v="4"/>
    <x v="0"/>
    <x v="0"/>
    <s v="None"/>
    <s v="Work Expense|Reimbursable expense"/>
  </r>
  <r>
    <s v="Chase Freedom XX9381"/>
    <d v="2014-05-01T00:00:00"/>
    <n v="-100"/>
    <s v="X"/>
    <s v="Cafe"/>
    <s v="2011: CAFE 86 11171386 REDMOND WA 98052 USA"/>
    <s v="Food &amp; Dining:Restaurants"/>
    <m/>
    <m/>
    <m/>
    <x v="15"/>
    <x v="15"/>
    <m/>
    <m/>
    <m/>
    <m/>
    <x v="7"/>
    <x v="0"/>
    <x v="3"/>
    <x v="0"/>
    <x v="0"/>
    <s v="None"/>
    <s v="Food &amp; Dining|Restaurants"/>
  </r>
  <r>
    <s v="MasterCard (Capital One)"/>
    <d v="2014-05-01T00:00:00"/>
    <n v="-21.36"/>
    <s v="X"/>
    <s v="Napa Farms"/>
    <s v="#Group meeting Spring# Meal at airport"/>
    <s v="Work Expense:Reimbursable expense/From Receipt"/>
    <m/>
    <m/>
    <s v="From Receipt"/>
    <x v="19"/>
    <x v="21"/>
    <m/>
    <m/>
    <s v="Group meeting Spring"/>
    <m/>
    <x v="7"/>
    <x v="0"/>
    <x v="4"/>
    <x v="0"/>
    <x v="0"/>
    <s v="None"/>
    <s v="Work Expense|Reimbursable expense"/>
  </r>
  <r>
    <s v="MasterCard (Capital One)"/>
    <d v="2014-05-01T00:00:00"/>
    <n v="-30.89"/>
    <s v="X"/>
    <s v="Shuttlepark 2"/>
    <s v="#Group meeting Spring# Parking for group meeting"/>
    <s v="Work Expense:Reimbursable expense"/>
    <m/>
    <m/>
    <m/>
    <x v="19"/>
    <x v="21"/>
    <m/>
    <m/>
    <s v="Group meeting Spring"/>
    <m/>
    <x v="7"/>
    <x v="0"/>
    <x v="4"/>
    <x v="0"/>
    <x v="0"/>
    <s v="None"/>
    <s v="Work Expense|Reimbursable expense"/>
  </r>
  <r>
    <s v="MasterCard (Capital One)"/>
    <d v="2014-05-01T00:00:00"/>
    <n v="-35"/>
    <s v="X"/>
    <s v="Bigtentgroups Ma Bigtentgroups"/>
    <s v="SFOM membership fee"/>
    <s v="Subscriptions &amp; Dues"/>
    <m/>
    <m/>
    <m/>
    <x v="33"/>
    <x v="0"/>
    <m/>
    <m/>
    <m/>
    <m/>
    <x v="7"/>
    <x v="0"/>
    <x v="2"/>
    <x v="0"/>
    <x v="0"/>
    <s v="None"/>
    <s v="Subscriptions &amp; Dues"/>
  </r>
  <r>
    <s v="Capital One - Investment (6759)"/>
    <d v="2014-04-30T00:00:00"/>
    <n v="19.37"/>
    <s v="X"/>
    <s v="Capital One (Interest Income)"/>
    <s v="@CAT:@"/>
    <s v="Interest Income"/>
    <s v="INT"/>
    <m/>
    <m/>
    <x v="40"/>
    <x v="0"/>
    <m/>
    <m/>
    <m/>
    <m/>
    <x v="8"/>
    <x v="0"/>
    <x v="3"/>
    <x v="0"/>
    <x v="0"/>
    <s v="None"/>
    <s v="Interest Income"/>
  </r>
  <r>
    <s v="Capital One - Long Term Emergency (1201)"/>
    <d v="2014-04-30T00:00:00"/>
    <n v="48.61"/>
    <s v="X"/>
    <s v="Capital One (Interest Income)"/>
    <s v="@CAT:@"/>
    <s v="Interest Income"/>
    <s v="INT"/>
    <m/>
    <m/>
    <x v="40"/>
    <x v="0"/>
    <m/>
    <m/>
    <m/>
    <m/>
    <x v="8"/>
    <x v="0"/>
    <x v="3"/>
    <x v="0"/>
    <x v="0"/>
    <s v="None"/>
    <s v="Interest Income"/>
  </r>
  <r>
    <s v="Capital One - Secondary Savings (3126)"/>
    <d v="2014-04-30T00:00:00"/>
    <n v="0.02"/>
    <s v="X"/>
    <s v="Capital One (Interest Income)"/>
    <s v="@CAT:@"/>
    <s v="Interest Income"/>
    <s v="INT"/>
    <m/>
    <m/>
    <x v="40"/>
    <x v="0"/>
    <m/>
    <m/>
    <m/>
    <m/>
    <x v="8"/>
    <x v="0"/>
    <x v="3"/>
    <x v="0"/>
    <x v="0"/>
    <s v="None"/>
    <s v="Interest Income"/>
  </r>
  <r>
    <s v="Capital One - Vacation (4959)"/>
    <d v="2014-04-30T00:00:00"/>
    <n v="2.06"/>
    <s v="X"/>
    <s v="Capital One (Interest Income)"/>
    <s v="@CAT:@"/>
    <s v="Interest Income"/>
    <s v="INT"/>
    <m/>
    <m/>
    <x v="40"/>
    <x v="0"/>
    <m/>
    <m/>
    <m/>
    <m/>
    <x v="8"/>
    <x v="0"/>
    <x v="3"/>
    <x v="0"/>
    <x v="0"/>
    <s v="None"/>
    <s v="Interest Income"/>
  </r>
  <r>
    <s v="First Tech - Short Term Emergency (5400)"/>
    <d v="2014-04-30T00:00:00"/>
    <n v="0.01"/>
    <s v="X"/>
    <s v="First Tech (Dividend)"/>
    <s v="Credit Dividend--"/>
    <s v="Interest Income"/>
    <m/>
    <m/>
    <m/>
    <x v="40"/>
    <x v="0"/>
    <m/>
    <m/>
    <m/>
    <m/>
    <x v="8"/>
    <x v="0"/>
    <x v="3"/>
    <x v="0"/>
    <x v="0"/>
    <s v="None"/>
    <s v="Interest Income"/>
  </r>
  <r>
    <s v="Koolikai - Sec Dep XX1200"/>
    <d v="2014-04-30T00:00:00"/>
    <n v="0.18"/>
    <s v="X"/>
    <s v="First Tech (Dividend)"/>
    <s v="Credit Dividend--"/>
    <s v="Interest Income"/>
    <m/>
    <m/>
    <m/>
    <x v="40"/>
    <x v="0"/>
    <m/>
    <m/>
    <m/>
    <m/>
    <x v="8"/>
    <x v="0"/>
    <x v="3"/>
    <x v="0"/>
    <x v="0"/>
    <s v="None"/>
    <s v="Interest Income"/>
  </r>
  <r>
    <s v="Schwab - Checking (9784)"/>
    <d v="2014-04-30T00:00:00"/>
    <n v="0.11"/>
    <s v="X"/>
    <s v="Interest Paid"/>
    <m/>
    <s v="Interest Income"/>
    <m/>
    <m/>
    <m/>
    <x v="40"/>
    <x v="0"/>
    <m/>
    <m/>
    <m/>
    <m/>
    <x v="8"/>
    <x v="0"/>
    <x v="3"/>
    <x v="0"/>
    <x v="0"/>
    <s v="None"/>
    <s v="Interest Income"/>
  </r>
  <r>
    <s v="Schwab - Checking (9784)"/>
    <d v="2014-04-30T00:00:00"/>
    <n v="3"/>
    <s v="X"/>
    <s v="ATM Fee Refund"/>
    <s v="@BAL:$1230.64@"/>
    <s v="Bank Fees &amp; Charges:ATM Fee"/>
    <m/>
    <m/>
    <m/>
    <x v="32"/>
    <x v="17"/>
    <m/>
    <m/>
    <m/>
    <m/>
    <x v="8"/>
    <x v="0"/>
    <x v="3"/>
    <x v="0"/>
    <x v="0"/>
    <s v="None"/>
    <s v="Bank Fees &amp; Charges|ATM Fee"/>
  </r>
  <r>
    <s v="Chase Freedom XX9381"/>
    <d v="2014-04-30T00:00:00"/>
    <n v="-2.25"/>
    <s v="X"/>
    <s v="Oasis Grill"/>
    <m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Chase Freedom XX9381"/>
    <d v="2014-04-30T00:00:00"/>
    <n v="-5.95"/>
    <s v="X"/>
    <s v="Cafe"/>
    <s v="2011: CAFE 86 11171386 REDMOND WA 98052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Chase Freedom XX9381"/>
    <d v="2014-04-30T00:00:00"/>
    <n v="-10.86"/>
    <s v="X"/>
    <s v="Oasis Grill"/>
    <s v="#Group meeting Spring#"/>
    <s v="Work Expense:Reimbursable expense/From Receipt"/>
    <m/>
    <m/>
    <s v="From Receipt"/>
    <x v="19"/>
    <x v="21"/>
    <m/>
    <m/>
    <s v="Group meeting Spring"/>
    <m/>
    <x v="8"/>
    <x v="0"/>
    <x v="4"/>
    <x v="0"/>
    <x v="0"/>
    <s v="None"/>
    <s v="Work Expense|Reimbursable expense"/>
  </r>
  <r>
    <s v="First Tech - Checking (5544)"/>
    <d v="2014-04-29T00:00:00"/>
    <n v="3165.19"/>
    <s v="X"/>
    <s v="Microsoft (Paystub)"/>
    <s v="ACH Deposit--MICROSOFT  - EDIPAYMENT"/>
    <s v="Net Salary"/>
    <m/>
    <m/>
    <m/>
    <x v="35"/>
    <x v="0"/>
    <m/>
    <m/>
    <m/>
    <m/>
    <x v="8"/>
    <x v="0"/>
    <x v="3"/>
    <x v="0"/>
    <x v="0"/>
    <s v="None"/>
    <s v="Net Salary"/>
  </r>
  <r>
    <s v="First Tech - Checking (5544)"/>
    <d v="2014-04-29T00:00:00"/>
    <n v="6195.6"/>
    <s v="X"/>
    <s v="CRAB (Paystub)"/>
    <s v="ACH Deposit--Cancer Research  - Payroll"/>
    <s v="Net Salary"/>
    <m/>
    <m/>
    <m/>
    <x v="35"/>
    <x v="0"/>
    <m/>
    <m/>
    <m/>
    <m/>
    <x v="8"/>
    <x v="0"/>
    <x v="3"/>
    <x v="0"/>
    <x v="0"/>
    <s v="None"/>
    <s v="Net Salary"/>
  </r>
  <r>
    <s v="First Tech - Checking (5544)"/>
    <d v="2014-04-29T00:00:00"/>
    <n v="11977"/>
    <s v="X"/>
    <s v="IRS"/>
    <s v="ACH Deposit--IRS  TREAS 310  -   TAX REF"/>
    <s v="Tax:Fed"/>
    <m/>
    <m/>
    <m/>
    <x v="47"/>
    <x v="54"/>
    <m/>
    <m/>
    <m/>
    <m/>
    <x v="8"/>
    <x v="0"/>
    <x v="6"/>
    <x v="0"/>
    <x v="0"/>
    <s v="None"/>
    <s v="Tax|Fed"/>
  </r>
  <r>
    <s v="First Tech - Checking (5544)"/>
    <d v="2014-04-29T00:00:00"/>
    <n v="-211.72"/>
    <s v="X"/>
    <s v="Seattle Public Utilities"/>
    <s v="@BAL:50666.27@;@CAT:@"/>
    <s v="Bills &amp; Utilities:Utilities"/>
    <m/>
    <m/>
    <m/>
    <x v="34"/>
    <x v="18"/>
    <m/>
    <m/>
    <m/>
    <m/>
    <x v="8"/>
    <x v="0"/>
    <x v="3"/>
    <x v="0"/>
    <x v="0"/>
    <s v="None"/>
    <s v="Bills &amp; Utilities|Utilities"/>
  </r>
  <r>
    <s v="Schwab - Checking (9784)"/>
    <d v="2014-04-29T00:00:00"/>
    <n v="-34.83"/>
    <s v="X"/>
    <s v="US Bank"/>
    <s v="Cash for group meeting?"/>
    <s v="Food &amp; Dining:Restaurants"/>
    <m/>
    <s v="Split"/>
    <m/>
    <x v="15"/>
    <x v="15"/>
    <m/>
    <m/>
    <m/>
    <m/>
    <x v="8"/>
    <x v="0"/>
    <x v="3"/>
    <x v="0"/>
    <x v="0"/>
    <s v="None"/>
    <s v="Food &amp; Dining|Restaurants"/>
  </r>
  <r>
    <s v="Schwab - Checking (9784)"/>
    <d v="2014-04-29T00:00:00"/>
    <n v="-3"/>
    <s v="X"/>
    <s v="US Bank"/>
    <m/>
    <s v="Bank Fees &amp; Charges:ATM Fee"/>
    <m/>
    <s v="Split"/>
    <m/>
    <x v="32"/>
    <x v="17"/>
    <m/>
    <m/>
    <m/>
    <m/>
    <x v="8"/>
    <x v="0"/>
    <x v="3"/>
    <x v="0"/>
    <x v="0"/>
    <s v="None"/>
    <s v="Bank Fees &amp; Charges|ATM Fee"/>
  </r>
  <r>
    <s v="Schwab - Checking (9784)"/>
    <d v="2014-04-29T00:00:00"/>
    <n v="-5.17"/>
    <s v="X"/>
    <s v="US Bank"/>
    <s v="Limeaide, Spinach"/>
    <s v="Food &amp; Dining:Groceries"/>
    <m/>
    <s v="Split"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29T00:00:00"/>
    <n v="-8.65"/>
    <s v="X"/>
    <s v="Bart"/>
    <s v="#Group meeting Spring#"/>
    <s v="Work Expense:Reimbursable expense"/>
    <m/>
    <m/>
    <m/>
    <x v="19"/>
    <x v="21"/>
    <m/>
    <m/>
    <s v="Group meeting Spring"/>
    <m/>
    <x v="8"/>
    <x v="0"/>
    <x v="4"/>
    <x v="0"/>
    <x v="0"/>
    <s v="None"/>
    <s v="Work Expense|Reimbursable expense"/>
  </r>
  <r>
    <s v="First Tech - Checking (5544)"/>
    <d v="2014-04-28T00:00:00"/>
    <n v="-100"/>
    <s v="X"/>
    <s v="Chase Freedom"/>
    <s v="ACH Debit--CHASE  - AUTOPAY"/>
    <s v="[Chase Freedom XX9381]"/>
    <m/>
    <m/>
    <m/>
    <x v="7"/>
    <x v="0"/>
    <m/>
    <m/>
    <m/>
    <m/>
    <x v="8"/>
    <x v="0"/>
    <x v="1"/>
    <x v="1"/>
    <x v="1"/>
    <e v="#N/A"/>
    <s v="[Chase Freedom XX9381]"/>
  </r>
  <r>
    <s v="First Tech - Checking (5544)"/>
    <d v="2014-04-28T00:00:00"/>
    <n v="-115"/>
    <s v="X"/>
    <s v="Cleaning Authority, The"/>
    <s v="ACH Debit--THE CLEANING AUT  - ONLINE PMT"/>
    <s v="Home:Home Services"/>
    <m/>
    <m/>
    <m/>
    <x v="14"/>
    <x v="46"/>
    <m/>
    <m/>
    <m/>
    <m/>
    <x v="8"/>
    <x v="0"/>
    <x v="3"/>
    <x v="0"/>
    <x v="0"/>
    <s v="None"/>
    <s v="Home|Home Services"/>
  </r>
  <r>
    <s v="Chase Freedom XX9381"/>
    <d v="2014-04-28T00:00:00"/>
    <n v="100"/>
    <s v="X"/>
    <s v="Chase Autopay (Freedom)"/>
    <s v="@BAL:$100.00@@CAT:@"/>
    <s v="[First Tech - Checking (5544)]"/>
    <m/>
    <m/>
    <m/>
    <x v="21"/>
    <x v="0"/>
    <m/>
    <m/>
    <m/>
    <m/>
    <x v="8"/>
    <x v="0"/>
    <x v="0"/>
    <x v="0"/>
    <x v="0"/>
    <s v="None"/>
    <s v="[First Tech - Checking (5544)]"/>
  </r>
  <r>
    <s v="Chase Freedom XX9381"/>
    <d v="2014-04-28T00:00:00"/>
    <n v="-32.44"/>
    <s v="X"/>
    <s v="Purple Cafe"/>
    <m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28T00:00:00"/>
    <n v="-7.05"/>
    <s v="X"/>
    <s v="Amazon"/>
    <s v="LR-44 Batteries"/>
    <s v="Kids:Toys"/>
    <m/>
    <m/>
    <m/>
    <x v="27"/>
    <x v="14"/>
    <m/>
    <m/>
    <m/>
    <m/>
    <x v="8"/>
    <x v="0"/>
    <x v="3"/>
    <x v="0"/>
    <x v="0"/>
    <s v="None"/>
    <s v="Kids|Toys"/>
  </r>
  <r>
    <s v="MasterCard (Capital One)"/>
    <d v="2014-04-27T00:00:00"/>
    <n v="-3"/>
    <s v="X"/>
    <s v="Diamond Parking"/>
    <s v="2011: DIAMOND PARKING WE09 EVERETT WA 98106 USA"/>
    <s v="Auto &amp; Transport:Parking"/>
    <m/>
    <m/>
    <m/>
    <x v="17"/>
    <x v="11"/>
    <m/>
    <m/>
    <m/>
    <m/>
    <x v="8"/>
    <x v="0"/>
    <x v="3"/>
    <x v="0"/>
    <x v="0"/>
    <s v="None"/>
    <s v="Auto &amp; Transport|Parking"/>
  </r>
  <r>
    <s v="MasterCard (Capital One)"/>
    <d v="2014-04-27T00:00:00"/>
    <n v="-19"/>
    <s v="X"/>
    <s v="Imagine Childrens Museum"/>
    <s v="Upgraded membership to get guest passes"/>
    <s v="Kids:Kids Activities"/>
    <m/>
    <m/>
    <m/>
    <x v="27"/>
    <x v="12"/>
    <m/>
    <m/>
    <m/>
    <m/>
    <x v="8"/>
    <x v="0"/>
    <x v="3"/>
    <x v="0"/>
    <x v="0"/>
    <s v="None"/>
    <s v="Kids|Kids Activities"/>
  </r>
  <r>
    <s v="American Express (Costco)"/>
    <d v="2014-04-26T00:00:00"/>
    <n v="0"/>
    <s v="X"/>
    <s v="Balanced"/>
    <s v="@BAL:$0.00@"/>
    <s v="[American Express (Costco)]"/>
    <m/>
    <m/>
    <m/>
    <x v="20"/>
    <x v="0"/>
    <m/>
    <m/>
    <m/>
    <m/>
    <x v="8"/>
    <x v="0"/>
    <x v="0"/>
    <x v="0"/>
    <x v="0"/>
    <s v="None"/>
    <s v="[American Express (Costco)]"/>
  </r>
  <r>
    <s v="MasterCard (Capital One)"/>
    <d v="2014-04-26T00:00:00"/>
    <n v="-99.29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First Tech - Checking (5544)"/>
    <d v="2014-04-25T00:00:00"/>
    <n v="-90"/>
    <s v="X"/>
    <s v="Sue Shoedel"/>
    <s v="Check--"/>
    <s v="Kids:Babysitter"/>
    <n v="2130"/>
    <m/>
    <m/>
    <x v="27"/>
    <x v="13"/>
    <m/>
    <m/>
    <m/>
    <m/>
    <x v="8"/>
    <x v="0"/>
    <x v="3"/>
    <x v="0"/>
    <x v="0"/>
    <s v="None"/>
    <s v="Kids|Babysitter"/>
  </r>
  <r>
    <s v="MasterCard (Capital One)"/>
    <d v="2014-04-25T00:00:00"/>
    <n v="-3.69"/>
    <s v="X"/>
    <s v="Safeway"/>
    <s v="2011: SAFEWAY STORE 00018457 SEATTLE WA 98103 USA"/>
    <s v="Food &amp; Dining:Groceries"/>
    <m/>
    <m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25T00:00:00"/>
    <n v="-5.49"/>
    <s v="X"/>
    <s v="Walgreens"/>
    <s v="2011: WALGREENS #3515 SEATTLE WA 98103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Capital One - Long Term Emergency (1201)"/>
    <d v="2014-04-24T00:00:00"/>
    <n v="20.82"/>
    <s v="X"/>
    <s v="Quarterly Bonus Int"/>
    <m/>
    <s v="Interest Income"/>
    <m/>
    <m/>
    <m/>
    <x v="40"/>
    <x v="0"/>
    <m/>
    <m/>
    <m/>
    <m/>
    <x v="8"/>
    <x v="0"/>
    <x v="3"/>
    <x v="0"/>
    <x v="0"/>
    <s v="None"/>
    <s v="Interest Income"/>
  </r>
  <r>
    <s v="First Tech - Checking (5544)"/>
    <d v="2014-04-24T00:00:00"/>
    <n v="216.17"/>
    <s v="X"/>
    <s v="Seattle Families Of Multiples"/>
    <s v="#SFOM Spring Sale#"/>
    <s v="Work Expense:Reimbursable expense"/>
    <m/>
    <m/>
    <m/>
    <x v="19"/>
    <x v="21"/>
    <m/>
    <m/>
    <s v="SFOM Spring Sale"/>
    <m/>
    <x v="8"/>
    <x v="0"/>
    <x v="4"/>
    <x v="0"/>
    <x v="0"/>
    <s v="None"/>
    <s v="Work Expense|Reimbursable expense"/>
  </r>
  <r>
    <s v="Koolikai - Checking XX2129"/>
    <d v="2014-04-24T00:00:00"/>
    <n v="2195"/>
    <s v="X"/>
    <s v="Valerie Shaibley"/>
    <s v="Deposit--Shared Branch Mobile Deposit          First Tech FC CA"/>
    <s v="Business Income (Koolikai):Rent/9602"/>
    <m/>
    <m/>
    <n v="9602"/>
    <x v="37"/>
    <x v="25"/>
    <m/>
    <m/>
    <m/>
    <m/>
    <x v="8"/>
    <x v="0"/>
    <x v="3"/>
    <x v="0"/>
    <x v="0"/>
    <s v="None"/>
    <s v="Business Income (Koolikai)|Rent"/>
  </r>
  <r>
    <s v="Koolikai - Checking XX2129"/>
    <d v="2014-04-24T00:00:00"/>
    <n v="-146.69999999999999"/>
    <s v="X"/>
    <s v="Chase - Koolikai (Autopay)"/>
    <s v="@CAT:@"/>
    <s v="[Koolikai Credit Card]"/>
    <m/>
    <m/>
    <m/>
    <x v="9"/>
    <x v="0"/>
    <m/>
    <m/>
    <m/>
    <m/>
    <x v="8"/>
    <x v="0"/>
    <x v="0"/>
    <x v="0"/>
    <x v="0"/>
    <s v="None"/>
    <s v="[Koolikai Credit Card]"/>
  </r>
  <r>
    <s v="Koolikai Credit Card"/>
    <d v="2014-04-24T00:00:00"/>
    <n v="146.69999999999999"/>
    <s v="X"/>
    <s v="Chase - Koolikai (Autopay)"/>
    <m/>
    <s v="[Koolikai - Checking XX2129]"/>
    <m/>
    <m/>
    <m/>
    <x v="25"/>
    <x v="0"/>
    <m/>
    <m/>
    <m/>
    <m/>
    <x v="8"/>
    <x v="0"/>
    <x v="0"/>
    <x v="0"/>
    <x v="0"/>
    <s v="None"/>
    <s v="[Koolikai - Checking XX2129]"/>
  </r>
  <r>
    <s v="MasterCard (Capital One)"/>
    <d v="2014-04-24T00:00:00"/>
    <n v="-7.62"/>
    <s v="X"/>
    <s v="Subway"/>
    <s v="2011: SUBWAY 00249680 SEATTLE WA 98101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First Tech - Checking (5544)"/>
    <d v="2014-04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8"/>
    <x v="0"/>
    <x v="3"/>
    <x v="0"/>
    <x v="0"/>
    <s v="None"/>
    <s v="Auto &amp; Transport|Auto Lease Payment"/>
  </r>
  <r>
    <s v="First Tech - Checking (5544)"/>
    <d v="2014-04-23T00:00:00"/>
    <n v="-185.36"/>
    <s v="X"/>
    <s v="Amex Epayment Am - Ach Pmt"/>
    <s v="ACH Debit--AMEX EPayment AM - ACH PMT"/>
    <s v="[American Express (Costco)]"/>
    <m/>
    <m/>
    <m/>
    <x v="20"/>
    <x v="0"/>
    <m/>
    <m/>
    <m/>
    <m/>
    <x v="8"/>
    <x v="0"/>
    <x v="0"/>
    <x v="0"/>
    <x v="0"/>
    <s v="None"/>
    <s v="[American Express (Costco)]"/>
  </r>
  <r>
    <s v="MasterCard (Capital One)"/>
    <d v="2014-04-23T00:00:00"/>
    <n v="25"/>
    <s v="X"/>
    <s v="Capital One (Cash Back)"/>
    <s v="@CAT:@"/>
    <s v="Other Inc"/>
    <m/>
    <m/>
    <m/>
    <x v="29"/>
    <x v="0"/>
    <m/>
    <m/>
    <m/>
    <m/>
    <x v="8"/>
    <x v="0"/>
    <x v="3"/>
    <x v="0"/>
    <x v="0"/>
    <s v="None"/>
    <s v="Other Inc"/>
  </r>
  <r>
    <s v="American Express (Costco)"/>
    <d v="2014-04-22T00:00:00"/>
    <n v="185.36"/>
    <s v="X"/>
    <s v="Autopay Thank You"/>
    <s v="@CAT:@"/>
    <s v="[First Tech - Checking (5544)]"/>
    <m/>
    <m/>
    <m/>
    <x v="21"/>
    <x v="0"/>
    <m/>
    <m/>
    <m/>
    <m/>
    <x v="8"/>
    <x v="0"/>
    <x v="0"/>
    <x v="0"/>
    <x v="0"/>
    <s v="None"/>
    <s v="[First Tech - Checking (5544)]"/>
  </r>
  <r>
    <s v="Chase Freedom XX9381"/>
    <d v="2014-04-22T00:00:00"/>
    <n v="-45.28"/>
    <s v="X"/>
    <s v="Pesos"/>
    <m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22T00:00:00"/>
    <n v="-8.98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First Tech - Checking (5544)"/>
    <d v="2014-04-21T00:00:00"/>
    <n v="-1000"/>
    <s v="X"/>
    <s v="Pierre Kwan"/>
    <m/>
    <s v="Business Expenses (Koolikai):Security Deposit"/>
    <n v="2128"/>
    <m/>
    <m/>
    <x v="36"/>
    <x v="59"/>
    <m/>
    <m/>
    <m/>
    <m/>
    <x v="8"/>
    <x v="0"/>
    <x v="4"/>
    <x v="0"/>
    <x v="0"/>
    <s v="None"/>
    <s v="Business Expenses (Koolikai)|Security Deposit"/>
  </r>
  <r>
    <s v="First Tech - Checking (5544)"/>
    <d v="2014-04-21T00:00:00"/>
    <n v="-2100"/>
    <s v="X"/>
    <s v="Pierre Kwan"/>
    <m/>
    <s v="Business Expenses (Koolikai):Rent"/>
    <n v="2129"/>
    <m/>
    <m/>
    <x v="36"/>
    <x v="25"/>
    <m/>
    <m/>
    <m/>
    <m/>
    <x v="8"/>
    <x v="0"/>
    <x v="1"/>
    <x v="1"/>
    <x v="1"/>
    <e v="#N/A"/>
    <s v="Business Expenses (Koolikai)|Rent"/>
  </r>
  <r>
    <s v="Chase Freedom XX9381"/>
    <d v="2014-04-21T00:00:00"/>
    <n v="-48.21"/>
    <s v="X"/>
    <s v="Arco"/>
    <m/>
    <s v="Auto &amp; Transport:Gas &amp; Fuel"/>
    <m/>
    <m/>
    <m/>
    <x v="17"/>
    <x v="37"/>
    <m/>
    <m/>
    <m/>
    <m/>
    <x v="8"/>
    <x v="0"/>
    <x v="3"/>
    <x v="0"/>
    <x v="0"/>
    <s v="None"/>
    <s v="Auto &amp; Transport|Gas &amp; Fuel"/>
  </r>
  <r>
    <s v="MasterCard (Capital One)"/>
    <d v="2014-04-20T00:00:00"/>
    <n v="-2.99"/>
    <s v="X"/>
    <s v="Ken's Market"/>
    <s v="2011: KEN'S MARKET #75-116 SEATTLE WA 98103 USA"/>
    <s v="Food &amp; Dining:Groceries"/>
    <m/>
    <m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20T00:00:00"/>
    <n v="-121.53"/>
    <s v="X"/>
    <s v="O'reilly Auto Parts"/>
    <s v="Battery for RAV"/>
    <s v="Auto &amp; Transport:Service &amp; Parts/From Receipt"/>
    <m/>
    <m/>
    <s v="From Receipt"/>
    <x v="17"/>
    <x v="64"/>
    <m/>
    <m/>
    <m/>
    <m/>
    <x v="8"/>
    <x v="0"/>
    <x v="6"/>
    <x v="0"/>
    <x v="0"/>
    <s v="None"/>
    <s v="Auto &amp; Transport|Service &amp; Parts"/>
  </r>
  <r>
    <s v="First Tech - Checking (5544)"/>
    <d v="2014-04-19T00:00:00"/>
    <n v="145.35"/>
    <s v="X"/>
    <s v="Seattle Families Of Multiples"/>
    <s v="Deposit--Shared Branch Mobile Deposit          First Tech FC CA"/>
    <s v="Kids:Clothing"/>
    <m/>
    <s v="Split"/>
    <m/>
    <x v="27"/>
    <x v="1"/>
    <m/>
    <m/>
    <m/>
    <m/>
    <x v="8"/>
    <x v="0"/>
    <x v="3"/>
    <x v="0"/>
    <x v="0"/>
    <s v="None"/>
    <s v="Kids|Clothing"/>
  </r>
  <r>
    <s v="First Tech - Checking (5544)"/>
    <d v="2014-04-19T00:00:00"/>
    <n v="145.35"/>
    <s v="X"/>
    <s v="Seattle Families Of Multiples"/>
    <m/>
    <s v="Kids:Toys"/>
    <m/>
    <s v="Split"/>
    <m/>
    <x v="27"/>
    <x v="14"/>
    <m/>
    <m/>
    <m/>
    <m/>
    <x v="8"/>
    <x v="0"/>
    <x v="3"/>
    <x v="0"/>
    <x v="0"/>
    <s v="None"/>
    <s v="Kids|Toys"/>
  </r>
  <r>
    <s v="MasterCard (Capital One)"/>
    <d v="2014-04-19T00:00:00"/>
    <n v="-3.1"/>
    <s v="X"/>
    <s v="Seattle Park Seattle"/>
    <s v="2011: SEATTLE 684-PARK SEATTLE WA 98104 USA"/>
    <s v="Auto &amp; Transport:Parking"/>
    <m/>
    <m/>
    <m/>
    <x v="17"/>
    <x v="11"/>
    <m/>
    <m/>
    <m/>
    <m/>
    <x v="8"/>
    <x v="0"/>
    <x v="3"/>
    <x v="0"/>
    <x v="0"/>
    <s v="None"/>
    <s v="Auto &amp; Transport|Parking"/>
  </r>
  <r>
    <s v="MasterCard (Capital One)"/>
    <d v="2014-04-19T00:00:00"/>
    <n v="-36"/>
    <s v="X"/>
    <s v="Bright Horizons"/>
    <s v="2011: BRIGHT HORIZONS 6176738000 MA 02472 USA"/>
    <s v="Kids:Daycare"/>
    <m/>
    <m/>
    <m/>
    <x v="27"/>
    <x v="35"/>
    <m/>
    <m/>
    <m/>
    <m/>
    <x v="8"/>
    <x v="0"/>
    <x v="3"/>
    <x v="0"/>
    <x v="0"/>
    <s v="None"/>
    <s v="Kids|Daycare"/>
  </r>
  <r>
    <s v="MasterCard (Capital One)"/>
    <d v="2014-04-19T00:00:00"/>
    <n v="-53"/>
    <s v="X"/>
    <s v="Beehive Salon"/>
    <s v="2011: BEEHIVE SALON SEATTLE WA 981036264 USA"/>
    <s v="Personal Care:Hair"/>
    <m/>
    <m/>
    <m/>
    <x v="31"/>
    <x v="16"/>
    <m/>
    <m/>
    <m/>
    <m/>
    <x v="8"/>
    <x v="0"/>
    <x v="3"/>
    <x v="0"/>
    <x v="0"/>
    <s v="None"/>
    <s v="Personal Care|Hair"/>
  </r>
  <r>
    <s v="MasterCard (Capital One)"/>
    <d v="2014-04-19T00:00:00"/>
    <n v="-2"/>
    <s v="X"/>
    <s v="Fred Meyer"/>
    <s v="Hot wheels"/>
    <s v="Kids:Toys/From Receipt"/>
    <m/>
    <s v="Split"/>
    <s v="From Receipt"/>
    <x v="27"/>
    <x v="14"/>
    <m/>
    <m/>
    <m/>
    <m/>
    <x v="8"/>
    <x v="0"/>
    <x v="3"/>
    <x v="0"/>
    <x v="0"/>
    <s v="None"/>
    <s v="Kids|Toys"/>
  </r>
  <r>
    <s v="MasterCard (Capital One)"/>
    <d v="2014-04-19T00:00:00"/>
    <n v="-113.57"/>
    <s v="X"/>
    <s v="Fred Meyer"/>
    <m/>
    <s v="Food &amp; Dining:Groceries/From Receipt"/>
    <m/>
    <s v="Split"/>
    <s v="From Receipt"/>
    <x v="15"/>
    <x v="3"/>
    <m/>
    <m/>
    <m/>
    <m/>
    <x v="8"/>
    <x v="0"/>
    <x v="3"/>
    <x v="0"/>
    <x v="0"/>
    <s v="None"/>
    <s v="Food &amp; Dining|Groceries"/>
  </r>
  <r>
    <s v="Schwab - Checking (9784)"/>
    <d v="2014-04-18T00:00:00"/>
    <n v="-3.34"/>
    <s v="X"/>
    <s v="Costco"/>
    <s v="Photos"/>
    <s v="Home:Furnishings/From Receipt"/>
    <m/>
    <m/>
    <s v="From Receipt"/>
    <x v="14"/>
    <x v="2"/>
    <m/>
    <m/>
    <m/>
    <m/>
    <x v="8"/>
    <x v="0"/>
    <x v="3"/>
    <x v="0"/>
    <x v="0"/>
    <s v="None"/>
    <s v="Home|Furnishings"/>
  </r>
  <r>
    <s v="MasterCard (Capital One)"/>
    <d v="2014-04-18T00:00:00"/>
    <n v="-3.82"/>
    <s v="X"/>
    <s v="Officemax"/>
    <s v="Envelopes"/>
    <s v="Business Expenses (Koolikai):Office Expenses (Business)/From Receipt"/>
    <m/>
    <m/>
    <s v="From Receipt"/>
    <x v="36"/>
    <x v="42"/>
    <m/>
    <m/>
    <m/>
    <m/>
    <x v="8"/>
    <x v="0"/>
    <x v="3"/>
    <x v="0"/>
    <x v="0"/>
    <s v="None"/>
    <s v="Business Expenses (Koolikai)|Office Expenses (Business)"/>
  </r>
  <r>
    <s v="MasterCard (Capital One)"/>
    <d v="2014-04-18T00:00:00"/>
    <n v="-10.26"/>
    <s v="X"/>
    <s v="Hales Ales Ltd"/>
    <s v="2011: HALES ALES LTD SEATTLE WA 981074538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18T00:00:00"/>
    <n v="-17.07"/>
    <s v="X"/>
    <s v="Fred Meyer"/>
    <s v="2011: FRED-MEYER #0608 SEATTLE WA 98107 USA"/>
    <s v="Food &amp; Dining:Groceries/From Receipt"/>
    <m/>
    <s v="Split"/>
    <s v="From Receipt"/>
    <x v="15"/>
    <x v="3"/>
    <m/>
    <m/>
    <m/>
    <m/>
    <x v="8"/>
    <x v="0"/>
    <x v="3"/>
    <x v="0"/>
    <x v="0"/>
    <s v="None"/>
    <s v="Food &amp; Dining|Groceries"/>
  </r>
  <r>
    <s v="MasterCard (Capital One)"/>
    <d v="2014-04-18T00:00:00"/>
    <n v="-4.37"/>
    <s v="X"/>
    <s v="Fred Meyer"/>
    <m/>
    <s v="Home:Furnishings/From Receipt"/>
    <m/>
    <s v="Split"/>
    <s v="From Receipt"/>
    <x v="14"/>
    <x v="2"/>
    <m/>
    <m/>
    <m/>
    <m/>
    <x v="8"/>
    <x v="0"/>
    <x v="3"/>
    <x v="0"/>
    <x v="0"/>
    <s v="None"/>
    <s v="Home|Furnishings"/>
  </r>
  <r>
    <s v="MasterCard (Capital One)"/>
    <d v="2014-04-18T00:00:00"/>
    <n v="-208.8"/>
    <s v="X"/>
    <s v="Sct Box Office"/>
    <s v="2011: SCT BOX OFFICE 206-4430807 WA 981094555 USA"/>
    <s v="Kids:Kids Activities"/>
    <m/>
    <m/>
    <m/>
    <x v="27"/>
    <x v="12"/>
    <m/>
    <m/>
    <m/>
    <m/>
    <x v="8"/>
    <x v="0"/>
    <x v="3"/>
    <x v="0"/>
    <x v="0"/>
    <s v="None"/>
    <s v="Kids|Kids Activities"/>
  </r>
  <r>
    <s v="MasterCard (Capital One)"/>
    <d v="2014-04-17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x v="8"/>
    <x v="0"/>
    <x v="3"/>
    <x v="0"/>
    <x v="0"/>
    <s v="None"/>
    <s v="Auto &amp; Transport|Parking"/>
  </r>
  <r>
    <s v="MasterCard (Capital One)"/>
    <d v="2014-04-17T00:00:00"/>
    <n v="-344"/>
    <s v="X"/>
    <s v="Seattle Repertory Theater"/>
    <s v="Season tickets"/>
    <s v="Entertainment"/>
    <m/>
    <m/>
    <m/>
    <x v="30"/>
    <x v="0"/>
    <m/>
    <m/>
    <m/>
    <m/>
    <x v="8"/>
    <x v="0"/>
    <x v="3"/>
    <x v="0"/>
    <x v="0"/>
    <s v="None"/>
    <s v="Entertainment"/>
  </r>
  <r>
    <s v="MasterCard (Capital One)"/>
    <d v="2014-04-15T00:00:00"/>
    <n v="-47.67"/>
    <s v="X"/>
    <s v="Esi Pharm Columbus 08002822881 O"/>
    <s v="2011: ESI PHARM COLUMBUS 08002822881 OH 43228 USA"/>
    <s v="Health &amp; Fitness:Pharmacy"/>
    <m/>
    <m/>
    <m/>
    <x v="18"/>
    <x v="38"/>
    <m/>
    <m/>
    <m/>
    <m/>
    <x v="8"/>
    <x v="0"/>
    <x v="4"/>
    <x v="0"/>
    <x v="0"/>
    <s v="None"/>
    <s v="Health &amp; Fitness|Pharmacy"/>
  </r>
  <r>
    <s v="MasterCard (Capital One)"/>
    <d v="2014-04-15T00:00:00"/>
    <n v="-65"/>
    <s v="X"/>
    <s v="Beach Comber Kids Cuts"/>
    <s v="2011: BEACHCOMBER KIDS CUT SEATTLE WA 981030000 USA"/>
    <s v="Personal Care:Hair"/>
    <m/>
    <m/>
    <m/>
    <x v="31"/>
    <x v="16"/>
    <m/>
    <m/>
    <m/>
    <m/>
    <x v="8"/>
    <x v="0"/>
    <x v="3"/>
    <x v="0"/>
    <x v="0"/>
    <s v="None"/>
    <s v="Personal Care|Hair"/>
  </r>
  <r>
    <s v="First Tech - Checking (5544)"/>
    <d v="2014-04-14T00:00:00"/>
    <n v="3165.19"/>
    <s v="X"/>
    <s v="Microsoft (Paystub)"/>
    <s v="ACH Deposit--MICROSOFT  - EDIPAYMENT"/>
    <s v="Net Salary"/>
    <m/>
    <m/>
    <m/>
    <x v="35"/>
    <x v="0"/>
    <m/>
    <m/>
    <m/>
    <m/>
    <x v="8"/>
    <x v="0"/>
    <x v="3"/>
    <x v="0"/>
    <x v="0"/>
    <s v="None"/>
    <s v="Net Salary"/>
  </r>
  <r>
    <s v="First Tech - Checking (5544)"/>
    <d v="2014-04-14T00:00:00"/>
    <n v="-111.93"/>
    <s v="X"/>
    <s v="Puget Sound Energy"/>
    <s v="ACH Debit--PUGET SOUND ENER DIRECT DEBITING - PSE BILL  26250337"/>
    <s v="Bills &amp; Utilities:Utilities"/>
    <m/>
    <m/>
    <m/>
    <x v="34"/>
    <x v="18"/>
    <m/>
    <m/>
    <m/>
    <m/>
    <x v="8"/>
    <x v="0"/>
    <x v="3"/>
    <x v="0"/>
    <x v="0"/>
    <s v="None"/>
    <s v="Bills &amp; Utilities|Utilities"/>
  </r>
  <r>
    <s v="Chase Freedom XX9381"/>
    <d v="2014-04-14T00:00:00"/>
    <n v="-64.180000000000007"/>
    <s v="X"/>
    <s v="Luisas Mexican Grill"/>
    <m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14T00:00:00"/>
    <n v="-4.93"/>
    <s v="X"/>
    <s v="Fresh Table Cafe"/>
    <s v="2011: FRESH TABLE CAFE MET SEATTLE WA 98101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Chase Freedom XX9381"/>
    <d v="2014-04-13T00:00:00"/>
    <n v="-12.84"/>
    <s v="X"/>
    <s v="Fogon Cocina Mexicana"/>
    <m/>
    <s v="Food &amp; Dining:Restaurants/From Receipt"/>
    <m/>
    <m/>
    <s v="From Receipt"/>
    <x v="15"/>
    <x v="15"/>
    <m/>
    <m/>
    <m/>
    <m/>
    <x v="8"/>
    <x v="0"/>
    <x v="3"/>
    <x v="0"/>
    <x v="0"/>
    <s v="None"/>
    <s v="Food &amp; Dining|Restaurants"/>
  </r>
  <r>
    <s v="Koolikai Credit Card"/>
    <d v="2014-04-13T00:00:00"/>
    <n v="-146.69999999999999"/>
    <s v="X"/>
    <s v="Verizon Wireless"/>
    <m/>
    <s v="Business Expenses (Koolikai):Cell Phone"/>
    <m/>
    <m/>
    <m/>
    <x v="36"/>
    <x v="22"/>
    <m/>
    <m/>
    <m/>
    <m/>
    <x v="8"/>
    <x v="0"/>
    <x v="3"/>
    <x v="0"/>
    <x v="0"/>
    <s v="None"/>
    <s v="Business Expenses (Koolikai)|Cell Phone"/>
  </r>
  <r>
    <s v="MasterCard (Capital One)"/>
    <d v="2014-04-13T00:00:00"/>
    <n v="-5.98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MasterCard (Capital One)"/>
    <d v="2014-04-13T00:00:00"/>
    <n v="-15"/>
    <s v="X"/>
    <s v="Clowns Unlimited"/>
    <s v="Seattle Center bouncy house exhibition"/>
    <s v="Kids:Kids Activities"/>
    <m/>
    <m/>
    <m/>
    <x v="27"/>
    <x v="12"/>
    <m/>
    <m/>
    <m/>
    <m/>
    <x v="8"/>
    <x v="0"/>
    <x v="3"/>
    <x v="0"/>
    <x v="0"/>
    <s v="None"/>
    <s v="Kids|Kids Activities"/>
  </r>
  <r>
    <s v="MasterCard (Capital One)"/>
    <d v="2014-04-13T00:00:00"/>
    <n v="-128.63999999999999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MasterCard (Capital One)"/>
    <d v="2014-04-11T00:00:00"/>
    <n v="-2.89"/>
    <s v="X"/>
    <s v="Safeway"/>
    <s v="2011: SAFEWAY STORE00014779 SEATTLE WA 98121 USA"/>
    <s v="Food &amp; Dining:Groceries"/>
    <m/>
    <m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10T00:00:00"/>
    <n v="-3.5"/>
    <s v="X"/>
    <s v="Ken's Market"/>
    <s v="2011: KEN'S MARKET #75-116 SEATTLE WA 98103 USA"/>
    <s v="Food &amp; Dining:Groceries"/>
    <m/>
    <m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10T00:00:00"/>
    <n v="-8.3800000000000008"/>
    <s v="X"/>
    <s v="Ken's Market"/>
    <s v="2011: KEN'S MARKET #75-116 SEATTLE WA 98103 USA"/>
    <s v="Food &amp; Dining:Groceries"/>
    <m/>
    <m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10T00:00:00"/>
    <n v="-11.95"/>
    <s v="X"/>
    <s v="T-mobile"/>
    <s v="2011: VESTA *T-MOBILE 888-278-3397 OR 97223 USA"/>
    <s v="Bills &amp; Utilities:Mobile Phone"/>
    <m/>
    <m/>
    <m/>
    <x v="34"/>
    <x v="24"/>
    <m/>
    <m/>
    <m/>
    <m/>
    <x v="8"/>
    <x v="0"/>
    <x v="5"/>
    <x v="0"/>
    <x v="0"/>
    <s v="None"/>
    <s v="Bills &amp; Utilities|Mobile Phone"/>
  </r>
  <r>
    <s v="First Tech - Checking (5544)"/>
    <d v="2014-04-09T00:00:00"/>
    <n v="-10"/>
    <s v="X"/>
    <s v="Seattle Families Of Multiples"/>
    <s v="Check--"/>
    <s v="Kids:Clothing"/>
    <n v="2125"/>
    <m/>
    <m/>
    <x v="27"/>
    <x v="1"/>
    <m/>
    <m/>
    <m/>
    <m/>
    <x v="8"/>
    <x v="0"/>
    <x v="3"/>
    <x v="0"/>
    <x v="0"/>
    <s v="None"/>
    <s v="Kids|Clothing"/>
  </r>
  <r>
    <s v="First Tech - Checking (5544)"/>
    <d v="2014-04-09T00:00:00"/>
    <n v="-10.5"/>
    <s v="X"/>
    <s v="Seattle Families Of Multiples"/>
    <s v="Check--"/>
    <s v="Kids:Toys"/>
    <n v="2126"/>
    <m/>
    <m/>
    <x v="27"/>
    <x v="14"/>
    <m/>
    <m/>
    <m/>
    <m/>
    <x v="8"/>
    <x v="0"/>
    <x v="3"/>
    <x v="0"/>
    <x v="0"/>
    <s v="None"/>
    <s v="Kids|Toys"/>
  </r>
  <r>
    <s v="First Tech - Checking (5544)"/>
    <d v="2014-04-09T00:00:00"/>
    <n v="-91"/>
    <s v="X"/>
    <s v="Seattle Families Of Multiples"/>
    <m/>
    <s v="Kids:Toys"/>
    <n v="2299"/>
    <s v="Split"/>
    <m/>
    <x v="27"/>
    <x v="14"/>
    <m/>
    <m/>
    <m/>
    <m/>
    <x v="8"/>
    <x v="0"/>
    <x v="3"/>
    <x v="0"/>
    <x v="0"/>
    <s v="None"/>
    <s v="Kids|Toys"/>
  </r>
  <r>
    <s v="First Tech - Checking (5544)"/>
    <d v="2014-04-09T00:00:00"/>
    <n v="-91"/>
    <s v="X"/>
    <s v="Seattle Families Of Multiples"/>
    <m/>
    <s v="Food &amp; Dining:Groceries"/>
    <n v="2299"/>
    <s v="Split"/>
    <m/>
    <x v="15"/>
    <x v="3"/>
    <m/>
    <m/>
    <m/>
    <m/>
    <x v="8"/>
    <x v="0"/>
    <x v="3"/>
    <x v="0"/>
    <x v="0"/>
    <s v="None"/>
    <s v="Food &amp; Dining|Groceries"/>
  </r>
  <r>
    <s v="MasterCard (Capital One)"/>
    <d v="2014-04-09T00:00:00"/>
    <n v="-36"/>
    <s v="X"/>
    <s v="Bright Horizons"/>
    <s v="2011: BRIGHT HORIZONS 6176738000 MA 02472 USA"/>
    <s v="Kids:Daycare"/>
    <m/>
    <m/>
    <m/>
    <x v="27"/>
    <x v="35"/>
    <m/>
    <m/>
    <m/>
    <m/>
    <x v="8"/>
    <x v="0"/>
    <x v="3"/>
    <x v="0"/>
    <x v="0"/>
    <s v="None"/>
    <s v="Kids|Daycare"/>
  </r>
  <r>
    <s v="First Tech - Checking (5544)"/>
    <d v="2014-04-08T00:00:00"/>
    <n v="-352.62"/>
    <s v="X"/>
    <s v="Target"/>
    <s v="ACH Debit--TARGET CARD SRVC 001 - AUTO PYMT"/>
    <s v="[Target Red Card]"/>
    <m/>
    <m/>
    <m/>
    <x v="12"/>
    <x v="0"/>
    <m/>
    <m/>
    <m/>
    <m/>
    <x v="8"/>
    <x v="0"/>
    <x v="0"/>
    <x v="0"/>
    <x v="0"/>
    <s v="None"/>
    <s v="[Target Red Card]"/>
  </r>
  <r>
    <s v="MasterCard (Capital One)"/>
    <d v="2014-04-08T00:00:00"/>
    <n v="25"/>
    <s v="X"/>
    <s v="Capital One (Cash Back)"/>
    <s v="@CAT:@"/>
    <s v="Other Inc"/>
    <m/>
    <m/>
    <m/>
    <x v="29"/>
    <x v="0"/>
    <m/>
    <m/>
    <m/>
    <m/>
    <x v="8"/>
    <x v="0"/>
    <x v="3"/>
    <x v="0"/>
    <x v="0"/>
    <s v="None"/>
    <s v="Other Inc"/>
  </r>
  <r>
    <s v="MasterCard (Capital One)"/>
    <d v="2014-04-08T00:00:00"/>
    <n v="-23.26"/>
    <s v="X"/>
    <s v="Fred Meyer"/>
    <s v="Josh Shoes"/>
    <s v="Kids:Clothing/From Receipt"/>
    <m/>
    <m/>
    <s v="From Receipt"/>
    <x v="27"/>
    <x v="1"/>
    <m/>
    <m/>
    <m/>
    <m/>
    <x v="8"/>
    <x v="0"/>
    <x v="3"/>
    <x v="0"/>
    <x v="0"/>
    <s v="None"/>
    <s v="Kids|Clothing"/>
  </r>
  <r>
    <s v="MasterCard (Capital One)"/>
    <d v="2014-04-08T00:00:00"/>
    <n v="-13.11"/>
    <s v="X"/>
    <s v="Fred Meyer"/>
    <s v="2011: FRED-MEYER #0122 SEATTLE WA 98117 USA"/>
    <s v="Gifts/From Receipt"/>
    <m/>
    <s v="Split"/>
    <s v="From Receipt"/>
    <x v="28"/>
    <x v="0"/>
    <m/>
    <m/>
    <m/>
    <m/>
    <x v="8"/>
    <x v="0"/>
    <x v="3"/>
    <x v="0"/>
    <x v="0"/>
    <s v="None"/>
    <s v="Gifts"/>
  </r>
  <r>
    <s v="MasterCard (Capital One)"/>
    <d v="2014-04-08T00:00:00"/>
    <n v="-13.87"/>
    <s v="X"/>
    <s v="Fred Meyer"/>
    <m/>
    <s v="Food &amp; Dining:Groceries/From Receipt"/>
    <m/>
    <s v="Split"/>
    <s v="From Receipt"/>
    <x v="15"/>
    <x v="3"/>
    <m/>
    <m/>
    <m/>
    <m/>
    <x v="8"/>
    <x v="0"/>
    <x v="3"/>
    <x v="0"/>
    <x v="0"/>
    <s v="None"/>
    <s v="Food &amp; Dining|Groceries"/>
  </r>
  <r>
    <s v="First Tech - Checking (5544)"/>
    <d v="2014-04-07T00:00:00"/>
    <n v="-3748.69"/>
    <s v="X"/>
    <s v="Wells Fargo Home Mortgage"/>
    <s v="ACH Debit--WF HOME MTG ACH - AUTO PAY"/>
    <s v="Home:Mortgage"/>
    <m/>
    <m/>
    <m/>
    <x v="14"/>
    <x v="27"/>
    <m/>
    <m/>
    <m/>
    <m/>
    <x v="8"/>
    <x v="0"/>
    <x v="3"/>
    <x v="0"/>
    <x v="0"/>
    <s v="None"/>
    <s v="Home|Mortgage"/>
  </r>
  <r>
    <s v="Chase Freedom XX9381"/>
    <d v="2014-04-07T00:00:00"/>
    <n v="-75.56"/>
    <s v="X"/>
    <s v="Razzis Pizzeria"/>
    <m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07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x v="8"/>
    <x v="0"/>
    <x v="3"/>
    <x v="0"/>
    <x v="0"/>
    <s v="None"/>
    <s v="Auto &amp; Transport|Parking"/>
  </r>
  <r>
    <s v="MasterCard (Capital One)"/>
    <d v="2014-04-07T00:00:00"/>
    <n v="-73.8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MasterCard (Capital One)"/>
    <d v="2014-04-06T00:00:00"/>
    <n v="-18.989999999999998"/>
    <s v="X"/>
    <s v="Amazon"/>
    <s v="Blue tooth receiver"/>
    <s v="Shopping:Electronics &amp; Software"/>
    <m/>
    <m/>
    <m/>
    <x v="13"/>
    <x v="20"/>
    <m/>
    <m/>
    <m/>
    <m/>
    <x v="8"/>
    <x v="0"/>
    <x v="2"/>
    <x v="0"/>
    <x v="0"/>
    <s v="None"/>
    <s v="Shopping|Electronics &amp; Software"/>
  </r>
  <r>
    <s v="MasterCard (Capital One)"/>
    <d v="2014-04-06T00:00:00"/>
    <n v="-54.95"/>
    <s v="X"/>
    <s v="Time Magazine"/>
    <s v="2011: TWX*TIME MAGAZINE 800-843-TIME NY 10019 USA"/>
    <s v="Subscriptions &amp; Dues/Tax Related"/>
    <m/>
    <m/>
    <s v="Tax Related"/>
    <x v="33"/>
    <x v="0"/>
    <m/>
    <m/>
    <m/>
    <m/>
    <x v="8"/>
    <x v="0"/>
    <x v="2"/>
    <x v="0"/>
    <x v="0"/>
    <s v="None"/>
    <s v="Subscriptions &amp; Dues"/>
  </r>
  <r>
    <s v="Target Red Card"/>
    <d v="2014-04-06T00:00:00"/>
    <n v="352.62"/>
    <s v="X"/>
    <s v="Target (Autopay)"/>
    <m/>
    <s v="[First Tech - Checking (5544)]"/>
    <m/>
    <m/>
    <m/>
    <x v="21"/>
    <x v="0"/>
    <m/>
    <m/>
    <m/>
    <m/>
    <x v="8"/>
    <x v="0"/>
    <x v="0"/>
    <x v="0"/>
    <x v="0"/>
    <s v="None"/>
    <s v="[First Tech - Checking (5544)]"/>
  </r>
  <r>
    <s v="MasterCard (Capital One)"/>
    <d v="2014-04-05T00:00:00"/>
    <n v="-21.35"/>
    <s v="X"/>
    <s v="Jersey Great Food"/>
    <s v="2011: JERSEY'S GREAT FOOD AN SHORELINE WA 98133 USA"/>
    <s v="Food &amp; Dining:Restaurants/From Receipt"/>
    <m/>
    <m/>
    <s v="From Receipt"/>
    <x v="15"/>
    <x v="15"/>
    <m/>
    <m/>
    <m/>
    <m/>
    <x v="8"/>
    <x v="0"/>
    <x v="3"/>
    <x v="0"/>
    <x v="0"/>
    <s v="None"/>
    <s v="Food &amp; Dining|Restaurants"/>
  </r>
  <r>
    <s v="MasterCard (Capital One)"/>
    <d v="2014-04-05T00:00:00"/>
    <n v="-63.18"/>
    <s v="X"/>
    <s v="Nissan"/>
    <s v="Programming for replacement key fob"/>
    <s v="Auto &amp; Transport:Service &amp; Parts"/>
    <m/>
    <m/>
    <m/>
    <x v="17"/>
    <x v="64"/>
    <m/>
    <m/>
    <m/>
    <m/>
    <x v="8"/>
    <x v="0"/>
    <x v="6"/>
    <x v="0"/>
    <x v="0"/>
    <s v="None"/>
    <s v="Auto &amp; Transport|Service &amp; Parts"/>
  </r>
  <r>
    <s v="MasterCard (Capital One)"/>
    <d v="2014-04-05T00:00:00"/>
    <n v="-167.44"/>
    <s v="X"/>
    <s v="Nissan"/>
    <s v="Replacement key fob"/>
    <s v="Auto &amp; Transport:Service &amp; Parts"/>
    <m/>
    <m/>
    <m/>
    <x v="17"/>
    <x v="64"/>
    <m/>
    <m/>
    <m/>
    <m/>
    <x v="8"/>
    <x v="0"/>
    <x v="6"/>
    <x v="0"/>
    <x v="0"/>
    <s v="None"/>
    <s v="Auto &amp; Transport|Service &amp; Parts"/>
  </r>
  <r>
    <s v="Koolikai - Checking XX2129"/>
    <d v="2014-04-04T00:00:00"/>
    <n v="2295"/>
    <s v="X"/>
    <s v="Aaron Ausland"/>
    <s v="Deposit--Shared Branch Mobile Deposit          First Tech FC CA"/>
    <s v="Business Income (Koolikai):Rent"/>
    <m/>
    <s v="Split"/>
    <m/>
    <x v="37"/>
    <x v="25"/>
    <m/>
    <m/>
    <m/>
    <m/>
    <x v="8"/>
    <x v="0"/>
    <x v="3"/>
    <x v="0"/>
    <x v="0"/>
    <s v="None"/>
    <s v="Business Income (Koolikai)|Rent"/>
  </r>
  <r>
    <s v="Koolikai - Checking XX2129"/>
    <d v="2014-04-04T00:00:00"/>
    <n v="100"/>
    <s v="X"/>
    <s v="Aaron Ausland"/>
    <m/>
    <s v="Business Expenses (Koolikai):Utilities (Business)"/>
    <m/>
    <s v="Split"/>
    <m/>
    <x v="36"/>
    <x v="63"/>
    <m/>
    <m/>
    <m/>
    <m/>
    <x v="8"/>
    <x v="0"/>
    <x v="3"/>
    <x v="0"/>
    <x v="0"/>
    <s v="None"/>
    <s v="Business Expenses (Koolikai)|Utilities (Business)"/>
  </r>
  <r>
    <s v="MasterCard (Capital One)"/>
    <d v="2014-04-04T00:00:00"/>
    <n v="-4.92"/>
    <s v="X"/>
    <s v="Fresh Table Met"/>
    <s v="2011: FRESH TABLE-MET PARK SEATTLE WA 98101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04T00:00:00"/>
    <n v="-8.1999999999999993"/>
    <s v="X"/>
    <s v="Fresh Table Met"/>
    <s v="2011: FRESH TABLE-MET PARK SEATTLE WA 98101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04T00:00:00"/>
    <n v="-12"/>
    <s v="X"/>
    <s v="Lifetouch"/>
    <s v="School Pictures"/>
    <s v="Home:Furnishings"/>
    <m/>
    <m/>
    <m/>
    <x v="14"/>
    <x v="2"/>
    <m/>
    <m/>
    <m/>
    <m/>
    <x v="8"/>
    <x v="0"/>
    <x v="3"/>
    <x v="0"/>
    <x v="0"/>
    <s v="None"/>
    <s v="Home|Furnishings"/>
  </r>
  <r>
    <s v="MasterCard (Capital One)"/>
    <d v="2014-04-04T00:00:00"/>
    <n v="-12"/>
    <s v="X"/>
    <s v="Lifetouch"/>
    <s v="School Pictures"/>
    <s v="Home:Furnishings"/>
    <m/>
    <m/>
    <m/>
    <x v="14"/>
    <x v="2"/>
    <m/>
    <m/>
    <m/>
    <m/>
    <x v="8"/>
    <x v="0"/>
    <x v="3"/>
    <x v="0"/>
    <x v="0"/>
    <s v="None"/>
    <s v="Home|Furnishings"/>
  </r>
  <r>
    <s v="MasterCard (Capital One)"/>
    <d v="2014-04-04T00:00:00"/>
    <n v="-13.43"/>
    <s v="X"/>
    <s v="Diamond Parking"/>
    <s v="2011: DIAMOND PARKING A176 SEATTLE WA 98121 USA"/>
    <s v="Auto &amp; Transport:Parking"/>
    <m/>
    <m/>
    <m/>
    <x v="17"/>
    <x v="11"/>
    <m/>
    <m/>
    <m/>
    <m/>
    <x v="8"/>
    <x v="0"/>
    <x v="3"/>
    <x v="0"/>
    <x v="0"/>
    <s v="None"/>
    <s v="Auto &amp; Transport|Parking"/>
  </r>
  <r>
    <s v="MasterCard (Capital One)"/>
    <d v="2014-04-04T00:00:00"/>
    <n v="-25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MasterCard (Capital One)"/>
    <d v="2014-04-04T00:00:00"/>
    <n v="-27.38"/>
    <s v="X"/>
    <s v="Company Store"/>
    <s v="Office for Frank"/>
    <s v="Gifts"/>
    <m/>
    <m/>
    <m/>
    <x v="28"/>
    <x v="0"/>
    <m/>
    <m/>
    <m/>
    <m/>
    <x v="8"/>
    <x v="0"/>
    <x v="3"/>
    <x v="0"/>
    <x v="0"/>
    <s v="None"/>
    <s v="Gifts"/>
  </r>
  <r>
    <s v="MasterCard (Capital One)"/>
    <d v="2014-04-04T00:00:00"/>
    <n v="-27.95"/>
    <s v="X"/>
    <s v="Lifetouch"/>
    <s v="School Pictures"/>
    <s v="Home:Furnishings"/>
    <m/>
    <m/>
    <m/>
    <x v="14"/>
    <x v="2"/>
    <m/>
    <m/>
    <m/>
    <m/>
    <x v="8"/>
    <x v="0"/>
    <x v="3"/>
    <x v="0"/>
    <x v="0"/>
    <s v="None"/>
    <s v="Home|Furnishings"/>
  </r>
  <r>
    <s v="MasterCard (Capital One)"/>
    <d v="2014-04-04T00:00:00"/>
    <n v="-34.86"/>
    <s v="X"/>
    <s v="Federal Express"/>
    <s v="#SFOM Spring Sale# Signs for SFOM @BAL:2759.01@"/>
    <s v="Work Expense:Reimbursable expense"/>
    <m/>
    <m/>
    <m/>
    <x v="19"/>
    <x v="21"/>
    <m/>
    <m/>
    <s v="SFOM Spring Sale"/>
    <m/>
    <x v="8"/>
    <x v="0"/>
    <x v="4"/>
    <x v="0"/>
    <x v="0"/>
    <s v="None"/>
    <s v="Work Expense|Reimbursable expense"/>
  </r>
  <r>
    <s v="First Tech - Checking (5544)"/>
    <d v="2014-04-03T00:00:00"/>
    <n v="-115"/>
    <s v="X"/>
    <s v="Cleaning Authority, The"/>
    <s v="ACH Debit--THE CLEANING AUT  - ONLINE PMT"/>
    <s v="Home:Home Services"/>
    <m/>
    <m/>
    <m/>
    <x v="14"/>
    <x v="46"/>
    <m/>
    <m/>
    <m/>
    <m/>
    <x v="8"/>
    <x v="0"/>
    <x v="3"/>
    <x v="0"/>
    <x v="0"/>
    <s v="None"/>
    <s v="Home|Home Services"/>
  </r>
  <r>
    <s v="First Tech - Checking (5544)"/>
    <d v="2014-04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8"/>
    <x v="0"/>
    <x v="3"/>
    <x v="0"/>
    <x v="0"/>
    <s v="None"/>
    <s v="Kids|American Funds 529A"/>
  </r>
  <r>
    <s v="Schwab - Checking (9784)"/>
    <d v="2014-04-03T00:00:00"/>
    <n v="-34.770000000000003"/>
    <s v="X"/>
    <s v="Costco"/>
    <m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Schwab - Checking (9784)"/>
    <d v="2014-04-03T00:00:00"/>
    <n v="-181.31"/>
    <s v="X"/>
    <s v="Costco"/>
    <s v="#SFOM Spring Sale# SFOM Sale"/>
    <s v="Work Expense:Reimbursable expense"/>
    <m/>
    <m/>
    <m/>
    <x v="19"/>
    <x v="21"/>
    <m/>
    <m/>
    <s v="SFOM Spring Sale"/>
    <m/>
    <x v="8"/>
    <x v="0"/>
    <x v="4"/>
    <x v="0"/>
    <x v="0"/>
    <s v="None"/>
    <s v="Work Expense|Reimbursable expense"/>
  </r>
  <r>
    <s v="MasterCard (Capital One)"/>
    <d v="2014-04-03T00:00:00"/>
    <n v="-3.25"/>
    <s v="X"/>
    <s v="Cafe Redmond Wa"/>
    <s v="2011: CAFE 86 11171386 REDMOND WA 98052 USA"/>
    <s v="Food &amp; Dining:Restaurants"/>
    <m/>
    <m/>
    <m/>
    <x v="15"/>
    <x v="15"/>
    <m/>
    <m/>
    <m/>
    <m/>
    <x v="8"/>
    <x v="0"/>
    <x v="3"/>
    <x v="0"/>
    <x v="0"/>
    <s v="None"/>
    <s v="Food &amp; Dining|Restaurants"/>
  </r>
  <r>
    <s v="MasterCard (Capital One)"/>
    <d v="2014-04-03T00:00:00"/>
    <n v="-10"/>
    <s v="X"/>
    <s v="Walgreens"/>
    <s v="2011: WALGREENS #3515 SEATTLE WA 98103 USA"/>
    <s v="Health &amp; Fitness:Pharmacy/From Receipt"/>
    <m/>
    <m/>
    <s v="From Receipt"/>
    <x v="18"/>
    <x v="38"/>
    <m/>
    <m/>
    <m/>
    <m/>
    <x v="8"/>
    <x v="0"/>
    <x v="4"/>
    <x v="0"/>
    <x v="0"/>
    <s v="None"/>
    <s v="Health &amp; Fitness|Pharmacy"/>
  </r>
  <r>
    <s v="MasterCard (Capital One)"/>
    <d v="2014-04-03T00:00:00"/>
    <n v="-10.95"/>
    <s v="X"/>
    <s v="Fred Meyer"/>
    <s v="2011: FRED-MEYER #0122 SEATTLE WA 98117 USA"/>
    <s v="Food &amp; Dining:Groceries/From Receipt"/>
    <m/>
    <m/>
    <s v="From Receipt"/>
    <x v="15"/>
    <x v="3"/>
    <m/>
    <m/>
    <m/>
    <m/>
    <x v="8"/>
    <x v="0"/>
    <x v="3"/>
    <x v="0"/>
    <x v="0"/>
    <s v="None"/>
    <s v="Food &amp; Dining|Groceries"/>
  </r>
  <r>
    <s v="MasterCard (Capital One)"/>
    <d v="2014-04-03T00:00:00"/>
    <n v="-100"/>
    <s v="X"/>
    <s v="Eurest"/>
    <s v="2011: CAFE 86 11171386 REDMOND WA 98052 USA"/>
    <s v="Food &amp; Dining:Restaurants/From Receipt"/>
    <m/>
    <m/>
    <s v="From Receipt"/>
    <x v="15"/>
    <x v="15"/>
    <m/>
    <m/>
    <m/>
    <m/>
    <x v="8"/>
    <x v="0"/>
    <x v="3"/>
    <x v="0"/>
    <x v="0"/>
    <s v="None"/>
    <s v="Food &amp; Dining|Restaurants"/>
  </r>
  <r>
    <s v="First Tech - Checking (5544)"/>
    <d v="2014-04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8"/>
    <x v="0"/>
    <x v="3"/>
    <x v="0"/>
    <x v="0"/>
    <s v="None"/>
    <s v="Business Expenses (Koolikai)|Mortgage (Business)"/>
  </r>
  <r>
    <s v="First Tech - Checking (5544)"/>
    <d v="2014-04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8"/>
    <x v="0"/>
    <x v="3"/>
    <x v="0"/>
    <x v="0"/>
    <s v="None"/>
    <s v="Business Expenses (Koolikai)|Mortgage (Business)"/>
  </r>
  <r>
    <s v="First Tech - Checking (5544)"/>
    <d v="2014-04-02T00:00:00"/>
    <n v="-6892.04"/>
    <s v="X"/>
    <s v="Capital One (Autopay)"/>
    <s v="@CAT:@"/>
    <s v="[MasterCard (Capital One)]"/>
    <m/>
    <m/>
    <m/>
    <x v="38"/>
    <x v="0"/>
    <m/>
    <m/>
    <m/>
    <m/>
    <x v="8"/>
    <x v="0"/>
    <x v="0"/>
    <x v="0"/>
    <x v="0"/>
    <s v="None"/>
    <s v="[MasterCard (Capital One)]"/>
  </r>
  <r>
    <s v="MasterCard (Capital One)"/>
    <d v="2014-04-02T00:00:00"/>
    <n v="6892.04"/>
    <s v="X"/>
    <s v="Capital One (Autopay)"/>
    <s v="@CAT:@"/>
    <s v="[First Tech - Checking (5544)]"/>
    <m/>
    <m/>
    <m/>
    <x v="21"/>
    <x v="0"/>
    <m/>
    <m/>
    <m/>
    <m/>
    <x v="8"/>
    <x v="0"/>
    <x v="0"/>
    <x v="0"/>
    <x v="0"/>
    <s v="None"/>
    <s v="[First Tech - Checking (5544)]"/>
  </r>
  <r>
    <s v="MasterCard (Capital One)"/>
    <d v="2014-04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x v="8"/>
    <x v="0"/>
    <x v="3"/>
    <x v="0"/>
    <x v="0"/>
    <s v="None"/>
    <s v="Bills &amp; Utilities|Television"/>
  </r>
  <r>
    <s v="MasterCard (Capital One)"/>
    <d v="2014-04-02T00:00:00"/>
    <n v="-64.08"/>
    <s v="X"/>
    <s v="Comcast"/>
    <m/>
    <s v="Business Expenses (Koolikai):Internet"/>
    <m/>
    <s v="Split"/>
    <m/>
    <x v="36"/>
    <x v="33"/>
    <m/>
    <m/>
    <m/>
    <m/>
    <x v="8"/>
    <x v="0"/>
    <x v="3"/>
    <x v="0"/>
    <x v="0"/>
    <s v="None"/>
    <s v="Business Expenses (Koolikai)|Internet"/>
  </r>
  <r>
    <s v="MasterCard (Capital One)"/>
    <d v="2014-04-02T00:00:00"/>
    <n v="-44.05"/>
    <s v="X"/>
    <s v="Comcast"/>
    <m/>
    <s v="Bills &amp; Utilities:Home Phone"/>
    <m/>
    <s v="Split"/>
    <m/>
    <x v="34"/>
    <x v="34"/>
    <m/>
    <m/>
    <m/>
    <m/>
    <x v="8"/>
    <x v="0"/>
    <x v="3"/>
    <x v="0"/>
    <x v="0"/>
    <s v="None"/>
    <s v="Bills &amp; Utilities|Home Phone"/>
  </r>
  <r>
    <s v="First Tech - Checking (5544)"/>
    <d v="2014-04-01T00:00:00"/>
    <n v="46.58"/>
    <s v="X"/>
    <s v="Premera Funding  - Cyc-claims"/>
    <s v="ACH Deposit--PREMERA FUNDING  - CYC-CLAIMS"/>
    <s v="[Premera Health Care Payment]"/>
    <m/>
    <m/>
    <m/>
    <x v="42"/>
    <x v="0"/>
    <m/>
    <m/>
    <m/>
    <m/>
    <x v="8"/>
    <x v="0"/>
    <x v="0"/>
    <x v="0"/>
    <x v="0"/>
    <s v="None"/>
    <s v="[Premera Health Care Payment]"/>
  </r>
  <r>
    <s v="First Tech - Checking (5544)"/>
    <d v="2014-04-01T00:00:00"/>
    <n v="-1976"/>
    <s v="X"/>
    <s v="Phinney Ridge CDC"/>
    <s v="ACH Debit--PHINNEY RIDGE LU 504759859 - CONTRIBUTN"/>
    <s v="Kids:Daycare"/>
    <m/>
    <m/>
    <m/>
    <x v="27"/>
    <x v="35"/>
    <m/>
    <m/>
    <m/>
    <m/>
    <x v="8"/>
    <x v="0"/>
    <x v="3"/>
    <x v="0"/>
    <x v="0"/>
    <s v="None"/>
    <s v="Kids|Daycare"/>
  </r>
  <r>
    <s v="Koolikai - Checking XX2129"/>
    <d v="2014-04-01T00:00:00"/>
    <n v="2195"/>
    <s v="X"/>
    <s v="Valerie Shaibley"/>
    <m/>
    <s v="Business Income (Koolikai):Rent/9602"/>
    <m/>
    <m/>
    <n v="9602"/>
    <x v="37"/>
    <x v="25"/>
    <m/>
    <m/>
    <m/>
    <m/>
    <x v="8"/>
    <x v="0"/>
    <x v="3"/>
    <x v="0"/>
    <x v="0"/>
    <s v="None"/>
    <s v="Business Income (Koolikai)|Rent"/>
  </r>
  <r>
    <s v="MasterCard (Capital One)"/>
    <d v="2014-04-01T00:00:00"/>
    <n v="-18.66"/>
    <s v="X"/>
    <s v="Scholastic"/>
    <s v="2011: SCHOLASTIC BOOK FAIRS LAKE MARY FL 32746 USA"/>
    <s v="Shopping:Books"/>
    <m/>
    <m/>
    <m/>
    <x v="13"/>
    <x v="51"/>
    <m/>
    <m/>
    <m/>
    <m/>
    <x v="8"/>
    <x v="0"/>
    <x v="6"/>
    <x v="0"/>
    <x v="0"/>
    <s v="None"/>
    <s v="Shopping|Books"/>
  </r>
  <r>
    <s v="Premera Health Care Payment"/>
    <d v="2014-04-01T00:00:00"/>
    <n v="-46.58"/>
    <m/>
    <s v="Premera Funding  - Cyc-claims"/>
    <s v="ACH Deposit--PREMERA FUNDING  - CYC-CLAIMS"/>
    <s v="[First Tech - Checking (5544)]"/>
    <m/>
    <m/>
    <m/>
    <x v="21"/>
    <x v="0"/>
    <m/>
    <m/>
    <m/>
    <m/>
    <x v="8"/>
    <x v="0"/>
    <x v="0"/>
    <x v="0"/>
    <x v="0"/>
    <s v="None"/>
    <s v="[First Tech - Checking (5544)]"/>
  </r>
  <r>
    <s v="Capital One - Investment (6759)"/>
    <d v="2014-03-31T00:00:00"/>
    <n v="20"/>
    <s v="X"/>
    <s v="Capital One (Interest Income)"/>
    <s v="@CAT:@"/>
    <s v="Interest Income"/>
    <s v="INT"/>
    <m/>
    <m/>
    <x v="40"/>
    <x v="0"/>
    <m/>
    <m/>
    <m/>
    <m/>
    <x v="9"/>
    <x v="0"/>
    <x v="3"/>
    <x v="0"/>
    <x v="0"/>
    <s v="None"/>
    <s v="Interest Income"/>
  </r>
  <r>
    <s v="Capital One - Long Term Emergency (1201)"/>
    <d v="2014-03-31T00:00:00"/>
    <n v="50.2"/>
    <s v="X"/>
    <s v="Capital One (Interest Income)"/>
    <s v="@CAT:@"/>
    <s v="Interest Income"/>
    <s v="INT"/>
    <m/>
    <m/>
    <x v="40"/>
    <x v="0"/>
    <m/>
    <m/>
    <m/>
    <m/>
    <x v="9"/>
    <x v="0"/>
    <x v="3"/>
    <x v="0"/>
    <x v="0"/>
    <s v="None"/>
    <s v="Interest Income"/>
  </r>
  <r>
    <s v="Capital One - Secondary Savings (3126)"/>
    <d v="2014-03-31T00:00:00"/>
    <n v="0.02"/>
    <s v="X"/>
    <s v="Capital One (Interest Income)"/>
    <s v="@CAT:@"/>
    <s v="Interest Income"/>
    <s v="INT"/>
    <m/>
    <m/>
    <x v="40"/>
    <x v="0"/>
    <m/>
    <m/>
    <m/>
    <m/>
    <x v="9"/>
    <x v="0"/>
    <x v="3"/>
    <x v="0"/>
    <x v="0"/>
    <s v="None"/>
    <s v="Interest Income"/>
  </r>
  <r>
    <s v="Capital One - Vacation (4959)"/>
    <d v="2014-03-31T00:00:00"/>
    <n v="2.13"/>
    <s v="X"/>
    <s v="Capital One (Interest Income)"/>
    <s v="@CAT:@"/>
    <s v="Interest Income"/>
    <s v="INT"/>
    <m/>
    <m/>
    <x v="40"/>
    <x v="0"/>
    <m/>
    <m/>
    <m/>
    <m/>
    <x v="9"/>
    <x v="0"/>
    <x v="3"/>
    <x v="0"/>
    <x v="0"/>
    <s v="None"/>
    <s v="Interest Income"/>
  </r>
  <r>
    <s v="First Tech - Short Term Emergency (5400)"/>
    <d v="2014-03-31T00:00:00"/>
    <n v="0.01"/>
    <s v="X"/>
    <s v="First Tech (Dividend)"/>
    <s v="@CAT:@"/>
    <s v="Interest Income"/>
    <m/>
    <m/>
    <m/>
    <x v="40"/>
    <x v="0"/>
    <m/>
    <m/>
    <m/>
    <m/>
    <x v="9"/>
    <x v="0"/>
    <x v="3"/>
    <x v="0"/>
    <x v="0"/>
    <s v="None"/>
    <s v="Interest Income"/>
  </r>
  <r>
    <s v="Koolikai - Sec Dep XX1200"/>
    <d v="2014-03-31T00:00:00"/>
    <n v="0.19"/>
    <s v="X"/>
    <s v="First Tech (Dividend)"/>
    <s v="@CAT:@"/>
    <s v="Interest Income"/>
    <m/>
    <m/>
    <m/>
    <x v="40"/>
    <x v="0"/>
    <m/>
    <m/>
    <m/>
    <m/>
    <x v="9"/>
    <x v="0"/>
    <x v="3"/>
    <x v="0"/>
    <x v="0"/>
    <s v="None"/>
    <s v="Interest Income"/>
  </r>
  <r>
    <s v="Schwab - Checking (9784)"/>
    <d v="2014-03-31T00:00:00"/>
    <n v="0.13"/>
    <s v="X"/>
    <s v="Interest Paid"/>
    <m/>
    <s v="Interest Income"/>
    <m/>
    <m/>
    <m/>
    <x v="40"/>
    <x v="0"/>
    <m/>
    <m/>
    <m/>
    <m/>
    <x v="9"/>
    <x v="0"/>
    <x v="3"/>
    <x v="0"/>
    <x v="0"/>
    <s v="None"/>
    <s v="Interest Income"/>
  </r>
  <r>
    <s v="Schwab - Checking (9784)"/>
    <d v="2014-03-31T00:00:00"/>
    <n v="2"/>
    <s v="X"/>
    <s v="ATM Fee Refund"/>
    <s v="@CAT:@@BAL:$1489.95@"/>
    <s v="Bank Fees &amp; Charges:ATM Fee"/>
    <m/>
    <m/>
    <m/>
    <x v="32"/>
    <x v="17"/>
    <m/>
    <m/>
    <m/>
    <m/>
    <x v="9"/>
    <x v="0"/>
    <x v="3"/>
    <x v="0"/>
    <x v="0"/>
    <s v="None"/>
    <s v="Bank Fees &amp; Charges|ATM Fee"/>
  </r>
  <r>
    <s v="First Tech - Checking (5544)"/>
    <d v="2014-03-30T00:00:00"/>
    <n v="3165.2"/>
    <s v="X"/>
    <s v="Microsoft (Paystub)"/>
    <s v="ACH Deposit--MICROSOFT  - EDIPAYMENT"/>
    <s v="Net Salary"/>
    <m/>
    <m/>
    <m/>
    <x v="35"/>
    <x v="0"/>
    <m/>
    <m/>
    <m/>
    <m/>
    <x v="9"/>
    <x v="0"/>
    <x v="3"/>
    <x v="0"/>
    <x v="0"/>
    <s v="None"/>
    <s v="Net Salary"/>
  </r>
  <r>
    <s v="First Tech - Checking (5544)"/>
    <d v="2014-03-30T00:00:00"/>
    <n v="6195.6"/>
    <s v="X"/>
    <s v="CRAB (Paystub)"/>
    <s v="ACH Deposit--Cancer Research  - Payroll"/>
    <s v="Net Salary"/>
    <m/>
    <m/>
    <m/>
    <x v="35"/>
    <x v="0"/>
    <m/>
    <m/>
    <m/>
    <m/>
    <x v="9"/>
    <x v="0"/>
    <x v="3"/>
    <x v="0"/>
    <x v="0"/>
    <s v="None"/>
    <s v="Net Salary"/>
  </r>
  <r>
    <s v="MasterCard (Capital One)"/>
    <d v="2014-03-30T00:00:00"/>
    <n v="-34"/>
    <s v="X"/>
    <s v="Rudys Barber Shop"/>
    <s v="2011: RUDYS BARBER SHOP - PH SEATTLE WA 98103 USA"/>
    <s v="Personal Care:Hair"/>
    <m/>
    <m/>
    <m/>
    <x v="31"/>
    <x v="16"/>
    <m/>
    <m/>
    <m/>
    <m/>
    <x v="9"/>
    <x v="0"/>
    <x v="3"/>
    <x v="0"/>
    <x v="0"/>
    <s v="None"/>
    <s v="Personal Care|Hair"/>
  </r>
  <r>
    <s v="MasterCard (Capital One)"/>
    <d v="2014-03-29T00:00:00"/>
    <n v="-54.5"/>
    <s v="X"/>
    <s v="Wa Parksreservationswe Olympia"/>
    <s v="#Moran State Park#"/>
    <s v="Vacation:Lodging"/>
    <m/>
    <m/>
    <m/>
    <x v="23"/>
    <x v="9"/>
    <m/>
    <m/>
    <s v="Moran State Park"/>
    <m/>
    <x v="9"/>
    <x v="0"/>
    <x v="4"/>
    <x v="0"/>
    <x v="0"/>
    <s v="None"/>
    <s v="Vacation|Lodging"/>
  </r>
  <r>
    <s v="MasterCard (Capital One)"/>
    <d v="2014-03-29T00:00:00"/>
    <n v="-63.93"/>
    <s v="X"/>
    <s v="Hecho Seattle Wa"/>
    <s v="2011: HECHO SEATTLE WA 98103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29T00:00:00"/>
    <n v="-19.260000000000002"/>
    <s v="X"/>
    <s v="Fred Meyer"/>
    <s v="2011: FRED-MEYER #0122 SEATTLE WA 98117 USA"/>
    <s v="Gifts/From Receipt"/>
    <m/>
    <s v="Split"/>
    <s v="From Receipt"/>
    <x v="28"/>
    <x v="0"/>
    <m/>
    <m/>
    <m/>
    <m/>
    <x v="9"/>
    <x v="0"/>
    <x v="3"/>
    <x v="0"/>
    <x v="0"/>
    <s v="None"/>
    <s v="Gifts"/>
  </r>
  <r>
    <s v="MasterCard (Capital One)"/>
    <d v="2014-03-29T00:00:00"/>
    <n v="-104.07"/>
    <s v="X"/>
    <s v="Fred Meyer"/>
    <m/>
    <s v="Food &amp; Dining:Groceries/From Receipt"/>
    <m/>
    <s v="Split"/>
    <s v="From Receipt"/>
    <x v="15"/>
    <x v="3"/>
    <m/>
    <m/>
    <m/>
    <m/>
    <x v="9"/>
    <x v="0"/>
    <x v="3"/>
    <x v="0"/>
    <x v="0"/>
    <s v="None"/>
    <s v="Food &amp; Dining|Groceries"/>
  </r>
  <r>
    <s v="First Tech - Checking (5544)"/>
    <d v="2014-03-28T00:00:00"/>
    <n v="-60"/>
    <s v="X"/>
    <s v="Sue Shoedel"/>
    <s v="Check--"/>
    <s v="Kids:Babysitter"/>
    <n v="2298"/>
    <m/>
    <m/>
    <x v="27"/>
    <x v="13"/>
    <m/>
    <m/>
    <m/>
    <m/>
    <x v="9"/>
    <x v="0"/>
    <x v="3"/>
    <x v="0"/>
    <x v="0"/>
    <s v="None"/>
    <s v="Kids|Babysitter"/>
  </r>
  <r>
    <s v="MasterCard (Capital One)"/>
    <d v="2014-03-28T00:00:00"/>
    <n v="-13.43"/>
    <s v="X"/>
    <s v="Diamond Parking"/>
    <s v="2011: DIAMOND PARKING A176 SEATTLE WA 98121 USA"/>
    <s v="Auto &amp; Transport:Parking"/>
    <m/>
    <m/>
    <m/>
    <x v="17"/>
    <x v="11"/>
    <m/>
    <m/>
    <m/>
    <m/>
    <x v="9"/>
    <x v="0"/>
    <x v="3"/>
    <x v="0"/>
    <x v="0"/>
    <s v="None"/>
    <s v="Auto &amp; Transport|Parking"/>
  </r>
  <r>
    <s v="MasterCard (Capital One)"/>
    <d v="2014-03-27T00:00:00"/>
    <n v="-4"/>
    <s v="X"/>
    <s v="Premier Parking"/>
    <s v="2011: PREMIER PARKING MARION NASHVILLE TN 372093602 USA"/>
    <s v="Auto &amp; Transport:Parking/From Receipt"/>
    <m/>
    <m/>
    <s v="From Receipt"/>
    <x v="17"/>
    <x v="11"/>
    <m/>
    <m/>
    <m/>
    <m/>
    <x v="9"/>
    <x v="0"/>
    <x v="3"/>
    <x v="0"/>
    <x v="0"/>
    <s v="None"/>
    <s v="Auto &amp; Transport|Parking"/>
  </r>
  <r>
    <s v="MasterCard (Capital One)"/>
    <d v="2014-03-27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x v="9"/>
    <x v="0"/>
    <x v="4"/>
    <x v="0"/>
    <x v="0"/>
    <s v="None"/>
    <s v="Auto &amp; Transport|Tolls"/>
  </r>
  <r>
    <s v="MasterCard (Capital One)"/>
    <d v="2014-03-26T00:00:00"/>
    <n v="-163.13"/>
    <s v="X"/>
    <s v="Esi Pharm Columbus 08002822881 O"/>
    <s v="2011: ESI PHARM COLUMBUS 08002822881 OH 43228 USA"/>
    <s v="Health &amp; Fitness:Pharmacy"/>
    <m/>
    <m/>
    <m/>
    <x v="18"/>
    <x v="38"/>
    <m/>
    <m/>
    <m/>
    <m/>
    <x v="9"/>
    <x v="0"/>
    <x v="4"/>
    <x v="0"/>
    <x v="0"/>
    <s v="None"/>
    <s v="Health &amp; Fitness|Pharmacy"/>
  </r>
  <r>
    <s v="MasterCard (Capital One)"/>
    <d v="2014-03-26T00:00:00"/>
    <n v="-3.5"/>
    <s v="X"/>
    <s v="Seattle Park Seattle"/>
    <s v="2011: SEATTLE 684-PARK SEATTLE WA 98104 USA"/>
    <s v="Auto &amp; Transport:Parking"/>
    <m/>
    <m/>
    <m/>
    <x v="17"/>
    <x v="11"/>
    <m/>
    <m/>
    <m/>
    <m/>
    <x v="9"/>
    <x v="0"/>
    <x v="3"/>
    <x v="0"/>
    <x v="0"/>
    <s v="None"/>
    <s v="Auto &amp; Transport|Parking"/>
  </r>
  <r>
    <s v="MasterCard (Capital One)"/>
    <d v="2014-03-25T00:00:00"/>
    <n v="-10.029999999999999"/>
    <s v="X"/>
    <s v="Taco Del Mar Greenwood Seattle W"/>
    <s v="2011: TACO DEL MAR GREENWOOD SEATTLE WA 98103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First Tech - Checking (5544)"/>
    <d v="2014-03-24T00:00:00"/>
    <n v="-7.65"/>
    <s v="X"/>
    <s v="Discover Dc Pymnts"/>
    <s v="ACH Debit--DISCOVER DC PYMNTS DCIDPIINT - E-PAYMENT"/>
    <s v="[Discover Card]"/>
    <m/>
    <m/>
    <m/>
    <x v="24"/>
    <x v="0"/>
    <m/>
    <m/>
    <m/>
    <m/>
    <x v="9"/>
    <x v="0"/>
    <x v="0"/>
    <x v="0"/>
    <x v="0"/>
    <s v="None"/>
    <s v="[Discover Card]"/>
  </r>
  <r>
    <s v="First Tech - Checking (5544)"/>
    <d v="2014-03-24T00:00:00"/>
    <n v="-40"/>
    <s v="X"/>
    <s v="Edward Jones"/>
    <s v="ACH Debit--EDWARD JONES  - INVESTMENT"/>
    <s v="Financial:Financial Advisor"/>
    <m/>
    <m/>
    <m/>
    <x v="50"/>
    <x v="65"/>
    <m/>
    <m/>
    <m/>
    <m/>
    <x v="9"/>
    <x v="0"/>
    <x v="4"/>
    <x v="0"/>
    <x v="0"/>
    <s v="None"/>
    <s v="Financial|Financial Advisor"/>
  </r>
  <r>
    <s v="Koolikai - Checking XX2129"/>
    <d v="2014-03-24T00:00:00"/>
    <n v="-321.12"/>
    <s v="X"/>
    <s v="Chase - Koolikai (Autopay)"/>
    <s v="ACH Debit--CHASE  - AUTOPAYBUS"/>
    <s v="[Koolikai Credit Card]"/>
    <m/>
    <m/>
    <m/>
    <x v="9"/>
    <x v="0"/>
    <m/>
    <m/>
    <m/>
    <m/>
    <x v="9"/>
    <x v="0"/>
    <x v="0"/>
    <x v="0"/>
    <x v="0"/>
    <s v="None"/>
    <s v="[Koolikai Credit Card]"/>
  </r>
  <r>
    <s v="Koolikai Credit Card"/>
    <d v="2014-03-24T00:00:00"/>
    <n v="321.12"/>
    <s v="X"/>
    <s v="Chase - Koolikai (Autopay)"/>
    <s v="ACH Debit--CHASE  - AUTOPAYBUS"/>
    <s v="[Koolikai - Checking XX2129]"/>
    <m/>
    <m/>
    <m/>
    <x v="25"/>
    <x v="0"/>
    <m/>
    <m/>
    <m/>
    <m/>
    <x v="9"/>
    <x v="0"/>
    <x v="0"/>
    <x v="0"/>
    <x v="0"/>
    <s v="None"/>
    <s v="[Koolikai - Checking XX2129]"/>
  </r>
  <r>
    <s v="MasterCard (Capital One)"/>
    <d v="2014-03-24T00:00:00"/>
    <n v="-116.5"/>
    <s v="X"/>
    <s v="Raceit Beat Blerc"/>
    <s v="#Stay Fit# Beat the Blerch Run"/>
    <s v="Health &amp; Fitness:Sports"/>
    <m/>
    <m/>
    <m/>
    <x v="18"/>
    <x v="23"/>
    <m/>
    <m/>
    <s v="Stay Fit"/>
    <m/>
    <x v="9"/>
    <x v="0"/>
    <x v="4"/>
    <x v="0"/>
    <x v="0"/>
    <s v="None"/>
    <s v="Health &amp; Fitness|Sports"/>
  </r>
  <r>
    <s v="Discover Card"/>
    <d v="2014-03-23T00:00:00"/>
    <n v="7.65"/>
    <s v="X"/>
    <s v="Directpay Full Balance"/>
    <m/>
    <s v="[First Tech - Checking (5544)]"/>
    <m/>
    <m/>
    <m/>
    <x v="21"/>
    <x v="0"/>
    <m/>
    <m/>
    <m/>
    <m/>
    <x v="9"/>
    <x v="0"/>
    <x v="0"/>
    <x v="0"/>
    <x v="0"/>
    <s v="None"/>
    <s v="[First Tech - Checking (5544)]"/>
  </r>
  <r>
    <s v="MasterCard (Capital One)"/>
    <d v="2014-03-23T00:00:00"/>
    <n v="25"/>
    <s v="X"/>
    <s v="Capital One (Cash Back)"/>
    <s v="Cash back credit entered manually"/>
    <s v="Other Inc"/>
    <m/>
    <m/>
    <m/>
    <x v="29"/>
    <x v="0"/>
    <m/>
    <m/>
    <m/>
    <m/>
    <x v="9"/>
    <x v="0"/>
    <x v="3"/>
    <x v="0"/>
    <x v="0"/>
    <s v="None"/>
    <s v="Other Inc"/>
  </r>
  <r>
    <s v="MasterCard (Capital One)"/>
    <d v="2014-03-23T00:00:00"/>
    <n v="-11.45"/>
    <s v="X"/>
    <s v="Bluebird Ice Cream"/>
    <m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22T00:00:00"/>
    <n v="-3.14"/>
    <s v="X"/>
    <s v="Seattle Park Seattle"/>
    <s v="2011: SEATTLE 684-PARK SEATTLE WA 98104 USA"/>
    <s v="Auto &amp; Transport:Parking"/>
    <m/>
    <m/>
    <m/>
    <x v="17"/>
    <x v="11"/>
    <m/>
    <m/>
    <m/>
    <m/>
    <x v="9"/>
    <x v="0"/>
    <x v="3"/>
    <x v="0"/>
    <x v="0"/>
    <s v="None"/>
    <s v="Auto &amp; Transport|Parking"/>
  </r>
  <r>
    <s v="MasterCard (Capital One)"/>
    <d v="2014-03-22T00:00:00"/>
    <n v="-60.35"/>
    <s v="X"/>
    <s v="Pesos Seattle Wa"/>
    <m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22T00:00:00"/>
    <n v="-79.819999999999993"/>
    <s v="X"/>
    <s v="Fred Meyer"/>
    <m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First Tech - Checking (5544)"/>
    <d v="2014-03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9"/>
    <x v="0"/>
    <x v="3"/>
    <x v="0"/>
    <x v="0"/>
    <s v="None"/>
    <s v="Auto &amp; Transport|Auto Lease Payment"/>
  </r>
  <r>
    <s v="MasterCard (Capital One)"/>
    <d v="2014-03-21T00:00:00"/>
    <n v="-455"/>
    <s v="X"/>
    <s v="Seattle Gymnastic Academy"/>
    <s v="2011: SEATTLE GYMNASTIC COLU 02067087497 WA 98118 USA"/>
    <s v="Kids:Kids Activities"/>
    <m/>
    <m/>
    <m/>
    <x v="27"/>
    <x v="12"/>
    <m/>
    <m/>
    <m/>
    <m/>
    <x v="9"/>
    <x v="0"/>
    <x v="3"/>
    <x v="0"/>
    <x v="0"/>
    <s v="None"/>
    <s v="Kids|Kids Activities"/>
  </r>
  <r>
    <s v="MasterCard (Capital One)"/>
    <d v="2014-03-21T00:00:00"/>
    <n v="-16.41"/>
    <s v="X"/>
    <s v="Fred Meyer"/>
    <m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MasterCard (Capital One)"/>
    <d v="2014-03-21T00:00:00"/>
    <n v="-72.28"/>
    <s v="X"/>
    <s v="Barking Dog Alehouse"/>
    <m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20T00:00:00"/>
    <n v="-12.71"/>
    <s v="X"/>
    <s v="Fred Meyer"/>
    <s v="2011: FRED-MEYER #0122 SEATTLE WA 98117 USA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MasterCard (Capital One)"/>
    <d v="2014-03-20T00:00:00"/>
    <n v="-10.93"/>
    <s v="X"/>
    <s v="Walgreens"/>
    <s v="2011: WALGREENS #3515 SEATTLE WA 98103 USA"/>
    <s v="Business Expenses (Koolikai):Supplies (Business)/From Receipt"/>
    <m/>
    <s v="Split"/>
    <s v="From Receipt"/>
    <x v="36"/>
    <x v="66"/>
    <m/>
    <m/>
    <m/>
    <m/>
    <x v="9"/>
    <x v="0"/>
    <x v="4"/>
    <x v="0"/>
    <x v="0"/>
    <s v="None"/>
    <s v="Business Expenses (Koolikai)|Supplies (Business)"/>
  </r>
  <r>
    <s v="MasterCard (Capital One)"/>
    <d v="2014-03-20T00:00:00"/>
    <n v="-10"/>
    <s v="X"/>
    <s v="Walgreens"/>
    <m/>
    <s v="Health &amp; Fitness:Pharmacy/From Receipt"/>
    <m/>
    <s v="Split"/>
    <s v="From Receipt"/>
    <x v="18"/>
    <x v="38"/>
    <m/>
    <m/>
    <m/>
    <m/>
    <x v="9"/>
    <x v="0"/>
    <x v="4"/>
    <x v="0"/>
    <x v="0"/>
    <s v="None"/>
    <s v="Health &amp; Fitness|Pharmacy"/>
  </r>
  <r>
    <s v="First Tech - Checking (5544)"/>
    <d v="2014-03-19T00:00:00"/>
    <n v="0"/>
    <s v="X"/>
    <s v="Balanced"/>
    <s v="@CAT:@"/>
    <s v="[First Tech - Checking (5544)]"/>
    <m/>
    <m/>
    <m/>
    <x v="21"/>
    <x v="0"/>
    <m/>
    <m/>
    <m/>
    <m/>
    <x v="9"/>
    <x v="0"/>
    <x v="0"/>
    <x v="0"/>
    <x v="0"/>
    <s v="None"/>
    <s v="[First Tech - Checking (5544)]"/>
  </r>
  <r>
    <s v="MasterCard (Capital One)"/>
    <d v="2014-03-19T00:00:00"/>
    <n v="-18.96"/>
    <s v="X"/>
    <s v="Fred Meyer"/>
    <s v="2011: FRED-MEYER #0122 SEATTLE WA 98117 USA"/>
    <s v="Business Expenses (Koolikai):Supplies (Business)/From Receipt"/>
    <m/>
    <s v="Split"/>
    <s v="From Receipt"/>
    <x v="36"/>
    <x v="66"/>
    <m/>
    <m/>
    <m/>
    <m/>
    <x v="9"/>
    <x v="0"/>
    <x v="4"/>
    <x v="0"/>
    <x v="0"/>
    <s v="None"/>
    <s v="Business Expenses (Koolikai)|Supplies (Business)"/>
  </r>
  <r>
    <s v="MasterCard (Capital One)"/>
    <d v="2014-03-19T00:00:00"/>
    <n v="-48.16"/>
    <s v="X"/>
    <s v="Fred Meyer"/>
    <m/>
    <s v="Food &amp; Dining:Groceries/From Receipt"/>
    <m/>
    <s v="Split"/>
    <s v="From Receipt"/>
    <x v="15"/>
    <x v="3"/>
    <m/>
    <m/>
    <m/>
    <m/>
    <x v="9"/>
    <x v="0"/>
    <x v="3"/>
    <x v="0"/>
    <x v="0"/>
    <s v="None"/>
    <s v="Food &amp; Dining|Groceries"/>
  </r>
  <r>
    <s v="First Tech - Checking (5544)"/>
    <d v="2014-03-18T00:00:00"/>
    <n v="-177.29"/>
    <s v="X"/>
    <s v="Seattle City Light"/>
    <s v="ACH Debit--CITY OF SEATTLE  - 1 - SCL De"/>
    <s v="Bills &amp; Utilities:Utilities"/>
    <m/>
    <m/>
    <m/>
    <x v="34"/>
    <x v="18"/>
    <m/>
    <m/>
    <m/>
    <m/>
    <x v="9"/>
    <x v="0"/>
    <x v="3"/>
    <x v="0"/>
    <x v="0"/>
    <s v="None"/>
    <s v="Bills &amp; Utilities|Utilities"/>
  </r>
  <r>
    <s v="First Tech - Checking (5544)"/>
    <d v="2014-03-17T00:00:00"/>
    <n v="-115"/>
    <s v="X"/>
    <s v="Cleaning Authority, The"/>
    <s v="ACH Debit--THE CLEANING AUT  - ONLINE PMT"/>
    <s v="Home:Home Services"/>
    <m/>
    <m/>
    <m/>
    <x v="14"/>
    <x v="46"/>
    <m/>
    <m/>
    <m/>
    <m/>
    <x v="9"/>
    <x v="0"/>
    <x v="3"/>
    <x v="0"/>
    <x v="0"/>
    <s v="None"/>
    <s v="Home|Home Services"/>
  </r>
  <r>
    <s v="MasterCard (Capital One)"/>
    <d v="2014-03-17T00:00:00"/>
    <n v="-6.23"/>
    <s v="X"/>
    <s v="Ken's Market"/>
    <s v="2011: KEN'S MARKET #75-116 SEATTLE WA 98103 USA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Chase Freedom XX9381"/>
    <d v="2014-03-16T00:00:00"/>
    <n v="-100"/>
    <s v="X"/>
    <s v="Starbucks"/>
    <s v="2011: STARBUCKS #00104 SEATT Seattle WA 981011448 USA"/>
    <s v="Food &amp; Dining:Restaurants/From Receipt"/>
    <m/>
    <m/>
    <s v="From Receipt"/>
    <x v="15"/>
    <x v="15"/>
    <m/>
    <m/>
    <m/>
    <m/>
    <x v="9"/>
    <x v="0"/>
    <x v="3"/>
    <x v="0"/>
    <x v="0"/>
    <s v="None"/>
    <s v="Food &amp; Dining|Restaurants"/>
  </r>
  <r>
    <s v="MasterCard (Capital One)"/>
    <d v="2014-03-16T00:00:00"/>
    <n v="-15.75"/>
    <s v="X"/>
    <s v="Haggen"/>
    <s v="2011: HAGGEN FOOD #43 BELLINGHAM WA 98225 USA"/>
    <s v="Food &amp; Dining:Restaurants/From Receipt"/>
    <m/>
    <m/>
    <s v="From Receipt"/>
    <x v="15"/>
    <x v="15"/>
    <m/>
    <m/>
    <m/>
    <m/>
    <x v="9"/>
    <x v="0"/>
    <x v="3"/>
    <x v="0"/>
    <x v="0"/>
    <s v="None"/>
    <s v="Food &amp; Dining|Restaurants"/>
  </r>
  <r>
    <s v="MasterCard (Capital One)"/>
    <d v="2014-03-15T00:00:00"/>
    <n v="-14.08"/>
    <s v="X"/>
    <s v="Carter's"/>
    <s v="2011: CARTER'S #663 BURLINGTON WA 98233 USA"/>
    <s v="Kids:Clothing/From Receipt"/>
    <m/>
    <m/>
    <s v="From Receipt"/>
    <x v="27"/>
    <x v="1"/>
    <m/>
    <m/>
    <m/>
    <m/>
    <x v="9"/>
    <x v="0"/>
    <x v="3"/>
    <x v="0"/>
    <x v="0"/>
    <s v="None"/>
    <s v="Kids|Clothing"/>
  </r>
  <r>
    <s v="MasterCard (Capital One)"/>
    <d v="2014-03-15T00:00:00"/>
    <n v="-17.22"/>
    <s v="X"/>
    <s v="Taco Time"/>
    <s v="2011: TACO TIME LYNDEN LYNDEN WA 98264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15T00:00:00"/>
    <n v="-22.52"/>
    <s v="X"/>
    <s v="Osh Kosh"/>
    <s v="2011: OSH KOSH #198 BURLINGTON WA 98233 USA"/>
    <s v="Kids:Clothing/From Receipt"/>
    <m/>
    <m/>
    <s v="From Receipt"/>
    <x v="27"/>
    <x v="1"/>
    <m/>
    <m/>
    <m/>
    <m/>
    <x v="9"/>
    <x v="0"/>
    <x v="3"/>
    <x v="0"/>
    <x v="0"/>
    <s v="None"/>
    <s v="Kids|Clothing"/>
  </r>
  <r>
    <s v="First Tech - Checking (5544)"/>
    <d v="2014-03-14T00:00:00"/>
    <n v="-150.02000000000001"/>
    <s v="X"/>
    <s v="Puget Sound Energy"/>
    <s v="ACH Debit--PUGET SOUND ENER DIRECT DEBITING - PSE BILL  10000317"/>
    <s v="Bills &amp; Utilities:Utilities"/>
    <m/>
    <m/>
    <m/>
    <x v="34"/>
    <x v="18"/>
    <m/>
    <m/>
    <m/>
    <m/>
    <x v="9"/>
    <x v="0"/>
    <x v="3"/>
    <x v="0"/>
    <x v="0"/>
    <s v="None"/>
    <s v="Bills &amp; Utilities|Utilities"/>
  </r>
  <r>
    <s v="Chase Freedom XX9381"/>
    <d v="2014-03-14T00:00:00"/>
    <n v="0"/>
    <s v="X"/>
    <s v="Opening Balance"/>
    <m/>
    <s v="[Chase Freedom XX9381]"/>
    <m/>
    <m/>
    <m/>
    <x v="7"/>
    <x v="0"/>
    <m/>
    <m/>
    <m/>
    <m/>
    <x v="9"/>
    <x v="0"/>
    <x v="1"/>
    <x v="1"/>
    <x v="1"/>
    <e v="#N/A"/>
    <s v="[Chase Freedom XX9381]"/>
  </r>
  <r>
    <s v="MasterCard (Capital One)"/>
    <d v="2014-03-14T00:00:00"/>
    <n v="-5.42"/>
    <s v="X"/>
    <s v="Twirl Play Cafe"/>
    <s v="2011: TWIRL PLAY CAFE SEATTLE WA 98119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14T00:00:00"/>
    <n v="-30.28"/>
    <s v="X"/>
    <s v="Twirl Play Cafe"/>
    <s v="2011: TWIRL PLAY CAFE SEATTLE WA 98119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14T00:00:00"/>
    <n v="-31.83"/>
    <s v="X"/>
    <s v="The Hi-life Restaurant"/>
    <s v="2011: THEHILIFE SEATTLE WA 98107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14T00:00:00"/>
    <n v="-71.88"/>
    <s v="X"/>
    <s v="Top Ten Toys"/>
    <s v="2011: TOP TEN TOYS SEATTLE WA 98103 USA"/>
    <s v="Kids:Toys"/>
    <m/>
    <m/>
    <m/>
    <x v="27"/>
    <x v="14"/>
    <m/>
    <m/>
    <m/>
    <m/>
    <x v="9"/>
    <x v="0"/>
    <x v="3"/>
    <x v="0"/>
    <x v="0"/>
    <s v="None"/>
    <s v="Kids|Toys"/>
  </r>
  <r>
    <s v="First Tech - Checking (5544)"/>
    <d v="2014-03-13T00:00:00"/>
    <n v="3165.19"/>
    <s v="X"/>
    <s v="Microsoft (Paystub)"/>
    <s v="ACH Deposit--MICROSOFT  - EDIPAYMENT"/>
    <s v="Net Salary"/>
    <m/>
    <m/>
    <m/>
    <x v="35"/>
    <x v="0"/>
    <m/>
    <m/>
    <m/>
    <m/>
    <x v="9"/>
    <x v="0"/>
    <x v="3"/>
    <x v="0"/>
    <x v="0"/>
    <s v="None"/>
    <s v="Net Salary"/>
  </r>
  <r>
    <s v="MasterCard (Capital One)"/>
    <d v="2014-03-13T00:00:00"/>
    <n v="-3.99"/>
    <s v="X"/>
    <s v="Ken's Market"/>
    <s v="2011: KEN'S MARKET #75-116 SEATTLE WA 98103 USA"/>
    <s v="Food &amp; Dining:Groceries"/>
    <m/>
    <m/>
    <m/>
    <x v="15"/>
    <x v="3"/>
    <m/>
    <m/>
    <m/>
    <m/>
    <x v="9"/>
    <x v="0"/>
    <x v="3"/>
    <x v="0"/>
    <x v="0"/>
    <s v="None"/>
    <s v="Food &amp; Dining|Groceries"/>
  </r>
  <r>
    <s v="MasterCard (Capital One)"/>
    <d v="2014-03-13T00:00:00"/>
    <n v="-10.84"/>
    <s v="X"/>
    <s v="D Ambrosio Gelato"/>
    <s v="2011: D AMBROSIO GELATO SEATTLE WA 98107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13T00:00:00"/>
    <n v="-18.329999999999998"/>
    <s v="X"/>
    <s v="Skillet Diner Seattle"/>
    <s v="2011: SKILLET DINER SEATTLE WA 98107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Koolikai Credit Card"/>
    <d v="2014-03-12T00:00:00"/>
    <n v="-146.69999999999999"/>
    <s v="X"/>
    <s v="Verizon Wireless"/>
    <m/>
    <s v="Business Expenses (Koolikai):Cell Phone"/>
    <m/>
    <m/>
    <m/>
    <x v="36"/>
    <x v="22"/>
    <m/>
    <m/>
    <m/>
    <m/>
    <x v="9"/>
    <x v="0"/>
    <x v="3"/>
    <x v="0"/>
    <x v="0"/>
    <s v="None"/>
    <s v="Business Expenses (Koolikai)|Cell Phone"/>
  </r>
  <r>
    <s v="MasterCard (Capital One)"/>
    <d v="2014-03-12T00:00:00"/>
    <n v="-10.94"/>
    <s v="X"/>
    <s v="Fresh Table Met"/>
    <s v="2011: FRESH TABLE-MET PARK SEATTLE WA 98101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12T00:00:00"/>
    <n v="-20"/>
    <s v="X"/>
    <s v="Starbucks"/>
    <s v="2011: STARBUCKS #00104 SEATT Seattle WA 981011448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American Express (Costco)"/>
    <d v="2014-03-10T00:00:00"/>
    <n v="-75.36"/>
    <s v="X"/>
    <s v="Costco"/>
    <s v="Confirmed as groceries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MasterCard (Capital One)"/>
    <d v="2014-03-10T00:00:00"/>
    <n v="-74.42"/>
    <s v="X"/>
    <s v="Phinney Market"/>
    <s v="2011: PHINNEY MARKET PUB &amp; E SEATTLE WA 98103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Schwab - Checking (9784)"/>
    <d v="2014-03-09T00:00:00"/>
    <n v="-40"/>
    <s v="X"/>
    <s v="Ken's Market"/>
    <s v="Babysitter money for date night"/>
    <s v="Kids:Babysitter"/>
    <m/>
    <s v="Split"/>
    <m/>
    <x v="27"/>
    <x v="13"/>
    <m/>
    <m/>
    <m/>
    <m/>
    <x v="9"/>
    <x v="0"/>
    <x v="3"/>
    <x v="0"/>
    <x v="0"/>
    <s v="None"/>
    <s v="Kids|Babysitter"/>
  </r>
  <r>
    <s v="Schwab - Checking (9784)"/>
    <d v="2014-03-09T00:00:00"/>
    <n v="-2"/>
    <s v="X"/>
    <s v="Ken's Market"/>
    <m/>
    <s v="Bank Fees &amp; Charges:ATM Fee"/>
    <m/>
    <s v="Split"/>
    <m/>
    <x v="32"/>
    <x v="17"/>
    <m/>
    <m/>
    <m/>
    <m/>
    <x v="9"/>
    <x v="0"/>
    <x v="3"/>
    <x v="0"/>
    <x v="0"/>
    <s v="None"/>
    <s v="Bank Fees &amp; Charges|ATM Fee"/>
  </r>
  <r>
    <s v="American Express (Costco)"/>
    <d v="2014-03-09T00:00:00"/>
    <n v="-55"/>
    <s v="X"/>
    <s v="Costco"/>
    <s v="Cash refund appli"/>
    <s v="Food &amp; Dining:Groceries"/>
    <m/>
    <s v="Split"/>
    <m/>
    <x v="15"/>
    <x v="3"/>
    <m/>
    <m/>
    <m/>
    <m/>
    <x v="9"/>
    <x v="0"/>
    <x v="3"/>
    <x v="0"/>
    <x v="0"/>
    <s v="None"/>
    <s v="Food &amp; Dining|Groceries"/>
  </r>
  <r>
    <s v="MasterCard (Capital One)"/>
    <d v="2014-03-09T00:00:00"/>
    <n v="-5.25"/>
    <s v="X"/>
    <s v="Bartell Drug"/>
    <s v="2011: 09 BARTELL DRUGS SEATTLE WA 98103 USA"/>
    <s v="Food &amp; Dining:Groceries"/>
    <m/>
    <m/>
    <m/>
    <x v="15"/>
    <x v="3"/>
    <m/>
    <m/>
    <m/>
    <m/>
    <x v="9"/>
    <x v="0"/>
    <x v="3"/>
    <x v="0"/>
    <x v="0"/>
    <s v="None"/>
    <s v="Food &amp; Dining|Groceries"/>
  </r>
  <r>
    <s v="MasterCard (Capital One)"/>
    <d v="2014-03-09T00:00:00"/>
    <n v="-7.61"/>
    <s v="X"/>
    <s v="Fred Meyer"/>
    <s v="Gift for Madison"/>
    <s v="Gifts/From Receipt"/>
    <m/>
    <m/>
    <s v="From Receipt"/>
    <x v="28"/>
    <x v="0"/>
    <m/>
    <m/>
    <m/>
    <m/>
    <x v="9"/>
    <x v="0"/>
    <x v="3"/>
    <x v="0"/>
    <x v="0"/>
    <s v="None"/>
    <s v="Gifts"/>
  </r>
  <r>
    <s v="MasterCard (Capital One)"/>
    <d v="2014-03-09T00:00:00"/>
    <n v="-10.49"/>
    <s v="X"/>
    <s v="Kidd Valley"/>
    <s v="2011: 808 AURORA KIDD VA SEATTLE WA 98133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09T00:00:00"/>
    <n v="-16.91"/>
    <s v="X"/>
    <s v="Fred Meyer"/>
    <s v="2011: FRED-MEYER #0122 SEATTLE WA 98117 USA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Target Red Card"/>
    <d v="2014-03-09T00:00:00"/>
    <n v="-3.12"/>
    <s v="X"/>
    <s v="Target"/>
    <s v="fans"/>
    <s v="Kids:Toys/From Receipt"/>
    <n v="799999940681"/>
    <m/>
    <s v="From Receipt"/>
    <x v="27"/>
    <x v="14"/>
    <m/>
    <m/>
    <m/>
    <m/>
    <x v="9"/>
    <x v="0"/>
    <x v="3"/>
    <x v="0"/>
    <x v="0"/>
    <s v="None"/>
    <s v="Kids|Toys"/>
  </r>
  <r>
    <s v="Target Red Card"/>
    <d v="2014-03-09T00:00:00"/>
    <n v="-12.53"/>
    <s v="X"/>
    <s v="Target"/>
    <s v="Grammy CD"/>
    <s v="Entertainment/From Receipt"/>
    <n v="799999940681"/>
    <s v="Split"/>
    <s v="From Receipt"/>
    <x v="30"/>
    <x v="0"/>
    <m/>
    <m/>
    <m/>
    <m/>
    <x v="9"/>
    <x v="0"/>
    <x v="3"/>
    <x v="0"/>
    <x v="0"/>
    <s v="None"/>
    <s v="Entertainment"/>
  </r>
  <r>
    <s v="Target Red Card"/>
    <d v="2014-03-09T00:00:00"/>
    <n v="-26.07"/>
    <s v="X"/>
    <s v="Target"/>
    <m/>
    <s v="Kids:Toys/From Receipt"/>
    <n v="799999940681"/>
    <s v="Split"/>
    <s v="From Receipt"/>
    <x v="27"/>
    <x v="14"/>
    <m/>
    <m/>
    <m/>
    <m/>
    <x v="9"/>
    <x v="0"/>
    <x v="3"/>
    <x v="0"/>
    <x v="0"/>
    <s v="None"/>
    <s v="Kids|Toys"/>
  </r>
  <r>
    <s v="Target Red Card"/>
    <d v="2014-03-09T00:00:00"/>
    <n v="-102.76"/>
    <s v="X"/>
    <s v="Target"/>
    <s v="vacuum cleaner"/>
    <s v="Business Expenses (Koolikai):Tools/From Receipt:Tax Related"/>
    <n v="799999940681"/>
    <s v="Split"/>
    <s v="From Receipt:Tax Related"/>
    <x v="36"/>
    <x v="49"/>
    <m/>
    <m/>
    <m/>
    <m/>
    <x v="9"/>
    <x v="0"/>
    <x v="4"/>
    <x v="0"/>
    <x v="0"/>
    <s v="None"/>
    <s v="Business Expenses (Koolikai)|Tools"/>
  </r>
  <r>
    <s v="MasterCard (Capital One)"/>
    <d v="2014-03-08T00:00:00"/>
    <n v="-15.64"/>
    <s v="X"/>
    <s v="Twigs"/>
    <s v="2011: TWIGS NORTHGATE, L SEATTLE WA 98125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08T00:00:00"/>
    <n v="-76.319999999999993"/>
    <s v="X"/>
    <s v="Crepe Cafe &amp; Wine Bar"/>
    <s v="2011: THE CREPE CAFE AND WIN SEATTLE WA 98115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08T00:00:00"/>
    <n v="-303.58999999999997"/>
    <s v="X"/>
    <s v="Playdate Cafe"/>
    <s v="2011: SQ *PLAYDATE CAFE Lynnwood WA 98036 USA"/>
    <s v="Parties/From Receipt"/>
    <m/>
    <m/>
    <s v="From Receipt"/>
    <x v="16"/>
    <x v="0"/>
    <m/>
    <m/>
    <m/>
    <m/>
    <x v="9"/>
    <x v="0"/>
    <x v="2"/>
    <x v="0"/>
    <x v="0"/>
    <s v="None"/>
    <s v="Parties"/>
  </r>
  <r>
    <s v="MasterCard (Capital One)"/>
    <d v="2014-03-07T00:00:00"/>
    <n v="-6.12"/>
    <s v="X"/>
    <s v="Fresh Table Met"/>
    <s v="2011: FRESH TABLE-MET PARK SEATTLE WA 98101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07T00:00:00"/>
    <n v="-7.11"/>
    <s v="X"/>
    <s v="Fresh Table Met"/>
    <s v="2011: FRESH TABLE-MET PARK SEATTLE WA 98101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MasterCard (Capital One)"/>
    <d v="2014-03-07T00:00:00"/>
    <n v="-26.35"/>
    <s v="X"/>
    <s v="Fred Meyer"/>
    <s v="@CAT:@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First Tech - Checking (5544)"/>
    <d v="2014-03-06T00:00:00"/>
    <n v="-58.28"/>
    <s v="X"/>
    <s v="Target (Autopay)"/>
    <s v="ACH Debit--TARGET CARD SRVC 001 - AUTO PYMT"/>
    <s v="[Target Red Card]"/>
    <m/>
    <m/>
    <m/>
    <x v="12"/>
    <x v="0"/>
    <m/>
    <m/>
    <m/>
    <m/>
    <x v="9"/>
    <x v="0"/>
    <x v="0"/>
    <x v="0"/>
    <x v="0"/>
    <s v="None"/>
    <s v="[Target Red Card]"/>
  </r>
  <r>
    <s v="First Tech - Short Term Emergency (5400)"/>
    <d v="2014-03-06T00:00:00"/>
    <n v="180"/>
    <s v="X"/>
    <s v="Taylor &amp; Francis Group"/>
    <s v="Angela's book royalty"/>
    <s v="Morale Money"/>
    <m/>
    <m/>
    <m/>
    <x v="46"/>
    <x v="0"/>
    <m/>
    <m/>
    <m/>
    <m/>
    <x v="9"/>
    <x v="0"/>
    <x v="1"/>
    <x v="1"/>
    <x v="1"/>
    <e v="#N/A"/>
    <s v="Morale Money"/>
  </r>
  <r>
    <s v="MasterCard (Capital One)"/>
    <d v="2014-03-06T00:00:00"/>
    <n v="-3.68"/>
    <s v="X"/>
    <s v="Safeway"/>
    <s v="2011: SAFEWAY STORE 00018457 SEATTLE WA 98103 USA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Target Red Card"/>
    <d v="2014-03-06T00:00:00"/>
    <n v="58.28"/>
    <s v="X"/>
    <s v="Target (Autopay)"/>
    <m/>
    <s v="[First Tech - Checking (5544)]"/>
    <m/>
    <m/>
    <m/>
    <x v="21"/>
    <x v="0"/>
    <m/>
    <m/>
    <m/>
    <m/>
    <x v="9"/>
    <x v="0"/>
    <x v="0"/>
    <x v="0"/>
    <x v="0"/>
    <s v="None"/>
    <s v="[First Tech - Checking (5544)]"/>
  </r>
  <r>
    <s v="First Tech - Checking (5544)"/>
    <d v="2014-03-05T00:00:00"/>
    <n v="14.27"/>
    <s v="X"/>
    <s v="Premera Funding Cyc"/>
    <s v="ACH Deposit--PREMERA FUNDING  - CYC-CLAIMS"/>
    <s v="[Premera Health Care Payment]"/>
    <m/>
    <m/>
    <m/>
    <x v="42"/>
    <x v="0"/>
    <m/>
    <m/>
    <m/>
    <m/>
    <x v="9"/>
    <x v="0"/>
    <x v="0"/>
    <x v="0"/>
    <x v="0"/>
    <s v="None"/>
    <s v="[Premera Health Care Payment]"/>
  </r>
  <r>
    <s v="First Tech - Checking (5544)"/>
    <d v="2014-03-05T00:00:00"/>
    <n v="-3748.69"/>
    <s v="X"/>
    <s v="Wells Fargo Home Mortgage"/>
    <s v="ACH Debit--WF HOME MTG ACH - AUTO PAY"/>
    <s v="Home:Mortgage"/>
    <m/>
    <m/>
    <m/>
    <x v="14"/>
    <x v="27"/>
    <m/>
    <m/>
    <m/>
    <m/>
    <x v="9"/>
    <x v="0"/>
    <x v="3"/>
    <x v="0"/>
    <x v="0"/>
    <s v="None"/>
    <s v="Home|Mortgage"/>
  </r>
  <r>
    <s v="Koolikai - Checking XX2129"/>
    <d v="2014-03-05T00:00:00"/>
    <n v="2295"/>
    <s v="X"/>
    <s v="Aaron Ausland"/>
    <s v="Deposit--Shared Branch Mobile Deposit          First Tech FC CA"/>
    <s v="Business Income (Koolikai):Rent/7231"/>
    <m/>
    <s v="Split"/>
    <n v="7231"/>
    <x v="37"/>
    <x v="25"/>
    <m/>
    <m/>
    <m/>
    <m/>
    <x v="9"/>
    <x v="0"/>
    <x v="3"/>
    <x v="0"/>
    <x v="0"/>
    <s v="None"/>
    <s v="Business Income (Koolikai)|Rent"/>
  </r>
  <r>
    <s v="Koolikai - Checking XX2129"/>
    <d v="2014-03-05T00:00:00"/>
    <n v="100"/>
    <s v="X"/>
    <s v="Aaron Ausland"/>
    <m/>
    <s v="Business Expenses (Koolikai):Utilities (Business)/7231"/>
    <m/>
    <s v="Split"/>
    <n v="7231"/>
    <x v="36"/>
    <x v="63"/>
    <m/>
    <m/>
    <m/>
    <m/>
    <x v="9"/>
    <x v="0"/>
    <x v="3"/>
    <x v="0"/>
    <x v="0"/>
    <s v="None"/>
    <s v="Business Expenses (Koolikai)|Utilities (Business)"/>
  </r>
  <r>
    <s v="MasterCard (Capital One)"/>
    <d v="2014-03-05T00:00:00"/>
    <n v="-9.33"/>
    <s v="X"/>
    <s v="Amazon"/>
    <s v="Itty Bitty"/>
    <s v="Kids:Toys"/>
    <m/>
    <s v="Split"/>
    <m/>
    <x v="27"/>
    <x v="14"/>
    <m/>
    <m/>
    <m/>
    <m/>
    <x v="9"/>
    <x v="0"/>
    <x v="3"/>
    <x v="0"/>
    <x v="0"/>
    <s v="None"/>
    <s v="Kids|Toys"/>
  </r>
  <r>
    <s v="MasterCard (Capital One)"/>
    <d v="2014-03-05T00:00:00"/>
    <n v="-21.77"/>
    <s v="X"/>
    <s v="Amazon"/>
    <s v="Hot air popper"/>
    <s v="Home:Furnishings"/>
    <m/>
    <s v="Split"/>
    <m/>
    <x v="14"/>
    <x v="2"/>
    <m/>
    <m/>
    <m/>
    <m/>
    <x v="9"/>
    <x v="0"/>
    <x v="3"/>
    <x v="0"/>
    <x v="0"/>
    <s v="None"/>
    <s v="Home|Furnishings"/>
  </r>
  <r>
    <s v="MasterCard (Capital One)"/>
    <d v="2014-03-05T00:00:00"/>
    <n v="-19.190000000000001"/>
    <s v="X"/>
    <s v="Fred Meyer"/>
    <s v="2011: FRED-MEYER #0122 SEATTLE WA 98117 USA"/>
    <s v="Parties/From Receipt"/>
    <m/>
    <s v="Split"/>
    <s v="From Receipt"/>
    <x v="16"/>
    <x v="0"/>
    <m/>
    <m/>
    <m/>
    <m/>
    <x v="9"/>
    <x v="0"/>
    <x v="2"/>
    <x v="0"/>
    <x v="0"/>
    <s v="None"/>
    <s v="Parties"/>
  </r>
  <r>
    <s v="MasterCard (Capital One)"/>
    <d v="2014-03-05T00:00:00"/>
    <n v="-18.399999999999999"/>
    <s v="X"/>
    <s v="Fred Meyer"/>
    <m/>
    <s v="Food &amp; Dining:Groceries/From Receipt"/>
    <m/>
    <s v="Split"/>
    <s v="From Receipt"/>
    <x v="15"/>
    <x v="3"/>
    <m/>
    <m/>
    <m/>
    <m/>
    <x v="9"/>
    <x v="0"/>
    <x v="3"/>
    <x v="0"/>
    <x v="0"/>
    <s v="None"/>
    <s v="Food &amp; Dining|Groceries"/>
  </r>
  <r>
    <s v="Premera Health Care Payment"/>
    <d v="2014-03-05T00:00:00"/>
    <n v="-14.27"/>
    <m/>
    <s v="Premera Funding Cyc"/>
    <s v="ACH Deposit--PREMERA FUNDING  - CYC-CLAIMS"/>
    <s v="[First Tech - Checking (5544)]"/>
    <m/>
    <m/>
    <m/>
    <x v="21"/>
    <x v="0"/>
    <m/>
    <m/>
    <m/>
    <m/>
    <x v="9"/>
    <x v="0"/>
    <x v="0"/>
    <x v="0"/>
    <x v="0"/>
    <s v="None"/>
    <s v="[First Tech - Checking (5544)]"/>
  </r>
  <r>
    <s v="First Tech - Checking (5544)"/>
    <d v="2014-03-04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9"/>
    <x v="0"/>
    <x v="3"/>
    <x v="0"/>
    <x v="0"/>
    <s v="None"/>
    <s v="Kids|American Funds 529A"/>
  </r>
  <r>
    <s v="First Tech - Checking (5544)"/>
    <d v="2014-03-03T00:00:00"/>
    <n v="-1976"/>
    <s v="X"/>
    <s v="Phinney Ridge CDC"/>
    <s v="ACH Debit--PHINNEY RIDGE LU 504759859 - CONTRIBUTN"/>
    <s v="Kids:Daycare"/>
    <m/>
    <m/>
    <m/>
    <x v="27"/>
    <x v="35"/>
    <m/>
    <m/>
    <m/>
    <m/>
    <x v="9"/>
    <x v="0"/>
    <x v="3"/>
    <x v="0"/>
    <x v="0"/>
    <s v="None"/>
    <s v="Kids|Daycare"/>
  </r>
  <r>
    <s v="First Tech - Checking (5544)"/>
    <d v="2014-03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9"/>
    <x v="0"/>
    <x v="3"/>
    <x v="0"/>
    <x v="0"/>
    <s v="None"/>
    <s v="Business Expenses (Koolikai)|Mortgage (Business)"/>
  </r>
  <r>
    <s v="First Tech - Checking (5544)"/>
    <d v="2014-03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9"/>
    <x v="0"/>
    <x v="3"/>
    <x v="0"/>
    <x v="0"/>
    <s v="None"/>
    <s v="Business Expenses (Koolikai)|Mortgage (Business)"/>
  </r>
  <r>
    <s v="First Tech - Checking (5544)"/>
    <d v="2014-03-03T00:00:00"/>
    <n v="-126"/>
    <m/>
    <s v="Rei (Autopay)"/>
    <s v="@CAT:@@BAL:$0.00@"/>
    <s v="[REI Mastercard (xx1787)]"/>
    <m/>
    <m/>
    <m/>
    <x v="11"/>
    <x v="0"/>
    <m/>
    <m/>
    <m/>
    <m/>
    <x v="9"/>
    <x v="0"/>
    <x v="1"/>
    <x v="1"/>
    <x v="1"/>
    <e v="#N/A"/>
    <s v="[REI Mastercard (xx1787)]"/>
  </r>
  <r>
    <s v="MasterCard (Capital One)"/>
    <d v="2014-03-03T00:00:00"/>
    <n v="-8.1999999999999993"/>
    <s v="X"/>
    <s v="Fresh Table Met"/>
    <s v="2011: FRESH TABLE-MET PARK SEATTLE WA 98101 USA"/>
    <s v="Food &amp; Dining:Restaurants"/>
    <m/>
    <m/>
    <m/>
    <x v="15"/>
    <x v="15"/>
    <m/>
    <m/>
    <m/>
    <m/>
    <x v="9"/>
    <x v="0"/>
    <x v="3"/>
    <x v="0"/>
    <x v="0"/>
    <s v="None"/>
    <s v="Food &amp; Dining|Restaurants"/>
  </r>
  <r>
    <s v="REI Mastercard (xx1787)"/>
    <d v="2014-03-03T00:00:00"/>
    <n v="126"/>
    <s v="X"/>
    <s v="Rei (Autopay)"/>
    <s v="@CAT:@@BAL:$0.00@"/>
    <s v="[First Tech - Checking (5544)]"/>
    <s v="TXFR"/>
    <m/>
    <m/>
    <x v="21"/>
    <x v="0"/>
    <m/>
    <m/>
    <m/>
    <m/>
    <x v="9"/>
    <x v="0"/>
    <x v="0"/>
    <x v="0"/>
    <x v="0"/>
    <s v="None"/>
    <s v="[First Tech - Checking (5544)]"/>
  </r>
  <r>
    <s v="Capital One - Long Term Emergency (1201)"/>
    <d v="2014-03-02T00:00:00"/>
    <n v="0"/>
    <s v="X"/>
    <s v="Balanced"/>
    <s v="@BAL:118199.00@@CAT:@"/>
    <s v="[Capital One - Long Term Emergency (1201)]"/>
    <m/>
    <m/>
    <m/>
    <x v="1"/>
    <x v="0"/>
    <m/>
    <m/>
    <m/>
    <m/>
    <x v="9"/>
    <x v="0"/>
    <x v="0"/>
    <x v="0"/>
    <x v="0"/>
    <s v="None"/>
    <s v="[Capital One - Long Term Emergency (1201)]"/>
  </r>
  <r>
    <s v="Capital One - Long Term Emergency (1201)"/>
    <d v="2014-03-02T00:00:00"/>
    <n v="0"/>
    <s v="X"/>
    <s v="Balanced"/>
    <s v="@BAL:-6591.33@@CAT:@"/>
    <s v="[MasterCard (Capital One)]"/>
    <m/>
    <m/>
    <m/>
    <x v="38"/>
    <x v="0"/>
    <m/>
    <m/>
    <m/>
    <m/>
    <x v="9"/>
    <x v="0"/>
    <x v="0"/>
    <x v="0"/>
    <x v="0"/>
    <s v="None"/>
    <s v="[MasterCard (Capital One)]"/>
  </r>
  <r>
    <s v="Capital One - Secondary Savings (3126)"/>
    <d v="2014-03-02T00:00:00"/>
    <n v="0"/>
    <s v="X"/>
    <s v="Balanced"/>
    <s v="@BAL:123.04@@CAT:@"/>
    <s v="[Capital One - Secondary Savings (3126)]"/>
    <m/>
    <m/>
    <m/>
    <x v="2"/>
    <x v="0"/>
    <m/>
    <m/>
    <m/>
    <m/>
    <x v="9"/>
    <x v="0"/>
    <x v="0"/>
    <x v="0"/>
    <x v="0"/>
    <s v="None"/>
    <s v="[Capital One - Secondary Savings (3126)]"/>
  </r>
  <r>
    <s v="Capital One - Vacation (4959)"/>
    <d v="2014-03-02T00:00:00"/>
    <n v="0"/>
    <s v="X"/>
    <s v="Balanced"/>
    <s v="@BAL:5010.40@@CAT:@"/>
    <s v="[Capital One - Vacation (4959)]"/>
    <m/>
    <m/>
    <m/>
    <x v="3"/>
    <x v="0"/>
    <m/>
    <m/>
    <m/>
    <m/>
    <x v="9"/>
    <x v="0"/>
    <x v="0"/>
    <x v="0"/>
    <x v="0"/>
    <s v="None"/>
    <s v="[Capital One - Vacation (4959)]"/>
  </r>
  <r>
    <s v="First Tech - Checking (5544)"/>
    <d v="2014-03-02T00:00:00"/>
    <n v="0"/>
    <s v="X"/>
    <s v="Balanced"/>
    <s v="@CAT:@;@BAL:53225.77"/>
    <s v="[First Tech - Checking (5544)]"/>
    <m/>
    <m/>
    <m/>
    <x v="21"/>
    <x v="0"/>
    <m/>
    <m/>
    <m/>
    <m/>
    <x v="9"/>
    <x v="0"/>
    <x v="0"/>
    <x v="0"/>
    <x v="0"/>
    <s v="None"/>
    <s v="[First Tech - Checking (5544)]"/>
  </r>
  <r>
    <s v="First Tech - Short Term Emergency (5400)"/>
    <d v="2014-03-02T00:00:00"/>
    <n v="0"/>
    <s v="X"/>
    <s v="Balanced"/>
    <s v="@CAT:@@BAL:5.00@"/>
    <s v="[First Tech - Short Term Emergency (5400)]"/>
    <m/>
    <m/>
    <m/>
    <x v="4"/>
    <x v="0"/>
    <m/>
    <m/>
    <m/>
    <m/>
    <x v="9"/>
    <x v="0"/>
    <x v="0"/>
    <x v="0"/>
    <x v="0"/>
    <s v="None"/>
    <s v="[First Tech - Short Term Emergency (5400)]"/>
  </r>
  <r>
    <s v="Schwab - Checking (9784)"/>
    <d v="2014-03-02T00:00:00"/>
    <n v="0"/>
    <s v="X"/>
    <s v="Balanced"/>
    <s v="@BAL:$1529.82@@CAT:@"/>
    <s v="[Schwab - Checking (9784)]"/>
    <m/>
    <m/>
    <m/>
    <x v="5"/>
    <x v="0"/>
    <m/>
    <m/>
    <m/>
    <m/>
    <x v="9"/>
    <x v="0"/>
    <x v="0"/>
    <x v="0"/>
    <x v="0"/>
    <s v="None"/>
    <s v="[Schwab - Checking (9784)]"/>
  </r>
  <r>
    <s v="American Express (Costco)"/>
    <d v="2014-03-02T00:00:00"/>
    <n v="0"/>
    <s v="X"/>
    <s v="Balanced"/>
    <s v="@BAL:-110.00@@CAT:@"/>
    <s v="[American Express (Costco)]"/>
    <m/>
    <m/>
    <m/>
    <x v="20"/>
    <x v="0"/>
    <m/>
    <m/>
    <m/>
    <m/>
    <x v="9"/>
    <x v="0"/>
    <x v="0"/>
    <x v="0"/>
    <x v="0"/>
    <s v="None"/>
    <s v="[American Express (Costco)]"/>
  </r>
  <r>
    <s v="Discover Card"/>
    <d v="2014-03-02T00:00:00"/>
    <n v="0"/>
    <s v="X"/>
    <s v="Balanced"/>
    <s v="@BAL:-7.65@@CAT:@"/>
    <s v="[Discover Card]"/>
    <m/>
    <m/>
    <m/>
    <x v="24"/>
    <x v="0"/>
    <m/>
    <m/>
    <m/>
    <m/>
    <x v="9"/>
    <x v="0"/>
    <x v="0"/>
    <x v="0"/>
    <x v="0"/>
    <s v="None"/>
    <s v="[Discover Card]"/>
  </r>
  <r>
    <s v="MasterCard (Capital One)"/>
    <d v="2014-03-02T00:00:00"/>
    <n v="0"/>
    <s v="X"/>
    <s v="Balanced"/>
    <s v="@BAL:-6591.33@@CAT:@"/>
    <s v="[Capital One - Long Term Emergency (1201)]"/>
    <m/>
    <m/>
    <m/>
    <x v="1"/>
    <x v="0"/>
    <m/>
    <m/>
    <m/>
    <m/>
    <x v="9"/>
    <x v="0"/>
    <x v="0"/>
    <x v="0"/>
    <x v="0"/>
    <s v="None"/>
    <s v="[Capital One - Long Term Emergency (1201)]"/>
  </r>
  <r>
    <s v="MasterCard (Capital One)"/>
    <d v="2014-03-02T00:00:00"/>
    <n v="-9.64"/>
    <s v="X"/>
    <s v="Kleins Deli San"/>
    <s v="#Sheryl's wedding#"/>
    <s v="Vacation:Food"/>
    <m/>
    <m/>
    <m/>
    <x v="23"/>
    <x v="8"/>
    <m/>
    <m/>
    <s v="Sheryl's wedding"/>
    <m/>
    <x v="9"/>
    <x v="0"/>
    <x v="4"/>
    <x v="0"/>
    <x v="0"/>
    <s v="None"/>
    <s v="Vacation|Food"/>
  </r>
  <r>
    <s v="MasterCard (Capital One)"/>
    <d v="2014-03-02T00:00:00"/>
    <n v="-100.76"/>
    <s v="X"/>
    <s v="Fred Meyer"/>
    <s v="2011: FRED-MEYER #0122 SEATTLE WA 98117 USA"/>
    <s v="Food &amp; Dining:Groceries/From Receipt"/>
    <m/>
    <m/>
    <s v="From Receipt"/>
    <x v="15"/>
    <x v="3"/>
    <m/>
    <m/>
    <m/>
    <m/>
    <x v="9"/>
    <x v="0"/>
    <x v="3"/>
    <x v="0"/>
    <x v="0"/>
    <s v="None"/>
    <s v="Food &amp; Dining|Groceries"/>
  </r>
  <r>
    <s v="MasterCard (Capital One)"/>
    <d v="2014-03-02T00:00:00"/>
    <n v="-20.39"/>
    <s v="X"/>
    <s v="Comcast"/>
    <s v="@BAL:-6892.04@@CAT:@"/>
    <s v="Bills &amp; Utilities:Television"/>
    <m/>
    <s v="Split"/>
    <m/>
    <x v="34"/>
    <x v="32"/>
    <m/>
    <m/>
    <m/>
    <m/>
    <x v="9"/>
    <x v="0"/>
    <x v="3"/>
    <x v="0"/>
    <x v="0"/>
    <s v="None"/>
    <s v="Bills &amp; Utilities|Television"/>
  </r>
  <r>
    <s v="MasterCard (Capital One)"/>
    <d v="2014-03-02T00:00:00"/>
    <n v="-62.48"/>
    <s v="X"/>
    <s v="Comcast"/>
    <m/>
    <s v="Business Expenses (Koolikai):Internet"/>
    <m/>
    <s v="Split"/>
    <m/>
    <x v="36"/>
    <x v="33"/>
    <m/>
    <m/>
    <m/>
    <m/>
    <x v="9"/>
    <x v="0"/>
    <x v="3"/>
    <x v="0"/>
    <x v="0"/>
    <s v="None"/>
    <s v="Business Expenses (Koolikai)|Internet"/>
  </r>
  <r>
    <s v="MasterCard (Capital One)"/>
    <d v="2014-03-02T00:00:00"/>
    <n v="-42.4"/>
    <s v="X"/>
    <s v="Comcast"/>
    <m/>
    <s v="Bills &amp; Utilities:Home Phone"/>
    <m/>
    <s v="Split"/>
    <m/>
    <x v="34"/>
    <x v="34"/>
    <m/>
    <m/>
    <m/>
    <m/>
    <x v="9"/>
    <x v="0"/>
    <x v="3"/>
    <x v="0"/>
    <x v="0"/>
    <s v="None"/>
    <s v="Bills &amp; Utilities|Home Phone"/>
  </r>
  <r>
    <s v="REI Mastercard (xx1787)"/>
    <d v="2014-03-02T00:00:00"/>
    <n v="0"/>
    <s v="X"/>
    <s v="Balanced"/>
    <s v="@BAL:-126.00@CAT:@"/>
    <s v="[REI Mastercard (xx1787)]"/>
    <m/>
    <m/>
    <m/>
    <x v="11"/>
    <x v="0"/>
    <m/>
    <m/>
    <m/>
    <m/>
    <x v="9"/>
    <x v="0"/>
    <x v="1"/>
    <x v="1"/>
    <x v="1"/>
    <e v="#N/A"/>
    <s v="[REI Mastercard (xx1787)]"/>
  </r>
  <r>
    <s v="Target Red Card"/>
    <d v="2014-03-02T00:00:00"/>
    <n v="0"/>
    <s v="X"/>
    <s v="Balanced"/>
    <s v="@BAL:-$266.42@@CAT:@"/>
    <s v="[Target Red Card]"/>
    <m/>
    <m/>
    <m/>
    <x v="12"/>
    <x v="0"/>
    <m/>
    <m/>
    <m/>
    <m/>
    <x v="9"/>
    <x v="0"/>
    <x v="0"/>
    <x v="0"/>
    <x v="0"/>
    <s v="None"/>
    <s v="[Target Red Card]"/>
  </r>
  <r>
    <s v="First Tech - Checking (5544)"/>
    <d v="2014-03-01T00:00:00"/>
    <n v="-4025.58"/>
    <s v="X"/>
    <s v="Capital One (Autopay)"/>
    <s v="ACH Debit--CAPITAL ONE  - CRCARDPMT"/>
    <s v="[MasterCard (Capital One)]"/>
    <m/>
    <m/>
    <m/>
    <x v="38"/>
    <x v="0"/>
    <m/>
    <m/>
    <m/>
    <m/>
    <x v="9"/>
    <x v="0"/>
    <x v="0"/>
    <x v="0"/>
    <x v="0"/>
    <s v="None"/>
    <s v="[MasterCard (Capital One)]"/>
  </r>
  <r>
    <s v="Koolikai - Checking XX2129"/>
    <d v="2014-03-01T00:00:00"/>
    <n v="2195"/>
    <s v="X"/>
    <s v="Valerie Shaibley"/>
    <m/>
    <s v="Business Income (Koolikai):Rent/9602"/>
    <m/>
    <m/>
    <n v="9602"/>
    <x v="37"/>
    <x v="25"/>
    <m/>
    <m/>
    <m/>
    <m/>
    <x v="9"/>
    <x v="0"/>
    <x v="3"/>
    <x v="0"/>
    <x v="0"/>
    <s v="None"/>
    <s v="Business Income (Koolikai)|Rent"/>
  </r>
  <r>
    <s v="American Express (Costco)"/>
    <d v="2014-03-01T00:00:00"/>
    <n v="-110"/>
    <s v="X"/>
    <s v="Costco"/>
    <s v="COSTCO MEMBER RENEWAL"/>
    <s v="Subscriptions &amp; Dues"/>
    <m/>
    <m/>
    <m/>
    <x v="33"/>
    <x v="0"/>
    <m/>
    <m/>
    <m/>
    <m/>
    <x v="9"/>
    <x v="0"/>
    <x v="2"/>
    <x v="0"/>
    <x v="0"/>
    <s v="None"/>
    <s v="Subscriptions &amp; Dues"/>
  </r>
  <r>
    <s v="Mastercard (Angela)"/>
    <d v="2014-03-01T00:00:00"/>
    <n v="0"/>
    <s v="X"/>
    <s v="Balanced"/>
    <s v="@BAL:$0.00@"/>
    <s v="[Mastercard (Angela)]"/>
    <m/>
    <m/>
    <m/>
    <x v="10"/>
    <x v="0"/>
    <m/>
    <m/>
    <m/>
    <m/>
    <x v="9"/>
    <x v="0"/>
    <x v="0"/>
    <x v="0"/>
    <x v="0"/>
    <s v="None"/>
    <s v="[Mastercard (Angela)]"/>
  </r>
  <r>
    <s v="MasterCard (Capital One)"/>
    <d v="2014-03-01T00:00:00"/>
    <n v="4025.58"/>
    <s v="X"/>
    <s v="Capital One (Autopay)"/>
    <s v="ACH Debit--CAPITAL ONE  - CRCARDPMT"/>
    <s v="[First Tech - Checking (5544)]"/>
    <m/>
    <m/>
    <m/>
    <x v="21"/>
    <x v="0"/>
    <m/>
    <m/>
    <m/>
    <m/>
    <x v="9"/>
    <x v="0"/>
    <x v="0"/>
    <x v="0"/>
    <x v="0"/>
    <s v="None"/>
    <s v="[First Tech - Checking (5544)]"/>
  </r>
  <r>
    <s v="MasterCard (Capital One)"/>
    <d v="2014-03-01T00:00:00"/>
    <n v="-10.5"/>
    <s v="X"/>
    <s v="Union 76 (San Bruno)"/>
    <s v="#Sheryl's wedding#"/>
    <s v="Vacation:Transportation/From Receipt"/>
    <m/>
    <m/>
    <s v="From Receipt"/>
    <x v="23"/>
    <x v="26"/>
    <m/>
    <m/>
    <s v="Sheryl's wedding"/>
    <m/>
    <x v="9"/>
    <x v="0"/>
    <x v="4"/>
    <x v="0"/>
    <x v="0"/>
    <s v="None"/>
    <s v="Vacation|Transportation"/>
  </r>
  <r>
    <s v="MasterCard (Capital One)"/>
    <d v="2014-03-01T00:00:00"/>
    <n v="-38.79"/>
    <s v="X"/>
    <s v="Budget Rent"/>
    <s v="#Sheryl's wedding#"/>
    <s v="Vacation:Transportation/From Receipt"/>
    <m/>
    <m/>
    <s v="From Receipt"/>
    <x v="23"/>
    <x v="26"/>
    <m/>
    <m/>
    <s v="Sheryl's wedding"/>
    <m/>
    <x v="9"/>
    <x v="0"/>
    <x v="4"/>
    <x v="0"/>
    <x v="0"/>
    <s v="None"/>
    <s v="Vacation|Transportation"/>
  </r>
  <r>
    <s v="Capital One - Investment (6759)"/>
    <d v="2014-02-28T00:00:00"/>
    <n v="18.059999999999999"/>
    <s v="X"/>
    <s v="Capital One (Interest Income)"/>
    <s v="@BAL:47097.33@@CAT:@"/>
    <s v="Interest Income"/>
    <s v="INT"/>
    <m/>
    <m/>
    <x v="40"/>
    <x v="0"/>
    <m/>
    <m/>
    <m/>
    <m/>
    <x v="10"/>
    <x v="0"/>
    <x v="3"/>
    <x v="0"/>
    <x v="0"/>
    <s v="None"/>
    <s v="Interest Income"/>
  </r>
  <r>
    <s v="Capital One - Long Term Emergency (1201)"/>
    <d v="2014-02-28T00:00:00"/>
    <n v="72.61"/>
    <s v="X"/>
    <s v="Capital One (Interest Income)"/>
    <m/>
    <s v="Interest Income"/>
    <s v="INT"/>
    <m/>
    <m/>
    <x v="40"/>
    <x v="0"/>
    <m/>
    <m/>
    <m/>
    <m/>
    <x v="10"/>
    <x v="0"/>
    <x v="3"/>
    <x v="0"/>
    <x v="0"/>
    <s v="None"/>
    <s v="Interest Income"/>
  </r>
  <r>
    <s v="Capital One - Secondary Savings (3126)"/>
    <d v="2014-02-28T00:00:00"/>
    <n v="34.65"/>
    <s v="X"/>
    <s v="Capital One (Interest Income)"/>
    <m/>
    <s v="Interest Income"/>
    <s v="INT"/>
    <m/>
    <m/>
    <x v="40"/>
    <x v="0"/>
    <m/>
    <m/>
    <m/>
    <m/>
    <x v="10"/>
    <x v="0"/>
    <x v="3"/>
    <x v="0"/>
    <x v="0"/>
    <s v="None"/>
    <s v="Interest Income"/>
  </r>
  <r>
    <s v="Capital One - Vacation (4959)"/>
    <d v="2014-02-28T00:00:00"/>
    <n v="1.92"/>
    <s v="X"/>
    <s v="Capital One (Interest Income)"/>
    <m/>
    <s v="Interest Income"/>
    <s v="INT"/>
    <m/>
    <m/>
    <x v="40"/>
    <x v="0"/>
    <m/>
    <m/>
    <m/>
    <m/>
    <x v="10"/>
    <x v="0"/>
    <x v="3"/>
    <x v="0"/>
    <x v="0"/>
    <s v="None"/>
    <s v="Interest Income"/>
  </r>
  <r>
    <s v="First Tech - Checking (5544)"/>
    <d v="2014-02-28T00:00:00"/>
    <n v="-223.3"/>
    <s v="X"/>
    <s v="Seattle Public Utilities"/>
    <s v="ACH Debit--CITY OF SEATTLE  - 2 - SPU De"/>
    <s v="Bills &amp; Utilities:Utilities"/>
    <m/>
    <m/>
    <m/>
    <x v="34"/>
    <x v="18"/>
    <m/>
    <m/>
    <m/>
    <m/>
    <x v="10"/>
    <x v="0"/>
    <x v="3"/>
    <x v="0"/>
    <x v="0"/>
    <s v="None"/>
    <s v="Bills &amp; Utilities|Utilities"/>
  </r>
  <r>
    <s v="First Tech - Checking (5544)"/>
    <d v="2014-02-28T00:00:00"/>
    <n v="-200000"/>
    <s v="X"/>
    <s v="LPL"/>
    <s v="Transfer to LPL account for mutual fund and managed account"/>
    <s v="Not Sure"/>
    <m/>
    <m/>
    <m/>
    <x v="51"/>
    <x v="0"/>
    <m/>
    <m/>
    <m/>
    <m/>
    <x v="10"/>
    <x v="0"/>
    <x v="6"/>
    <x v="0"/>
    <x v="0"/>
    <s v="None"/>
    <s v="Not Sure"/>
  </r>
  <r>
    <s v="Koolikai - Sec Dep XX1200"/>
    <d v="2014-02-28T00:00:00"/>
    <n v="0.17"/>
    <s v="X"/>
    <s v="First Tech (Dividend)"/>
    <s v="Credit Dividend--"/>
    <s v="Interest Income"/>
    <m/>
    <m/>
    <m/>
    <x v="40"/>
    <x v="0"/>
    <m/>
    <m/>
    <m/>
    <m/>
    <x v="10"/>
    <x v="0"/>
    <x v="3"/>
    <x v="0"/>
    <x v="0"/>
    <s v="None"/>
    <s v="Interest Income"/>
  </r>
  <r>
    <s v="Schwab - Checking (9784)"/>
    <d v="2014-02-28T00:00:00"/>
    <n v="0.12"/>
    <s v="X"/>
    <s v="Schwab (Interest Income)"/>
    <m/>
    <s v="Interest Income"/>
    <m/>
    <m/>
    <m/>
    <x v="40"/>
    <x v="0"/>
    <m/>
    <m/>
    <m/>
    <m/>
    <x v="10"/>
    <x v="0"/>
    <x v="3"/>
    <x v="0"/>
    <x v="0"/>
    <s v="None"/>
    <s v="Interest Income"/>
  </r>
  <r>
    <s v="Schwab - Checking (9784)"/>
    <d v="2014-02-28T00:00:00"/>
    <n v="4.75"/>
    <s v="X"/>
    <s v="Schwab (ATM Fee Refund)"/>
    <m/>
    <s v="Bank Fees &amp; Charges:ATM Fee"/>
    <m/>
    <m/>
    <m/>
    <x v="32"/>
    <x v="17"/>
    <m/>
    <m/>
    <m/>
    <m/>
    <x v="10"/>
    <x v="0"/>
    <x v="3"/>
    <x v="0"/>
    <x v="0"/>
    <s v="None"/>
    <s v="Bank Fees &amp; Charges|ATM Fee"/>
  </r>
  <r>
    <s v="MasterCard (Capital One)"/>
    <d v="2014-02-28T00:00:00"/>
    <n v="25"/>
    <s v="X"/>
    <s v="Capital One (Cash Back)"/>
    <s v="2011: CREDIT-CASH BACK REWARD"/>
    <s v="Other Inc"/>
    <m/>
    <m/>
    <m/>
    <x v="29"/>
    <x v="0"/>
    <m/>
    <m/>
    <m/>
    <m/>
    <x v="10"/>
    <x v="0"/>
    <x v="3"/>
    <x v="0"/>
    <x v="0"/>
    <s v="None"/>
    <s v="Other Inc"/>
  </r>
  <r>
    <s v="MasterCard (Capital One)"/>
    <d v="2014-02-28T00:00:00"/>
    <n v="-1"/>
    <s v="X"/>
    <s v="Blink Network Llc"/>
    <s v="2011: BLINK NETWORK, LLC 06023459015 AZ 85003 USA"/>
    <s v="Auto &amp; Transport:Gas &amp; Fuel"/>
    <m/>
    <m/>
    <m/>
    <x v="17"/>
    <x v="37"/>
    <m/>
    <m/>
    <m/>
    <m/>
    <x v="10"/>
    <x v="0"/>
    <x v="3"/>
    <x v="0"/>
    <x v="0"/>
    <s v="None"/>
    <s v="Auto &amp; Transport|Gas &amp; Fuel"/>
  </r>
  <r>
    <s v="MasterCard (Capital One)"/>
    <d v="2014-02-28T00:00:00"/>
    <n v="-11.94"/>
    <s v="X"/>
    <s v="High Tide"/>
    <s v="Dinner at #Sheryl's wedding#"/>
    <s v="Vacation:Food/From Receipt"/>
    <m/>
    <m/>
    <s v="From Receipt"/>
    <x v="23"/>
    <x v="8"/>
    <m/>
    <m/>
    <s v="Sheryl's wedding"/>
    <m/>
    <x v="10"/>
    <x v="0"/>
    <x v="4"/>
    <x v="0"/>
    <x v="0"/>
    <s v="None"/>
    <s v="Vacation|Food"/>
  </r>
  <r>
    <s v="MasterCard (Capital One)"/>
    <d v="2014-02-28T00:00:00"/>
    <n v="-15.75"/>
    <s v="X"/>
    <s v="Blue Bird"/>
    <s v="2011: BLUEBIRD ICE CREAM GRE SEATTLE WA 98103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First Tech - Checking (5544)"/>
    <d v="2014-02-27T00:00:00"/>
    <n v="3165.19"/>
    <s v="X"/>
    <s v="Microsoft (Paystub)"/>
    <s v="ACH Deposit--MICROSOFT  - EDIPAYMENT"/>
    <s v="Net Salary"/>
    <m/>
    <m/>
    <m/>
    <x v="35"/>
    <x v="0"/>
    <m/>
    <m/>
    <m/>
    <m/>
    <x v="10"/>
    <x v="0"/>
    <x v="3"/>
    <x v="0"/>
    <x v="0"/>
    <s v="None"/>
    <s v="Net Salary"/>
  </r>
  <r>
    <s v="First Tech - Checking (5544)"/>
    <d v="2014-02-27T00:00:00"/>
    <n v="6195.6"/>
    <s v="X"/>
    <s v="CRAB (Paystub)"/>
    <s v="ACH Deposit--Cancer Research  - Payroll"/>
    <s v="Net Salary"/>
    <m/>
    <m/>
    <m/>
    <x v="35"/>
    <x v="0"/>
    <m/>
    <m/>
    <m/>
    <m/>
    <x v="10"/>
    <x v="0"/>
    <x v="3"/>
    <x v="0"/>
    <x v="0"/>
    <s v="None"/>
    <s v="Net Salary"/>
  </r>
  <r>
    <s v="Capital One - Long Term Emergency (1201)"/>
    <d v="2014-02-26T00:00:00"/>
    <n v="-83000"/>
    <s v="X"/>
    <s v="Capital One (Transfer)"/>
    <s v="ACH Deposit--CAPITAL1 00000000000301749963 - TRANSFER"/>
    <s v="[First Tech - Checking (5544)]"/>
    <m/>
    <m/>
    <m/>
    <x v="21"/>
    <x v="0"/>
    <m/>
    <m/>
    <m/>
    <m/>
    <x v="10"/>
    <x v="0"/>
    <x v="0"/>
    <x v="0"/>
    <x v="0"/>
    <s v="None"/>
    <s v="[First Tech - Checking (5544)]"/>
  </r>
  <r>
    <s v="Capital One - Secondary Savings (3126)"/>
    <d v="2014-02-26T00:00:00"/>
    <n v="-117000"/>
    <s v="X"/>
    <s v="Capital One (Transfer)"/>
    <s v="ACH Deposit--CAPITAL1 00000000000301749025 - TRANSFER"/>
    <s v="[First Tech - Checking (5544)]"/>
    <m/>
    <m/>
    <m/>
    <x v="21"/>
    <x v="0"/>
    <m/>
    <m/>
    <m/>
    <m/>
    <x v="10"/>
    <x v="0"/>
    <x v="0"/>
    <x v="0"/>
    <x v="0"/>
    <s v="None"/>
    <s v="[First Tech - Checking (5544)]"/>
  </r>
  <r>
    <s v="First Tech - Checking (5544)"/>
    <d v="2014-02-26T00:00:00"/>
    <n v="83000"/>
    <s v="X"/>
    <s v="Capital One (Savings)"/>
    <s v="ACH Deposit--CAPITAL1 00000000000301749963 - TRANSFER"/>
    <s v="[Capital One - Long Term Emergency (1201)]"/>
    <m/>
    <m/>
    <m/>
    <x v="1"/>
    <x v="0"/>
    <m/>
    <m/>
    <m/>
    <m/>
    <x v="10"/>
    <x v="0"/>
    <x v="0"/>
    <x v="0"/>
    <x v="0"/>
    <s v="None"/>
    <s v="[Capital One - Long Term Emergency (1201)]"/>
  </r>
  <r>
    <s v="First Tech - Checking (5544)"/>
    <d v="2014-02-26T00:00:00"/>
    <n v="117000"/>
    <s v="X"/>
    <s v="Capital One (Savings)"/>
    <s v="ACH Deposit--CAPITAL1 00000000000301749025 - TRANSFER"/>
    <s v="[Capital One - Secondary Savings (3126)]"/>
    <m/>
    <m/>
    <m/>
    <x v="2"/>
    <x v="0"/>
    <m/>
    <m/>
    <m/>
    <m/>
    <x v="10"/>
    <x v="0"/>
    <x v="0"/>
    <x v="0"/>
    <x v="0"/>
    <s v="None"/>
    <s v="[Capital One - Secondary Savings (3126)]"/>
  </r>
  <r>
    <s v="Koolikai Credit Card"/>
    <d v="2014-02-26T00:00:00"/>
    <n v="0"/>
    <s v="X"/>
    <s v="Balanced"/>
    <s v="@CAT:@"/>
    <s v="[Koolikai Credit Card]"/>
    <m/>
    <m/>
    <m/>
    <x v="9"/>
    <x v="0"/>
    <m/>
    <m/>
    <m/>
    <m/>
    <x v="10"/>
    <x v="0"/>
    <x v="0"/>
    <x v="0"/>
    <x v="0"/>
    <s v="None"/>
    <s v="[Koolikai Credit Card]"/>
  </r>
  <r>
    <s v="MasterCard (Capital One)"/>
    <d v="2014-02-26T00:00:00"/>
    <n v="0"/>
    <s v="X"/>
    <s v="Balanced"/>
    <s v="@CAT:@"/>
    <s v="[MasterCard (Capital One)]"/>
    <m/>
    <m/>
    <m/>
    <x v="38"/>
    <x v="0"/>
    <m/>
    <m/>
    <m/>
    <m/>
    <x v="10"/>
    <x v="0"/>
    <x v="0"/>
    <x v="0"/>
    <x v="0"/>
    <s v="None"/>
    <s v="[MasterCard (Capital One)]"/>
  </r>
  <r>
    <s v="MasterCard (Capital One)"/>
    <d v="2014-02-26T00:00:00"/>
    <n v="-60"/>
    <s v="X"/>
    <s v="Phinney Neighborhood Center"/>
    <s v="2011: GG *PHINNEY NEIGHBORHO SEATTLE WA 98103 USA"/>
    <s v="Charity:Charity (Cash)"/>
    <m/>
    <m/>
    <m/>
    <x v="22"/>
    <x v="7"/>
    <m/>
    <m/>
    <m/>
    <m/>
    <x v="10"/>
    <x v="0"/>
    <x v="2"/>
    <x v="0"/>
    <x v="0"/>
    <s v="None"/>
    <s v="Charity|Charity (Cash)"/>
  </r>
  <r>
    <s v="Koolikai Credit Card"/>
    <d v="2014-02-25T00:00:00"/>
    <n v="-15.84"/>
    <s v="X"/>
    <s v="Lowes #00252*"/>
    <s v="Sink fixture repair parts"/>
    <s v="Business Expenses (Koolikai):Tools/9602:From Receipt"/>
    <m/>
    <m/>
    <s v="9602:From Receipt"/>
    <x v="36"/>
    <x v="49"/>
    <m/>
    <m/>
    <m/>
    <m/>
    <x v="10"/>
    <x v="0"/>
    <x v="4"/>
    <x v="0"/>
    <x v="0"/>
    <s v="None"/>
    <s v="Business Expenses (Koolikai)|Tools"/>
  </r>
  <r>
    <s v="Koolikai Credit Card"/>
    <d v="2014-02-25T00:00:00"/>
    <n v="-16.170000000000002"/>
    <s v="X"/>
    <s v="Lowe's"/>
    <s v="10&quot; Tongue in Groove plier (channel locks?)"/>
    <s v="Business Expenses (Koolikai):Repairs/9602:From Receipt"/>
    <m/>
    <m/>
    <s v="9602:From Receipt"/>
    <x v="36"/>
    <x v="41"/>
    <m/>
    <m/>
    <m/>
    <m/>
    <x v="10"/>
    <x v="0"/>
    <x v="4"/>
    <x v="0"/>
    <x v="0"/>
    <s v="None"/>
    <s v="Business Expenses (Koolikai)|Repairs"/>
  </r>
  <r>
    <s v="Koolikai Credit Card"/>
    <d v="2014-02-25T00:00:00"/>
    <n v="-16.399999999999999"/>
    <s v="X"/>
    <s v="Home Depot"/>
    <s v="Sink fixture repair parts"/>
    <s v="Business Expenses (Koolikai):Repairs/9602:From Receipt"/>
    <m/>
    <m/>
    <s v="9602:From Receipt"/>
    <x v="36"/>
    <x v="41"/>
    <m/>
    <m/>
    <m/>
    <m/>
    <x v="10"/>
    <x v="0"/>
    <x v="4"/>
    <x v="0"/>
    <x v="0"/>
    <s v="None"/>
    <s v="Business Expenses (Koolikai)|Repairs"/>
  </r>
  <r>
    <s v="Koolikai Credit Card"/>
    <d v="2014-02-25T00:00:00"/>
    <n v="-125.97"/>
    <s v="X"/>
    <s v="Home Depot"/>
    <s v="Basin wrench, bucket, and inspection camera"/>
    <s v="Business Expenses (Koolikai):Tools/From Receipt"/>
    <m/>
    <m/>
    <s v="From Receipt"/>
    <x v="36"/>
    <x v="49"/>
    <m/>
    <m/>
    <m/>
    <m/>
    <x v="10"/>
    <x v="0"/>
    <x v="4"/>
    <x v="0"/>
    <x v="0"/>
    <s v="None"/>
    <s v="Business Expenses (Koolikai)|Tools"/>
  </r>
  <r>
    <s v="MasterCard (Capital One)"/>
    <d v="2014-02-25T00:00:00"/>
    <n v="-12.32"/>
    <s v="X"/>
    <s v="Stranger Tickets Wa"/>
    <s v="Play for Ang, Dave, Zach, and Josh"/>
    <s v="Kids:Kids Activities"/>
    <m/>
    <m/>
    <m/>
    <x v="27"/>
    <x v="12"/>
    <m/>
    <m/>
    <m/>
    <m/>
    <x v="10"/>
    <x v="0"/>
    <x v="3"/>
    <x v="0"/>
    <x v="0"/>
    <s v="None"/>
    <s v="Kids|Kids Activities"/>
  </r>
  <r>
    <s v="MasterCard (Capital One)"/>
    <d v="2014-02-25T00:00:00"/>
    <n v="-0.39"/>
    <s v="X"/>
    <s v="Eurest"/>
    <s v="2011: CAFE 86 11171386 REDMOND WA 98052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25T00:00:00"/>
    <n v="-100"/>
    <s v="X"/>
    <s v="Eurest"/>
    <s v="2011: CAFE 86 11171386 REDMOND WA 98052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x v="10"/>
    <x v="0"/>
    <x v="4"/>
    <x v="0"/>
    <x v="0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x v="10"/>
    <x v="0"/>
    <x v="4"/>
    <x v="0"/>
    <x v="0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x v="10"/>
    <x v="0"/>
    <x v="4"/>
    <x v="0"/>
    <x v="0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x v="10"/>
    <x v="0"/>
    <x v="4"/>
    <x v="0"/>
    <x v="0"/>
    <s v="None"/>
    <s v="Vacation|Transportation"/>
  </r>
  <r>
    <s v="First Tech - Checking (5544)"/>
    <d v="2014-02-24T00:00:00"/>
    <n v="-90"/>
    <s v="X"/>
    <s v="Discover Card (Autopay)"/>
    <s v="ACH Debit--DISCOVER DC PYMNTS DCIDPIINT - E-PAYMENT"/>
    <s v="[Discover Card]"/>
    <m/>
    <m/>
    <m/>
    <x v="24"/>
    <x v="0"/>
    <m/>
    <m/>
    <m/>
    <m/>
    <x v="10"/>
    <x v="0"/>
    <x v="0"/>
    <x v="0"/>
    <x v="0"/>
    <s v="None"/>
    <s v="[Discover Card]"/>
  </r>
  <r>
    <s v="First Tech - Checking (5544)"/>
    <d v="2014-02-24T00:00:00"/>
    <n v="-250.3"/>
    <s v="X"/>
    <s v="American Express (Autopay)"/>
    <s v="ACH Debit--AMEX EPayment AM - ACH PMT"/>
    <s v="[American Express (Costco)]"/>
    <m/>
    <m/>
    <m/>
    <x v="20"/>
    <x v="0"/>
    <m/>
    <m/>
    <m/>
    <m/>
    <x v="10"/>
    <x v="0"/>
    <x v="0"/>
    <x v="0"/>
    <x v="0"/>
    <s v="None"/>
    <s v="[American Express (Costco)]"/>
  </r>
  <r>
    <s v="First Tech - Checking (5544)"/>
    <d v="2014-02-24T00:00:00"/>
    <n v="-65"/>
    <s v="X"/>
    <s v="Patricia Anderson"/>
    <s v="Check--"/>
    <s v="Kids:Babysitter"/>
    <n v="2295"/>
    <m/>
    <m/>
    <x v="27"/>
    <x v="13"/>
    <m/>
    <m/>
    <m/>
    <m/>
    <x v="10"/>
    <x v="0"/>
    <x v="3"/>
    <x v="0"/>
    <x v="0"/>
    <s v="None"/>
    <s v="Kids|Babysitter"/>
  </r>
  <r>
    <s v="Koolikai - Checking XX2129"/>
    <d v="2014-02-24T00:00:00"/>
    <n v="-146.54"/>
    <s v="X"/>
    <s v="Chase - Koolikai (Autopay)"/>
    <s v="ACH Debit--CHASE  - AUTOPAYBUS"/>
    <s v="[Koolikai Credit Card]"/>
    <m/>
    <m/>
    <m/>
    <x v="9"/>
    <x v="0"/>
    <m/>
    <m/>
    <m/>
    <m/>
    <x v="10"/>
    <x v="0"/>
    <x v="0"/>
    <x v="0"/>
    <x v="0"/>
    <s v="None"/>
    <s v="[Koolikai Credit Card]"/>
  </r>
  <r>
    <s v="American Express (Costco)"/>
    <d v="2014-02-24T00:00:00"/>
    <n v="250.3"/>
    <s v="X"/>
    <s v="American Express (Autopay)"/>
    <s v="ACH Debit--AMEX EPayment AM - ACH PMT"/>
    <s v="[First Tech - Checking (5544)]"/>
    <m/>
    <m/>
    <m/>
    <x v="21"/>
    <x v="0"/>
    <m/>
    <m/>
    <m/>
    <m/>
    <x v="10"/>
    <x v="0"/>
    <x v="0"/>
    <x v="0"/>
    <x v="0"/>
    <s v="None"/>
    <s v="[First Tech - Checking (5544)]"/>
  </r>
  <r>
    <s v="Discover Card"/>
    <d v="2014-02-24T00:00:00"/>
    <n v="90"/>
    <s v="X"/>
    <s v="Discover Card (Autopay)"/>
    <s v="ACH Debit--DISCOVER DC PYMNTS DCIDPIINT - E-PAYMENT"/>
    <s v="[First Tech - Checking (5544)]"/>
    <m/>
    <m/>
    <m/>
    <x v="21"/>
    <x v="0"/>
    <m/>
    <m/>
    <m/>
    <m/>
    <x v="10"/>
    <x v="0"/>
    <x v="0"/>
    <x v="0"/>
    <x v="0"/>
    <s v="None"/>
    <s v="[First Tech - Checking (5544)]"/>
  </r>
  <r>
    <s v="Koolikai Credit Card"/>
    <d v="2014-02-24T00:00:00"/>
    <n v="146.54"/>
    <s v="X"/>
    <s v="Chase - Koolikai (Autopay)"/>
    <s v="ACH Debit--CHASE  - AUTOPAYBUS"/>
    <s v="[Koolikai - Checking XX2129]"/>
    <m/>
    <m/>
    <m/>
    <x v="25"/>
    <x v="0"/>
    <m/>
    <m/>
    <m/>
    <m/>
    <x v="10"/>
    <x v="0"/>
    <x v="0"/>
    <x v="0"/>
    <x v="0"/>
    <s v="None"/>
    <s v="[Koolikai - Checking XX2129]"/>
  </r>
  <r>
    <s v="MasterCard (Capital One)"/>
    <d v="2014-02-24T00:00:00"/>
    <n v="-13.73"/>
    <s v="X"/>
    <s v="Fred Meyer"/>
    <s v="2011: FRED-MEYER #0122 SEATTLE WA 98117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MasterCard (Capital One)"/>
    <d v="2014-02-23T00:00:00"/>
    <n v="-47.07"/>
    <s v="X"/>
    <s v="Jiffy Lube"/>
    <s v="Oil change for the RAV"/>
    <s v="Auto &amp; Transport:Service &amp; Parts/From Receipt"/>
    <m/>
    <m/>
    <s v="From Receipt"/>
    <x v="17"/>
    <x v="64"/>
    <m/>
    <m/>
    <m/>
    <m/>
    <x v="10"/>
    <x v="0"/>
    <x v="6"/>
    <x v="0"/>
    <x v="0"/>
    <s v="None"/>
    <s v="Auto &amp; Transport|Service &amp; Parts"/>
  </r>
  <r>
    <s v="MasterCard (Capital One)"/>
    <d v="2014-02-23T00:00:00"/>
    <n v="-6.17"/>
    <s v="X"/>
    <s v="Ken's Market"/>
    <s v="2011: KEN'S MARKET #75-116 SEATTLE WA 98103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MasterCard (Capital One)"/>
    <d v="2014-02-22T00:00:00"/>
    <n v="-8.1"/>
    <s v="X"/>
    <s v="Wsferries Cl Seattle"/>
    <s v="#Family Reunion#"/>
    <s v="Vacation:Transportation"/>
    <m/>
    <m/>
    <m/>
    <x v="23"/>
    <x v="26"/>
    <m/>
    <m/>
    <s v="Family Reunion"/>
    <m/>
    <x v="10"/>
    <x v="0"/>
    <x v="4"/>
    <x v="0"/>
    <x v="0"/>
    <s v="None"/>
    <s v="Vacation|Transportation"/>
  </r>
  <r>
    <s v="MasterCard (Capital One)"/>
    <d v="2014-02-22T00:00:00"/>
    <n v="-12.85"/>
    <s v="X"/>
    <s v="Wsferries Mu Seattle"/>
    <s v="#Family Reunion#"/>
    <s v="Vacation:Transportation"/>
    <m/>
    <m/>
    <m/>
    <x v="23"/>
    <x v="26"/>
    <m/>
    <m/>
    <s v="Family Reunion"/>
    <m/>
    <x v="10"/>
    <x v="0"/>
    <x v="4"/>
    <x v="0"/>
    <x v="0"/>
    <s v="None"/>
    <s v="Vacation|Transportation"/>
  </r>
  <r>
    <s v="MasterCard (Capital One)"/>
    <d v="2014-02-22T00:00:00"/>
    <n v="-21.48"/>
    <s v="X"/>
    <s v="Goose Community Clinton"/>
    <s v="Wne for the Owen birthday party"/>
    <s v="Gifts"/>
    <m/>
    <m/>
    <m/>
    <x v="28"/>
    <x v="0"/>
    <m/>
    <m/>
    <m/>
    <m/>
    <x v="10"/>
    <x v="0"/>
    <x v="3"/>
    <x v="0"/>
    <x v="0"/>
    <s v="None"/>
    <s v="Gifts"/>
  </r>
  <r>
    <s v="MasterCard (Capital One)"/>
    <d v="2014-02-22T00:00:00"/>
    <n v="-30.16"/>
    <s v="X"/>
    <s v="Trader Joe's"/>
    <s v="2011: TRADER JOE'S #147 QPS SEATTLE WA 98107 USA"/>
    <s v="Food &amp; Dining:Groceries"/>
    <m/>
    <m/>
    <m/>
    <x v="15"/>
    <x v="3"/>
    <m/>
    <m/>
    <m/>
    <m/>
    <x v="10"/>
    <x v="0"/>
    <x v="3"/>
    <x v="0"/>
    <x v="0"/>
    <s v="None"/>
    <s v="Food &amp; Dining|Groceries"/>
  </r>
  <r>
    <s v="MasterCard (Capital One)"/>
    <d v="2014-02-22T00:00:00"/>
    <n v="-123.85"/>
    <s v="X"/>
    <s v="Fred Meyer"/>
    <s v="2011: FRED-MEYER #0608 SEATTLE WA 98107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Target Red Card"/>
    <d v="2014-02-22T00:00:00"/>
    <n v="-204.82"/>
    <s v="X"/>
    <s v="Target"/>
    <s v="Bedding, lamps, etc. for kids new bedroom"/>
    <s v="Projects:Boy's Room/From Receipt"/>
    <n v="799999940531"/>
    <m/>
    <s v="From Receipt"/>
    <x v="39"/>
    <x v="57"/>
    <m/>
    <m/>
    <m/>
    <m/>
    <x v="10"/>
    <x v="0"/>
    <x v="6"/>
    <x v="0"/>
    <x v="0"/>
    <s v="None"/>
    <s v="Projects|Boy's Room"/>
  </r>
  <r>
    <s v="First Tech - Checking (5544)"/>
    <d v="2014-02-21T00:00:00"/>
    <n v="-115"/>
    <s v="X"/>
    <s v="Cleaning Authority, The"/>
    <s v="ACH Debit--THE CLEANING AUT  - ONLINE PMT"/>
    <s v="Home:Home Services"/>
    <m/>
    <m/>
    <m/>
    <x v="14"/>
    <x v="46"/>
    <m/>
    <m/>
    <m/>
    <m/>
    <x v="10"/>
    <x v="0"/>
    <x v="3"/>
    <x v="0"/>
    <x v="0"/>
    <s v="None"/>
    <s v="Home|Home Services"/>
  </r>
  <r>
    <s v="First Tech - Checking (5544)"/>
    <d v="2014-02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10"/>
    <x v="0"/>
    <x v="3"/>
    <x v="0"/>
    <x v="0"/>
    <s v="None"/>
    <s v="Auto &amp; Transport|Auto Lease Payment"/>
  </r>
  <r>
    <s v="MasterCard (Capital One)"/>
    <d v="2014-02-21T00:00:00"/>
    <n v="-20"/>
    <s v="X"/>
    <s v="Starbucks"/>
    <s v="2011: SQ *STARBUCKS #00104 S Seattle WA 981011448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20T00:00:00"/>
    <n v="-6.56"/>
    <s v="X"/>
    <s v="Fresh Table Met"/>
    <s v="2011: FRESH TABLE-MET PARK SEATTLE WA 98101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20T00:00:00"/>
    <n v="-4.59"/>
    <s v="X"/>
    <s v="Ken's Market"/>
    <s v="2011: KEN'S MARKET #75-116 SEATTLE WA 98103 USA"/>
    <s v="Food &amp; Dining:Groceries"/>
    <m/>
    <m/>
    <m/>
    <x v="15"/>
    <x v="3"/>
    <m/>
    <m/>
    <m/>
    <m/>
    <x v="10"/>
    <x v="0"/>
    <x v="3"/>
    <x v="0"/>
    <x v="0"/>
    <s v="None"/>
    <s v="Food &amp; Dining|Groceries"/>
  </r>
  <r>
    <s v="First Tech - Checking (5544)"/>
    <d v="2014-02-19T00:00:00"/>
    <n v="30"/>
    <s v="X"/>
    <s v="Liberty Mutual"/>
    <s v="Refund of insurance over payment"/>
    <s v="Business Expenses (Koolikai):Mortgage (Business)"/>
    <m/>
    <m/>
    <m/>
    <x v="36"/>
    <x v="30"/>
    <m/>
    <m/>
    <m/>
    <m/>
    <x v="10"/>
    <x v="0"/>
    <x v="3"/>
    <x v="0"/>
    <x v="0"/>
    <s v="None"/>
    <s v="Business Expenses (Koolikai)|Mortgage (Business)"/>
  </r>
  <r>
    <s v="MasterCard (Capital One)"/>
    <d v="2014-02-19T00:00:00"/>
    <n v="25"/>
    <s v="X"/>
    <s v="Capital One (Cash Back)"/>
    <s v="2011: CREDIT-CASH BACK REWARD"/>
    <s v="Other Inc"/>
    <m/>
    <m/>
    <m/>
    <x v="29"/>
    <x v="0"/>
    <m/>
    <m/>
    <m/>
    <m/>
    <x v="10"/>
    <x v="0"/>
    <x v="3"/>
    <x v="0"/>
    <x v="0"/>
    <s v="None"/>
    <s v="Other Inc"/>
  </r>
  <r>
    <s v="First Tech - Checking (5544)"/>
    <d v="2014-02-18T00:00:00"/>
    <n v="-100"/>
    <s v="X"/>
    <s v="Phinney Ridge CDC"/>
    <s v="ACH Debit--PHINNEY RIDGE LU 504759859 - CONTRIBUTN"/>
    <s v="Kids:Daycare"/>
    <m/>
    <m/>
    <m/>
    <x v="27"/>
    <x v="35"/>
    <m/>
    <m/>
    <m/>
    <m/>
    <x v="10"/>
    <x v="0"/>
    <x v="3"/>
    <x v="0"/>
    <x v="0"/>
    <s v="None"/>
    <s v="Kids|Daycare"/>
  </r>
  <r>
    <s v="First Tech - Short Term Emergency (5400)"/>
    <d v="2014-02-18T00:00:00"/>
    <n v="0"/>
    <s v="X"/>
    <s v="Balanced"/>
    <s v="@CAT:@;@BAL:$5.00@"/>
    <s v="[First Tech - Short Term Emergency (5400)]"/>
    <m/>
    <m/>
    <m/>
    <x v="4"/>
    <x v="0"/>
    <m/>
    <m/>
    <m/>
    <m/>
    <x v="10"/>
    <x v="0"/>
    <x v="0"/>
    <x v="0"/>
    <x v="0"/>
    <s v="None"/>
    <s v="[First Tech - Short Term Emergency (5400)]"/>
  </r>
  <r>
    <s v="Schwab - Checking (9784)"/>
    <d v="2014-02-18T00:00:00"/>
    <n v="0"/>
    <s v="X"/>
    <s v="Balanced"/>
    <s v="@BAL:1524.95@;@CAT:@"/>
    <s v="[Schwab - Checking (9784)]"/>
    <m/>
    <m/>
    <m/>
    <x v="5"/>
    <x v="0"/>
    <m/>
    <m/>
    <m/>
    <m/>
    <x v="10"/>
    <x v="0"/>
    <x v="0"/>
    <x v="0"/>
    <x v="0"/>
    <s v="None"/>
    <s v="[Schwab - Checking (9784)]"/>
  </r>
  <r>
    <s v="Discover Card"/>
    <d v="2014-02-18T00:00:00"/>
    <n v="0"/>
    <s v="X"/>
    <s v="Balanced"/>
    <s v="@CAT:@"/>
    <s v="[Discover Card]"/>
    <m/>
    <m/>
    <m/>
    <x v="24"/>
    <x v="0"/>
    <m/>
    <m/>
    <m/>
    <m/>
    <x v="10"/>
    <x v="0"/>
    <x v="0"/>
    <x v="0"/>
    <x v="0"/>
    <s v="None"/>
    <s v="[Discover Card]"/>
  </r>
  <r>
    <s v="AmericanWest (1186)"/>
    <d v="2014-02-17T00:00:00"/>
    <n v="0"/>
    <m/>
    <s v="Balanced"/>
    <s v="@BAL:100.00@"/>
    <s v="[AmericanWest (1186)]"/>
    <m/>
    <m/>
    <m/>
    <x v="52"/>
    <x v="0"/>
    <m/>
    <m/>
    <m/>
    <m/>
    <x v="10"/>
    <x v="0"/>
    <x v="0"/>
    <x v="0"/>
    <x v="0"/>
    <s v="None"/>
    <s v="[AmericanWest (1186)]"/>
  </r>
  <r>
    <s v="MasterCard (Capital One)"/>
    <d v="2014-02-17T00:00:00"/>
    <n v="-41.4"/>
    <s v="X"/>
    <s v="Stardust Salon"/>
    <s v="2011: SQ *LISA AT STARDUST S Seattle WA 98103 USA"/>
    <s v="Personal Care:Hair"/>
    <m/>
    <m/>
    <m/>
    <x v="31"/>
    <x v="16"/>
    <m/>
    <m/>
    <m/>
    <m/>
    <x v="10"/>
    <x v="0"/>
    <x v="3"/>
    <x v="0"/>
    <x v="0"/>
    <s v="None"/>
    <s v="Personal Care|Hair"/>
  </r>
  <r>
    <s v="MasterCard (Capital One)"/>
    <d v="2014-02-17T00:00:00"/>
    <n v="-982.57"/>
    <s v="X"/>
    <s v="Columbus 004"/>
    <s v="2011: ESI PHARM COLUMBUS 08002822881 OH 43228 USA"/>
    <s v="Health &amp; Fitness:Pharmacy"/>
    <m/>
    <m/>
    <m/>
    <x v="18"/>
    <x v="38"/>
    <m/>
    <m/>
    <m/>
    <m/>
    <x v="10"/>
    <x v="0"/>
    <x v="4"/>
    <x v="0"/>
    <x v="0"/>
    <s v="None"/>
    <s v="Health &amp; Fitness|Pharmacy"/>
  </r>
  <r>
    <s v="MasterCard (Capital One)"/>
    <d v="2014-02-17T00:00:00"/>
    <n v="-4.4400000000000004"/>
    <s v="X"/>
    <s v="Ken's Market"/>
    <m/>
    <s v="Food &amp; Dining:Groceries"/>
    <m/>
    <m/>
    <m/>
    <x v="15"/>
    <x v="3"/>
    <m/>
    <m/>
    <m/>
    <m/>
    <x v="10"/>
    <x v="0"/>
    <x v="3"/>
    <x v="0"/>
    <x v="0"/>
    <s v="None"/>
    <s v="Food &amp; Dining|Groceries"/>
  </r>
  <r>
    <s v="MasterCard (Capital One)"/>
    <d v="2014-02-17T00:00:00"/>
    <n v="-18.29"/>
    <s v="X"/>
    <s v="Twirl Play Cafe"/>
    <m/>
    <s v="Kids:Kids Activities"/>
    <m/>
    <m/>
    <m/>
    <x v="27"/>
    <x v="12"/>
    <m/>
    <m/>
    <m/>
    <m/>
    <x v="10"/>
    <x v="0"/>
    <x v="3"/>
    <x v="0"/>
    <x v="0"/>
    <s v="None"/>
    <s v="Kids|Kids Activities"/>
  </r>
  <r>
    <s v="REI Mastercard (xx1787)"/>
    <d v="2014-02-17T00:00:00"/>
    <n v="0"/>
    <s v="X"/>
    <s v="Balanced"/>
    <s v="@BAL:$126.00@;@CAT:@"/>
    <s v="[REI Mastercard (xx1787)]"/>
    <m/>
    <m/>
    <m/>
    <x v="11"/>
    <x v="0"/>
    <m/>
    <m/>
    <m/>
    <m/>
    <x v="10"/>
    <x v="0"/>
    <x v="1"/>
    <x v="1"/>
    <x v="1"/>
    <e v="#N/A"/>
    <s v="[REI Mastercard (xx1787)]"/>
  </r>
  <r>
    <s v="Target Red Card"/>
    <d v="2014-02-17T00:00:00"/>
    <n v="0"/>
    <s v="X"/>
    <s v="Balanced"/>
    <s v="@CAT:@"/>
    <s v="[Target Red Card]"/>
    <m/>
    <m/>
    <m/>
    <x v="12"/>
    <x v="0"/>
    <m/>
    <m/>
    <m/>
    <m/>
    <x v="10"/>
    <x v="0"/>
    <x v="0"/>
    <x v="0"/>
    <x v="0"/>
    <s v="None"/>
    <s v="[Target Red Card]"/>
  </r>
  <r>
    <s v="MasterCard (Capital One)"/>
    <d v="2014-02-16T00:00:00"/>
    <n v="-93.55"/>
    <s v="X"/>
    <s v="Fred Meyer"/>
    <s v="2011: FRED-MEYER #0122 SEATTLE WA 98117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MasterCard (Capital One)"/>
    <d v="2014-02-16T00:00:00"/>
    <n v="-12.72"/>
    <s v="X"/>
    <s v="Pie Seattle Center"/>
    <s v="2011: PIE - SEATTLE CENTER SEATTLE WA 98109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16T00:00:00"/>
    <n v="-20.260000000000002"/>
    <s v="X"/>
    <s v="Skillet Counter Seattle"/>
    <s v="2011: SKILLET COUNTER SEATTLE WA 98109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15T00:00:00"/>
    <n v="-1.35"/>
    <s v="X"/>
    <s v="Seattle City Light"/>
    <s v="2011: SEATTLE CITY LIGHT 02066843000 WA 98124 USA"/>
    <s v="Business Expenses (Koolikai):Utilities (Business)/9602"/>
    <m/>
    <m/>
    <n v="9602"/>
    <x v="36"/>
    <x v="63"/>
    <m/>
    <m/>
    <m/>
    <m/>
    <x v="10"/>
    <x v="0"/>
    <x v="3"/>
    <x v="0"/>
    <x v="0"/>
    <s v="None"/>
    <s v="Business Expenses (Koolikai)|Utilities (Business)"/>
  </r>
  <r>
    <s v="MasterCard (Capital One)"/>
    <d v="2014-02-15T00:00:00"/>
    <n v="-3"/>
    <s v="X"/>
    <s v="Diamond Parking"/>
    <s v="2011: DIAMOND PARKING WE09 EVERETT WA 98106 USA"/>
    <s v="Auto &amp; Transport:Parking"/>
    <m/>
    <m/>
    <m/>
    <x v="17"/>
    <x v="11"/>
    <m/>
    <m/>
    <m/>
    <m/>
    <x v="10"/>
    <x v="0"/>
    <x v="3"/>
    <x v="0"/>
    <x v="0"/>
    <s v="None"/>
    <s v="Auto &amp; Transport|Parking"/>
  </r>
  <r>
    <s v="MasterCard (Capital One)"/>
    <d v="2014-02-15T00:00:00"/>
    <n v="-62.39"/>
    <s v="X"/>
    <s v="Gainsbourg"/>
    <s v="2011: GAINSBOURG SEATTLE WA 98103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15T00:00:00"/>
    <n v="-95"/>
    <s v="X"/>
    <s v="Imagine Childrens Museum"/>
    <s v="2011: IMAGINE CHILDREN'S MUS EVERETT WA 98201 USA"/>
    <s v="Kids:Kids Activities/From Receipt"/>
    <m/>
    <m/>
    <s v="From Receipt"/>
    <x v="27"/>
    <x v="12"/>
    <m/>
    <m/>
    <m/>
    <m/>
    <x v="10"/>
    <x v="0"/>
    <x v="3"/>
    <x v="0"/>
    <x v="0"/>
    <s v="None"/>
    <s v="Kids|Kids Activities"/>
  </r>
  <r>
    <s v="First Tech - Checking (5544)"/>
    <d v="2014-02-13T00:00:00"/>
    <n v="3165.2"/>
    <s v="X"/>
    <s v="Microsoft (Paystub)"/>
    <s v="@BAL:$44,862.43@;@CAT:@"/>
    <s v="Net Salary"/>
    <m/>
    <m/>
    <m/>
    <x v="35"/>
    <x v="0"/>
    <m/>
    <m/>
    <m/>
    <m/>
    <x v="10"/>
    <x v="0"/>
    <x v="3"/>
    <x v="0"/>
    <x v="0"/>
    <s v="None"/>
    <s v="Net Salary"/>
  </r>
  <r>
    <s v="First Tech - Checking (5544)"/>
    <d v="2014-02-12T00:00:00"/>
    <n v="-148.06"/>
    <s v="X"/>
    <s v="Puget Sound Energy"/>
    <s v="ACH Debit--PUGET SOUND ENER DIRECT DEBITING - PSE BILL  35000281"/>
    <s v="Bills &amp; Utilities:Utilities"/>
    <m/>
    <m/>
    <m/>
    <x v="34"/>
    <x v="18"/>
    <m/>
    <m/>
    <m/>
    <m/>
    <x v="10"/>
    <x v="0"/>
    <x v="3"/>
    <x v="0"/>
    <x v="0"/>
    <s v="None"/>
    <s v="Bills &amp; Utilities|Utilities"/>
  </r>
  <r>
    <s v="Koolikai Credit Card"/>
    <d v="2014-02-12T00:00:00"/>
    <n v="-146.74"/>
    <s v="X"/>
    <s v="Verizon Wireless"/>
    <s v="@CAT:@"/>
    <s v="Business Expenses (Koolikai):Cell Phone"/>
    <m/>
    <m/>
    <m/>
    <x v="36"/>
    <x v="22"/>
    <m/>
    <m/>
    <m/>
    <m/>
    <x v="10"/>
    <x v="0"/>
    <x v="3"/>
    <x v="0"/>
    <x v="0"/>
    <s v="None"/>
    <s v="Business Expenses (Koolikai)|Cell Phone"/>
  </r>
  <r>
    <s v="MasterCard (Capital One)"/>
    <d v="2014-02-12T00:00:00"/>
    <n v="50"/>
    <s v="X"/>
    <s v="Capital One (Cash Back)"/>
    <s v="2011: CREDIT-CASH BACK REWARD;@CAT:@"/>
    <s v="Other Inc"/>
    <m/>
    <m/>
    <m/>
    <x v="29"/>
    <x v="0"/>
    <m/>
    <m/>
    <m/>
    <m/>
    <x v="10"/>
    <x v="0"/>
    <x v="3"/>
    <x v="0"/>
    <x v="0"/>
    <s v="None"/>
    <s v="Other Inc"/>
  </r>
  <r>
    <s v="MasterCard (Capital One)"/>
    <d v="2014-02-12T00:00:00"/>
    <n v="-54"/>
    <s v="X"/>
    <s v="Liberty Mutual"/>
    <s v="Fire insurance for 7231"/>
    <s v="Business Expenses (Koolikai):Mortgage (Business)/7231"/>
    <m/>
    <m/>
    <n v="7231"/>
    <x v="36"/>
    <x v="30"/>
    <m/>
    <m/>
    <m/>
    <m/>
    <x v="10"/>
    <x v="0"/>
    <x v="3"/>
    <x v="0"/>
    <x v="0"/>
    <s v="None"/>
    <s v="Business Expenses (Koolikai)|Mortgage (Business)"/>
  </r>
  <r>
    <s v="MasterCard (Capital One)"/>
    <d v="2014-02-12T00:00:00"/>
    <n v="-0.27"/>
    <s v="X"/>
    <s v="Swedish Medical First"/>
    <s v="Zach prescription pain killer"/>
    <s v="Health &amp; Fitness:Pharmacy"/>
    <m/>
    <m/>
    <m/>
    <x v="18"/>
    <x v="38"/>
    <m/>
    <m/>
    <m/>
    <m/>
    <x v="10"/>
    <x v="0"/>
    <x v="4"/>
    <x v="0"/>
    <x v="0"/>
    <s v="None"/>
    <s v="Health &amp; Fitness|Pharmacy"/>
  </r>
  <r>
    <s v="MasterCard (Capital One)"/>
    <d v="2014-02-12T00:00:00"/>
    <n v="-3.14"/>
    <s v="X"/>
    <s v="Bartell Drug"/>
    <s v="Valentines"/>
    <s v="Gifts/From Receipt"/>
    <m/>
    <m/>
    <s v="From Receipt"/>
    <x v="28"/>
    <x v="0"/>
    <m/>
    <m/>
    <m/>
    <m/>
    <x v="10"/>
    <x v="0"/>
    <x v="3"/>
    <x v="0"/>
    <x v="0"/>
    <s v="None"/>
    <s v="Gifts"/>
  </r>
  <r>
    <s v="MasterCard (Capital One)"/>
    <d v="2014-02-12T00:00:00"/>
    <n v="-10"/>
    <s v="X"/>
    <s v="Republic Parking Seattle"/>
    <s v="Parking for Zach's surgery"/>
    <s v="Auto &amp; Transport:Parking"/>
    <m/>
    <m/>
    <m/>
    <x v="17"/>
    <x v="11"/>
    <m/>
    <m/>
    <m/>
    <m/>
    <x v="10"/>
    <x v="0"/>
    <x v="3"/>
    <x v="0"/>
    <x v="0"/>
    <s v="None"/>
    <s v="Auto &amp; Transport|Parking"/>
  </r>
  <r>
    <s v="MasterCard (Capital One)"/>
    <d v="2014-02-12T00:00:00"/>
    <n v="-33.909999999999997"/>
    <s v="X"/>
    <s v="Fred Meyer"/>
    <s v="@CAT:@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MasterCard (Capital One)"/>
    <d v="2014-02-11T00:00:00"/>
    <n v="-17"/>
    <s v="X"/>
    <s v="Craft-e-family"/>
    <s v="2011: CRAFT E FAMILY LLC 317-996-2124 IN 46158 USA"/>
    <s v="Gifts"/>
    <m/>
    <m/>
    <m/>
    <x v="28"/>
    <x v="0"/>
    <m/>
    <m/>
    <m/>
    <m/>
    <x v="10"/>
    <x v="0"/>
    <x v="3"/>
    <x v="0"/>
    <x v="0"/>
    <s v="None"/>
    <s v="Gifts"/>
  </r>
  <r>
    <s v="MasterCard (Capital One)"/>
    <d v="2014-02-10T00:00:00"/>
    <n v="-138"/>
    <s v="X"/>
    <s v="United Airlines"/>
    <s v="#Sheryl's wedding#"/>
    <s v="Vacation:Transportation"/>
    <m/>
    <m/>
    <m/>
    <x v="23"/>
    <x v="26"/>
    <m/>
    <m/>
    <s v="Sheryl's wedding"/>
    <m/>
    <x v="10"/>
    <x v="0"/>
    <x v="4"/>
    <x v="0"/>
    <x v="0"/>
    <s v="None"/>
    <s v="Vacation|Transportation"/>
  </r>
  <r>
    <s v="MasterCard (Capital One)"/>
    <d v="2014-02-10T00:00:00"/>
    <n v="-335"/>
    <s v="X"/>
    <s v="Liberty Mutual"/>
    <s v="2011: LIBERTY MUTUAL 888-398-8924 MA 02116 USA"/>
    <s v="Bills &amp; Utilities:Insurance (Umbrella)"/>
    <m/>
    <m/>
    <m/>
    <x v="34"/>
    <x v="67"/>
    <m/>
    <m/>
    <m/>
    <m/>
    <x v="10"/>
    <x v="0"/>
    <x v="3"/>
    <x v="0"/>
    <x v="0"/>
    <s v="None"/>
    <s v="Bills &amp; Utilities|Insurance (Umbrella)"/>
  </r>
  <r>
    <s v="MasterCard (Capital One)"/>
    <d v="2014-02-10T00:00:00"/>
    <n v="-2259.7199999999998"/>
    <s v="X"/>
    <s v="Liberty Mutual"/>
    <s v="2011: LIBERTY MUTUAL 888-398-8924 MA 02116 USA"/>
    <s v="Auto &amp; Transport:Auto Insurance"/>
    <m/>
    <m/>
    <m/>
    <x v="17"/>
    <x v="68"/>
    <m/>
    <m/>
    <m/>
    <m/>
    <x v="10"/>
    <x v="0"/>
    <x v="2"/>
    <x v="0"/>
    <x v="0"/>
    <s v="None"/>
    <s v="Auto &amp; Transport|Auto Insurance"/>
  </r>
  <r>
    <s v="Target Red Card"/>
    <d v="2014-02-10T00:00:00"/>
    <n v="-3.32"/>
    <s v="X"/>
    <s v="Target"/>
    <s v="Valentines for the boys;@BAL:$61.60@"/>
    <s v="Gifts/From Receipt"/>
    <n v="799999940411"/>
    <m/>
    <s v="From Receipt"/>
    <x v="28"/>
    <x v="0"/>
    <m/>
    <m/>
    <m/>
    <m/>
    <x v="10"/>
    <x v="0"/>
    <x v="3"/>
    <x v="0"/>
    <x v="0"/>
    <s v="None"/>
    <s v="Gifts"/>
  </r>
  <r>
    <s v="Schwab - Checking (9784)"/>
    <d v="2014-02-09T00:00:00"/>
    <n v="-40"/>
    <s v="X"/>
    <s v="Umpqua Bank Greenw"/>
    <m/>
    <s v="Kids:Babysitter"/>
    <m/>
    <s v="Split"/>
    <m/>
    <x v="27"/>
    <x v="13"/>
    <m/>
    <m/>
    <m/>
    <m/>
    <x v="10"/>
    <x v="0"/>
    <x v="3"/>
    <x v="0"/>
    <x v="0"/>
    <s v="None"/>
    <s v="Kids|Babysitter"/>
  </r>
  <r>
    <s v="Schwab - Checking (9784)"/>
    <d v="2014-02-09T00:00:00"/>
    <n v="-3.5"/>
    <s v="X"/>
    <s v="Umpqua Bank Greenw"/>
    <m/>
    <s v="Bank Fees &amp; Charges:ATM Fee"/>
    <m/>
    <s v="Split"/>
    <m/>
    <x v="32"/>
    <x v="17"/>
    <m/>
    <m/>
    <m/>
    <m/>
    <x v="10"/>
    <x v="0"/>
    <x v="3"/>
    <x v="0"/>
    <x v="0"/>
    <s v="None"/>
    <s v="Bank Fees &amp; Charges|ATM Fee"/>
  </r>
  <r>
    <s v="MasterCard (Capital One)"/>
    <d v="2014-02-09T00:00:00"/>
    <n v="-19.420000000000002"/>
    <s v="X"/>
    <s v="In The Red"/>
    <s v="2011: IN THE RED WINE BAR CA SEATTLE WA 98103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09T00:00:00"/>
    <n v="-25.81"/>
    <s v="X"/>
    <s v="Bed Bath &amp; Beyond"/>
    <s v="Shot glass, spatula, cake pan, etc."/>
    <s v="Home:Furnishings/From Receipt"/>
    <m/>
    <m/>
    <s v="From Receipt"/>
    <x v="14"/>
    <x v="2"/>
    <m/>
    <m/>
    <m/>
    <m/>
    <x v="10"/>
    <x v="0"/>
    <x v="3"/>
    <x v="0"/>
    <x v="0"/>
    <s v="None"/>
    <s v="Home|Furnishings"/>
  </r>
  <r>
    <s v="MasterCard (Capital One)"/>
    <d v="2014-02-09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x v="10"/>
    <x v="0"/>
    <x v="4"/>
    <x v="0"/>
    <x v="0"/>
    <s v="None"/>
    <s v="Auto &amp; Transport|Tolls"/>
  </r>
  <r>
    <s v="MasterCard (Capital One)"/>
    <d v="2014-02-08T00:00:00"/>
    <n v="-2.73"/>
    <s v="X"/>
    <s v="Seattle Park Seattle"/>
    <s v="2011: SEATTLE 684-PARK SEATTLE WA 98104 USA"/>
    <s v="Auto &amp; Transport:Parking"/>
    <m/>
    <m/>
    <m/>
    <x v="17"/>
    <x v="11"/>
    <m/>
    <m/>
    <m/>
    <m/>
    <x v="10"/>
    <x v="0"/>
    <x v="3"/>
    <x v="0"/>
    <x v="0"/>
    <s v="None"/>
    <s v="Auto &amp; Transport|Parking"/>
  </r>
  <r>
    <s v="MasterCard (Capital One)"/>
    <d v="2014-02-08T00:00:00"/>
    <n v="-19"/>
    <s v="X"/>
    <s v="Icon Grill"/>
    <s v="2011: ICON GRILL SEATTLE WA 98101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08T00:00:00"/>
    <n v="-34"/>
    <s v="X"/>
    <s v="Rudy's Barber Shop"/>
    <s v="2011: RUDYS BARBER SHOP - LA LOS ANGELES CA 90027 USA"/>
    <s v="Personal Care:Hair"/>
    <m/>
    <m/>
    <m/>
    <x v="31"/>
    <x v="16"/>
    <m/>
    <m/>
    <m/>
    <m/>
    <x v="10"/>
    <x v="0"/>
    <x v="3"/>
    <x v="0"/>
    <x v="0"/>
    <s v="None"/>
    <s v="Personal Care|Hair"/>
  </r>
  <r>
    <s v="MasterCard (Capital One)"/>
    <d v="2014-02-08T00:00:00"/>
    <n v="-55.17"/>
    <s v="X"/>
    <s v="Fred Meyer"/>
    <s v="2011: FRED-MEYER #0608 SEATTLE WA 98107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MasterCard (Capital One)"/>
    <d v="2014-02-08T00:00:00"/>
    <n v="-69.48"/>
    <s v="X"/>
    <s v="Trader Joe's"/>
    <s v="2011: TRADER JOE'S #147 QPS SEATTLE WA 98107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MasterCard (Capital One)"/>
    <d v="2014-02-07T00:00:00"/>
    <n v="-9.8000000000000007"/>
    <s v="X"/>
    <s v="Usps"/>
    <s v="Greenwood station"/>
    <s v="Business Expenses (Koolikai):Postage and Delivery (Business)/From Receipt"/>
    <m/>
    <m/>
    <s v="From Receipt"/>
    <x v="36"/>
    <x v="69"/>
    <m/>
    <m/>
    <m/>
    <m/>
    <x v="10"/>
    <x v="0"/>
    <x v="2"/>
    <x v="0"/>
    <x v="0"/>
    <s v="None"/>
    <s v="Business Expenses (Koolikai)|Postage and Delivery (Business)"/>
  </r>
  <r>
    <s v="MasterCard (Capital One)"/>
    <d v="2014-02-07T00:00:00"/>
    <n v="-31.6"/>
    <s v="X"/>
    <s v="Top Ten Toys"/>
    <s v="Brady and Jack presents"/>
    <s v="Gifts/From Receipt"/>
    <m/>
    <m/>
    <s v="From Receipt"/>
    <x v="28"/>
    <x v="0"/>
    <m/>
    <m/>
    <m/>
    <m/>
    <x v="10"/>
    <x v="0"/>
    <x v="3"/>
    <x v="0"/>
    <x v="0"/>
    <s v="None"/>
    <s v="Gifts"/>
  </r>
  <r>
    <s v="First Tech - Checking (5544)"/>
    <d v="2014-02-06T00:00:00"/>
    <n v="-491.36"/>
    <s v="X"/>
    <s v="Target (Autopay)"/>
    <m/>
    <s v="[Target Red Card]"/>
    <m/>
    <m/>
    <m/>
    <x v="12"/>
    <x v="0"/>
    <m/>
    <m/>
    <m/>
    <m/>
    <x v="10"/>
    <x v="0"/>
    <x v="0"/>
    <x v="0"/>
    <x v="0"/>
    <s v="None"/>
    <s v="[Target Red Card]"/>
  </r>
  <r>
    <s v="MasterCard (Capital One)"/>
    <d v="2014-02-06T00:00:00"/>
    <n v="-4.92"/>
    <s v="X"/>
    <s v="Fresh Table Met"/>
    <s v="2011: FRESH TABLE-MET PARK SEATTLE WA 98101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Target Red Card"/>
    <d v="2014-02-06T00:00:00"/>
    <n v="491.36"/>
    <s v="X"/>
    <s v="Target (Autopay)"/>
    <m/>
    <s v="[First Tech - Checking (5544)]"/>
    <m/>
    <m/>
    <m/>
    <x v="21"/>
    <x v="0"/>
    <m/>
    <m/>
    <m/>
    <m/>
    <x v="10"/>
    <x v="0"/>
    <x v="0"/>
    <x v="0"/>
    <x v="0"/>
    <s v="None"/>
    <s v="[First Tech - Checking (5544)]"/>
  </r>
  <r>
    <s v="First Tech - Checking (5544)"/>
    <d v="2014-02-05T00:00:00"/>
    <n v="-3748.69"/>
    <s v="X"/>
    <s v="Wells Fargo Home Mortgage"/>
    <s v="ACH Debit--WF HOME MTG ACH - AUTO PAY"/>
    <s v="Home:Mortgage"/>
    <m/>
    <m/>
    <m/>
    <x v="14"/>
    <x v="27"/>
    <m/>
    <m/>
    <m/>
    <m/>
    <x v="10"/>
    <x v="0"/>
    <x v="3"/>
    <x v="0"/>
    <x v="0"/>
    <s v="None"/>
    <s v="Home|Mortgage"/>
  </r>
  <r>
    <s v="Koolikai - Checking XX2129"/>
    <d v="2014-02-05T00:00:00"/>
    <n v="100"/>
    <s v="X"/>
    <s v="Aaron Ausland"/>
    <s v="7231 payment toward $688.66"/>
    <s v="Business Expenses (Koolikai):Utilities (Business)/7231"/>
    <m/>
    <s v="Split"/>
    <n v="7231"/>
    <x v="36"/>
    <x v="63"/>
    <m/>
    <m/>
    <m/>
    <m/>
    <x v="10"/>
    <x v="0"/>
    <x v="3"/>
    <x v="0"/>
    <x v="0"/>
    <s v="None"/>
    <s v="Business Expenses (Koolikai)|Utilities (Business)"/>
  </r>
  <r>
    <s v="MasterCard (Capital One)"/>
    <d v="2014-02-05T00:00:00"/>
    <n v="-3.25"/>
    <s v="X"/>
    <s v="Ken's Market"/>
    <s v="2011: KEN'S MARKET #75-116 SEATTLE WA 98103 USA"/>
    <s v="Food &amp; Dining:Groceries"/>
    <m/>
    <m/>
    <m/>
    <x v="15"/>
    <x v="3"/>
    <m/>
    <m/>
    <m/>
    <m/>
    <x v="10"/>
    <x v="0"/>
    <x v="3"/>
    <x v="0"/>
    <x v="0"/>
    <s v="None"/>
    <s v="Food &amp; Dining|Groceries"/>
  </r>
  <r>
    <s v="First Tech - Checking (5544)"/>
    <d v="2014-02-04T00:00:00"/>
    <n v="-500"/>
    <s v="X"/>
    <s v="American Funds 0001002:  Amcap-"/>
    <s v="ACH Debit-- AMERICAN FUNDS 0001002:  AMCAP-529A - INVESTMENT"/>
    <s v="Kids:American Funds 529A"/>
    <m/>
    <m/>
    <m/>
    <x v="27"/>
    <x v="29"/>
    <m/>
    <m/>
    <m/>
    <m/>
    <x v="10"/>
    <x v="0"/>
    <x v="3"/>
    <x v="0"/>
    <x v="0"/>
    <s v="None"/>
    <s v="Kids|American Funds 529A"/>
  </r>
  <r>
    <s v="Schwab - Checking (9784)"/>
    <d v="2014-02-04T00:00:00"/>
    <n v="-1.25"/>
    <s v="X"/>
    <s v="Alfi's Food &amp; Deli"/>
    <m/>
    <s v="Bank Fees &amp; Charges:ATM Fee/From Receipt"/>
    <m/>
    <s v="Split"/>
    <s v="From Receipt"/>
    <x v="32"/>
    <x v="17"/>
    <m/>
    <m/>
    <m/>
    <m/>
    <x v="10"/>
    <x v="0"/>
    <x v="3"/>
    <x v="0"/>
    <x v="0"/>
    <s v="None"/>
    <s v="Bank Fees &amp; Charges|ATM Fee"/>
  </r>
  <r>
    <s v="Schwab - Checking (9784)"/>
    <d v="2014-02-04T00:00:00"/>
    <n v="-5"/>
    <s v="X"/>
    <s v="Alfi's Food &amp; Deli"/>
    <s v="Soup kitchen"/>
    <s v="Charity:Charity (Cash)/From Receipt"/>
    <m/>
    <s v="Split"/>
    <s v="From Receipt"/>
    <x v="22"/>
    <x v="7"/>
    <m/>
    <m/>
    <m/>
    <m/>
    <x v="10"/>
    <x v="0"/>
    <x v="2"/>
    <x v="0"/>
    <x v="0"/>
    <s v="None"/>
    <s v="Charity|Charity (Cash)"/>
  </r>
  <r>
    <s v="Schwab - Checking (9784)"/>
    <d v="2014-02-04T00:00:00"/>
    <n v="-15"/>
    <s v="X"/>
    <s v="Alfi's Food &amp; Deli"/>
    <m/>
    <s v="Food &amp; Dining:Restaurants/From Receipt"/>
    <m/>
    <s v="Split"/>
    <s v="From Receipt"/>
    <x v="15"/>
    <x v="15"/>
    <m/>
    <m/>
    <m/>
    <m/>
    <x v="10"/>
    <x v="0"/>
    <x v="3"/>
    <x v="0"/>
    <x v="0"/>
    <s v="None"/>
    <s v="Food &amp; Dining|Restaurants"/>
  </r>
  <r>
    <s v="MasterCard (Capital One)"/>
    <d v="2014-02-04T00:00:00"/>
    <n v="25"/>
    <s v="X"/>
    <s v="Capital One (Cash Back)"/>
    <s v="2011: CREDIT-CASH BACK REWARD"/>
    <s v="Other Inc"/>
    <m/>
    <m/>
    <m/>
    <x v="29"/>
    <x v="0"/>
    <m/>
    <m/>
    <m/>
    <m/>
    <x v="10"/>
    <x v="0"/>
    <x v="3"/>
    <x v="0"/>
    <x v="0"/>
    <s v="None"/>
    <s v="Other Inc"/>
  </r>
  <r>
    <s v="MasterCard (Capital One)"/>
    <d v="2014-02-04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x v="10"/>
    <x v="0"/>
    <x v="3"/>
    <x v="0"/>
    <x v="0"/>
    <s v="None"/>
    <s v="Auto &amp; Transport|Parking"/>
  </r>
  <r>
    <s v="MasterCard (Capital One)"/>
    <d v="2014-02-04T00:00:00"/>
    <n v="-505.28"/>
    <s v="X"/>
    <s v="Liberty Mutual"/>
    <s v="2011: LIBERTY MUTUAL 888-398-8924 MA 02116 USA"/>
    <s v="Auto &amp; Transport:Auto Insurance"/>
    <m/>
    <m/>
    <m/>
    <x v="17"/>
    <x v="68"/>
    <m/>
    <m/>
    <m/>
    <m/>
    <x v="10"/>
    <x v="0"/>
    <x v="2"/>
    <x v="0"/>
    <x v="0"/>
    <s v="None"/>
    <s v="Auto &amp; Transport|Auto Insurance"/>
  </r>
  <r>
    <s v="REI Mastercard (xx1787)"/>
    <d v="2014-02-04T00:00:00"/>
    <n v="-126"/>
    <s v="X"/>
    <s v="Recreation.Gov"/>
    <s v="#Kalaloch 2014#"/>
    <s v="Vacation:Lodging"/>
    <m/>
    <m/>
    <m/>
    <x v="23"/>
    <x v="9"/>
    <m/>
    <m/>
    <s v="Kalaloch 2014"/>
    <m/>
    <x v="10"/>
    <x v="0"/>
    <x v="4"/>
    <x v="0"/>
    <x v="0"/>
    <s v="None"/>
    <s v="Vacation|Lodging"/>
  </r>
  <r>
    <s v="First Tech - Checking (5544)"/>
    <d v="2014-02-03T00:00:00"/>
    <n v="-1976"/>
    <s v="X"/>
    <s v="Phinney Ridge CDC"/>
    <s v="ACH Debit--PHINNEY RIDGE LU 504759859 - CONTRIBUTN"/>
    <s v="Kids:Daycare"/>
    <m/>
    <m/>
    <m/>
    <x v="27"/>
    <x v="35"/>
    <m/>
    <m/>
    <m/>
    <m/>
    <x v="10"/>
    <x v="0"/>
    <x v="3"/>
    <x v="0"/>
    <x v="0"/>
    <s v="None"/>
    <s v="Kids|Daycare"/>
  </r>
  <r>
    <s v="First Tech - Checking (5544)"/>
    <d v="2014-02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x v="10"/>
    <x v="0"/>
    <x v="3"/>
    <x v="0"/>
    <x v="0"/>
    <s v="None"/>
    <s v="Business Expenses (Koolikai)|Mortgage (Business)"/>
  </r>
  <r>
    <s v="First Tech - Checking (5544)"/>
    <d v="2014-02-03T00:00:00"/>
    <n v="-2942.27"/>
    <s v="X"/>
    <s v="Capital One (Autopay)"/>
    <s v="ACH Debit--CAPITAL ONE  - CRCARDPMT"/>
    <s v="[MasterCard (Capital One)]"/>
    <m/>
    <m/>
    <m/>
    <x v="38"/>
    <x v="0"/>
    <m/>
    <m/>
    <m/>
    <m/>
    <x v="10"/>
    <x v="0"/>
    <x v="0"/>
    <x v="0"/>
    <x v="0"/>
    <s v="None"/>
    <s v="[MasterCard (Capital One)]"/>
  </r>
  <r>
    <s v="First Tech - Checking (5544)"/>
    <d v="2014-02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x v="10"/>
    <x v="0"/>
    <x v="3"/>
    <x v="0"/>
    <x v="0"/>
    <s v="None"/>
    <s v="Business Expenses (Koolikai)|Mortgage (Business)"/>
  </r>
  <r>
    <s v="First Tech - Checking (5544)"/>
    <d v="2014-02-03T00:00:00"/>
    <n v="-147.22"/>
    <m/>
    <s v="Rei (Autopayment)"/>
    <m/>
    <s v="[REI Mastercard (xx1787)]"/>
    <m/>
    <m/>
    <m/>
    <x v="11"/>
    <x v="0"/>
    <m/>
    <m/>
    <m/>
    <m/>
    <x v="10"/>
    <x v="0"/>
    <x v="1"/>
    <x v="1"/>
    <x v="1"/>
    <e v="#N/A"/>
    <s v="[REI Mastercard (xx1787)]"/>
  </r>
  <r>
    <s v="Discover Card"/>
    <d v="2014-02-03T00:00:00"/>
    <n v="-7.65"/>
    <s v="X"/>
    <s v="Windows"/>
    <s v="Super Market Madness"/>
    <s v="Shopping:Electronics &amp; Software"/>
    <m/>
    <m/>
    <m/>
    <x v="13"/>
    <x v="20"/>
    <m/>
    <m/>
    <m/>
    <m/>
    <x v="10"/>
    <x v="0"/>
    <x v="2"/>
    <x v="0"/>
    <x v="0"/>
    <s v="None"/>
    <s v="Shopping|Electronics &amp; Software"/>
  </r>
  <r>
    <s v="MasterCard (Capital One)"/>
    <d v="2014-02-03T00:00:00"/>
    <n v="2942.27"/>
    <s v="X"/>
    <s v="Capital One (Autopay)"/>
    <s v="@BAL:$4025.58@@CAT:@"/>
    <s v="[First Tech - Checking (5544)]"/>
    <m/>
    <m/>
    <m/>
    <x v="21"/>
    <x v="0"/>
    <m/>
    <m/>
    <m/>
    <m/>
    <x v="10"/>
    <x v="0"/>
    <x v="0"/>
    <x v="0"/>
    <x v="0"/>
    <s v="None"/>
    <s v="[First Tech - Checking (5544)]"/>
  </r>
  <r>
    <s v="MasterCard (Capital One)"/>
    <d v="2014-02-03T00:00:00"/>
    <n v="-38.229999999999997"/>
    <s v="X"/>
    <s v="Safeway"/>
    <s v="2011: SAFEWAY STORE 00018457 SEATTLE WA 98103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REI Mastercard (xx1787)"/>
    <d v="2014-02-03T00:00:00"/>
    <n v="147.22"/>
    <s v="X"/>
    <s v="Rei (Autopayment)"/>
    <m/>
    <s v="[First Tech - Checking (5544)]"/>
    <s v="TXFR"/>
    <m/>
    <m/>
    <x v="21"/>
    <x v="0"/>
    <m/>
    <m/>
    <m/>
    <m/>
    <x v="10"/>
    <x v="0"/>
    <x v="0"/>
    <x v="0"/>
    <x v="0"/>
    <s v="None"/>
    <s v="[First Tech - Checking (5544)]"/>
  </r>
  <r>
    <s v="MasterCard (Capital One)"/>
    <d v="2014-02-02T00:00:00"/>
    <n v="-22.02"/>
    <s v="X"/>
    <s v="Comcast"/>
    <s v="2011: COMCAST CABLE COMM 800-COMCAST WA 98103 USA"/>
    <s v="Bills &amp; Utilities:Television"/>
    <m/>
    <s v="Split"/>
    <m/>
    <x v="34"/>
    <x v="32"/>
    <m/>
    <m/>
    <m/>
    <m/>
    <x v="10"/>
    <x v="0"/>
    <x v="3"/>
    <x v="0"/>
    <x v="0"/>
    <s v="None"/>
    <s v="Bills &amp; Utilities|Television"/>
  </r>
  <r>
    <s v="MasterCard (Capital One)"/>
    <d v="2014-02-02T00:00:00"/>
    <n v="-64.069999999999993"/>
    <s v="X"/>
    <s v="Comcast"/>
    <m/>
    <s v="Business Expenses (Koolikai):Internet"/>
    <m/>
    <s v="Split"/>
    <m/>
    <x v="36"/>
    <x v="33"/>
    <m/>
    <m/>
    <m/>
    <m/>
    <x v="10"/>
    <x v="0"/>
    <x v="3"/>
    <x v="0"/>
    <x v="0"/>
    <s v="None"/>
    <s v="Business Expenses (Koolikai)|Internet"/>
  </r>
  <r>
    <s v="MasterCard (Capital One)"/>
    <d v="2014-02-02T00:00:00"/>
    <n v="-44.07"/>
    <s v="X"/>
    <s v="Comcast"/>
    <m/>
    <s v="Bills &amp; Utilities:Home Phone"/>
    <m/>
    <s v="Split"/>
    <m/>
    <x v="34"/>
    <x v="34"/>
    <m/>
    <m/>
    <m/>
    <m/>
    <x v="10"/>
    <x v="0"/>
    <x v="3"/>
    <x v="0"/>
    <x v="0"/>
    <s v="None"/>
    <s v="Bills &amp; Utilities|Home Phone"/>
  </r>
  <r>
    <s v="MasterCard (Capital One)"/>
    <d v="2014-02-02T00:00:00"/>
    <n v="-15.49"/>
    <s v="X"/>
    <s v="Party @ Display &amp; Costume"/>
    <s v="2011: PARTY @ DISPLAY &amp; C SEATTLE WA 98125 USA"/>
    <s v="Parties/From Receipt"/>
    <m/>
    <m/>
    <s v="From Receipt"/>
    <x v="16"/>
    <x v="0"/>
    <m/>
    <m/>
    <m/>
    <m/>
    <x v="10"/>
    <x v="0"/>
    <x v="2"/>
    <x v="0"/>
    <x v="0"/>
    <s v="None"/>
    <s v="Parties"/>
  </r>
  <r>
    <s v="MasterCard (Capital One)"/>
    <d v="2014-02-02T00:00:00"/>
    <n v="-31.04"/>
    <s v="X"/>
    <s v="Tinyprints"/>
    <s v="2011: TINYPRINTS.COM 08773009256 CA 94085 USA"/>
    <s v="Parties"/>
    <m/>
    <m/>
    <m/>
    <x v="16"/>
    <x v="0"/>
    <m/>
    <m/>
    <m/>
    <m/>
    <x v="10"/>
    <x v="0"/>
    <x v="2"/>
    <x v="0"/>
    <x v="0"/>
    <s v="None"/>
    <s v="Parties"/>
  </r>
  <r>
    <s v="Target Red Card"/>
    <d v="2014-02-02T00:00:00"/>
    <n v="-58.28"/>
    <s v="X"/>
    <s v="Target"/>
    <s v="Piano, guitar, and other misc toys"/>
    <s v="Kids:Toys/From Receipt"/>
    <n v="799999940331"/>
    <m/>
    <s v="From Receipt"/>
    <x v="27"/>
    <x v="14"/>
    <m/>
    <m/>
    <m/>
    <m/>
    <x v="10"/>
    <x v="0"/>
    <x v="3"/>
    <x v="0"/>
    <x v="0"/>
    <s v="None"/>
    <s v="Kids|Toys"/>
  </r>
  <r>
    <s v="Koolikai - Checking XX2129"/>
    <d v="2014-02-01T00:00:00"/>
    <n v="2195"/>
    <s v="X"/>
    <s v="Valerie Shaibley"/>
    <s v="Deposit--Shared Branch Mobile Deposit"/>
    <s v="Business Income (Koolikai):Rent/9602"/>
    <m/>
    <m/>
    <n v="9602"/>
    <x v="37"/>
    <x v="25"/>
    <m/>
    <m/>
    <m/>
    <m/>
    <x v="10"/>
    <x v="0"/>
    <x v="3"/>
    <x v="0"/>
    <x v="0"/>
    <s v="None"/>
    <s v="Business Income (Koolikai)|Rent"/>
  </r>
  <r>
    <s v="Koolikai - Checking XX2129"/>
    <d v="2014-02-01T00:00:00"/>
    <n v="2295"/>
    <s v="X"/>
    <s v="Aaron Ausland"/>
    <s v="@CAT:@"/>
    <s v="Business Income (Koolikai):Rent/7231"/>
    <m/>
    <s v="Split"/>
    <n v="7231"/>
    <x v="37"/>
    <x v="25"/>
    <m/>
    <m/>
    <m/>
    <m/>
    <x v="10"/>
    <x v="0"/>
    <x v="3"/>
    <x v="0"/>
    <x v="0"/>
    <s v="None"/>
    <s v="Business Income (Koolikai)|Rent"/>
  </r>
  <r>
    <s v="MasterCard (Capital One)"/>
    <d v="2014-02-01T00:00:00"/>
    <n v="-8.14"/>
    <s v="X"/>
    <s v="Wendy's"/>
    <s v="2011: WENDYS-SWL #0415 BELLINGHAM WA 98226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01T00:00:00"/>
    <n v="-12.04"/>
    <s v="X"/>
    <s v="Playdate Cafe"/>
    <s v="2011: SQ *PLAYDATE CAFE Lynnwood WA 98036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01T00:00:00"/>
    <n v="-14.24"/>
    <s v="X"/>
    <s v="Playdate Cafe"/>
    <s v="2011: SQ *PLAYDATE CAFE Lynnwood WA 98036 USA"/>
    <s v="Kids:Kids Activities"/>
    <m/>
    <m/>
    <m/>
    <x v="27"/>
    <x v="12"/>
    <m/>
    <m/>
    <m/>
    <m/>
    <x v="10"/>
    <x v="0"/>
    <x v="3"/>
    <x v="0"/>
    <x v="0"/>
    <s v="None"/>
    <s v="Kids|Kids Activities"/>
  </r>
  <r>
    <s v="MasterCard (Capital One)"/>
    <d v="2014-02-01T00:00:00"/>
    <n v="-34.17"/>
    <s v="X"/>
    <s v="Busara Thai Cuisine"/>
    <s v="2011: BUSARA THAI CUISINE BELLINGHAM WA 98225 USA"/>
    <s v="Food &amp; Dining:Restaurants"/>
    <m/>
    <m/>
    <m/>
    <x v="15"/>
    <x v="15"/>
    <m/>
    <m/>
    <m/>
    <m/>
    <x v="10"/>
    <x v="0"/>
    <x v="3"/>
    <x v="0"/>
    <x v="0"/>
    <s v="None"/>
    <s v="Food &amp; Dining|Restaurants"/>
  </r>
  <r>
    <s v="MasterCard (Capital One)"/>
    <d v="2014-02-01T00:00:00"/>
    <n v="-108.66"/>
    <s v="X"/>
    <s v="Lowe's"/>
    <s v="Garbage disposal for Mom"/>
    <s v="Gifts/From Receipt"/>
    <m/>
    <m/>
    <s v="From Receipt"/>
    <x v="28"/>
    <x v="0"/>
    <m/>
    <m/>
    <m/>
    <m/>
    <x v="10"/>
    <x v="0"/>
    <x v="3"/>
    <x v="0"/>
    <x v="0"/>
    <s v="None"/>
    <s v="Gifts"/>
  </r>
  <r>
    <s v="MasterCard (Capital One)"/>
    <d v="2014-02-01T00:00:00"/>
    <n v="-112.51"/>
    <s v="X"/>
    <s v="Fred Meyer"/>
    <s v="2011: FRED-MEYER #0608 SEATTLE WA 98107 USA"/>
    <s v="Food &amp; Dining:Groceries/From Receipt"/>
    <m/>
    <m/>
    <s v="From Receipt"/>
    <x v="15"/>
    <x v="3"/>
    <m/>
    <m/>
    <m/>
    <m/>
    <x v="10"/>
    <x v="0"/>
    <x v="3"/>
    <x v="0"/>
    <x v="0"/>
    <s v="None"/>
    <s v="Food &amp; Dining|Groceries"/>
  </r>
  <r>
    <s v="Capital One - Investment (6759)"/>
    <d v="2014-01-31T00:00:00"/>
    <n v="19.989999999999998"/>
    <s v="X"/>
    <s v="Capital One (Interest Income)"/>
    <s v="@BAL:47079.27@;@CAT:@"/>
    <s v="Interest Income"/>
    <s v="INT"/>
    <m/>
    <m/>
    <x v="40"/>
    <x v="0"/>
    <m/>
    <m/>
    <m/>
    <m/>
    <x v="11"/>
    <x v="0"/>
    <x v="3"/>
    <x v="0"/>
    <x v="0"/>
    <s v="None"/>
    <s v="Interest Income"/>
  </r>
  <r>
    <s v="Capital One - Long Term Emergency (1201)"/>
    <d v="2014-01-31T00:00:00"/>
    <n v="85.39"/>
    <s v="X"/>
    <s v="Capital One (Interest Income)"/>
    <s v="@BAL:201126.22@;@CAT:@"/>
    <s v="Interest Income"/>
    <s v="INT"/>
    <m/>
    <m/>
    <x v="40"/>
    <x v="0"/>
    <m/>
    <m/>
    <m/>
    <m/>
    <x v="11"/>
    <x v="0"/>
    <x v="3"/>
    <x v="0"/>
    <x v="0"/>
    <s v="None"/>
    <s v="Interest Income"/>
  </r>
  <r>
    <s v="Capital One - Secondary Savings (3126)"/>
    <d v="2014-01-31T00:00:00"/>
    <n v="44.74"/>
    <s v="X"/>
    <s v="Capital One (Interest Income)"/>
    <s v="@BAL:117088.39@;@CAT:@"/>
    <s v="Interest Income"/>
    <s v="INT"/>
    <m/>
    <m/>
    <x v="40"/>
    <x v="0"/>
    <m/>
    <m/>
    <m/>
    <m/>
    <x v="11"/>
    <x v="0"/>
    <x v="3"/>
    <x v="0"/>
    <x v="0"/>
    <s v="None"/>
    <s v="Interest Income"/>
  </r>
  <r>
    <s v="Capital One - Vacation (4959)"/>
    <d v="2014-01-31T00:00:00"/>
    <n v="2.13"/>
    <s v="X"/>
    <s v="Capital One (Interest Income)"/>
    <s v="@BAL:5008.48@;@CAT:@"/>
    <s v="Interest Income"/>
    <s v="INT"/>
    <m/>
    <m/>
    <x v="40"/>
    <x v="0"/>
    <m/>
    <m/>
    <m/>
    <m/>
    <x v="11"/>
    <x v="0"/>
    <x v="3"/>
    <x v="0"/>
    <x v="0"/>
    <s v="None"/>
    <s v="Interest Income"/>
  </r>
  <r>
    <s v="First Tech - Checking (5544)"/>
    <d v="2014-01-31T00:00:00"/>
    <n v="3052.73"/>
    <s v="X"/>
    <s v="Microsoft (Paystub)"/>
    <s v="ACH Deposit--MICROSOFT  - EDIPAYMENT"/>
    <s v="Net Salary"/>
    <m/>
    <m/>
    <m/>
    <x v="35"/>
    <x v="0"/>
    <m/>
    <m/>
    <m/>
    <m/>
    <x v="11"/>
    <x v="0"/>
    <x v="3"/>
    <x v="0"/>
    <x v="0"/>
    <s v="None"/>
    <s v="Net Salary"/>
  </r>
  <r>
    <s v="First Tech - Checking (5544)"/>
    <d v="2014-01-31T00:00:00"/>
    <n v="6195.6"/>
    <s v="X"/>
    <s v="CRAB (Paystub)"/>
    <s v="ACH Deposit--Cancer Research  - Payroll"/>
    <s v="Net Salary"/>
    <m/>
    <m/>
    <m/>
    <x v="35"/>
    <x v="0"/>
    <m/>
    <m/>
    <m/>
    <m/>
    <x v="11"/>
    <x v="0"/>
    <x v="3"/>
    <x v="0"/>
    <x v="0"/>
    <s v="None"/>
    <s v="Net Salary"/>
  </r>
  <r>
    <s v="Koolikai - Sec Dep XX1200"/>
    <d v="2014-01-31T00:00:00"/>
    <n v="0.19"/>
    <s v="X"/>
    <s v="First Tech (Dividend)"/>
    <s v="@BAL:$4500.75@;@CAT:@"/>
    <s v="Interest Income"/>
    <m/>
    <m/>
    <m/>
    <x v="40"/>
    <x v="0"/>
    <m/>
    <m/>
    <m/>
    <m/>
    <x v="11"/>
    <x v="0"/>
    <x v="3"/>
    <x v="0"/>
    <x v="0"/>
    <s v="None"/>
    <s v="Interest Income"/>
  </r>
  <r>
    <s v="Schwab - Checking (9784)"/>
    <d v="2014-01-31T00:00:00"/>
    <n v="0.14000000000000001"/>
    <s v="X"/>
    <s v="Interest Paid"/>
    <m/>
    <s v="Interest Income"/>
    <m/>
    <m/>
    <m/>
    <x v="40"/>
    <x v="0"/>
    <m/>
    <m/>
    <m/>
    <m/>
    <x v="11"/>
    <x v="0"/>
    <x v="3"/>
    <x v="0"/>
    <x v="0"/>
    <s v="None"/>
    <s v="Interest Income"/>
  </r>
  <r>
    <s v="Schwab - Checking (9784)"/>
    <d v="2014-01-31T00:00:00"/>
    <n v="5.5"/>
    <s v="X"/>
    <s v="ATM Fee Refund"/>
    <m/>
    <s v="Bank Fees &amp; Charges:ATM Fee"/>
    <m/>
    <m/>
    <m/>
    <x v="32"/>
    <x v="17"/>
    <m/>
    <m/>
    <m/>
    <m/>
    <x v="11"/>
    <x v="0"/>
    <x v="3"/>
    <x v="0"/>
    <x v="0"/>
    <s v="None"/>
    <s v="Bank Fees &amp; Charges|ATM Fee"/>
  </r>
  <r>
    <s v="First Tech - Checking (5544)"/>
    <d v="2014-01-30T00:00:00"/>
    <n v="-115"/>
    <s v="X"/>
    <s v="Cleaning Authority, The"/>
    <s v="ACH Debit--THE CLEANING AUT  - ONLINE PMT"/>
    <s v="Home:Home Services"/>
    <m/>
    <m/>
    <m/>
    <x v="14"/>
    <x v="46"/>
    <m/>
    <m/>
    <m/>
    <m/>
    <x v="11"/>
    <x v="0"/>
    <x v="3"/>
    <x v="0"/>
    <x v="0"/>
    <s v="None"/>
    <s v="Home|Home Services"/>
  </r>
  <r>
    <s v="MasterCard (Capital One)"/>
    <d v="2014-01-30T00:00:00"/>
    <n v="-52.56"/>
    <s v="X"/>
    <s v="Fred Meyer"/>
    <s v="Seahawks sweatshirt"/>
    <s v="Shopping:Clothing/From Receipt"/>
    <m/>
    <m/>
    <s v="From Receipt"/>
    <x v="13"/>
    <x v="1"/>
    <m/>
    <m/>
    <m/>
    <m/>
    <x v="11"/>
    <x v="0"/>
    <x v="2"/>
    <x v="0"/>
    <x v="0"/>
    <s v="None"/>
    <s v="Shopping|Clothing"/>
  </r>
  <r>
    <s v="MasterCard (Capital One)"/>
    <d v="2014-01-29T00:00:00"/>
    <n v="-109.5"/>
    <s v="X"/>
    <s v="Playdate Cafe"/>
    <s v="Birthday party for Josh and Zach"/>
    <s v="Parties"/>
    <m/>
    <m/>
    <m/>
    <x v="16"/>
    <x v="0"/>
    <m/>
    <m/>
    <m/>
    <m/>
    <x v="11"/>
    <x v="0"/>
    <x v="2"/>
    <x v="0"/>
    <x v="0"/>
    <s v="None"/>
    <s v="Parties"/>
  </r>
  <r>
    <s v="Schwab - Checking (9784)"/>
    <d v="2014-01-28T00:00:00"/>
    <n v="-40"/>
    <s v="X"/>
    <s v="Ken's Market (ATM)"/>
    <s v="Babbysitter?"/>
    <s v="Kids:Babysitter/From Receipt"/>
    <m/>
    <s v="Split"/>
    <s v="From Receipt"/>
    <x v="27"/>
    <x v="13"/>
    <m/>
    <m/>
    <m/>
    <m/>
    <x v="11"/>
    <x v="0"/>
    <x v="3"/>
    <x v="0"/>
    <x v="0"/>
    <s v="None"/>
    <s v="Kids|Babysitter"/>
  </r>
  <r>
    <s v="Schwab - Checking (9784)"/>
    <d v="2014-01-28T00:00:00"/>
    <n v="-2"/>
    <s v="X"/>
    <s v="Ken's Market (ATM)"/>
    <m/>
    <s v="Bank Fees &amp; Charges:ATM Fee/From Receipt"/>
    <m/>
    <s v="Split"/>
    <s v="From Receipt"/>
    <x v="32"/>
    <x v="17"/>
    <m/>
    <m/>
    <m/>
    <m/>
    <x v="11"/>
    <x v="0"/>
    <x v="3"/>
    <x v="0"/>
    <x v="0"/>
    <s v="None"/>
    <s v="Bank Fees &amp; Charges|ATM Fee"/>
  </r>
  <r>
    <s v="MasterCard (Capital One)"/>
    <d v="2014-01-28T00:00:00"/>
    <n v="-17.32"/>
    <s v="X"/>
    <s v="Subway"/>
    <s v="2011: SUBWAY 03042314 SEATTLE WA 98133 USA"/>
    <s v="Food &amp; Dining:Restaurants/From Receipt"/>
    <m/>
    <m/>
    <s v="From Receipt"/>
    <x v="15"/>
    <x v="15"/>
    <m/>
    <m/>
    <m/>
    <m/>
    <x v="11"/>
    <x v="0"/>
    <x v="3"/>
    <x v="0"/>
    <x v="0"/>
    <s v="None"/>
    <s v="Food &amp; Dining|Restaurants"/>
  </r>
  <r>
    <s v="First Tech - Checking (5544)"/>
    <d v="2014-01-27T00:00:00"/>
    <n v="-30"/>
    <s v="X"/>
    <s v="Chase  - Autopay"/>
    <s v="ConsumerReports.org (via 1151 account)"/>
    <s v="Subscriptions &amp; Dues"/>
    <m/>
    <m/>
    <m/>
    <x v="33"/>
    <x v="0"/>
    <m/>
    <m/>
    <m/>
    <m/>
    <x v="11"/>
    <x v="0"/>
    <x v="2"/>
    <x v="0"/>
    <x v="0"/>
    <s v="None"/>
    <s v="Subscriptions &amp; Dues"/>
  </r>
  <r>
    <s v="MasterCard (Capital One)"/>
    <d v="2014-01-27T00:00:00"/>
    <n v="-4.26"/>
    <s v="X"/>
    <s v="Mcdonald's"/>
    <s v="2011: MCDONALD'S M7125 OF BELLEVUE WA 98005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MasterCard (Capital One)"/>
    <d v="2014-01-26T00:00:00"/>
    <n v="-8.3800000000000008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26T00:00:00"/>
    <n v="-44.96"/>
    <s v="X"/>
    <s v="Officemax"/>
    <s v="Letter trays, planner, stacking bins ($40.49 from return)"/>
    <s v="Business Expenses (Koolikai):Office Expenses (Business)/From Receipt"/>
    <m/>
    <m/>
    <s v="From Receipt"/>
    <x v="36"/>
    <x v="42"/>
    <m/>
    <m/>
    <m/>
    <m/>
    <x v="11"/>
    <x v="0"/>
    <x v="3"/>
    <x v="0"/>
    <x v="0"/>
    <s v="None"/>
    <s v="Business Expenses (Koolikai)|Office Expenses (Business)"/>
  </r>
  <r>
    <s v="Schwab - Checking (9784)"/>
    <d v="2014-01-25T00:00:00"/>
    <n v="-3.5"/>
    <s v="X"/>
    <s v="Umpqua Bank (ATM)"/>
    <m/>
    <s v="Bank Fees &amp; Charges:ATM Fee"/>
    <m/>
    <s v="Split"/>
    <m/>
    <x v="32"/>
    <x v="17"/>
    <m/>
    <m/>
    <m/>
    <m/>
    <x v="11"/>
    <x v="0"/>
    <x v="3"/>
    <x v="0"/>
    <x v="0"/>
    <s v="None"/>
    <s v="Bank Fees &amp; Charges|ATM Fee"/>
  </r>
  <r>
    <s v="Schwab - Checking (9784)"/>
    <d v="2014-01-25T00:00:00"/>
    <n v="-20"/>
    <s v="X"/>
    <s v="Umpqua Bank (ATM)"/>
    <s v="Not sure about this... on a Sa"/>
    <s v="Kids:Babysitter"/>
    <m/>
    <s v="Split"/>
    <m/>
    <x v="27"/>
    <x v="13"/>
    <m/>
    <m/>
    <m/>
    <m/>
    <x v="11"/>
    <x v="0"/>
    <x v="3"/>
    <x v="0"/>
    <x v="0"/>
    <s v="None"/>
    <s v="Kids|Babysitter"/>
  </r>
  <r>
    <s v="MasterCard (Capital One)"/>
    <d v="2014-01-25T00:00:00"/>
    <n v="-6"/>
    <s v="X"/>
    <s v="Seattle Parks And Recreation"/>
    <s v="Toddler room at Greenlake"/>
    <s v="Kids:Kids Activities/From Receipt"/>
    <m/>
    <m/>
    <s v="From Receipt"/>
    <x v="27"/>
    <x v="12"/>
    <m/>
    <m/>
    <m/>
    <m/>
    <x v="11"/>
    <x v="0"/>
    <x v="3"/>
    <x v="0"/>
    <x v="0"/>
    <s v="None"/>
    <s v="Kids|Kids Activities"/>
  </r>
  <r>
    <s v="MasterCard (Capital One)"/>
    <d v="2014-01-25T00:00:00"/>
    <n v="-44.86"/>
    <s v="X"/>
    <s v="Officemax"/>
    <s v="Receipt holder, and other supplies"/>
    <s v="Business Expenses (Koolikai):Office Expenses (Business)"/>
    <m/>
    <m/>
    <m/>
    <x v="36"/>
    <x v="42"/>
    <m/>
    <m/>
    <m/>
    <m/>
    <x v="11"/>
    <x v="0"/>
    <x v="3"/>
    <x v="0"/>
    <x v="0"/>
    <s v="None"/>
    <s v="Business Expenses (Koolikai)|Office Expenses (Business)"/>
  </r>
  <r>
    <s v="MasterCard (Capital One)"/>
    <d v="2014-01-25T00:00:00"/>
    <n v="-119.88"/>
    <s v="X"/>
    <s v="Fred Meyer"/>
    <s v="2011: FRED-MEYER #0608 SEATTLE WA 98107 USA"/>
    <s v="Food &amp; Dining:Groceries/From Receipt"/>
    <m/>
    <m/>
    <s v="From Receipt"/>
    <x v="15"/>
    <x v="3"/>
    <m/>
    <m/>
    <m/>
    <m/>
    <x v="11"/>
    <x v="0"/>
    <x v="3"/>
    <x v="0"/>
    <x v="0"/>
    <s v="None"/>
    <s v="Food &amp; Dining|Groceries"/>
  </r>
  <r>
    <s v="First Tech - Checking (5544)"/>
    <d v="2014-01-24T00:00:00"/>
    <n v="-510.46"/>
    <s v="X"/>
    <s v="Discover Card"/>
    <s v="ACH Debit--DISCOVER DC PYMNTS DCIDPIINT - E-PAYMENT"/>
    <s v="[Discover Card]"/>
    <m/>
    <m/>
    <m/>
    <x v="24"/>
    <x v="0"/>
    <m/>
    <m/>
    <m/>
    <m/>
    <x v="11"/>
    <x v="0"/>
    <x v="0"/>
    <x v="0"/>
    <x v="0"/>
    <s v="None"/>
    <s v="[Discover Card]"/>
  </r>
  <r>
    <s v="First Tech - Checking (5544)"/>
    <d v="2014-01-24T00:00:00"/>
    <n v="-60"/>
    <s v="X"/>
    <s v="Sue Shoedel"/>
    <s v="Check--"/>
    <s v="Kids:Babysitter"/>
    <n v="2293"/>
    <m/>
    <m/>
    <x v="27"/>
    <x v="13"/>
    <m/>
    <m/>
    <m/>
    <m/>
    <x v="11"/>
    <x v="0"/>
    <x v="3"/>
    <x v="0"/>
    <x v="0"/>
    <s v="None"/>
    <s v="Kids|Babysitter"/>
  </r>
  <r>
    <s v="Koolikai - Checking XX2129"/>
    <d v="2014-01-24T00:00:00"/>
    <n v="-146.54"/>
    <s v="X"/>
    <s v="Chase - Koolikai (Autopay)"/>
    <s v="@BAL:21002.67@"/>
    <s v="[Koolikai Credit Card]"/>
    <m/>
    <m/>
    <m/>
    <x v="9"/>
    <x v="0"/>
    <m/>
    <m/>
    <m/>
    <m/>
    <x v="11"/>
    <x v="0"/>
    <x v="0"/>
    <x v="0"/>
    <x v="0"/>
    <s v="None"/>
    <s v="[Koolikai Credit Card]"/>
  </r>
  <r>
    <s v="MasterCard (Capital One)"/>
    <d v="2014-01-24T00:00:00"/>
    <n v="-36.93"/>
    <s v="X"/>
    <s v="Las Brisas"/>
    <s v="2011: LAS BRISAS INC EDMONDS WA 98020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First Tech - Checking (5544)"/>
    <d v="2014-01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x v="11"/>
    <x v="0"/>
    <x v="3"/>
    <x v="0"/>
    <x v="0"/>
    <s v="None"/>
    <s v="Auto &amp; Transport|Auto Lease Payment"/>
  </r>
  <r>
    <s v="First Tech - Checking (5544)"/>
    <d v="2014-01-23T00:00:00"/>
    <n v="-157.29"/>
    <s v="X"/>
    <s v="American Express (Autopay)"/>
    <m/>
    <s v="[American Express (Costco)]"/>
    <m/>
    <m/>
    <m/>
    <x v="20"/>
    <x v="0"/>
    <m/>
    <m/>
    <m/>
    <m/>
    <x v="11"/>
    <x v="0"/>
    <x v="0"/>
    <x v="0"/>
    <x v="0"/>
    <s v="None"/>
    <s v="[American Express (Costco)]"/>
  </r>
  <r>
    <s v="American Express (Costco)"/>
    <d v="2014-01-23T00:00:00"/>
    <n v="157.29"/>
    <s v="X"/>
    <s v="American Express (Autopay)"/>
    <m/>
    <s v="[First Tech - Checking (5544)]"/>
    <m/>
    <m/>
    <m/>
    <x v="21"/>
    <x v="0"/>
    <m/>
    <m/>
    <m/>
    <m/>
    <x v="11"/>
    <x v="0"/>
    <x v="0"/>
    <x v="0"/>
    <x v="0"/>
    <s v="None"/>
    <s v="[First Tech - Checking (5544)]"/>
  </r>
  <r>
    <s v="Discover Card"/>
    <d v="2014-01-23T00:00:00"/>
    <n v="510.46"/>
    <s v="X"/>
    <s v="Directpay Full Balance"/>
    <m/>
    <s v="[First Tech - Checking (5544)]"/>
    <m/>
    <m/>
    <m/>
    <x v="21"/>
    <x v="0"/>
    <m/>
    <m/>
    <m/>
    <m/>
    <x v="11"/>
    <x v="0"/>
    <x v="0"/>
    <x v="0"/>
    <x v="0"/>
    <s v="None"/>
    <s v="[First Tech - Checking (5544)]"/>
  </r>
  <r>
    <s v="Koolikai Credit Card"/>
    <d v="2014-01-23T00:00:00"/>
    <n v="146.54"/>
    <s v="X"/>
    <s v="Automatic Payment - Thank"/>
    <s v="@BAL:-146.54@"/>
    <s v="[Koolikai - Checking XX2129]"/>
    <m/>
    <m/>
    <m/>
    <x v="25"/>
    <x v="0"/>
    <m/>
    <m/>
    <m/>
    <m/>
    <x v="11"/>
    <x v="0"/>
    <x v="0"/>
    <x v="0"/>
    <x v="0"/>
    <s v="None"/>
    <s v="[Koolikai - Checking XX2129]"/>
  </r>
  <r>
    <s v="MasterCard (Capital One)"/>
    <d v="2014-01-23T00:00:00"/>
    <n v="-23.9"/>
    <s v="X"/>
    <s v="Portage Bay Cafe"/>
    <s v="2011: PORTAGE BAY CAFE AN SEATTLE WA 98109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First Tech - Checking (5544)"/>
    <d v="2014-01-22T00:00:00"/>
    <n v="-27.88"/>
    <s v="X"/>
    <s v="Liberty Mutual (Umbrella)"/>
    <s v="ACH Debit--LIBERTY MUTUAL  - PAYMENT"/>
    <s v="Bills &amp; Utilities:Insurance (Umbrella)"/>
    <m/>
    <m/>
    <m/>
    <x v="34"/>
    <x v="67"/>
    <m/>
    <m/>
    <m/>
    <m/>
    <x v="11"/>
    <x v="0"/>
    <x v="3"/>
    <x v="0"/>
    <x v="0"/>
    <s v="None"/>
    <s v="Bills &amp; Utilities|Insurance (Umbrella)"/>
  </r>
  <r>
    <s v="Discover Card"/>
    <d v="2014-01-22T00:00:00"/>
    <n v="-90"/>
    <s v="X"/>
    <s v="Aaa"/>
    <s v="AAA Membership"/>
    <s v="Auto &amp; Transport:Auto Insurance"/>
    <m/>
    <m/>
    <m/>
    <x v="17"/>
    <x v="68"/>
    <m/>
    <m/>
    <m/>
    <m/>
    <x v="11"/>
    <x v="0"/>
    <x v="2"/>
    <x v="0"/>
    <x v="0"/>
    <s v="None"/>
    <s v="Auto &amp; Transport|Auto Insurance"/>
  </r>
  <r>
    <s v="MasterCard (Capital One)"/>
    <d v="2014-01-22T00:00:00"/>
    <n v="25"/>
    <s v="X"/>
    <s v="Capital One (Cash Back)"/>
    <s v="2011: CREDIT-CASH BACK REWARD"/>
    <s v="Other Inc"/>
    <m/>
    <m/>
    <m/>
    <x v="29"/>
    <x v="0"/>
    <m/>
    <m/>
    <m/>
    <m/>
    <x v="11"/>
    <x v="0"/>
    <x v="3"/>
    <x v="0"/>
    <x v="0"/>
    <s v="None"/>
    <s v="Other Inc"/>
  </r>
  <r>
    <s v="MasterCard (Capital One)"/>
    <d v="2014-01-22T00:00:00"/>
    <n v="-15.09"/>
    <s v="X"/>
    <s v="Taqueria Guaymas"/>
    <s v="2011: TAQUERIA GUAYMAS SEATTLE WA 98103 USA"/>
    <s v="Food &amp; Dining:Restaurants/From Receipt"/>
    <m/>
    <m/>
    <s v="From Receipt"/>
    <x v="15"/>
    <x v="15"/>
    <m/>
    <m/>
    <m/>
    <m/>
    <x v="11"/>
    <x v="0"/>
    <x v="3"/>
    <x v="0"/>
    <x v="0"/>
    <s v="None"/>
    <s v="Food &amp; Dining|Restaurants"/>
  </r>
  <r>
    <s v="MasterCard (Capital One)"/>
    <d v="2014-01-22T00:00:00"/>
    <n v="-27"/>
    <s v="X"/>
    <s v="Taproot Theatre Co"/>
    <s v="2011: TAPROOT THEATRE SEATTLE WA 98103 USA"/>
    <s v="Entertainment"/>
    <m/>
    <m/>
    <m/>
    <x v="30"/>
    <x v="0"/>
    <m/>
    <m/>
    <m/>
    <m/>
    <x v="11"/>
    <x v="0"/>
    <x v="3"/>
    <x v="0"/>
    <x v="0"/>
    <s v="None"/>
    <s v="Entertainment"/>
  </r>
  <r>
    <s v="First Tech - Checking (5544)"/>
    <d v="2014-01-21T00:00:00"/>
    <n v="-100"/>
    <s v="X"/>
    <s v="Eurest"/>
    <s v="ATM Withdrawal--FIRST TECH 5854 154TH PL NE       REDMOND      W"/>
    <s v="Food &amp; Dining:Restaurants/From Receipt"/>
    <m/>
    <m/>
    <s v="From Receipt"/>
    <x v="15"/>
    <x v="15"/>
    <m/>
    <m/>
    <m/>
    <m/>
    <x v="11"/>
    <x v="0"/>
    <x v="3"/>
    <x v="0"/>
    <x v="0"/>
    <s v="None"/>
    <s v="Food &amp; Dining|Restaurants"/>
  </r>
  <r>
    <s v="First Tech - Checking (5544)"/>
    <d v="2014-01-21T00:00:00"/>
    <n v="-105"/>
    <s v="X"/>
    <s v="Cleaning Authority, The"/>
    <s v="ACH Debit--THE CLEANING AUT  - ONLINE PMT"/>
    <s v="Home:Home Services"/>
    <m/>
    <m/>
    <m/>
    <x v="14"/>
    <x v="46"/>
    <m/>
    <m/>
    <m/>
    <m/>
    <x v="11"/>
    <x v="0"/>
    <x v="3"/>
    <x v="0"/>
    <x v="0"/>
    <s v="None"/>
    <s v="Home|Home Services"/>
  </r>
  <r>
    <s v="MasterCard (Capital One)"/>
    <d v="2014-01-20T00:00:00"/>
    <n v="-5.37"/>
    <s v="X"/>
    <s v="Safeway"/>
    <s v="2011: SAFEWAY STORE00011437 SEATTLE WA 98117 USA"/>
    <s v="Food &amp; Dining:Groceries/From Receipt"/>
    <m/>
    <m/>
    <s v="From Receipt"/>
    <x v="15"/>
    <x v="3"/>
    <m/>
    <m/>
    <m/>
    <m/>
    <x v="11"/>
    <x v="0"/>
    <x v="3"/>
    <x v="0"/>
    <x v="0"/>
    <s v="None"/>
    <s v="Food &amp; Dining|Groceries"/>
  </r>
  <r>
    <s v="MasterCard (Capital One)"/>
    <d v="2014-01-20T00:00:00"/>
    <n v="-1516.19"/>
    <s v="X"/>
    <s v="Columbus 004"/>
    <s v="Growth hormone"/>
    <s v="Health &amp; Fitness:Pharmacy"/>
    <m/>
    <m/>
    <m/>
    <x v="18"/>
    <x v="38"/>
    <m/>
    <m/>
    <m/>
    <m/>
    <x v="11"/>
    <x v="0"/>
    <x v="4"/>
    <x v="0"/>
    <x v="0"/>
    <s v="None"/>
    <s v="Health &amp; Fitness|Pharmacy"/>
  </r>
  <r>
    <s v="MasterCard (Capital One)"/>
    <d v="2014-01-19T00:00:00"/>
    <n v="-18.329999999999998"/>
    <s v="X"/>
    <s v="Oliver Twist Seattle"/>
    <s v="2011: OLIVER'S TWIST SEATTLE WA 98103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MasterCard (Capital One)"/>
    <d v="2014-01-19T00:00:00"/>
    <n v="-19.7"/>
    <s v="X"/>
    <s v="Pacific Science Center The"/>
    <s v="Marble Run  28pc"/>
    <s v="Gifts/From Receipt"/>
    <m/>
    <m/>
    <s v="From Receipt"/>
    <x v="28"/>
    <x v="0"/>
    <m/>
    <m/>
    <m/>
    <m/>
    <x v="11"/>
    <x v="0"/>
    <x v="3"/>
    <x v="0"/>
    <x v="0"/>
    <s v="None"/>
    <s v="Gifts"/>
  </r>
  <r>
    <s v="Koolikai - Checking XX2129"/>
    <d v="2014-01-18T00:00:00"/>
    <n v="11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x v="11"/>
    <x v="0"/>
    <x v="3"/>
    <x v="0"/>
    <x v="0"/>
    <s v="None"/>
    <s v="Business Income (Koolikai)|Rent"/>
  </r>
  <r>
    <s v="MasterCard (Capital One)"/>
    <d v="2014-01-18T00:00:00"/>
    <n v="49.26"/>
    <s v="X"/>
    <s v="Clarks Store"/>
    <s v="2011: CLARKS STORE #542 LYNNWOOD WA 98037 USA"/>
    <s v="Shopping:Clothing/From Receipt"/>
    <m/>
    <m/>
    <s v="From Receipt"/>
    <x v="13"/>
    <x v="1"/>
    <m/>
    <m/>
    <m/>
    <m/>
    <x v="11"/>
    <x v="0"/>
    <x v="2"/>
    <x v="0"/>
    <x v="0"/>
    <s v="None"/>
    <s v="Shopping|Clothing"/>
  </r>
  <r>
    <s v="MasterCard (Capital One)"/>
    <d v="2014-01-18T00:00:00"/>
    <n v="-0.5"/>
    <s v="X"/>
    <s v="Msft Account Wa"/>
    <s v="Account validation"/>
    <s v="Shopping:Electronics &amp; Software"/>
    <m/>
    <m/>
    <m/>
    <x v="13"/>
    <x v="20"/>
    <m/>
    <m/>
    <m/>
    <m/>
    <x v="11"/>
    <x v="0"/>
    <x v="2"/>
    <x v="0"/>
    <x v="0"/>
    <s v="None"/>
    <s v="Shopping|Electronics &amp; Software"/>
  </r>
  <r>
    <s v="MasterCard (Capital One)"/>
    <d v="2014-01-18T00:00:00"/>
    <n v="-2.4900000000000002"/>
    <s v="X"/>
    <s v="Seattle Park Seattle"/>
    <s v="2011: SEATTLE 684-PARK SEATTLE WA 98104 USA"/>
    <s v="Auto &amp; Transport:Parking"/>
    <m/>
    <m/>
    <m/>
    <x v="17"/>
    <x v="11"/>
    <m/>
    <m/>
    <m/>
    <m/>
    <x v="11"/>
    <x v="0"/>
    <x v="3"/>
    <x v="0"/>
    <x v="0"/>
    <s v="None"/>
    <s v="Auto &amp; Transport|Parking"/>
  </r>
  <r>
    <s v="MasterCard (Capital One)"/>
    <d v="2014-01-18T00:00:00"/>
    <n v="-4.1100000000000003"/>
    <s v="X"/>
    <s v="Fred Meyer"/>
    <s v="2011: FRED-MEYER #0122 SEATTLE WA 98117 USA"/>
    <s v="Kids:Clothing/From Receipt"/>
    <m/>
    <m/>
    <s v="From Receipt"/>
    <x v="27"/>
    <x v="1"/>
    <m/>
    <m/>
    <m/>
    <m/>
    <x v="11"/>
    <x v="0"/>
    <x v="3"/>
    <x v="0"/>
    <x v="0"/>
    <s v="None"/>
    <s v="Kids|Clothing"/>
  </r>
  <r>
    <s v="MasterCard (Capital One)"/>
    <d v="2014-01-18T00:00:00"/>
    <n v="-102.42"/>
    <s v="X"/>
    <s v="Fred Meyer"/>
    <s v="2011: FRED-MEYER #0122 SEATTLE WA 98117 USA"/>
    <s v="Food &amp; Dining:Groceries/From Receipt"/>
    <m/>
    <m/>
    <s v="From Receipt"/>
    <x v="15"/>
    <x v="3"/>
    <m/>
    <m/>
    <m/>
    <m/>
    <x v="11"/>
    <x v="0"/>
    <x v="3"/>
    <x v="0"/>
    <x v="0"/>
    <s v="None"/>
    <s v="Food &amp; Dining|Groceries"/>
  </r>
  <r>
    <s v="MasterCard (Capital One)"/>
    <d v="2014-01-18T00:00:00"/>
    <n v="-244.77"/>
    <s v="X"/>
    <s v="El Gaucho"/>
    <s v="2011: EL GAUCHO SEATTLE WA 98121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First Tech - Checking (5544)"/>
    <d v="2014-01-17T00:00:00"/>
    <n v="159.56"/>
    <s v="X"/>
    <s v="Premera Funding  - Cyc-claims"/>
    <s v="ACH Deposit--PREMERA FUNDING  - CYC-CLAIMS"/>
    <s v="[Premera Health Care Payment]"/>
    <m/>
    <m/>
    <m/>
    <x v="42"/>
    <x v="0"/>
    <m/>
    <m/>
    <m/>
    <m/>
    <x v="11"/>
    <x v="0"/>
    <x v="0"/>
    <x v="0"/>
    <x v="0"/>
    <s v="None"/>
    <s v="[Premera Health Care Payment]"/>
  </r>
  <r>
    <s v="MasterCard (Capital One)"/>
    <d v="2014-01-17T00:00:00"/>
    <n v="-2.73"/>
    <s v="X"/>
    <s v="Windows"/>
    <s v="Phonos"/>
    <s v="Shopping:Electronics &amp; Software"/>
    <m/>
    <m/>
    <m/>
    <x v="13"/>
    <x v="20"/>
    <m/>
    <m/>
    <m/>
    <m/>
    <x v="11"/>
    <x v="0"/>
    <x v="2"/>
    <x v="0"/>
    <x v="0"/>
    <s v="None"/>
    <s v="Shopping|Electronics &amp; Software"/>
  </r>
  <r>
    <s v="MasterCard (Capital One)"/>
    <d v="2014-01-17T00:00:00"/>
    <n v="-3.99"/>
    <s v="X"/>
    <s v="Fred Meyer"/>
    <s v="Vegetable tray"/>
    <s v="Food &amp; Dining:Groceries/From Receipt"/>
    <m/>
    <m/>
    <s v="From Receipt"/>
    <x v="15"/>
    <x v="3"/>
    <m/>
    <m/>
    <m/>
    <m/>
    <x v="11"/>
    <x v="0"/>
    <x v="3"/>
    <x v="0"/>
    <x v="0"/>
    <s v="None"/>
    <s v="Food &amp; Dining|Groceries"/>
  </r>
  <r>
    <s v="MasterCard (Capital One)"/>
    <d v="2014-01-17T00:00:00"/>
    <n v="-275.91000000000003"/>
    <s v="X"/>
    <s v="Sears"/>
    <s v="Refrigerator repair"/>
    <s v="Business Expenses (Koolikai):Repairs/7231"/>
    <m/>
    <m/>
    <n v="7231"/>
    <x v="36"/>
    <x v="41"/>
    <m/>
    <m/>
    <m/>
    <m/>
    <x v="11"/>
    <x v="0"/>
    <x v="4"/>
    <x v="0"/>
    <x v="0"/>
    <s v="None"/>
    <s v="Business Expenses (Koolikai)|Repairs"/>
  </r>
  <r>
    <s v="Premera Health Care Payment"/>
    <d v="2014-01-17T00:00:00"/>
    <n v="-159.56"/>
    <m/>
    <s v="Premera Funding  - Cyc-claims"/>
    <s v="ACH Deposit--PREMERA FUNDING  - CYC-CLAIMS"/>
    <s v="[First Tech - Checking (5544)]"/>
    <m/>
    <m/>
    <m/>
    <x v="21"/>
    <x v="0"/>
    <m/>
    <m/>
    <m/>
    <m/>
    <x v="11"/>
    <x v="0"/>
    <x v="0"/>
    <x v="0"/>
    <x v="0"/>
    <s v="None"/>
    <s v="[First Tech - Checking (5544)]"/>
  </r>
  <r>
    <s v="Capital One - Long Term Emergency (1201)"/>
    <d v="2014-01-16T00:00:00"/>
    <n v="25.31"/>
    <s v="X"/>
    <s v="Quarterly Bonus"/>
    <m/>
    <s v="Interest Income"/>
    <m/>
    <m/>
    <m/>
    <x v="40"/>
    <x v="0"/>
    <m/>
    <m/>
    <m/>
    <m/>
    <x v="11"/>
    <x v="0"/>
    <x v="3"/>
    <x v="0"/>
    <x v="0"/>
    <s v="None"/>
    <s v="Interest Income"/>
  </r>
  <r>
    <s v="MasterCard (Capital One)"/>
    <d v="2014-01-16T00:00:00"/>
    <n v="-4.29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16T00:00:00"/>
    <n v="-9.1300000000000008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15T00:00:00"/>
    <n v="-25"/>
    <s v="X"/>
    <s v="Chargepoint"/>
    <s v="2011: CHARGEPOINT, INC 04083703802 CA 95008 USA"/>
    <s v="Auto &amp; Transport:Gas &amp; Fuel"/>
    <m/>
    <m/>
    <m/>
    <x v="17"/>
    <x v="37"/>
    <m/>
    <m/>
    <m/>
    <m/>
    <x v="11"/>
    <x v="0"/>
    <x v="3"/>
    <x v="0"/>
    <x v="0"/>
    <s v="None"/>
    <s v="Auto &amp; Transport|Gas &amp; Fuel"/>
  </r>
  <r>
    <s v="First Tech - Checking (5544)"/>
    <d v="2014-01-14T00:00:00"/>
    <n v="3165.19"/>
    <s v="X"/>
    <s v="Microsoft (Paystub)"/>
    <s v="ACH Deposit--MICROSOFT  - EDIPAYMENT"/>
    <s v="Net Salary"/>
    <m/>
    <m/>
    <m/>
    <x v="35"/>
    <x v="0"/>
    <m/>
    <m/>
    <m/>
    <m/>
    <x v="11"/>
    <x v="0"/>
    <x v="3"/>
    <x v="0"/>
    <x v="0"/>
    <s v="None"/>
    <s v="Net Salary"/>
  </r>
  <r>
    <s v="First Tech - Checking (5544)"/>
    <d v="2014-01-14T00:00:00"/>
    <n v="-156.19999999999999"/>
    <s v="X"/>
    <s v="Puget Sound Energy"/>
    <s v="ACH Debit--PUGET SOUND ENER DIRECT DEBITING - PSE BILL  12502672"/>
    <s v="Bills &amp; Utilities:Utilities"/>
    <m/>
    <m/>
    <m/>
    <x v="34"/>
    <x v="18"/>
    <m/>
    <m/>
    <m/>
    <m/>
    <x v="11"/>
    <x v="0"/>
    <x v="3"/>
    <x v="0"/>
    <x v="0"/>
    <s v="None"/>
    <s v="Bills &amp; Utilities|Utilities"/>
  </r>
  <r>
    <s v="MasterCard (Capital One)"/>
    <d v="2014-01-14T00:00:00"/>
    <n v="25"/>
    <s v="X"/>
    <s v="Capital One (Cash Back)"/>
    <s v="2011: CREDIT-CASH BACK REWARD"/>
    <s v="Other Inc"/>
    <m/>
    <m/>
    <m/>
    <x v="29"/>
    <x v="0"/>
    <m/>
    <m/>
    <m/>
    <m/>
    <x v="11"/>
    <x v="0"/>
    <x v="3"/>
    <x v="0"/>
    <x v="0"/>
    <s v="None"/>
    <s v="Other Inc"/>
  </r>
  <r>
    <s v="MasterCard (Capital One)"/>
    <d v="2014-01-14T00:00:00"/>
    <n v="-50"/>
    <s v="X"/>
    <s v="Good To Go"/>
    <s v="2011: GOOD2GO REPLENISHMENT 08669368246 WA 98105 USA"/>
    <s v="Auto &amp; Transport:Tolls"/>
    <m/>
    <m/>
    <m/>
    <x v="17"/>
    <x v="40"/>
    <m/>
    <m/>
    <m/>
    <m/>
    <x v="11"/>
    <x v="0"/>
    <x v="4"/>
    <x v="0"/>
    <x v="0"/>
    <s v="None"/>
    <s v="Auto &amp; Transport|Tolls"/>
  </r>
  <r>
    <s v="First Tech - Checking (5544)"/>
    <d v="2014-01-13T00:00:00"/>
    <n v="-118.52"/>
    <s v="X"/>
    <s v="Seattle City Light"/>
    <s v="ACH Debit--CITY OF SEATTLE  - 1 - SCL De"/>
    <s v="Bills &amp; Utilities:Utilities"/>
    <m/>
    <m/>
    <m/>
    <x v="34"/>
    <x v="18"/>
    <m/>
    <m/>
    <m/>
    <m/>
    <x v="11"/>
    <x v="0"/>
    <x v="3"/>
    <x v="0"/>
    <x v="0"/>
    <s v="None"/>
    <s v="Bills &amp; Utilities|Utilities"/>
  </r>
  <r>
    <s v="American Express (Costco)"/>
    <d v="2014-01-13T00:00:00"/>
    <n v="199.99"/>
    <s v="X"/>
    <s v="Costco Whse Seattle"/>
    <s v="Returned lift tickets"/>
    <s v="Health &amp; Fitness:Sports/From Receipt"/>
    <m/>
    <m/>
    <s v="From Receipt"/>
    <x v="18"/>
    <x v="23"/>
    <m/>
    <m/>
    <m/>
    <m/>
    <x v="11"/>
    <x v="0"/>
    <x v="4"/>
    <x v="0"/>
    <x v="0"/>
    <s v="None"/>
    <s v="Health &amp; Fitness|Sports"/>
  </r>
  <r>
    <s v="American Express (Costco)"/>
    <d v="2014-01-13T00:00:00"/>
    <n v="-160"/>
    <s v="X"/>
    <s v="Costco"/>
    <s v="015317000   2065460480"/>
    <s v="Personal Care:Spa &amp; Massage/From Receipt"/>
    <m/>
    <s v="Split"/>
    <s v="From Receipt"/>
    <x v="31"/>
    <x v="70"/>
    <m/>
    <m/>
    <m/>
    <m/>
    <x v="11"/>
    <x v="0"/>
    <x v="4"/>
    <x v="0"/>
    <x v="0"/>
    <s v="None"/>
    <s v="Personal Care|Spa &amp; Massage"/>
  </r>
  <r>
    <s v="American Express (Costco)"/>
    <d v="2014-01-13T00:00:00"/>
    <n v="-90.3"/>
    <s v="X"/>
    <s v="Costco"/>
    <m/>
    <s v="Food &amp; Dining:Groceries/From Receipt"/>
    <m/>
    <s v="Split"/>
    <s v="From Receipt"/>
    <x v="15"/>
    <x v="3"/>
    <m/>
    <m/>
    <m/>
    <m/>
    <x v="11"/>
    <x v="0"/>
    <x v="3"/>
    <x v="0"/>
    <x v="0"/>
    <s v="None"/>
    <s v="Food &amp; Dining|Groceries"/>
  </r>
  <r>
    <s v="MasterCard (Capital One)"/>
    <d v="2014-01-13T00:00:00"/>
    <n v="-6.5"/>
    <s v="X"/>
    <s v="Amc"/>
    <s v="2011: AMC ALDERWOOD 16 #2629 LYNNWOOD WA 98037 USA"/>
    <s v="Entertainment:Movies &amp; DVDs/From Receipt"/>
    <m/>
    <m/>
    <s v="From Receipt"/>
    <x v="30"/>
    <x v="43"/>
    <m/>
    <m/>
    <m/>
    <m/>
    <x v="11"/>
    <x v="0"/>
    <x v="6"/>
    <x v="0"/>
    <x v="0"/>
    <s v="None"/>
    <s v="Entertainment|Movies &amp; DVDs"/>
  </r>
  <r>
    <s v="MasterCard (Capital One)"/>
    <d v="2014-01-13T00:00:00"/>
    <n v="-8.42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13T00:00:00"/>
    <n v="-22.44"/>
    <s v="X"/>
    <s v="Portage Bay Cafe"/>
    <s v="2011: PORTAGE BAY CAFE &amp; SEATTLE WA 98107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MasterCard (Capital One)"/>
    <d v="2014-01-13T00:00:00"/>
    <n v="-62.37"/>
    <s v="X"/>
    <s v="Clarks Store"/>
    <s v="2011: CLARKS STORE #542 LYNNWOOD WA 98037 USA"/>
    <s v="Shopping:Clothing/From Receipt"/>
    <m/>
    <m/>
    <s v="From Receipt"/>
    <x v="13"/>
    <x v="1"/>
    <m/>
    <m/>
    <m/>
    <m/>
    <x v="11"/>
    <x v="0"/>
    <x v="2"/>
    <x v="0"/>
    <x v="0"/>
    <s v="None"/>
    <s v="Shopping|Clothing"/>
  </r>
  <r>
    <s v="MasterCard (Capital One)"/>
    <d v="2014-01-13T00:00:00"/>
    <n v="-188.19"/>
    <s v="X"/>
    <s v="Dsw Designer Shoe Warehouse"/>
    <s v="2011: DSW SEATTLE WA 98125 USA"/>
    <s v="Shopping:Clothing/From Receipt"/>
    <m/>
    <m/>
    <s v="From Receipt"/>
    <x v="13"/>
    <x v="1"/>
    <m/>
    <m/>
    <m/>
    <m/>
    <x v="11"/>
    <x v="0"/>
    <x v="2"/>
    <x v="0"/>
    <x v="0"/>
    <s v="None"/>
    <s v="Shopping|Clothing"/>
  </r>
  <r>
    <s v="First Tech - Checking (5544)"/>
    <d v="2014-01-12T00:00:00"/>
    <n v="19.75"/>
    <s v="X"/>
    <s v="UW Medical Center"/>
    <s v="Duplicate charge?"/>
    <s v="Health &amp; Fitness:Doctor"/>
    <m/>
    <m/>
    <m/>
    <x v="18"/>
    <x v="56"/>
    <m/>
    <m/>
    <m/>
    <m/>
    <x v="11"/>
    <x v="0"/>
    <x v="4"/>
    <x v="0"/>
    <x v="0"/>
    <s v="None"/>
    <s v="Health &amp; Fitness|Doctor"/>
  </r>
  <r>
    <s v="First Tech - Checking (5544)"/>
    <d v="2014-01-12T00:00:00"/>
    <n v="61.66"/>
    <s v="X"/>
    <s v="Children's University Medical Group"/>
    <s v="Duplicate opthamology charge"/>
    <s v="Health &amp; Fitness:Doctor"/>
    <m/>
    <m/>
    <m/>
    <x v="18"/>
    <x v="56"/>
    <m/>
    <m/>
    <m/>
    <m/>
    <x v="11"/>
    <x v="0"/>
    <x v="4"/>
    <x v="0"/>
    <x v="0"/>
    <s v="None"/>
    <s v="Health &amp; Fitness|Doctor"/>
  </r>
  <r>
    <s v="Koolikai Credit Card"/>
    <d v="2014-01-12T00:00:00"/>
    <n v="-146.54"/>
    <s v="X"/>
    <s v="Verizon Wireless"/>
    <m/>
    <s v="Business Expenses (Koolikai):Cell Phone"/>
    <m/>
    <m/>
    <m/>
    <x v="36"/>
    <x v="22"/>
    <m/>
    <m/>
    <m/>
    <m/>
    <x v="11"/>
    <x v="0"/>
    <x v="3"/>
    <x v="0"/>
    <x v="0"/>
    <s v="None"/>
    <s v="Business Expenses (Koolikai)|Cell Phone"/>
  </r>
  <r>
    <s v="MasterCard (Capital One)"/>
    <d v="2014-01-12T00:00:00"/>
    <n v="1.68"/>
    <s v="X"/>
    <s v="Microsoft Code Msbill"/>
    <s v="Free app?"/>
    <s v="Shopping:Electronics &amp; Software"/>
    <m/>
    <m/>
    <m/>
    <x v="13"/>
    <x v="20"/>
    <m/>
    <m/>
    <m/>
    <m/>
    <x v="11"/>
    <x v="0"/>
    <x v="2"/>
    <x v="0"/>
    <x v="0"/>
    <s v="None"/>
    <s v="Shopping|Electronics &amp; Software"/>
  </r>
  <r>
    <s v="MasterCard (Capital One)"/>
    <d v="2014-01-12T00:00:00"/>
    <n v="-1.55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11T00:00:00"/>
    <n v="-4.33"/>
    <s v="X"/>
    <s v="Target"/>
    <s v="Cards for Angela's birthday"/>
    <s v="Gifts/From Receipt"/>
    <m/>
    <m/>
    <s v="From Receipt"/>
    <x v="28"/>
    <x v="0"/>
    <m/>
    <m/>
    <m/>
    <m/>
    <x v="11"/>
    <x v="0"/>
    <x v="3"/>
    <x v="0"/>
    <x v="0"/>
    <s v="None"/>
    <s v="Gifts"/>
  </r>
  <r>
    <s v="MasterCard (Capital One)"/>
    <d v="2014-01-11T00:00:00"/>
    <n v="-6"/>
    <s v="X"/>
    <s v="Seattle Park Seattle"/>
    <s v="2011: SEATTLE 684-PARK SEATTLE WA 98104 USA"/>
    <s v="Auto &amp; Transport:Parking"/>
    <m/>
    <m/>
    <m/>
    <x v="17"/>
    <x v="11"/>
    <m/>
    <m/>
    <m/>
    <m/>
    <x v="11"/>
    <x v="0"/>
    <x v="3"/>
    <x v="0"/>
    <x v="0"/>
    <s v="None"/>
    <s v="Auto &amp; Transport|Parking"/>
  </r>
  <r>
    <s v="MasterCard (Capital One)"/>
    <d v="2014-01-11T00:00:00"/>
    <n v="-17.52"/>
    <s v="X"/>
    <s v="Barnes &amp; Noble"/>
    <s v="Nurture Shock"/>
    <s v="Shopping:Books/From Receipt"/>
    <m/>
    <m/>
    <s v="From Receipt"/>
    <x v="13"/>
    <x v="51"/>
    <m/>
    <m/>
    <m/>
    <m/>
    <x v="11"/>
    <x v="0"/>
    <x v="6"/>
    <x v="0"/>
    <x v="0"/>
    <s v="None"/>
    <s v="Shopping|Books"/>
  </r>
  <r>
    <s v="MasterCard (Capital One)"/>
    <d v="2014-01-11T00:00:00"/>
    <n v="-20.75"/>
    <s v="X"/>
    <s v="Third Place Books"/>
    <s v="Nurture Shock"/>
    <s v="Shopping:Books/From Receipt"/>
    <m/>
    <m/>
    <s v="From Receipt"/>
    <x v="13"/>
    <x v="51"/>
    <m/>
    <m/>
    <m/>
    <m/>
    <x v="11"/>
    <x v="0"/>
    <x v="6"/>
    <x v="0"/>
    <x v="0"/>
    <s v="None"/>
    <s v="Shopping|Books"/>
  </r>
  <r>
    <s v="MasterCard (Capital One)"/>
    <d v="2014-01-11T00:00:00"/>
    <n v="-79.709999999999994"/>
    <s v="X"/>
    <s v="The Hi-life Restaurant"/>
    <s v="2011: THEHILIFE SEATTLE WA 98107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MasterCard (Capital One)"/>
    <d v="2014-01-11T00:00:00"/>
    <n v="-144.49"/>
    <s v="X"/>
    <s v="Fred Meyer"/>
    <s v="2011: FRED-MEYER #0122 SEATTLE WA 98117 USA"/>
    <s v="Food &amp; Dining:Groceries/From Receipt"/>
    <m/>
    <m/>
    <s v="From Receipt"/>
    <x v="15"/>
    <x v="3"/>
    <m/>
    <m/>
    <m/>
    <m/>
    <x v="11"/>
    <x v="0"/>
    <x v="3"/>
    <x v="0"/>
    <x v="0"/>
    <s v="None"/>
    <s v="Food &amp; Dining|Groceries"/>
  </r>
  <r>
    <s v="MasterCard (Capital One)"/>
    <d v="2014-01-10T00:00:00"/>
    <n v="-5.95"/>
    <s v="X"/>
    <s v="Eurest"/>
    <s v="2011: CAFE 50 11097474 REMOND WA 98052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MasterCard (Capital One)"/>
    <d v="2014-01-10T00:00:00"/>
    <n v="-18.07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First Tech - Checking (5544)"/>
    <d v="2014-01-08T00:00:00"/>
    <n v="-42.62"/>
    <s v="X"/>
    <s v="Target Card Srvc 001 - Auto Pymt"/>
    <s v="ACH Debit--TARGET CARD SRVC 001 - AUTO PYMT"/>
    <s v="[Target Red Card]"/>
    <m/>
    <m/>
    <m/>
    <x v="12"/>
    <x v="0"/>
    <m/>
    <m/>
    <m/>
    <m/>
    <x v="11"/>
    <x v="0"/>
    <x v="0"/>
    <x v="0"/>
    <x v="0"/>
    <s v="None"/>
    <s v="[Target Red Card]"/>
  </r>
  <r>
    <s v="First Tech - Checking (5544)"/>
    <d v="2014-01-07T00:00:00"/>
    <n v="-3574.88"/>
    <s v="X"/>
    <s v="Wells Fargo Home Mortgage"/>
    <s v="Mortgage for 7015"/>
    <s v="Home:Mortgage"/>
    <m/>
    <m/>
    <m/>
    <x v="14"/>
    <x v="27"/>
    <m/>
    <m/>
    <m/>
    <m/>
    <x v="11"/>
    <x v="0"/>
    <x v="3"/>
    <x v="0"/>
    <x v="0"/>
    <s v="None"/>
    <s v="Home|Mortgage"/>
  </r>
  <r>
    <s v="MasterCard (Capital One)"/>
    <d v="2014-01-07T00:00:00"/>
    <n v="-1.68"/>
    <s v="X"/>
    <s v="Msft Code Msbill"/>
    <s v="Free App?  Refunded later"/>
    <s v="Shopping:Electronics &amp; Software"/>
    <m/>
    <m/>
    <m/>
    <x v="13"/>
    <x v="20"/>
    <m/>
    <m/>
    <m/>
    <m/>
    <x v="11"/>
    <x v="0"/>
    <x v="2"/>
    <x v="0"/>
    <x v="0"/>
    <s v="None"/>
    <s v="Shopping|Electronics &amp; Software"/>
  </r>
  <r>
    <s v="MasterCard (Capital One)"/>
    <d v="2014-01-07T00:00:00"/>
    <n v="-6"/>
    <s v="X"/>
    <s v="Premier Parking"/>
    <s v="2011: PREMIER PARKING MARION NASHVILLE TN 372093602 USA"/>
    <s v="Auto &amp; Transport:Parking/From Receipt"/>
    <m/>
    <m/>
    <s v="From Receipt"/>
    <x v="17"/>
    <x v="11"/>
    <m/>
    <m/>
    <m/>
    <m/>
    <x v="11"/>
    <x v="0"/>
    <x v="3"/>
    <x v="0"/>
    <x v="0"/>
    <s v="None"/>
    <s v="Auto &amp; Transport|Parking"/>
  </r>
  <r>
    <s v="MasterCard (Capital One)"/>
    <d v="2014-01-07T00:00:00"/>
    <n v="-7.34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07T00:00:00"/>
    <n v="-14.64"/>
    <s v="X"/>
    <s v="Diamond Parking"/>
    <s v="2011: DIAMOND PARKING A096 SEATTLE WA 98101 USA"/>
    <s v="Auto &amp; Transport:Parking"/>
    <m/>
    <m/>
    <m/>
    <x v="17"/>
    <x v="11"/>
    <m/>
    <m/>
    <m/>
    <m/>
    <x v="11"/>
    <x v="0"/>
    <x v="3"/>
    <x v="0"/>
    <x v="0"/>
    <s v="None"/>
    <s v="Auto &amp; Transport|Parking"/>
  </r>
  <r>
    <s v="MasterCard (Capital One)"/>
    <d v="2014-01-06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x v="11"/>
    <x v="0"/>
    <x v="3"/>
    <x v="0"/>
    <x v="0"/>
    <s v="None"/>
    <s v="Auto &amp; Transport|Parking"/>
  </r>
  <r>
    <s v="Target Red Card"/>
    <d v="2014-01-06T00:00:00"/>
    <n v="42.62"/>
    <s v="X"/>
    <s v="Target (Autopay)"/>
    <s v="@BAL:$491.36@"/>
    <s v="[First Tech - Checking (5544)]"/>
    <m/>
    <m/>
    <m/>
    <x v="21"/>
    <x v="0"/>
    <m/>
    <m/>
    <m/>
    <m/>
    <x v="11"/>
    <x v="0"/>
    <x v="0"/>
    <x v="0"/>
    <x v="0"/>
    <s v="None"/>
    <s v="[First Tech - Checking (5544)]"/>
  </r>
  <r>
    <s v="Koolikai - Checking XX2129"/>
    <d v="2014-01-05T00:00:00"/>
    <n v="100"/>
    <s v="X"/>
    <s v="Aaron Ausland"/>
    <s v="Repayment of water/sewer"/>
    <s v="Business Expenses (Koolikai):Utilities (Business)/7231"/>
    <m/>
    <s v="Split"/>
    <n v="7231"/>
    <x v="36"/>
    <x v="63"/>
    <m/>
    <m/>
    <m/>
    <m/>
    <x v="11"/>
    <x v="0"/>
    <x v="3"/>
    <x v="0"/>
    <x v="0"/>
    <s v="None"/>
    <s v="Business Expenses (Koolikai)|Utilities (Business)"/>
  </r>
  <r>
    <s v="MasterCard (Capital One)"/>
    <d v="2014-01-05T00:00:00"/>
    <n v="-3.01"/>
    <s v="X"/>
    <s v="Barnes &amp; Noble"/>
    <s v="Hot cocoa"/>
    <s v="Food &amp; Dining:Restaurants/From Receipt"/>
    <m/>
    <m/>
    <s v="From Receipt"/>
    <x v="15"/>
    <x v="15"/>
    <m/>
    <m/>
    <m/>
    <m/>
    <x v="11"/>
    <x v="0"/>
    <x v="3"/>
    <x v="0"/>
    <x v="0"/>
    <s v="None"/>
    <s v="Food &amp; Dining|Restaurants"/>
  </r>
  <r>
    <s v="MasterCard (Capital One)"/>
    <d v="2014-01-05T00:00:00"/>
    <n v="-19.66"/>
    <s v="X"/>
    <s v="Home Depot"/>
    <s v="Furnace filter, and toilet valve repair kit"/>
    <s v="Business Expenses (Koolikai):Repairs/7231:From Receipt"/>
    <m/>
    <m/>
    <s v="7231:From Receipt"/>
    <x v="36"/>
    <x v="41"/>
    <m/>
    <m/>
    <m/>
    <m/>
    <x v="11"/>
    <x v="0"/>
    <x v="4"/>
    <x v="0"/>
    <x v="0"/>
    <s v="None"/>
    <s v="Business Expenses (Koolikai)|Repairs"/>
  </r>
  <r>
    <s v="MasterCard (Capital One)"/>
    <d v="2014-01-04T00:00:00"/>
    <n v="-16.34"/>
    <s v="X"/>
    <s v="Walgreens"/>
    <s v="No receipt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MasterCard (Capital One)"/>
    <d v="2014-01-04T00:00:00"/>
    <n v="-18"/>
    <s v="X"/>
    <s v="Arena Sports Seattle"/>
    <s v="2011: ARENA SPORTS SEATTLE WA 98115 USA"/>
    <s v="Kids:Kids Activities"/>
    <m/>
    <m/>
    <m/>
    <x v="27"/>
    <x v="12"/>
    <m/>
    <m/>
    <m/>
    <m/>
    <x v="11"/>
    <x v="0"/>
    <x v="3"/>
    <x v="0"/>
    <x v="0"/>
    <s v="None"/>
    <s v="Kids|Kids Activities"/>
  </r>
  <r>
    <s v="MasterCard (Capital One)"/>
    <d v="2014-01-04T00:00:00"/>
    <n v="-77.150000000000006"/>
    <s v="X"/>
    <s v="Vios Cafe 3rd"/>
    <s v="2011: VIOS CAFE AT 3RD PLACE SEATTLE WA 98115 USA"/>
    <s v="Food &amp; Dining:Restaurants"/>
    <m/>
    <m/>
    <m/>
    <x v="15"/>
    <x v="15"/>
    <m/>
    <m/>
    <m/>
    <m/>
    <x v="11"/>
    <x v="0"/>
    <x v="3"/>
    <x v="0"/>
    <x v="0"/>
    <s v="None"/>
    <s v="Food &amp; Dining|Restaurants"/>
  </r>
  <r>
    <s v="MasterCard (Capital One)"/>
    <d v="2014-01-04T00:00:00"/>
    <n v="-95.46"/>
    <s v="X"/>
    <s v="Fred Meyer"/>
    <s v="No receipt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First Tech - Checking (5544)"/>
    <d v="2014-01-03T00:00:00"/>
    <n v="315.45999999999998"/>
    <s v="X"/>
    <s v="Stay Fit Credit"/>
    <s v="Stay Fit reimbursement for shoes, running pants, and ski passes."/>
    <s v="Health &amp; Fitness:Sports"/>
    <m/>
    <m/>
    <m/>
    <x v="18"/>
    <x v="23"/>
    <m/>
    <m/>
    <m/>
    <m/>
    <x v="11"/>
    <x v="0"/>
    <x v="4"/>
    <x v="0"/>
    <x v="0"/>
    <s v="None"/>
    <s v="Health &amp; Fitness|Sports"/>
  </r>
  <r>
    <s v="First Tech - Checking (5544)"/>
    <d v="2014-01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x v="11"/>
    <x v="0"/>
    <x v="3"/>
    <x v="0"/>
    <x v="0"/>
    <s v="None"/>
    <s v="Kids|American Funds 529A"/>
  </r>
  <r>
    <s v="First Tech - Checking (5544)"/>
    <d v="2014-01-03T00:00:00"/>
    <n v="-2048.5100000000002"/>
    <s v="X"/>
    <s v="NYCB Mortgage Company"/>
    <s v="9602 Mortgage Payment"/>
    <s v="Business Expenses (Koolikai):Mortgage (Business)/9602"/>
    <m/>
    <m/>
    <n v="9602"/>
    <x v="36"/>
    <x v="30"/>
    <m/>
    <m/>
    <m/>
    <m/>
    <x v="11"/>
    <x v="0"/>
    <x v="3"/>
    <x v="0"/>
    <x v="0"/>
    <s v="None"/>
    <s v="Business Expenses (Koolikai)|Mortgage (Business)"/>
  </r>
  <r>
    <s v="First Tech - Checking (5544)"/>
    <d v="2014-01-03T00:00:00"/>
    <n v="-3513.25"/>
    <s v="X"/>
    <s v="NYCB Mortgage Company"/>
    <s v="7231 Mortgage Payment"/>
    <s v="Business Expenses (Koolikai):Mortgage (Business)/7231"/>
    <m/>
    <m/>
    <n v="7231"/>
    <x v="36"/>
    <x v="30"/>
    <m/>
    <m/>
    <m/>
    <m/>
    <x v="11"/>
    <x v="0"/>
    <x v="3"/>
    <x v="0"/>
    <x v="0"/>
    <s v="None"/>
    <s v="Business Expenses (Koolikai)|Mortgage (Business)"/>
  </r>
  <r>
    <s v="First Tech - Checking (5544)"/>
    <d v="2014-01-03T00:00:00"/>
    <n v="-3941.59"/>
    <s v="X"/>
    <s v="Capital One (Autopay)"/>
    <s v="@CAT:@"/>
    <s v="[MasterCard (Capital One)]"/>
    <m/>
    <m/>
    <m/>
    <x v="38"/>
    <x v="0"/>
    <m/>
    <m/>
    <m/>
    <m/>
    <x v="11"/>
    <x v="0"/>
    <x v="0"/>
    <x v="0"/>
    <x v="0"/>
    <s v="None"/>
    <s v="[MasterCard (Capital One)]"/>
  </r>
  <r>
    <s v="Koolikai - Checking XX2129"/>
    <d v="2014-01-03T00:00:00"/>
    <n v="238.75"/>
    <s v="X"/>
    <s v="NYCB Mortgage Company"/>
    <s v="Refund of escrow overage"/>
    <s v="Business Expenses (Koolikai):Mortgage (Business)/9602"/>
    <m/>
    <m/>
    <n v="9602"/>
    <x v="36"/>
    <x v="30"/>
    <m/>
    <m/>
    <m/>
    <m/>
    <x v="11"/>
    <x v="0"/>
    <x v="3"/>
    <x v="0"/>
    <x v="0"/>
    <s v="None"/>
    <s v="Business Expenses (Koolikai)|Mortgage (Business)"/>
  </r>
  <r>
    <s v="MasterCard (Capital One)"/>
    <d v="2014-01-03T00:00:00"/>
    <n v="3941.59"/>
    <s v="X"/>
    <s v="Capital One (Autopay)"/>
    <s v="@CAT:@"/>
    <s v="[First Tech - Checking (5544)]"/>
    <m/>
    <m/>
    <m/>
    <x v="21"/>
    <x v="0"/>
    <m/>
    <m/>
    <m/>
    <m/>
    <x v="11"/>
    <x v="0"/>
    <x v="0"/>
    <x v="0"/>
    <x v="0"/>
    <s v="None"/>
    <s v="[First Tech - Checking (5544)]"/>
  </r>
  <r>
    <s v="MasterCard (Capital One)"/>
    <d v="2014-01-03T00:00:00"/>
    <n v="-5.51"/>
    <s v="X"/>
    <s v="Menchie's"/>
    <s v="2011: MENCHIE`S FROZEN YOGUR KIRKLAND WA 98033 USA"/>
    <s v="Food &amp; Dining:Restaurants/From Receipt"/>
    <m/>
    <m/>
    <s v="From Receipt"/>
    <x v="15"/>
    <x v="15"/>
    <m/>
    <m/>
    <m/>
    <m/>
    <x v="11"/>
    <x v="0"/>
    <x v="3"/>
    <x v="0"/>
    <x v="0"/>
    <s v="None"/>
    <s v="Food &amp; Dining|Restaurants"/>
  </r>
  <r>
    <s v="First Tech - Checking (5544)"/>
    <d v="2014-01-02T00:00:00"/>
    <n v="112.5"/>
    <s v="X"/>
    <s v="Premera Funding  - Cyc-claims"/>
    <s v="ACH Deposit--PREMERA FUNDING  - CYC-CLAIMS"/>
    <s v="[Premera Health Care Payment]"/>
    <m/>
    <m/>
    <m/>
    <x v="42"/>
    <x v="0"/>
    <m/>
    <m/>
    <m/>
    <m/>
    <x v="11"/>
    <x v="0"/>
    <x v="0"/>
    <x v="0"/>
    <x v="0"/>
    <s v="None"/>
    <s v="[Premera Health Care Payment]"/>
  </r>
  <r>
    <s v="First Tech - Checking (5544)"/>
    <d v="2014-01-02T00:00:00"/>
    <n v="-1976"/>
    <s v="X"/>
    <s v="Phinney Ridge CDC"/>
    <s v="ACH Debit--PHINNEY RIDGE LU 504759859 - CONTRIBUTN"/>
    <s v="Kids:Daycare"/>
    <m/>
    <m/>
    <m/>
    <x v="27"/>
    <x v="35"/>
    <m/>
    <m/>
    <m/>
    <m/>
    <x v="11"/>
    <x v="0"/>
    <x v="3"/>
    <x v="0"/>
    <x v="0"/>
    <s v="None"/>
    <s v="Kids|Daycare"/>
  </r>
  <r>
    <s v="First Tech - Checking (5544)"/>
    <d v="2014-01-02T00:00:00"/>
    <n v="-85.41"/>
    <m/>
    <s v="Rei (Autopayment)"/>
    <m/>
    <s v="[REI Mastercard (xx1787)]"/>
    <m/>
    <m/>
    <m/>
    <x v="11"/>
    <x v="0"/>
    <m/>
    <m/>
    <m/>
    <m/>
    <x v="11"/>
    <x v="0"/>
    <x v="1"/>
    <x v="1"/>
    <x v="1"/>
    <e v="#N/A"/>
    <s v="[REI Mastercard (xx1787)]"/>
  </r>
  <r>
    <s v="MasterCard (Capital One)"/>
    <d v="2014-01-02T00:00:00"/>
    <n v="-20.84"/>
    <s v="X"/>
    <s v="Comcast"/>
    <s v="2011: COMCAST CABLE COMM 800-COMCAST WA 98103 USA"/>
    <s v="Bills &amp; Utilities:Television"/>
    <m/>
    <s v="Split"/>
    <m/>
    <x v="34"/>
    <x v="32"/>
    <m/>
    <m/>
    <m/>
    <m/>
    <x v="11"/>
    <x v="0"/>
    <x v="3"/>
    <x v="0"/>
    <x v="0"/>
    <s v="None"/>
    <s v="Bills &amp; Utilities|Television"/>
  </r>
  <r>
    <s v="MasterCard (Capital One)"/>
    <d v="2014-01-02T00:00:00"/>
    <n v="-61.9"/>
    <s v="X"/>
    <s v="Comcast"/>
    <m/>
    <s v="Business Expenses (Koolikai):Internet"/>
    <m/>
    <s v="Split"/>
    <m/>
    <x v="36"/>
    <x v="33"/>
    <m/>
    <m/>
    <m/>
    <m/>
    <x v="11"/>
    <x v="0"/>
    <x v="3"/>
    <x v="0"/>
    <x v="0"/>
    <s v="None"/>
    <s v="Business Expenses (Koolikai)|Internet"/>
  </r>
  <r>
    <s v="MasterCard (Capital One)"/>
    <d v="2014-01-02T00:00:00"/>
    <n v="-46.29"/>
    <s v="X"/>
    <s v="Comcast"/>
    <m/>
    <s v="Bills &amp; Utilities:Home Phone"/>
    <m/>
    <s v="Split"/>
    <m/>
    <x v="34"/>
    <x v="34"/>
    <m/>
    <m/>
    <m/>
    <m/>
    <x v="11"/>
    <x v="0"/>
    <x v="3"/>
    <x v="0"/>
    <x v="0"/>
    <s v="None"/>
    <s v="Bills &amp; Utilities|Home Phone"/>
  </r>
  <r>
    <s v="MasterCard (Capital One)"/>
    <d v="2014-01-02T00:00:00"/>
    <n v="-2.61"/>
    <s v="X"/>
    <s v="Amazon"/>
    <s v="Retractable audio cable"/>
    <s v="Shopping:Electronics &amp; Software"/>
    <m/>
    <m/>
    <m/>
    <x v="13"/>
    <x v="20"/>
    <m/>
    <m/>
    <m/>
    <m/>
    <x v="11"/>
    <x v="0"/>
    <x v="2"/>
    <x v="0"/>
    <x v="0"/>
    <s v="None"/>
    <s v="Shopping|Electronics &amp; Software"/>
  </r>
  <r>
    <s v="MasterCard (Capital One)"/>
    <d v="2014-01-02T00:00:00"/>
    <n v="-6.92"/>
    <s v="X"/>
    <s v="Ken's Market"/>
    <s v="2011: KEN'S MARKET #75-116 SEATTLE WA 98103 USA"/>
    <s v="Food &amp; Dining:Groceries"/>
    <m/>
    <m/>
    <m/>
    <x v="15"/>
    <x v="3"/>
    <m/>
    <m/>
    <m/>
    <m/>
    <x v="11"/>
    <x v="0"/>
    <x v="3"/>
    <x v="0"/>
    <x v="0"/>
    <s v="None"/>
    <s v="Food &amp; Dining|Groceries"/>
  </r>
  <r>
    <s v="Premera Health Care Payment"/>
    <d v="2014-01-02T00:00:00"/>
    <n v="-112.5"/>
    <m/>
    <s v="Premera Funding  - Cyc-claims"/>
    <s v="ACH Deposit--PREMERA FUNDING  - CYC-CLAIMS"/>
    <s v="[First Tech - Checking (5544)]"/>
    <m/>
    <m/>
    <m/>
    <x v="21"/>
    <x v="0"/>
    <m/>
    <m/>
    <m/>
    <m/>
    <x v="11"/>
    <x v="0"/>
    <x v="0"/>
    <x v="0"/>
    <x v="0"/>
    <s v="None"/>
    <s v="[First Tech - Checking (5544)]"/>
  </r>
  <r>
    <s v="REI Mastercard (xx1787)"/>
    <d v="2014-01-02T00:00:00"/>
    <n v="85.41"/>
    <s v="X"/>
    <s v="Rei (Autopayment)"/>
    <m/>
    <s v="[First Tech - Checking (5544)]"/>
    <s v="TXFR"/>
    <m/>
    <m/>
    <x v="21"/>
    <x v="0"/>
    <m/>
    <m/>
    <m/>
    <m/>
    <x v="11"/>
    <x v="0"/>
    <x v="0"/>
    <x v="0"/>
    <x v="0"/>
    <s v="None"/>
    <s v="[First Tech - Checking (5544)]"/>
  </r>
  <r>
    <s v="Koolikai - Checking XX2129"/>
    <d v="2014-01-01T00:00:00"/>
    <n v="2195"/>
    <s v="X"/>
    <s v="Valerie Shaibley"/>
    <s v="Deposit--Shared Branch Mobile Deposit"/>
    <s v="Business Income (Koolikai):Rent/9602"/>
    <m/>
    <m/>
    <n v="9602"/>
    <x v="37"/>
    <x v="25"/>
    <m/>
    <m/>
    <m/>
    <m/>
    <x v="11"/>
    <x v="0"/>
    <x v="3"/>
    <x v="0"/>
    <x v="0"/>
    <s v="None"/>
    <s v="Business Income (Koolikai)|Rent"/>
  </r>
  <r>
    <s v="Koolikai - Checking XX2129"/>
    <d v="2014-01-01T00:00:00"/>
    <n v="1100"/>
    <s v="X"/>
    <s v="Aaron Ausland"/>
    <s v="Deposit--Shared Branch Mobile Deposit"/>
    <s v="Business Income (Koolikai):Rent/7231"/>
    <m/>
    <s v="Split"/>
    <n v="7231"/>
    <x v="37"/>
    <x v="25"/>
    <m/>
    <m/>
    <m/>
    <m/>
    <x v="11"/>
    <x v="0"/>
    <x v="3"/>
    <x v="0"/>
    <x v="0"/>
    <s v="None"/>
    <s v="Business Income (Koolikai)|Rent"/>
  </r>
  <r>
    <s v="MasterCard (Capital One)"/>
    <d v="2014-01-01T00:00:00"/>
    <n v="-27.77"/>
    <s v="X"/>
    <s v="Ivars Seafood"/>
    <s v="2011: 021 BALLARD SFB SEATTLE WA 98107 USA"/>
    <s v="Food &amp; Dining:Restaurants/From Receipt"/>
    <m/>
    <m/>
    <s v="From Receipt"/>
    <x v="15"/>
    <x v="15"/>
    <m/>
    <m/>
    <m/>
    <m/>
    <x v="11"/>
    <x v="0"/>
    <x v="3"/>
    <x v="0"/>
    <x v="0"/>
    <s v="None"/>
    <s v="Food &amp; Dining|Restaurants"/>
  </r>
  <r>
    <s v="Budget"/>
    <d v="2014-12-28T00:00:00"/>
    <n v="-200"/>
    <m/>
    <m/>
    <m/>
    <m/>
    <m/>
    <m/>
    <m/>
    <x v="17"/>
    <x v="68"/>
    <s v="Budget"/>
    <m/>
    <m/>
    <m/>
    <x v="12"/>
    <x v="1"/>
    <x v="2"/>
    <x v="0"/>
    <x v="0"/>
    <s v="None"/>
    <s v="Auto &amp; Transport|Auto Insurance"/>
  </r>
  <r>
    <s v="Budget"/>
    <d v="2014-12-28T00:00:00"/>
    <n v="-2400"/>
    <m/>
    <m/>
    <m/>
    <m/>
    <m/>
    <m/>
    <m/>
    <x v="17"/>
    <x v="68"/>
    <s v="Budget"/>
    <m/>
    <m/>
    <m/>
    <x v="13"/>
    <x v="1"/>
    <x v="2"/>
    <x v="0"/>
    <x v="0"/>
    <s v="None"/>
    <s v="Auto &amp; Transport|Auto Insurance"/>
  </r>
  <r>
    <s v="Budget"/>
    <d v="2014-12-28T00:00:00"/>
    <n v="-185"/>
    <m/>
    <m/>
    <m/>
    <m/>
    <m/>
    <m/>
    <m/>
    <x v="17"/>
    <x v="10"/>
    <s v="Budget"/>
    <m/>
    <m/>
    <m/>
    <x v="12"/>
    <x v="1"/>
    <x v="3"/>
    <x v="0"/>
    <x v="0"/>
    <s v="None"/>
    <s v="Auto &amp; Transport|Auto Lease Payment"/>
  </r>
  <r>
    <s v="Budget"/>
    <d v="2014-12-28T00:00:00"/>
    <n v="-2220"/>
    <m/>
    <m/>
    <m/>
    <m/>
    <m/>
    <m/>
    <m/>
    <x v="17"/>
    <x v="10"/>
    <s v="Budget"/>
    <m/>
    <m/>
    <m/>
    <x v="13"/>
    <x v="1"/>
    <x v="3"/>
    <x v="0"/>
    <x v="0"/>
    <s v="None"/>
    <s v="Auto &amp; Transport|Auto Lease Payment"/>
  </r>
  <r>
    <s v="Budget"/>
    <d v="2014-12-28T00:00:00"/>
    <n v="-2"/>
    <m/>
    <m/>
    <m/>
    <m/>
    <m/>
    <m/>
    <m/>
    <x v="17"/>
    <x v="71"/>
    <s v="Budget"/>
    <m/>
    <m/>
    <m/>
    <x v="12"/>
    <x v="1"/>
    <x v="2"/>
    <x v="0"/>
    <x v="0"/>
    <s v="None"/>
    <s v="Auto &amp; Transport|Driver's License"/>
  </r>
  <r>
    <s v="Budget"/>
    <d v="2014-12-28T00:00:00"/>
    <n v="-24"/>
    <m/>
    <m/>
    <m/>
    <m/>
    <m/>
    <m/>
    <m/>
    <x v="17"/>
    <x v="71"/>
    <s v="Budget"/>
    <m/>
    <m/>
    <m/>
    <x v="13"/>
    <x v="1"/>
    <x v="2"/>
    <x v="0"/>
    <x v="0"/>
    <s v="None"/>
    <s v="Auto &amp; Transport|Driver's License"/>
  </r>
  <r>
    <s v="Budget"/>
    <d v="2014-12-28T00:00:00"/>
    <n v="-15"/>
    <m/>
    <m/>
    <m/>
    <m/>
    <m/>
    <m/>
    <m/>
    <x v="17"/>
    <x v="37"/>
    <s v="Budget"/>
    <m/>
    <m/>
    <m/>
    <x v="12"/>
    <x v="1"/>
    <x v="3"/>
    <x v="0"/>
    <x v="0"/>
    <s v="None"/>
    <s v="Auto &amp; Transport|Gas &amp; Fuel"/>
  </r>
  <r>
    <s v="Budget"/>
    <d v="2014-12-28T00:00:00"/>
    <n v="-180"/>
    <m/>
    <m/>
    <m/>
    <m/>
    <m/>
    <m/>
    <m/>
    <x v="17"/>
    <x v="37"/>
    <s v="Budget"/>
    <m/>
    <m/>
    <m/>
    <x v="13"/>
    <x v="1"/>
    <x v="3"/>
    <x v="0"/>
    <x v="0"/>
    <s v="None"/>
    <s v="Auto &amp; Transport|Gas &amp; Fuel"/>
  </r>
  <r>
    <s v="Budget"/>
    <d v="2014-12-28T00:00:00"/>
    <n v="-30"/>
    <m/>
    <m/>
    <m/>
    <m/>
    <m/>
    <m/>
    <m/>
    <x v="17"/>
    <x v="11"/>
    <s v="Budget"/>
    <m/>
    <m/>
    <m/>
    <x v="12"/>
    <x v="1"/>
    <x v="3"/>
    <x v="0"/>
    <x v="0"/>
    <s v="None"/>
    <s v="Auto &amp; Transport|Parking"/>
  </r>
  <r>
    <s v="Budget"/>
    <d v="2014-12-28T00:00:00"/>
    <n v="-360"/>
    <m/>
    <m/>
    <m/>
    <m/>
    <m/>
    <m/>
    <m/>
    <x v="17"/>
    <x v="11"/>
    <s v="Budget"/>
    <m/>
    <m/>
    <m/>
    <x v="13"/>
    <x v="1"/>
    <x v="3"/>
    <x v="0"/>
    <x v="0"/>
    <s v="None"/>
    <s v="Auto &amp; Transport|Parking"/>
  </r>
  <r>
    <s v="Budget"/>
    <d v="2014-12-28T00:00:00"/>
    <n v="-20"/>
    <m/>
    <m/>
    <m/>
    <m/>
    <m/>
    <m/>
    <m/>
    <x v="17"/>
    <x v="4"/>
    <s v="Budget"/>
    <m/>
    <m/>
    <m/>
    <x v="12"/>
    <x v="1"/>
    <x v="2"/>
    <x v="0"/>
    <x v="0"/>
    <s v="None"/>
    <s v="Auto &amp; Transport|Registration"/>
  </r>
  <r>
    <s v="Budget"/>
    <d v="2014-12-28T00:00:00"/>
    <n v="-240"/>
    <m/>
    <m/>
    <m/>
    <m/>
    <m/>
    <m/>
    <m/>
    <x v="17"/>
    <x v="4"/>
    <s v="Budget"/>
    <m/>
    <m/>
    <m/>
    <x v="13"/>
    <x v="1"/>
    <x v="2"/>
    <x v="0"/>
    <x v="0"/>
    <s v="None"/>
    <s v="Auto &amp; Transport|Registration"/>
  </r>
  <r>
    <s v="Budget"/>
    <d v="2014-12-28T00:00:00"/>
    <n v="-20"/>
    <m/>
    <m/>
    <m/>
    <m/>
    <m/>
    <m/>
    <m/>
    <x v="17"/>
    <x v="64"/>
    <s v="Budget"/>
    <m/>
    <m/>
    <m/>
    <x v="12"/>
    <x v="1"/>
    <x v="6"/>
    <x v="0"/>
    <x v="0"/>
    <s v="None"/>
    <s v="Auto &amp; Transport|Service &amp; Parts"/>
  </r>
  <r>
    <s v="Budget"/>
    <d v="2014-12-28T00:00:00"/>
    <n v="-240"/>
    <m/>
    <m/>
    <m/>
    <m/>
    <m/>
    <m/>
    <m/>
    <x v="17"/>
    <x v="64"/>
    <s v="Budget"/>
    <m/>
    <m/>
    <m/>
    <x v="13"/>
    <x v="1"/>
    <x v="6"/>
    <x v="0"/>
    <x v="0"/>
    <s v="None"/>
    <s v="Auto &amp; Transport|Service &amp; Parts"/>
  </r>
  <r>
    <s v="Budget"/>
    <d v="2014-12-28T00:00:00"/>
    <n v="-15"/>
    <m/>
    <m/>
    <m/>
    <m/>
    <m/>
    <m/>
    <m/>
    <x v="17"/>
    <x v="40"/>
    <s v="Budget"/>
    <m/>
    <m/>
    <m/>
    <x v="12"/>
    <x v="1"/>
    <x v="4"/>
    <x v="0"/>
    <x v="0"/>
    <s v="None"/>
    <s v="Auto &amp; Transport|Tolls"/>
  </r>
  <r>
    <s v="Budget"/>
    <d v="2014-12-28T00:00:00"/>
    <n v="-180"/>
    <m/>
    <m/>
    <m/>
    <m/>
    <m/>
    <m/>
    <m/>
    <x v="17"/>
    <x v="40"/>
    <s v="Budget"/>
    <m/>
    <m/>
    <m/>
    <x v="13"/>
    <x v="1"/>
    <x v="4"/>
    <x v="0"/>
    <x v="0"/>
    <s v="None"/>
    <s v="Auto &amp; Transport|Tolls"/>
  </r>
  <r>
    <s v="Budget"/>
    <d v="2014-12-28T00:00:00"/>
    <n v="-48"/>
    <m/>
    <m/>
    <m/>
    <m/>
    <m/>
    <m/>
    <m/>
    <x v="34"/>
    <x v="34"/>
    <s v="Budget"/>
    <m/>
    <m/>
    <m/>
    <x v="12"/>
    <x v="1"/>
    <x v="3"/>
    <x v="0"/>
    <x v="0"/>
    <s v="None"/>
    <s v="Bills &amp; Utilities|Home Phone"/>
  </r>
  <r>
    <s v="Budget"/>
    <d v="2014-12-28T00:00:00"/>
    <n v="-576"/>
    <m/>
    <m/>
    <m/>
    <m/>
    <m/>
    <m/>
    <m/>
    <x v="34"/>
    <x v="34"/>
    <s v="Budget"/>
    <m/>
    <m/>
    <m/>
    <x v="13"/>
    <x v="1"/>
    <x v="3"/>
    <x v="0"/>
    <x v="0"/>
    <s v="None"/>
    <s v="Bills &amp; Utilities|Home Phone"/>
  </r>
  <r>
    <s v="Budget"/>
    <d v="2014-12-28T00:00:00"/>
    <n v="-28"/>
    <m/>
    <m/>
    <m/>
    <m/>
    <m/>
    <m/>
    <m/>
    <x v="34"/>
    <x v="67"/>
    <s v="Budget"/>
    <m/>
    <m/>
    <m/>
    <x v="12"/>
    <x v="1"/>
    <x v="3"/>
    <x v="0"/>
    <x v="0"/>
    <s v="None"/>
    <s v="Bills &amp; Utilities|Insurance (Umbrella)"/>
  </r>
  <r>
    <s v="Budget"/>
    <d v="2014-12-28T00:00:00"/>
    <n v="-336"/>
    <m/>
    <m/>
    <m/>
    <m/>
    <m/>
    <m/>
    <m/>
    <x v="34"/>
    <x v="67"/>
    <s v="Budget"/>
    <m/>
    <m/>
    <m/>
    <x v="13"/>
    <x v="1"/>
    <x v="3"/>
    <x v="0"/>
    <x v="0"/>
    <s v="None"/>
    <s v="Bills &amp; Utilities|Insurance (Umbrella)"/>
  </r>
  <r>
    <s v="Budget"/>
    <d v="2014-12-28T00:00:00"/>
    <n v="-21"/>
    <m/>
    <m/>
    <m/>
    <m/>
    <m/>
    <m/>
    <m/>
    <x v="34"/>
    <x v="32"/>
    <s v="Budget"/>
    <m/>
    <m/>
    <m/>
    <x v="12"/>
    <x v="1"/>
    <x v="3"/>
    <x v="0"/>
    <x v="0"/>
    <s v="None"/>
    <s v="Bills &amp; Utilities|Television"/>
  </r>
  <r>
    <s v="Budget"/>
    <d v="2014-12-28T00:00:00"/>
    <n v="-252"/>
    <m/>
    <m/>
    <m/>
    <m/>
    <m/>
    <m/>
    <m/>
    <x v="34"/>
    <x v="32"/>
    <s v="Budget"/>
    <m/>
    <m/>
    <m/>
    <x v="13"/>
    <x v="1"/>
    <x v="3"/>
    <x v="0"/>
    <x v="0"/>
    <s v="None"/>
    <s v="Bills &amp; Utilities|Television"/>
  </r>
  <r>
    <s v="Budget"/>
    <d v="2014-12-28T00:00:00"/>
    <n v="-250"/>
    <m/>
    <m/>
    <m/>
    <m/>
    <m/>
    <m/>
    <m/>
    <x v="34"/>
    <x v="18"/>
    <s v="Budget"/>
    <m/>
    <m/>
    <m/>
    <x v="12"/>
    <x v="1"/>
    <x v="3"/>
    <x v="0"/>
    <x v="0"/>
    <s v="None"/>
    <s v="Bills &amp; Utilities|Utilities"/>
  </r>
  <r>
    <s v="Budget"/>
    <d v="2014-12-28T00:00:00"/>
    <n v="-3000"/>
    <m/>
    <m/>
    <m/>
    <m/>
    <m/>
    <m/>
    <m/>
    <x v="34"/>
    <x v="18"/>
    <s v="Budget"/>
    <m/>
    <m/>
    <m/>
    <x v="13"/>
    <x v="1"/>
    <x v="3"/>
    <x v="0"/>
    <x v="0"/>
    <s v="None"/>
    <s v="Bills &amp; Utilities|Utilities"/>
  </r>
  <r>
    <s v="Budget"/>
    <d v="2014-12-28T00:00:00"/>
    <n v="-147"/>
    <m/>
    <m/>
    <m/>
    <m/>
    <m/>
    <m/>
    <m/>
    <x v="36"/>
    <x v="22"/>
    <s v="Budget"/>
    <m/>
    <m/>
    <m/>
    <x v="12"/>
    <x v="1"/>
    <x v="3"/>
    <x v="0"/>
    <x v="0"/>
    <s v="None"/>
    <s v="Business Expenses (Koolikai)|Cell Phone"/>
  </r>
  <r>
    <s v="Budget"/>
    <d v="2014-12-28T00:00:00"/>
    <n v="-1764"/>
    <m/>
    <m/>
    <m/>
    <m/>
    <m/>
    <m/>
    <m/>
    <x v="36"/>
    <x v="22"/>
    <s v="Budget"/>
    <m/>
    <m/>
    <m/>
    <x v="13"/>
    <x v="1"/>
    <x v="3"/>
    <x v="0"/>
    <x v="0"/>
    <s v="None"/>
    <s v="Business Expenses (Koolikai)|Cell Phone"/>
  </r>
  <r>
    <s v="Budget"/>
    <d v="2014-12-28T00:00:00"/>
    <n v="-62"/>
    <m/>
    <m/>
    <m/>
    <m/>
    <m/>
    <m/>
    <m/>
    <x v="36"/>
    <x v="33"/>
    <s v="Budget"/>
    <m/>
    <m/>
    <m/>
    <x v="12"/>
    <x v="1"/>
    <x v="3"/>
    <x v="0"/>
    <x v="0"/>
    <s v="None"/>
    <s v="Business Expenses (Koolikai)|Internet"/>
  </r>
  <r>
    <s v="Budget"/>
    <d v="2014-12-28T00:00:00"/>
    <n v="-744"/>
    <m/>
    <m/>
    <m/>
    <m/>
    <m/>
    <m/>
    <m/>
    <x v="36"/>
    <x v="33"/>
    <s v="Budget"/>
    <m/>
    <m/>
    <m/>
    <x v="13"/>
    <x v="1"/>
    <x v="3"/>
    <x v="0"/>
    <x v="0"/>
    <s v="None"/>
    <s v="Business Expenses (Koolikai)|Internet"/>
  </r>
  <r>
    <s v="Budget"/>
    <d v="2014-12-28T00:00:00"/>
    <n v="-5600"/>
    <m/>
    <m/>
    <m/>
    <m/>
    <m/>
    <m/>
    <m/>
    <x v="36"/>
    <x v="30"/>
    <s v="Budget"/>
    <m/>
    <m/>
    <m/>
    <x v="12"/>
    <x v="1"/>
    <x v="3"/>
    <x v="0"/>
    <x v="0"/>
    <s v="None"/>
    <s v="Business Expenses (Koolikai)|Mortgage (Business)"/>
  </r>
  <r>
    <s v="Budget"/>
    <d v="2014-12-28T00:00:00"/>
    <n v="-67200"/>
    <m/>
    <m/>
    <m/>
    <m/>
    <m/>
    <m/>
    <m/>
    <x v="36"/>
    <x v="30"/>
    <s v="Budget"/>
    <m/>
    <m/>
    <m/>
    <x v="13"/>
    <x v="1"/>
    <x v="3"/>
    <x v="0"/>
    <x v="0"/>
    <s v="None"/>
    <s v="Business Expenses (Koolikai)|Mortgage (Business)"/>
  </r>
  <r>
    <s v="Budget"/>
    <d v="2014-12-28T00:00:00"/>
    <n v="-40"/>
    <m/>
    <m/>
    <m/>
    <m/>
    <m/>
    <m/>
    <m/>
    <x v="36"/>
    <x v="42"/>
    <s v="Budget"/>
    <m/>
    <m/>
    <m/>
    <x v="12"/>
    <x v="1"/>
    <x v="3"/>
    <x v="0"/>
    <x v="0"/>
    <s v="None"/>
    <s v="Business Expenses (Koolikai)|Office Expenses (Business)"/>
  </r>
  <r>
    <s v="Budget"/>
    <d v="2014-12-28T00:00:00"/>
    <n v="-480"/>
    <m/>
    <m/>
    <m/>
    <m/>
    <m/>
    <m/>
    <m/>
    <x v="36"/>
    <x v="42"/>
    <s v="Budget"/>
    <m/>
    <m/>
    <m/>
    <x v="13"/>
    <x v="1"/>
    <x v="3"/>
    <x v="0"/>
    <x v="0"/>
    <s v="None"/>
    <s v="Business Expenses (Koolikai)|Office Expenses (Business)"/>
  </r>
  <r>
    <s v="Budget"/>
    <d v="2014-12-28T00:00:00"/>
    <n v="-2"/>
    <m/>
    <m/>
    <m/>
    <m/>
    <m/>
    <m/>
    <m/>
    <x v="36"/>
    <x v="69"/>
    <s v="Budget"/>
    <m/>
    <m/>
    <m/>
    <x v="12"/>
    <x v="1"/>
    <x v="2"/>
    <x v="0"/>
    <x v="0"/>
    <s v="None"/>
    <s v="Business Expenses (Koolikai)|Postage and Delivery (Business)"/>
  </r>
  <r>
    <s v="Budget"/>
    <d v="2014-12-28T00:00:00"/>
    <n v="-24"/>
    <m/>
    <m/>
    <m/>
    <m/>
    <m/>
    <m/>
    <m/>
    <x v="36"/>
    <x v="69"/>
    <s v="Budget"/>
    <m/>
    <m/>
    <m/>
    <x v="13"/>
    <x v="1"/>
    <x v="2"/>
    <x v="0"/>
    <x v="0"/>
    <s v="None"/>
    <s v="Business Expenses (Koolikai)|Postage and Delivery (Business)"/>
  </r>
  <r>
    <s v="Budget"/>
    <d v="2014-12-28T00:00:00"/>
    <n v="-50"/>
    <m/>
    <m/>
    <m/>
    <m/>
    <m/>
    <m/>
    <m/>
    <x v="36"/>
    <x v="61"/>
    <s v="Budget"/>
    <m/>
    <m/>
    <m/>
    <x v="12"/>
    <x v="1"/>
    <x v="2"/>
    <x v="0"/>
    <x v="0"/>
    <s v="None"/>
    <s v="Business Expenses (Koolikai)|Prof and Legal Fees"/>
  </r>
  <r>
    <s v="Budget"/>
    <d v="2014-12-28T00:00:00"/>
    <n v="-600"/>
    <m/>
    <m/>
    <m/>
    <m/>
    <m/>
    <m/>
    <m/>
    <x v="36"/>
    <x v="61"/>
    <s v="Budget"/>
    <m/>
    <m/>
    <m/>
    <x v="13"/>
    <x v="1"/>
    <x v="2"/>
    <x v="0"/>
    <x v="0"/>
    <s v="None"/>
    <s v="Business Expenses (Koolikai)|Prof and Legal Fees"/>
  </r>
  <r>
    <s v="Budget"/>
    <d v="2014-12-28T00:00:00"/>
    <n v="-250"/>
    <m/>
    <m/>
    <m/>
    <m/>
    <m/>
    <m/>
    <m/>
    <x v="36"/>
    <x v="72"/>
    <s v="Budget"/>
    <m/>
    <m/>
    <m/>
    <x v="12"/>
    <x v="1"/>
    <x v="4"/>
    <x v="0"/>
    <x v="0"/>
    <s v="None"/>
    <s v="Business Expenses (Koolikai)|Projects"/>
  </r>
  <r>
    <s v="Budget"/>
    <d v="2014-12-28T00:00:00"/>
    <n v="-3000"/>
    <m/>
    <m/>
    <m/>
    <m/>
    <m/>
    <m/>
    <m/>
    <x v="36"/>
    <x v="72"/>
    <s v="Budget"/>
    <m/>
    <m/>
    <m/>
    <x v="13"/>
    <x v="1"/>
    <x v="4"/>
    <x v="0"/>
    <x v="0"/>
    <s v="None"/>
    <s v="Business Expenses (Koolikai)|Projects"/>
  </r>
  <r>
    <s v="Budget"/>
    <d v="2014-12-28T00:00:00"/>
    <n v="-100"/>
    <m/>
    <m/>
    <m/>
    <m/>
    <m/>
    <m/>
    <m/>
    <x v="36"/>
    <x v="41"/>
    <s v="Budget"/>
    <m/>
    <m/>
    <m/>
    <x v="12"/>
    <x v="1"/>
    <x v="4"/>
    <x v="0"/>
    <x v="0"/>
    <s v="None"/>
    <s v="Business Expenses (Koolikai)|Repairs"/>
  </r>
  <r>
    <s v="Budget"/>
    <d v="2014-12-28T00:00:00"/>
    <n v="-1200"/>
    <m/>
    <m/>
    <m/>
    <m/>
    <m/>
    <m/>
    <m/>
    <x v="36"/>
    <x v="41"/>
    <s v="Budget"/>
    <m/>
    <m/>
    <m/>
    <x v="13"/>
    <x v="1"/>
    <x v="4"/>
    <x v="0"/>
    <x v="0"/>
    <s v="None"/>
    <s v="Business Expenses (Koolikai)|Repairs"/>
  </r>
  <r>
    <s v="Budget"/>
    <d v="2014-12-28T00:00:00"/>
    <n v="-10"/>
    <m/>
    <m/>
    <m/>
    <m/>
    <m/>
    <m/>
    <m/>
    <x v="36"/>
    <x v="66"/>
    <s v="Budget"/>
    <m/>
    <m/>
    <m/>
    <x v="12"/>
    <x v="1"/>
    <x v="4"/>
    <x v="0"/>
    <x v="0"/>
    <s v="None"/>
    <s v="Business Expenses (Koolikai)|Supplies (Business)"/>
  </r>
  <r>
    <s v="Budget"/>
    <d v="2014-12-28T00:00:00"/>
    <n v="-120"/>
    <m/>
    <m/>
    <m/>
    <m/>
    <m/>
    <m/>
    <m/>
    <x v="36"/>
    <x v="66"/>
    <s v="Budget"/>
    <m/>
    <m/>
    <m/>
    <x v="13"/>
    <x v="1"/>
    <x v="4"/>
    <x v="0"/>
    <x v="0"/>
    <s v="None"/>
    <s v="Business Expenses (Koolikai)|Supplies (Business)"/>
  </r>
  <r>
    <s v="Budget"/>
    <d v="2014-12-28T00:00:00"/>
    <n v="-6"/>
    <m/>
    <m/>
    <m/>
    <m/>
    <m/>
    <m/>
    <m/>
    <x v="36"/>
    <x v="73"/>
    <s v="Budget"/>
    <m/>
    <m/>
    <m/>
    <x v="12"/>
    <x v="1"/>
    <x v="2"/>
    <x v="0"/>
    <x v="0"/>
    <s v="None"/>
    <s v="Business Expenses (Koolikai)|Taxes (Business)"/>
  </r>
  <r>
    <s v="Budget"/>
    <d v="2014-12-28T00:00:00"/>
    <n v="-72"/>
    <m/>
    <m/>
    <m/>
    <m/>
    <m/>
    <m/>
    <m/>
    <x v="36"/>
    <x v="73"/>
    <s v="Budget"/>
    <m/>
    <m/>
    <m/>
    <x v="13"/>
    <x v="1"/>
    <x v="2"/>
    <x v="0"/>
    <x v="0"/>
    <s v="None"/>
    <s v="Business Expenses (Koolikai)|Taxes (Business)"/>
  </r>
  <r>
    <s v="Budget"/>
    <d v="2014-12-28T00:00:00"/>
    <n v="-10"/>
    <m/>
    <m/>
    <m/>
    <m/>
    <m/>
    <m/>
    <m/>
    <x v="36"/>
    <x v="49"/>
    <s v="Budget"/>
    <m/>
    <m/>
    <m/>
    <x v="12"/>
    <x v="1"/>
    <x v="4"/>
    <x v="0"/>
    <x v="0"/>
    <s v="None"/>
    <s v="Business Expenses (Koolikai)|Tools"/>
  </r>
  <r>
    <s v="Budget"/>
    <d v="2014-12-28T00:00:00"/>
    <n v="-120"/>
    <m/>
    <m/>
    <m/>
    <m/>
    <m/>
    <m/>
    <m/>
    <x v="36"/>
    <x v="49"/>
    <s v="Budget"/>
    <m/>
    <m/>
    <m/>
    <x v="13"/>
    <x v="1"/>
    <x v="4"/>
    <x v="0"/>
    <x v="0"/>
    <s v="None"/>
    <s v="Business Expenses (Koolikai)|Tools"/>
  </r>
  <r>
    <s v="Budget"/>
    <d v="2014-12-28T00:00:00"/>
    <n v="4490"/>
    <m/>
    <m/>
    <m/>
    <m/>
    <m/>
    <m/>
    <m/>
    <x v="37"/>
    <x v="25"/>
    <s v="Budget"/>
    <m/>
    <m/>
    <m/>
    <x v="12"/>
    <x v="1"/>
    <x v="3"/>
    <x v="0"/>
    <x v="0"/>
    <s v="None"/>
    <s v="Business Income (Koolikai)|Rent"/>
  </r>
  <r>
    <s v="Budget"/>
    <d v="2014-12-28T00:00:00"/>
    <n v="53880"/>
    <m/>
    <m/>
    <m/>
    <m/>
    <m/>
    <m/>
    <m/>
    <x v="37"/>
    <x v="25"/>
    <s v="Budget"/>
    <m/>
    <m/>
    <m/>
    <x v="13"/>
    <x v="1"/>
    <x v="3"/>
    <x v="0"/>
    <x v="0"/>
    <s v="None"/>
    <s v="Business Income (Koolikai)|Rent"/>
  </r>
  <r>
    <s v="Budget"/>
    <d v="2014-12-28T00:00:00"/>
    <n v="-2"/>
    <m/>
    <m/>
    <m/>
    <m/>
    <m/>
    <m/>
    <m/>
    <x v="53"/>
    <x v="74"/>
    <s v="Budget"/>
    <m/>
    <m/>
    <m/>
    <x v="12"/>
    <x v="1"/>
    <x v="4"/>
    <x v="0"/>
    <x v="0"/>
    <s v="None"/>
    <s v="Education|Books &amp; Supplies"/>
  </r>
  <r>
    <s v="Budget"/>
    <d v="2014-12-28T00:00:00"/>
    <n v="-24"/>
    <m/>
    <m/>
    <m/>
    <m/>
    <m/>
    <m/>
    <m/>
    <x v="53"/>
    <x v="74"/>
    <s v="Budget"/>
    <m/>
    <m/>
    <m/>
    <x v="13"/>
    <x v="1"/>
    <x v="4"/>
    <x v="0"/>
    <x v="0"/>
    <s v="None"/>
    <s v="Education|Books &amp; Supplies"/>
  </r>
  <r>
    <s v="Budget"/>
    <d v="2014-12-28T00:00:00"/>
    <n v="-2"/>
    <m/>
    <m/>
    <m/>
    <m/>
    <m/>
    <m/>
    <m/>
    <x v="53"/>
    <x v="75"/>
    <s v="Budget"/>
    <m/>
    <m/>
    <m/>
    <x v="12"/>
    <x v="1"/>
    <x v="4"/>
    <x v="0"/>
    <x v="0"/>
    <s v="None"/>
    <s v="Education|Community Education"/>
  </r>
  <r>
    <s v="Budget"/>
    <d v="2014-12-28T00:00:00"/>
    <n v="-24"/>
    <m/>
    <m/>
    <m/>
    <m/>
    <m/>
    <m/>
    <m/>
    <x v="53"/>
    <x v="75"/>
    <s v="Budget"/>
    <m/>
    <m/>
    <m/>
    <x v="13"/>
    <x v="1"/>
    <x v="4"/>
    <x v="0"/>
    <x v="0"/>
    <s v="None"/>
    <s v="Education|Community Education"/>
  </r>
  <r>
    <s v="Budget"/>
    <d v="2014-12-28T00:00:00"/>
    <n v="-100"/>
    <m/>
    <m/>
    <m/>
    <m/>
    <m/>
    <m/>
    <m/>
    <x v="30"/>
    <x v="0"/>
    <s v="Budget"/>
    <m/>
    <m/>
    <m/>
    <x v="12"/>
    <x v="1"/>
    <x v="3"/>
    <x v="0"/>
    <x v="0"/>
    <s v="None"/>
    <s v="Entertainment"/>
  </r>
  <r>
    <s v="Budget"/>
    <d v="2014-12-28T00:00:00"/>
    <n v="-1200"/>
    <m/>
    <m/>
    <m/>
    <m/>
    <m/>
    <m/>
    <m/>
    <x v="30"/>
    <x v="0"/>
    <s v="Budget"/>
    <m/>
    <m/>
    <m/>
    <x v="13"/>
    <x v="1"/>
    <x v="3"/>
    <x v="0"/>
    <x v="0"/>
    <s v="None"/>
    <s v="Entertainment"/>
  </r>
  <r>
    <s v="Budget"/>
    <d v="2014-12-28T00:00:00"/>
    <n v="-700"/>
    <m/>
    <m/>
    <m/>
    <m/>
    <m/>
    <m/>
    <m/>
    <x v="15"/>
    <x v="3"/>
    <s v="Budget"/>
    <m/>
    <m/>
    <m/>
    <x v="12"/>
    <x v="1"/>
    <x v="3"/>
    <x v="0"/>
    <x v="0"/>
    <s v="None"/>
    <s v="Food &amp; Dining|Groceries"/>
  </r>
  <r>
    <s v="Budget"/>
    <d v="2014-12-28T00:00:00"/>
    <n v="-8400"/>
    <m/>
    <m/>
    <m/>
    <m/>
    <m/>
    <m/>
    <m/>
    <x v="15"/>
    <x v="3"/>
    <s v="Budget"/>
    <m/>
    <m/>
    <m/>
    <x v="13"/>
    <x v="1"/>
    <x v="3"/>
    <x v="0"/>
    <x v="0"/>
    <s v="None"/>
    <s v="Food &amp; Dining|Groceries"/>
  </r>
  <r>
    <s v="Budget"/>
    <d v="2014-12-28T00:00:00"/>
    <n v="-500"/>
    <m/>
    <m/>
    <m/>
    <m/>
    <m/>
    <m/>
    <m/>
    <x v="15"/>
    <x v="15"/>
    <s v="Budget"/>
    <m/>
    <m/>
    <m/>
    <x v="12"/>
    <x v="1"/>
    <x v="3"/>
    <x v="0"/>
    <x v="0"/>
    <s v="None"/>
    <s v="Food &amp; Dining|Restaurants"/>
  </r>
  <r>
    <s v="Budget"/>
    <d v="2014-12-28T00:00:00"/>
    <n v="-6000"/>
    <m/>
    <m/>
    <m/>
    <m/>
    <m/>
    <m/>
    <m/>
    <x v="15"/>
    <x v="15"/>
    <s v="Budget"/>
    <m/>
    <m/>
    <m/>
    <x v="13"/>
    <x v="1"/>
    <x v="3"/>
    <x v="0"/>
    <x v="0"/>
    <s v="None"/>
    <s v="Food &amp; Dining|Restaurants"/>
  </r>
  <r>
    <s v="Budget"/>
    <d v="2014-12-28T00:00:00"/>
    <n v="-100"/>
    <m/>
    <m/>
    <m/>
    <m/>
    <m/>
    <m/>
    <m/>
    <x v="28"/>
    <x v="0"/>
    <s v="Budget"/>
    <m/>
    <m/>
    <m/>
    <x v="12"/>
    <x v="1"/>
    <x v="3"/>
    <x v="0"/>
    <x v="0"/>
    <s v="None"/>
    <s v="Gifts"/>
  </r>
  <r>
    <s v="Budget"/>
    <d v="2014-12-28T00:00:00"/>
    <n v="-1200"/>
    <m/>
    <m/>
    <m/>
    <m/>
    <m/>
    <m/>
    <m/>
    <x v="28"/>
    <x v="0"/>
    <s v="Budget"/>
    <m/>
    <m/>
    <m/>
    <x v="13"/>
    <x v="1"/>
    <x v="3"/>
    <x v="0"/>
    <x v="0"/>
    <s v="None"/>
    <s v="Gifts"/>
  </r>
  <r>
    <s v="Budget"/>
    <d v="2014-12-28T00:00:00"/>
    <n v="-325"/>
    <m/>
    <m/>
    <m/>
    <m/>
    <m/>
    <m/>
    <m/>
    <x v="18"/>
    <x v="56"/>
    <s v="Budget"/>
    <m/>
    <m/>
    <m/>
    <x v="12"/>
    <x v="1"/>
    <x v="4"/>
    <x v="0"/>
    <x v="0"/>
    <s v="None"/>
    <s v="Health &amp; Fitness|Doctor"/>
  </r>
  <r>
    <s v="Budget"/>
    <d v="2014-12-28T00:00:00"/>
    <n v="-3900"/>
    <m/>
    <m/>
    <m/>
    <m/>
    <m/>
    <m/>
    <m/>
    <x v="18"/>
    <x v="56"/>
    <s v="Budget"/>
    <m/>
    <m/>
    <m/>
    <x v="13"/>
    <x v="1"/>
    <x v="4"/>
    <x v="0"/>
    <x v="0"/>
    <s v="None"/>
    <s v="Health &amp; Fitness|Doctor"/>
  </r>
  <r>
    <s v="Budget"/>
    <d v="2014-12-28T00:00:00"/>
    <n v="-50"/>
    <m/>
    <m/>
    <m/>
    <m/>
    <m/>
    <m/>
    <m/>
    <x v="14"/>
    <x v="2"/>
    <s v="Budget"/>
    <m/>
    <m/>
    <m/>
    <x v="12"/>
    <x v="1"/>
    <x v="3"/>
    <x v="0"/>
    <x v="0"/>
    <s v="None"/>
    <s v="Home|Furnishings"/>
  </r>
  <r>
    <s v="Budget"/>
    <d v="2014-12-28T00:00:00"/>
    <n v="-600"/>
    <m/>
    <m/>
    <m/>
    <m/>
    <m/>
    <m/>
    <m/>
    <x v="14"/>
    <x v="2"/>
    <s v="Budget"/>
    <m/>
    <m/>
    <m/>
    <x v="13"/>
    <x v="1"/>
    <x v="3"/>
    <x v="0"/>
    <x v="0"/>
    <s v="None"/>
    <s v="Home|Furnishings"/>
  </r>
  <r>
    <s v="Budget"/>
    <d v="2014-12-28T00:00:00"/>
    <n v="-210"/>
    <m/>
    <m/>
    <m/>
    <m/>
    <m/>
    <m/>
    <m/>
    <x v="14"/>
    <x v="46"/>
    <s v="Budget"/>
    <m/>
    <m/>
    <m/>
    <x v="12"/>
    <x v="1"/>
    <x v="3"/>
    <x v="0"/>
    <x v="0"/>
    <s v="None"/>
    <s v="Home|Home Services"/>
  </r>
  <r>
    <s v="Budget"/>
    <d v="2014-12-28T00:00:00"/>
    <n v="-2520"/>
    <m/>
    <m/>
    <m/>
    <m/>
    <m/>
    <m/>
    <m/>
    <x v="14"/>
    <x v="46"/>
    <s v="Budget"/>
    <m/>
    <m/>
    <m/>
    <x v="13"/>
    <x v="1"/>
    <x v="3"/>
    <x v="0"/>
    <x v="0"/>
    <s v="None"/>
    <s v="Home|Home Services"/>
  </r>
  <r>
    <s v="Budget"/>
    <d v="2014-12-28T00:00:00"/>
    <n v="-3575"/>
    <m/>
    <m/>
    <m/>
    <m/>
    <m/>
    <m/>
    <m/>
    <x v="14"/>
    <x v="27"/>
    <s v="Budget"/>
    <m/>
    <m/>
    <m/>
    <x v="12"/>
    <x v="1"/>
    <x v="3"/>
    <x v="0"/>
    <x v="0"/>
    <s v="None"/>
    <s v="Home|Mortgage"/>
  </r>
  <r>
    <s v="Budget"/>
    <d v="2014-12-28T00:00:00"/>
    <n v="-42900"/>
    <m/>
    <m/>
    <m/>
    <m/>
    <m/>
    <m/>
    <m/>
    <x v="14"/>
    <x v="27"/>
    <s v="Budget"/>
    <m/>
    <m/>
    <m/>
    <x v="13"/>
    <x v="1"/>
    <x v="3"/>
    <x v="0"/>
    <x v="0"/>
    <s v="None"/>
    <s v="Home|Mortgage"/>
  </r>
  <r>
    <s v="Budget"/>
    <d v="2014-12-28T00:00:00"/>
    <n v="150"/>
    <m/>
    <m/>
    <m/>
    <m/>
    <m/>
    <m/>
    <m/>
    <x v="40"/>
    <x v="0"/>
    <s v="Budget"/>
    <m/>
    <m/>
    <m/>
    <x v="12"/>
    <x v="1"/>
    <x v="3"/>
    <x v="0"/>
    <x v="0"/>
    <s v="None"/>
    <s v="Interest Income"/>
  </r>
  <r>
    <s v="Budget"/>
    <d v="2014-12-28T00:00:00"/>
    <n v="1800"/>
    <m/>
    <m/>
    <m/>
    <m/>
    <m/>
    <m/>
    <m/>
    <x v="40"/>
    <x v="0"/>
    <s v="Budget"/>
    <m/>
    <m/>
    <m/>
    <x v="13"/>
    <x v="1"/>
    <x v="3"/>
    <x v="0"/>
    <x v="0"/>
    <s v="None"/>
    <s v="Interest Income"/>
  </r>
  <r>
    <s v="Budget"/>
    <d v="2014-12-28T00:00:00"/>
    <n v="-500"/>
    <m/>
    <m/>
    <m/>
    <m/>
    <m/>
    <m/>
    <m/>
    <x v="27"/>
    <x v="29"/>
    <s v="Budget"/>
    <m/>
    <m/>
    <m/>
    <x v="12"/>
    <x v="1"/>
    <x v="3"/>
    <x v="0"/>
    <x v="0"/>
    <s v="None"/>
    <s v="Kids|American Funds 529A"/>
  </r>
  <r>
    <s v="Budget"/>
    <d v="2014-12-28T00:00:00"/>
    <n v="-6000"/>
    <m/>
    <m/>
    <m/>
    <m/>
    <m/>
    <m/>
    <m/>
    <x v="27"/>
    <x v="29"/>
    <s v="Budget"/>
    <m/>
    <m/>
    <m/>
    <x v="13"/>
    <x v="1"/>
    <x v="3"/>
    <x v="0"/>
    <x v="0"/>
    <s v="None"/>
    <s v="Kids|American Funds 529A"/>
  </r>
  <r>
    <s v="Budget"/>
    <d v="2014-12-28T00:00:00"/>
    <n v="-125"/>
    <m/>
    <m/>
    <m/>
    <m/>
    <m/>
    <m/>
    <m/>
    <x v="27"/>
    <x v="13"/>
    <s v="Budget"/>
    <m/>
    <m/>
    <m/>
    <x v="12"/>
    <x v="1"/>
    <x v="3"/>
    <x v="0"/>
    <x v="0"/>
    <s v="None"/>
    <s v="Kids|Babysitter"/>
  </r>
  <r>
    <s v="Budget"/>
    <d v="2014-12-28T00:00:00"/>
    <n v="-1500"/>
    <m/>
    <m/>
    <m/>
    <m/>
    <m/>
    <m/>
    <m/>
    <x v="27"/>
    <x v="13"/>
    <s v="Budget"/>
    <m/>
    <m/>
    <m/>
    <x v="13"/>
    <x v="1"/>
    <x v="3"/>
    <x v="0"/>
    <x v="0"/>
    <s v="None"/>
    <s v="Kids|Babysitter"/>
  </r>
  <r>
    <s v="Budget"/>
    <d v="2014-12-28T00:00:00"/>
    <n v="-40"/>
    <m/>
    <m/>
    <m/>
    <m/>
    <m/>
    <m/>
    <m/>
    <x v="27"/>
    <x v="1"/>
    <s v="Budget"/>
    <m/>
    <m/>
    <m/>
    <x v="12"/>
    <x v="1"/>
    <x v="3"/>
    <x v="0"/>
    <x v="0"/>
    <s v="None"/>
    <s v="Kids|Clothing"/>
  </r>
  <r>
    <s v="Budget"/>
    <d v="2014-12-28T00:00:00"/>
    <n v="-480"/>
    <m/>
    <m/>
    <m/>
    <m/>
    <m/>
    <m/>
    <m/>
    <x v="27"/>
    <x v="1"/>
    <s v="Budget"/>
    <m/>
    <m/>
    <m/>
    <x v="13"/>
    <x v="1"/>
    <x v="3"/>
    <x v="0"/>
    <x v="0"/>
    <s v="None"/>
    <s v="Kids|Clothing"/>
  </r>
  <r>
    <s v="Budget"/>
    <d v="2014-12-28T00:00:00"/>
    <n v="-1976"/>
    <m/>
    <m/>
    <m/>
    <m/>
    <m/>
    <m/>
    <m/>
    <x v="27"/>
    <x v="35"/>
    <s v="Budget"/>
    <m/>
    <m/>
    <m/>
    <x v="12"/>
    <x v="1"/>
    <x v="3"/>
    <x v="0"/>
    <x v="0"/>
    <s v="None"/>
    <s v="Kids|Daycare"/>
  </r>
  <r>
    <s v="Budget"/>
    <d v="2014-12-28T00:00:00"/>
    <n v="-23712"/>
    <m/>
    <m/>
    <m/>
    <m/>
    <m/>
    <m/>
    <m/>
    <x v="27"/>
    <x v="35"/>
    <s v="Budget"/>
    <m/>
    <m/>
    <m/>
    <x v="13"/>
    <x v="1"/>
    <x v="3"/>
    <x v="0"/>
    <x v="0"/>
    <s v="None"/>
    <s v="Kids|Daycare"/>
  </r>
  <r>
    <s v="Budget"/>
    <d v="2014-12-28T00:00:00"/>
    <n v="-65"/>
    <m/>
    <m/>
    <m/>
    <m/>
    <m/>
    <m/>
    <m/>
    <x v="27"/>
    <x v="12"/>
    <s v="Budget"/>
    <m/>
    <m/>
    <m/>
    <x v="12"/>
    <x v="1"/>
    <x v="3"/>
    <x v="0"/>
    <x v="0"/>
    <s v="None"/>
    <s v="Kids|Kids Activities"/>
  </r>
  <r>
    <s v="Budget"/>
    <d v="2014-12-28T00:00:00"/>
    <n v="-780"/>
    <m/>
    <m/>
    <m/>
    <m/>
    <m/>
    <m/>
    <m/>
    <x v="27"/>
    <x v="12"/>
    <s v="Budget"/>
    <m/>
    <m/>
    <m/>
    <x v="13"/>
    <x v="1"/>
    <x v="3"/>
    <x v="0"/>
    <x v="0"/>
    <s v="None"/>
    <s v="Kids|Kids Activities"/>
  </r>
  <r>
    <s v="Budget"/>
    <d v="2014-12-28T00:00:00"/>
    <n v="-75"/>
    <m/>
    <m/>
    <m/>
    <m/>
    <m/>
    <m/>
    <m/>
    <x v="27"/>
    <x v="14"/>
    <s v="Budget"/>
    <m/>
    <m/>
    <m/>
    <x v="12"/>
    <x v="1"/>
    <x v="3"/>
    <x v="0"/>
    <x v="0"/>
    <s v="None"/>
    <s v="Kids|Toys"/>
  </r>
  <r>
    <s v="Budget"/>
    <d v="2014-12-28T00:00:00"/>
    <n v="-900"/>
    <m/>
    <m/>
    <m/>
    <m/>
    <m/>
    <m/>
    <m/>
    <x v="27"/>
    <x v="14"/>
    <s v="Budget"/>
    <m/>
    <m/>
    <m/>
    <x v="13"/>
    <x v="1"/>
    <x v="3"/>
    <x v="0"/>
    <x v="0"/>
    <s v="None"/>
    <s v="Kids|Toys"/>
  </r>
  <r>
    <s v="Budget"/>
    <d v="2014-12-28T00:00:00"/>
    <n v="12500"/>
    <m/>
    <m/>
    <m/>
    <m/>
    <m/>
    <m/>
    <m/>
    <x v="35"/>
    <x v="0"/>
    <s v="Budget"/>
    <m/>
    <m/>
    <m/>
    <x v="12"/>
    <x v="1"/>
    <x v="3"/>
    <x v="0"/>
    <x v="0"/>
    <s v="None"/>
    <s v="Net Salary"/>
  </r>
  <r>
    <s v="Budget"/>
    <d v="2014-12-28T00:00:00"/>
    <n v="150000"/>
    <m/>
    <m/>
    <m/>
    <m/>
    <m/>
    <m/>
    <m/>
    <x v="35"/>
    <x v="0"/>
    <s v="Budget"/>
    <m/>
    <m/>
    <m/>
    <x v="13"/>
    <x v="1"/>
    <x v="3"/>
    <x v="0"/>
    <x v="0"/>
    <s v="None"/>
    <s v="Net Salary"/>
  </r>
  <r>
    <s v="Budget"/>
    <d v="2014-12-28T00:00:00"/>
    <n v="75"/>
    <m/>
    <m/>
    <m/>
    <m/>
    <m/>
    <m/>
    <m/>
    <x v="29"/>
    <x v="0"/>
    <s v="Budget"/>
    <m/>
    <m/>
    <m/>
    <x v="12"/>
    <x v="1"/>
    <x v="3"/>
    <x v="0"/>
    <x v="0"/>
    <s v="None"/>
    <s v="Other Inc"/>
  </r>
  <r>
    <s v="Budget"/>
    <d v="2014-12-28T00:00:00"/>
    <n v="900"/>
    <m/>
    <m/>
    <m/>
    <m/>
    <m/>
    <m/>
    <m/>
    <x v="29"/>
    <x v="0"/>
    <s v="Budget"/>
    <m/>
    <m/>
    <m/>
    <x v="13"/>
    <x v="1"/>
    <x v="3"/>
    <x v="0"/>
    <x v="0"/>
    <s v="None"/>
    <s v="Other Inc"/>
  </r>
  <r>
    <s v="Budget"/>
    <d v="2014-12-28T00:00:00"/>
    <n v="-50"/>
    <m/>
    <m/>
    <m/>
    <m/>
    <m/>
    <m/>
    <m/>
    <x v="16"/>
    <x v="0"/>
    <s v="Budget"/>
    <m/>
    <m/>
    <m/>
    <x v="12"/>
    <x v="1"/>
    <x v="2"/>
    <x v="0"/>
    <x v="0"/>
    <s v="None"/>
    <s v="Parties"/>
  </r>
  <r>
    <s v="Budget"/>
    <d v="2014-12-28T00:00:00"/>
    <n v="-600"/>
    <m/>
    <m/>
    <m/>
    <m/>
    <m/>
    <m/>
    <m/>
    <x v="16"/>
    <x v="0"/>
    <s v="Budget"/>
    <m/>
    <m/>
    <m/>
    <x v="13"/>
    <x v="1"/>
    <x v="2"/>
    <x v="0"/>
    <x v="0"/>
    <s v="None"/>
    <s v="Parties"/>
  </r>
  <r>
    <s v="Budget"/>
    <d v="2014-12-28T00:00:00"/>
    <n v="-10"/>
    <m/>
    <m/>
    <m/>
    <m/>
    <m/>
    <m/>
    <m/>
    <x v="31"/>
    <x v="45"/>
    <s v="Budget"/>
    <m/>
    <m/>
    <m/>
    <x v="12"/>
    <x v="1"/>
    <x v="3"/>
    <x v="0"/>
    <x v="0"/>
    <s v="None"/>
    <s v="Personal Care|Beauty &amp; Makeup"/>
  </r>
  <r>
    <s v="Budget"/>
    <d v="2014-12-28T00:00:00"/>
    <n v="-120"/>
    <m/>
    <m/>
    <m/>
    <m/>
    <m/>
    <m/>
    <m/>
    <x v="31"/>
    <x v="45"/>
    <s v="Budget"/>
    <m/>
    <m/>
    <m/>
    <x v="13"/>
    <x v="1"/>
    <x v="3"/>
    <x v="0"/>
    <x v="0"/>
    <s v="None"/>
    <s v="Personal Care|Beauty &amp; Makeup"/>
  </r>
  <r>
    <s v="Budget"/>
    <d v="2014-12-28T00:00:00"/>
    <n v="-100"/>
    <m/>
    <m/>
    <m/>
    <m/>
    <m/>
    <m/>
    <m/>
    <x v="31"/>
    <x v="16"/>
    <s v="Budget"/>
    <m/>
    <m/>
    <m/>
    <x v="12"/>
    <x v="1"/>
    <x v="3"/>
    <x v="0"/>
    <x v="0"/>
    <s v="None"/>
    <s v="Personal Care|Hair"/>
  </r>
  <r>
    <s v="Budget"/>
    <d v="2014-12-28T00:00:00"/>
    <n v="-1200"/>
    <m/>
    <m/>
    <m/>
    <m/>
    <m/>
    <m/>
    <m/>
    <x v="31"/>
    <x v="16"/>
    <s v="Budget"/>
    <m/>
    <m/>
    <m/>
    <x v="13"/>
    <x v="1"/>
    <x v="3"/>
    <x v="0"/>
    <x v="0"/>
    <s v="None"/>
    <s v="Personal Care|Hair"/>
  </r>
  <r>
    <s v="Budget"/>
    <d v="2014-12-28T00:00:00"/>
    <n v="-2"/>
    <m/>
    <m/>
    <m/>
    <m/>
    <m/>
    <m/>
    <m/>
    <x v="31"/>
    <x v="76"/>
    <s v="Budget"/>
    <m/>
    <m/>
    <m/>
    <x v="12"/>
    <x v="1"/>
    <x v="6"/>
    <x v="0"/>
    <x v="0"/>
    <s v="None"/>
    <s v="Personal Care|Laundry"/>
  </r>
  <r>
    <s v="Budget"/>
    <d v="2014-12-28T00:00:00"/>
    <n v="-24"/>
    <m/>
    <m/>
    <m/>
    <m/>
    <m/>
    <m/>
    <m/>
    <x v="31"/>
    <x v="76"/>
    <s v="Budget"/>
    <m/>
    <m/>
    <m/>
    <x v="13"/>
    <x v="1"/>
    <x v="6"/>
    <x v="0"/>
    <x v="0"/>
    <s v="None"/>
    <s v="Personal Care|Laundry"/>
  </r>
  <r>
    <s v="Budget"/>
    <d v="2014-12-28T00:00:00"/>
    <n v="-2"/>
    <m/>
    <m/>
    <m/>
    <m/>
    <m/>
    <m/>
    <m/>
    <x v="31"/>
    <x v="77"/>
    <s v="Budget"/>
    <m/>
    <m/>
    <m/>
    <x v="12"/>
    <x v="1"/>
    <x v="4"/>
    <x v="0"/>
    <x v="0"/>
    <s v="None"/>
    <s v="Personal Care|Miscellaneous"/>
  </r>
  <r>
    <s v="Budget"/>
    <d v="2014-12-28T00:00:00"/>
    <n v="-24"/>
    <m/>
    <m/>
    <m/>
    <m/>
    <m/>
    <m/>
    <m/>
    <x v="31"/>
    <x v="77"/>
    <s v="Budget"/>
    <m/>
    <m/>
    <m/>
    <x v="13"/>
    <x v="1"/>
    <x v="4"/>
    <x v="0"/>
    <x v="0"/>
    <s v="None"/>
    <s v="Personal Care|Miscellaneous"/>
  </r>
  <r>
    <s v="Budget"/>
    <d v="2014-12-28T00:00:00"/>
    <n v="-625"/>
    <m/>
    <m/>
    <m/>
    <m/>
    <m/>
    <m/>
    <m/>
    <x v="39"/>
    <x v="0"/>
    <s v="Budget"/>
    <m/>
    <m/>
    <m/>
    <x v="12"/>
    <x v="1"/>
    <x v="6"/>
    <x v="0"/>
    <x v="0"/>
    <s v="None"/>
    <s v="Projects"/>
  </r>
  <r>
    <s v="Budget"/>
    <d v="2014-12-28T00:00:00"/>
    <n v="-7500"/>
    <m/>
    <m/>
    <m/>
    <m/>
    <m/>
    <m/>
    <m/>
    <x v="39"/>
    <x v="0"/>
    <s v="Budget"/>
    <m/>
    <m/>
    <m/>
    <x v="13"/>
    <x v="1"/>
    <x v="6"/>
    <x v="0"/>
    <x v="0"/>
    <s v="None"/>
    <s v="Projects"/>
  </r>
  <r>
    <s v="Budget"/>
    <d v="2014-12-28T00:00:00"/>
    <n v="-5"/>
    <m/>
    <m/>
    <m/>
    <m/>
    <m/>
    <m/>
    <m/>
    <x v="13"/>
    <x v="51"/>
    <s v="Budget"/>
    <m/>
    <m/>
    <m/>
    <x v="12"/>
    <x v="1"/>
    <x v="6"/>
    <x v="0"/>
    <x v="0"/>
    <s v="None"/>
    <s v="Shopping|Books"/>
  </r>
  <r>
    <s v="Budget"/>
    <d v="2014-12-28T00:00:00"/>
    <n v="-60"/>
    <m/>
    <m/>
    <m/>
    <m/>
    <m/>
    <m/>
    <m/>
    <x v="13"/>
    <x v="51"/>
    <s v="Budget"/>
    <m/>
    <m/>
    <m/>
    <x v="13"/>
    <x v="1"/>
    <x v="6"/>
    <x v="0"/>
    <x v="0"/>
    <s v="None"/>
    <s v="Shopping|Books"/>
  </r>
  <r>
    <s v="Budget"/>
    <d v="2014-12-28T00:00:00"/>
    <n v="-150"/>
    <m/>
    <m/>
    <m/>
    <m/>
    <m/>
    <m/>
    <m/>
    <x v="13"/>
    <x v="1"/>
    <s v="Budget"/>
    <m/>
    <m/>
    <m/>
    <x v="12"/>
    <x v="1"/>
    <x v="2"/>
    <x v="0"/>
    <x v="0"/>
    <s v="None"/>
    <s v="Shopping|Clothing"/>
  </r>
  <r>
    <s v="Budget"/>
    <d v="2014-12-28T00:00:00"/>
    <n v="-1800"/>
    <m/>
    <m/>
    <m/>
    <m/>
    <m/>
    <m/>
    <m/>
    <x v="13"/>
    <x v="1"/>
    <s v="Budget"/>
    <m/>
    <m/>
    <m/>
    <x v="13"/>
    <x v="1"/>
    <x v="2"/>
    <x v="0"/>
    <x v="0"/>
    <s v="None"/>
    <s v="Shopping|Clothing"/>
  </r>
  <r>
    <s v="Budget"/>
    <d v="2014-12-28T00:00:00"/>
    <n v="-100"/>
    <m/>
    <m/>
    <m/>
    <m/>
    <m/>
    <m/>
    <m/>
    <x v="13"/>
    <x v="20"/>
    <s v="Budget"/>
    <m/>
    <m/>
    <m/>
    <x v="12"/>
    <x v="1"/>
    <x v="2"/>
    <x v="0"/>
    <x v="0"/>
    <s v="None"/>
    <s v="Shopping|Electronics &amp; Software"/>
  </r>
  <r>
    <s v="Budget"/>
    <d v="2014-12-28T00:00:00"/>
    <n v="-1200"/>
    <m/>
    <m/>
    <m/>
    <m/>
    <m/>
    <m/>
    <m/>
    <x v="13"/>
    <x v="20"/>
    <s v="Budget"/>
    <m/>
    <m/>
    <m/>
    <x v="13"/>
    <x v="1"/>
    <x v="2"/>
    <x v="0"/>
    <x v="0"/>
    <s v="None"/>
    <s v="Shopping|Electronics &amp; Software"/>
  </r>
  <r>
    <s v="Budget"/>
    <d v="2014-12-28T00:00:00"/>
    <n v="-25"/>
    <m/>
    <m/>
    <m/>
    <m/>
    <m/>
    <m/>
    <m/>
    <x v="13"/>
    <x v="48"/>
    <s v="Budget"/>
    <m/>
    <m/>
    <m/>
    <x v="12"/>
    <x v="1"/>
    <x v="2"/>
    <x v="0"/>
    <x v="0"/>
    <s v="None"/>
    <s v="Shopping|Hobbies"/>
  </r>
  <r>
    <s v="Budget"/>
    <d v="2014-12-28T00:00:00"/>
    <n v="-300"/>
    <m/>
    <m/>
    <m/>
    <m/>
    <m/>
    <m/>
    <m/>
    <x v="13"/>
    <x v="48"/>
    <s v="Budget"/>
    <m/>
    <m/>
    <m/>
    <x v="13"/>
    <x v="1"/>
    <x v="2"/>
    <x v="0"/>
    <x v="0"/>
    <s v="None"/>
    <s v="Shopping|Hobbies"/>
  </r>
  <r>
    <s v="Budget"/>
    <d v="2014-12-28T00:00:00"/>
    <n v="-20"/>
    <m/>
    <m/>
    <m/>
    <m/>
    <m/>
    <m/>
    <m/>
    <x v="13"/>
    <x v="78"/>
    <s v="Budget"/>
    <m/>
    <m/>
    <m/>
    <x v="12"/>
    <x v="1"/>
    <x v="2"/>
    <x v="0"/>
    <x v="0"/>
    <s v="None"/>
    <s v="Shopping|Sporting Goods"/>
  </r>
  <r>
    <s v="Budget"/>
    <d v="2014-12-28T00:00:00"/>
    <n v="-240"/>
    <m/>
    <m/>
    <m/>
    <m/>
    <m/>
    <m/>
    <m/>
    <x v="13"/>
    <x v="78"/>
    <s v="Budget"/>
    <m/>
    <m/>
    <m/>
    <x v="13"/>
    <x v="1"/>
    <x v="2"/>
    <x v="0"/>
    <x v="0"/>
    <s v="None"/>
    <s v="Shopping|Sporting Goods"/>
  </r>
  <r>
    <s v="Budget"/>
    <d v="2014-12-28T00:00:00"/>
    <n v="-35"/>
    <m/>
    <m/>
    <m/>
    <m/>
    <m/>
    <m/>
    <m/>
    <x v="33"/>
    <x v="0"/>
    <s v="Budget"/>
    <m/>
    <m/>
    <m/>
    <x v="12"/>
    <x v="1"/>
    <x v="2"/>
    <x v="0"/>
    <x v="0"/>
    <s v="None"/>
    <s v="Subscriptions &amp; Dues"/>
  </r>
  <r>
    <s v="Budget"/>
    <d v="2014-12-28T00:00:00"/>
    <n v="-420"/>
    <m/>
    <m/>
    <m/>
    <m/>
    <m/>
    <m/>
    <m/>
    <x v="33"/>
    <x v="0"/>
    <s v="Budget"/>
    <m/>
    <m/>
    <m/>
    <x v="13"/>
    <x v="1"/>
    <x v="2"/>
    <x v="0"/>
    <x v="0"/>
    <s v="None"/>
    <s v="Subscriptions &amp; Dues"/>
  </r>
  <r>
    <s v="Budget"/>
    <d v="2014-12-28T00:00:00"/>
    <n v="-800"/>
    <m/>
    <m/>
    <m/>
    <m/>
    <m/>
    <m/>
    <m/>
    <x v="23"/>
    <x v="58"/>
    <s v="Budget"/>
    <m/>
    <m/>
    <m/>
    <x v="12"/>
    <x v="1"/>
    <x v="4"/>
    <x v="0"/>
    <x v="0"/>
    <s v="None"/>
    <s v="Vacation|Other"/>
  </r>
  <r>
    <s v="Budget"/>
    <d v="2014-12-28T00:00:00"/>
    <n v="-9600"/>
    <m/>
    <m/>
    <m/>
    <m/>
    <m/>
    <m/>
    <m/>
    <x v="23"/>
    <x v="58"/>
    <s v="Budget"/>
    <m/>
    <m/>
    <m/>
    <x v="13"/>
    <x v="1"/>
    <x v="4"/>
    <x v="0"/>
    <x v="0"/>
    <s v="None"/>
    <s v="Vacation|Oth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02">
  <r>
    <s v="Capital One - Investment (6759)"/>
    <d v="2014-12-28T00:00:00"/>
    <n v="0"/>
    <s v="X"/>
    <s v="Balanced"/>
    <s v="@CAT:@@BAL:$47,275.08@"/>
    <s v="[Capital One - Investment (6759)]"/>
    <m/>
    <m/>
    <m/>
    <x v="0"/>
    <m/>
    <x v="0"/>
    <m/>
    <x v="0"/>
    <m/>
    <s v="Dec"/>
    <n v="2014"/>
    <s v="Account"/>
    <n v="0"/>
    <s v="No"/>
    <s v="None"/>
    <s v="[Capital One - Investment (6759)]"/>
  </r>
  <r>
    <s v="Capital One - Long Term Emergency (1201)"/>
    <d v="2014-12-28T00:00:00"/>
    <n v="0"/>
    <s v="X"/>
    <s v="Balanced"/>
    <s v="@CAT:@@BAL:$118,695.53@"/>
    <s v="[Capital One - Long Term Emergency (1201)]"/>
    <m/>
    <m/>
    <m/>
    <x v="1"/>
    <m/>
    <x v="0"/>
    <m/>
    <x v="0"/>
    <m/>
    <s v="Dec"/>
    <n v="2014"/>
    <s v="Account"/>
    <n v="0"/>
    <s v="No"/>
    <s v="None"/>
    <s v="[Capital One - Long Term Emergency (1201)]"/>
  </r>
  <r>
    <s v="Capital One - Secondary Savings (3126)"/>
    <d v="2014-12-28T00:00:00"/>
    <n v="0"/>
    <s v="X"/>
    <s v="Balanced"/>
    <s v="@CAT:@@BAL:$123.22@"/>
    <s v="[Capital One - Secondary Savings (3126)]"/>
    <m/>
    <m/>
    <m/>
    <x v="2"/>
    <m/>
    <x v="0"/>
    <m/>
    <x v="0"/>
    <m/>
    <s v="Dec"/>
    <n v="2014"/>
    <s v="Account"/>
    <n v="0"/>
    <s v="No"/>
    <s v="None"/>
    <s v="[Capital One - Secondary Savings (3126)]"/>
  </r>
  <r>
    <s v="Capital One - Vacation (4959)"/>
    <d v="2014-12-28T00:00:00"/>
    <n v="0"/>
    <s v="X"/>
    <s v="Balanced"/>
    <s v="@CAT:@@BAL:$36,045.87@"/>
    <s v="[Capital One - Vacation (4959)]"/>
    <m/>
    <m/>
    <m/>
    <x v="3"/>
    <m/>
    <x v="0"/>
    <m/>
    <x v="0"/>
    <m/>
    <s v="Dec"/>
    <n v="2014"/>
    <s v="Account"/>
    <n v="0"/>
    <s v="No"/>
    <s v="None"/>
    <s v="[Capital One - Vacation (4959)]"/>
  </r>
  <r>
    <s v="First Tech - Short Term Emergency (5400)"/>
    <d v="2014-12-28T00:00:00"/>
    <n v="0"/>
    <m/>
    <s v="Balanced"/>
    <s v="@CAT:@@BAL:$5.00@"/>
    <s v="[First Tech - Short Term Emergency (5400)]"/>
    <m/>
    <m/>
    <m/>
    <x v="4"/>
    <m/>
    <x v="0"/>
    <m/>
    <x v="0"/>
    <m/>
    <s v="Dec"/>
    <n v="2014"/>
    <s v="Account"/>
    <n v="0"/>
    <s v="No"/>
    <s v="None"/>
    <s v="[First Tech - Short Term Emergency (5400)]"/>
  </r>
  <r>
    <s v="Schwab - Checking (9784)"/>
    <d v="2014-12-28T00:00:00"/>
    <n v="0"/>
    <m/>
    <s v="Balanced"/>
    <s v="@CAT:@@BAL:$344.83@"/>
    <s v="[Schwab - Checking (9784)]"/>
    <m/>
    <m/>
    <m/>
    <x v="5"/>
    <m/>
    <x v="0"/>
    <m/>
    <x v="0"/>
    <m/>
    <s v="Dec"/>
    <n v="2014"/>
    <s v="Account"/>
    <n v="0"/>
    <s v="No"/>
    <s v="None"/>
    <s v="[Schwab - Checking (9784)]"/>
  </r>
  <r>
    <s v="Chase Amazon (XX8482)"/>
    <d v="2014-12-28T00:00:00"/>
    <n v="0"/>
    <m/>
    <s v="Balanced"/>
    <s v="@CAT:@@BAL:$0.00@"/>
    <s v="[Chase Amazon (XX8482)]"/>
    <m/>
    <m/>
    <m/>
    <x v="6"/>
    <m/>
    <x v="0"/>
    <m/>
    <x v="0"/>
    <m/>
    <s v="Dec"/>
    <n v="2014"/>
    <e v="#N/A"/>
    <e v="#N/A"/>
    <e v="#N/A"/>
    <e v="#N/A"/>
    <s v="[Chase Amazon (XX8482)]"/>
  </r>
  <r>
    <s v="Chase Freedom XX9381"/>
    <d v="2014-12-28T00:00:00"/>
    <n v="0"/>
    <s v="X"/>
    <s v="Balanced"/>
    <s v="@CAT:@@BAL:$0.00@"/>
    <s v="[Chase Freedom XX9381]"/>
    <m/>
    <m/>
    <m/>
    <x v="7"/>
    <m/>
    <x v="0"/>
    <m/>
    <x v="0"/>
    <m/>
    <s v="Dec"/>
    <n v="2014"/>
    <e v="#N/A"/>
    <e v="#N/A"/>
    <e v="#N/A"/>
    <e v="#N/A"/>
    <s v="[Chase Freedom XX9381]"/>
  </r>
  <r>
    <s v="Chase Slate (XX1141)"/>
    <d v="2014-12-28T00:00:00"/>
    <n v="0"/>
    <m/>
    <s v="Balanced"/>
    <s v="@CAT:@@BAL:$0.00@"/>
    <s v="[Chase Slate (XX1141)]"/>
    <m/>
    <m/>
    <m/>
    <x v="8"/>
    <m/>
    <x v="0"/>
    <m/>
    <x v="0"/>
    <m/>
    <s v="Dec"/>
    <n v="2014"/>
    <e v="#N/A"/>
    <e v="#N/A"/>
    <e v="#N/A"/>
    <e v="#N/A"/>
    <s v="[Chase Slate (XX1141)]"/>
  </r>
  <r>
    <s v="Koolikai Credit Card"/>
    <d v="2014-12-28T00:00:00"/>
    <n v="0"/>
    <m/>
    <s v="Balanced"/>
    <s v="@CAT:@@BAL:$230.14@"/>
    <s v="[Koolikai Credit Card]"/>
    <m/>
    <m/>
    <m/>
    <x v="9"/>
    <m/>
    <x v="0"/>
    <m/>
    <x v="0"/>
    <m/>
    <s v="Dec"/>
    <n v="2014"/>
    <s v="Account"/>
    <n v="0"/>
    <s v="No"/>
    <s v="None"/>
    <s v="[Koolikai Credit Card]"/>
  </r>
  <r>
    <s v="Mastercard (Angela)"/>
    <d v="2014-12-28T00:00:00"/>
    <n v="0"/>
    <m/>
    <s v="Balanced"/>
    <s v="@CAT:@@BAL:$0.00@"/>
    <s v="[Mastercard (Angela)]"/>
    <m/>
    <m/>
    <m/>
    <x v="10"/>
    <m/>
    <x v="0"/>
    <m/>
    <x v="0"/>
    <m/>
    <s v="Dec"/>
    <n v="2014"/>
    <s v="Account"/>
    <n v="0"/>
    <s v="No"/>
    <s v="None"/>
    <s v="[Mastercard (Angela)]"/>
  </r>
  <r>
    <s v="REI Mastercard (xx1787)"/>
    <d v="2014-12-28T00:00:00"/>
    <n v="0"/>
    <m/>
    <s v="Balanced"/>
    <s v="@CAT:@@BAL:$86.51@"/>
    <s v="[REI Mastercard (xx1787)]"/>
    <m/>
    <m/>
    <m/>
    <x v="11"/>
    <m/>
    <x v="0"/>
    <m/>
    <x v="0"/>
    <m/>
    <s v="Dec"/>
    <n v="2014"/>
    <e v="#N/A"/>
    <e v="#N/A"/>
    <e v="#N/A"/>
    <e v="#N/A"/>
    <s v="[REI Mastercard (xx1787)]"/>
  </r>
  <r>
    <s v="Target Red Card"/>
    <d v="2014-12-28T00:00:00"/>
    <n v="0"/>
    <m/>
    <s v="Balanced"/>
    <s v="@CAT:@@BAL:$125.01@"/>
    <s v="[Target Red Card]"/>
    <m/>
    <m/>
    <m/>
    <x v="12"/>
    <m/>
    <x v="0"/>
    <m/>
    <x v="0"/>
    <m/>
    <s v="Dec"/>
    <n v="2014"/>
    <s v="Account"/>
    <n v="0"/>
    <s v="No"/>
    <s v="None"/>
    <s v="[Target Red Card]"/>
  </r>
  <r>
    <s v="American Express (Costco)"/>
    <d v="2014-12-27T00:00:00"/>
    <n v="-10.94"/>
    <m/>
    <s v="Costco"/>
    <s v="Socks"/>
    <s v="Shopping:Clothing/From Receipt"/>
    <m/>
    <s v="Split"/>
    <s v="From Receipt"/>
    <x v="13"/>
    <s v="Clothing"/>
    <x v="0"/>
    <m/>
    <x v="0"/>
    <m/>
    <s v="Dec"/>
    <n v="2014"/>
    <s v="Annual"/>
    <n v="0"/>
    <s v="No"/>
    <s v="None"/>
    <s v="Shopping|Clothing"/>
  </r>
  <r>
    <s v="American Express (Costco)"/>
    <d v="2014-12-27T00:00:00"/>
    <n v="-21.89"/>
    <m/>
    <s v="Costco"/>
    <s v="Digital food scale"/>
    <s v="Home:Furnishings/From Receipt"/>
    <m/>
    <s v="Split"/>
    <s v="From Receipt"/>
    <x v="14"/>
    <s v="Furnishings"/>
    <x v="0"/>
    <m/>
    <x v="0"/>
    <m/>
    <s v="Dec"/>
    <n v="2014"/>
    <s v="Monthly"/>
    <n v="0"/>
    <s v="No"/>
    <s v="None"/>
    <s v="Home|Furnishings"/>
  </r>
  <r>
    <s v="American Express (Costco)"/>
    <d v="2014-12-27T00:00:00"/>
    <n v="-48.74"/>
    <m/>
    <s v="Costco"/>
    <m/>
    <s v="Food &amp; Dining:Groceries/From Receipt"/>
    <m/>
    <s v="Split"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27T00:00:00"/>
    <n v="-45"/>
    <m/>
    <s v="Fred Meyer"/>
    <s v="#Smith Christmas#"/>
    <s v="Parties/From Receipt"/>
    <m/>
    <s v="Split"/>
    <s v="From Receipt"/>
    <x v="16"/>
    <m/>
    <x v="0"/>
    <m/>
    <x v="1"/>
    <m/>
    <s v="Dec"/>
    <n v="2014"/>
    <s v="Annual"/>
    <n v="0"/>
    <s v="No"/>
    <s v="None"/>
    <s v="Parties"/>
  </r>
  <r>
    <s v="MasterCard (Capital One)"/>
    <d v="2014-12-27T00:00:00"/>
    <n v="-119.52"/>
    <m/>
    <s v="Fred Meyer"/>
    <m/>
    <s v="Food &amp; Dining:Groceries/From Receipt"/>
    <m/>
    <s v="Split"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27T00:00:00"/>
    <n v="-15"/>
    <m/>
    <s v="Vehicle Emissions #4"/>
    <s v="Emissions Test"/>
    <s v="Auto &amp; Transport:Registration"/>
    <m/>
    <m/>
    <m/>
    <x v="17"/>
    <s v="Registration"/>
    <x v="0"/>
    <m/>
    <x v="0"/>
    <m/>
    <s v="Dec"/>
    <n v="2014"/>
    <s v="Annual"/>
    <n v="0"/>
    <s v="No"/>
    <s v="None"/>
    <s v="Auto &amp; Transport|Registration"/>
  </r>
  <r>
    <s v="First Tech - Checking (5544)"/>
    <d v="2014-12-26T00:00:00"/>
    <n v="98.99"/>
    <s v="X"/>
    <s v="Dave Smith"/>
    <s v="Zach's Glasses"/>
    <s v="Health &amp; Fitness:Eyecare"/>
    <m/>
    <m/>
    <m/>
    <x v="18"/>
    <s v="Eyecare"/>
    <x v="0"/>
    <m/>
    <x v="0"/>
    <m/>
    <s v="Dec"/>
    <n v="2014"/>
    <s v="Irregular"/>
    <n v="0"/>
    <s v="No"/>
    <s v="None"/>
    <s v="Health &amp; Fitness|Eyecare"/>
  </r>
  <r>
    <s v="First Tech - Checking (5544)"/>
    <d v="2014-12-26T00:00:00"/>
    <n v="300"/>
    <s v="X"/>
    <s v="Angela Smith"/>
    <s v="#SFOM Pool Party# SFOM reimbursement for pool reservation"/>
    <s v="Work Expense:Reimbursement"/>
    <m/>
    <m/>
    <m/>
    <x v="19"/>
    <s v="Reimbursement"/>
    <x v="0"/>
    <m/>
    <x v="2"/>
    <m/>
    <s v="Dec"/>
    <n v="2014"/>
    <s v="Irregular"/>
    <n v="0"/>
    <s v="No"/>
    <s v="None"/>
    <s v="Work Expense|Reimbursement"/>
  </r>
  <r>
    <s v="First Tech - Checking (5544)"/>
    <d v="2014-12-26T00:00:00"/>
    <n v="-88.86"/>
    <m/>
    <s v="Chase Autopay (Freedom)"/>
    <m/>
    <s v="[Chase Freedom XX9381]"/>
    <m/>
    <m/>
    <m/>
    <x v="7"/>
    <m/>
    <x v="0"/>
    <m/>
    <x v="0"/>
    <m/>
    <s v="Dec"/>
    <n v="2014"/>
    <e v="#N/A"/>
    <e v="#N/A"/>
    <e v="#N/A"/>
    <e v="#N/A"/>
    <s v="[Chase Freedom XX9381]"/>
  </r>
  <r>
    <s v="American Express (Costco)"/>
    <d v="2014-12-26T00:00:00"/>
    <n v="0"/>
    <m/>
    <s v="Balanced"/>
    <s v="@CAT:@@BAL:$0.00@"/>
    <s v="[American Express (Costco)]"/>
    <m/>
    <m/>
    <m/>
    <x v="20"/>
    <m/>
    <x v="0"/>
    <m/>
    <x v="0"/>
    <m/>
    <s v="Dec"/>
    <n v="2014"/>
    <s v="Account"/>
    <n v="0"/>
    <s v="No"/>
    <s v="None"/>
    <s v="[American Express (Costco)]"/>
  </r>
  <r>
    <s v="Chase Freedom XX9381"/>
    <d v="2014-12-26T00:00:00"/>
    <n v="88.86"/>
    <s v="X"/>
    <s v="Chase Autopay (Freedom)"/>
    <m/>
    <s v="[First Tech - Checking (5544)]"/>
    <m/>
    <m/>
    <m/>
    <x v="21"/>
    <m/>
    <x v="0"/>
    <m/>
    <x v="0"/>
    <m/>
    <s v="Dec"/>
    <n v="2014"/>
    <s v="Account"/>
    <n v="0"/>
    <s v="No"/>
    <s v="None"/>
    <s v="[First Tech - Checking (5544)]"/>
  </r>
  <r>
    <s v="Discover Card"/>
    <d v="2014-12-26T00:00:00"/>
    <n v="-15"/>
    <m/>
    <s v="National Parks Conservancy Association"/>
    <m/>
    <s v="Charity:Charity (Cash)"/>
    <m/>
    <m/>
    <m/>
    <x v="22"/>
    <s v="Charity (Cash)"/>
    <x v="0"/>
    <m/>
    <x v="0"/>
    <m/>
    <s v="Dec"/>
    <n v="2014"/>
    <s v="Annual"/>
    <n v="0"/>
    <s v="No"/>
    <s v="None"/>
    <s v="Charity|Charity (Cash)"/>
  </r>
  <r>
    <s v="MasterCard (Capital One)"/>
    <d v="2014-12-26T00:00:00"/>
    <n v="-30.84"/>
    <s v="X"/>
    <s v="Blusterys Burger D"/>
    <s v="#Spokane 2014#"/>
    <s v="Vacation:Food"/>
    <m/>
    <m/>
    <m/>
    <x v="23"/>
    <s v="Food"/>
    <x v="0"/>
    <m/>
    <x v="3"/>
    <m/>
    <s v="Dec"/>
    <n v="2014"/>
    <s v="Irregular"/>
    <n v="0"/>
    <s v="No"/>
    <s v="None"/>
    <s v="Vacation|Food"/>
  </r>
  <r>
    <s v="Discover Card"/>
    <d v="2014-12-25T00:00:00"/>
    <n v="0"/>
    <m/>
    <s v="Balanced"/>
    <s v="@CAT:@@BAL:$13.10@"/>
    <s v="[Discover Card]"/>
    <m/>
    <m/>
    <m/>
    <x v="24"/>
    <m/>
    <x v="0"/>
    <m/>
    <x v="0"/>
    <m/>
    <s v="Dec"/>
    <n v="2014"/>
    <s v="Account"/>
    <n v="0"/>
    <s v="No"/>
    <s v="None"/>
    <s v="[Discover Card]"/>
  </r>
  <r>
    <s v="MasterCard (Capital One)"/>
    <d v="2014-12-25T00:00:00"/>
    <n v="-151.84"/>
    <m/>
    <s v="Madison Inn"/>
    <s v="#Spokane 2014#"/>
    <s v="Vacation:Lodging"/>
    <m/>
    <m/>
    <m/>
    <x v="23"/>
    <s v="Lodging"/>
    <x v="0"/>
    <m/>
    <x v="3"/>
    <m/>
    <s v="Dec"/>
    <n v="2014"/>
    <s v="Irregular"/>
    <n v="0"/>
    <s v="No"/>
    <s v="None"/>
    <s v="Vacation|Lodging"/>
  </r>
  <r>
    <s v="First Tech - Checking (5544)"/>
    <d v="2014-12-24T00:00:00"/>
    <n v="-347.45"/>
    <s v="X"/>
    <s v="Discover (Autopay)"/>
    <s v="ACH Debit--DISCOVER DC PYMNTS DCIDPIINT - E-PAYMENT"/>
    <s v="[Discover Card]"/>
    <m/>
    <m/>
    <m/>
    <x v="24"/>
    <m/>
    <x v="0"/>
    <m/>
    <x v="0"/>
    <m/>
    <s v="Dec"/>
    <n v="2014"/>
    <s v="Account"/>
    <n v="0"/>
    <s v="No"/>
    <s v="None"/>
    <s v="[Discover Card]"/>
  </r>
  <r>
    <s v="Koolikai - Checking XX2129"/>
    <d v="2014-12-24T00:00:00"/>
    <n v="-146.88"/>
    <s v="*"/>
    <s v="Chase - Koolikai (Autopay)"/>
    <s v="ACH Debit--CHASE  - AUTOPAYBUS"/>
    <s v="[Koolikai Credit Card]"/>
    <m/>
    <m/>
    <m/>
    <x v="9"/>
    <m/>
    <x v="0"/>
    <m/>
    <x v="0"/>
    <m/>
    <s v="Dec"/>
    <n v="2014"/>
    <s v="Account"/>
    <n v="0"/>
    <s v="No"/>
    <s v="None"/>
    <s v="[Koolikai Credit Card]"/>
  </r>
  <r>
    <s v="Discover Card"/>
    <d v="2014-12-24T00:00:00"/>
    <n v="347.45"/>
    <s v="X"/>
    <s v="Discover (Autopay)"/>
    <s v="ACH Debit--DISCOVER DC PYMNTS DCIDPIINT - E-PAYMENT"/>
    <s v="[First Tech - Checking (5544)]"/>
    <m/>
    <m/>
    <m/>
    <x v="21"/>
    <m/>
    <x v="0"/>
    <m/>
    <x v="0"/>
    <m/>
    <s v="Dec"/>
    <n v="2014"/>
    <s v="Account"/>
    <n v="0"/>
    <s v="No"/>
    <s v="None"/>
    <s v="[First Tech - Checking (5544)]"/>
  </r>
  <r>
    <s v="MasterCard (Capital One)"/>
    <d v="2014-12-24T00:00:00"/>
    <n v="-4.49"/>
    <s v="X"/>
    <s v="Rosauers Supermarket"/>
    <s v="#Spokane 2014#"/>
    <s v="Food &amp; Dining:Groceries"/>
    <m/>
    <m/>
    <m/>
    <x v="15"/>
    <s v="Groceries"/>
    <x v="0"/>
    <m/>
    <x v="3"/>
    <m/>
    <s v="Dec"/>
    <n v="2014"/>
    <s v="Monthly"/>
    <n v="0"/>
    <s v="No"/>
    <s v="None"/>
    <s v="Food &amp; Dining|Groceries"/>
  </r>
  <r>
    <s v="MasterCard (Capital One)"/>
    <d v="2014-12-24T00:00:00"/>
    <n v="-6.46"/>
    <s v="X"/>
    <s v="Rosauers Supermarket"/>
    <s v="#Spokane 2014#"/>
    <s v="Food &amp; Dining:Groceries"/>
    <m/>
    <m/>
    <m/>
    <x v="15"/>
    <s v="Groceries"/>
    <x v="0"/>
    <m/>
    <x v="3"/>
    <m/>
    <s v="Dec"/>
    <n v="2014"/>
    <s v="Monthly"/>
    <n v="0"/>
    <s v="No"/>
    <s v="None"/>
    <s v="Food &amp; Dining|Groceries"/>
  </r>
  <r>
    <s v="MasterCard (Capital One)"/>
    <d v="2014-12-24T00:00:00"/>
    <n v="-12.96"/>
    <s v="X"/>
    <s v="Rosauers Supermarket"/>
    <s v="#Spokane 2014#"/>
    <s v="Food &amp; Dining:Groceries"/>
    <m/>
    <m/>
    <m/>
    <x v="15"/>
    <s v="Groceries"/>
    <x v="0"/>
    <m/>
    <x v="3"/>
    <m/>
    <s v="Dec"/>
    <n v="2014"/>
    <s v="Monthly"/>
    <n v="0"/>
    <s v="No"/>
    <s v="None"/>
    <s v="Food &amp; Dining|Groceries"/>
  </r>
  <r>
    <s v="MasterCard (Capital One)"/>
    <d v="2014-12-24T00:00:00"/>
    <n v="-16.78"/>
    <s v="X"/>
    <s v="Mcdonald's"/>
    <s v="#Spokane 2014#"/>
    <s v="Vacation:Food"/>
    <m/>
    <m/>
    <m/>
    <x v="23"/>
    <s v="Food"/>
    <x v="0"/>
    <m/>
    <x v="3"/>
    <m/>
    <s v="Dec"/>
    <n v="2014"/>
    <s v="Irregular"/>
    <n v="0"/>
    <s v="No"/>
    <s v="None"/>
    <s v="Vacation|Food"/>
  </r>
  <r>
    <s v="First Tech - Checking (5544)"/>
    <d v="2014-12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Dec"/>
    <n v="2014"/>
    <s v="Monthly"/>
    <n v="0"/>
    <s v="No"/>
    <s v="None"/>
    <s v="Auto &amp; Transport|Auto Lease Payment"/>
  </r>
  <r>
    <s v="Koolikai Credit Card"/>
    <d v="2014-12-23T00:00:00"/>
    <n v="146.88"/>
    <s v="*"/>
    <s v="Chase - Koolikai (Autopay)"/>
    <m/>
    <s v="[Koolikai - Checking XX2129]"/>
    <m/>
    <m/>
    <m/>
    <x v="25"/>
    <m/>
    <x v="0"/>
    <m/>
    <x v="0"/>
    <m/>
    <s v="Dec"/>
    <n v="2014"/>
    <s v="Account"/>
    <n v="0"/>
    <s v="No"/>
    <s v="None"/>
    <s v="[Koolikai - Checking XX2129]"/>
  </r>
  <r>
    <s v="MasterCard (Capital One)"/>
    <d v="2014-12-23T00:00:00"/>
    <n v="-15.86"/>
    <s v="X"/>
    <s v="Diamond Parking"/>
    <m/>
    <s v="Auto &amp; Transport:Parking"/>
    <m/>
    <m/>
    <m/>
    <x v="17"/>
    <s v="Parking"/>
    <x v="0"/>
    <m/>
    <x v="0"/>
    <m/>
    <s v="Dec"/>
    <n v="2014"/>
    <s v="Monthly"/>
    <n v="0"/>
    <s v="No"/>
    <s v="None"/>
    <s v="Auto &amp; Transport|Parking"/>
  </r>
  <r>
    <s v="Edward Jones - Roth IRA"/>
    <d v="2014-12-23T00:00:00"/>
    <n v="332.99"/>
    <s v="c"/>
    <m/>
    <m/>
    <m/>
    <s v="ReinvLg"/>
    <m/>
    <m/>
    <x v="26"/>
    <m/>
    <x v="0"/>
    <m/>
    <x v="0"/>
    <m/>
    <s v="Dec"/>
    <n v="2014"/>
    <e v="#N/A"/>
    <e v="#N/A"/>
    <e v="#N/A"/>
    <e v="#N/A"/>
    <n v="0"/>
  </r>
  <r>
    <s v="Edward Jones - Roth IRA"/>
    <d v="2014-12-23T00:00:00"/>
    <n v="59.77"/>
    <s v="c"/>
    <m/>
    <m/>
    <m/>
    <s v="ReinvDiv"/>
    <m/>
    <m/>
    <x v="26"/>
    <m/>
    <x v="0"/>
    <m/>
    <x v="0"/>
    <m/>
    <s v="Dec"/>
    <n v="2014"/>
    <e v="#N/A"/>
    <e v="#N/A"/>
    <e v="#N/A"/>
    <e v="#N/A"/>
    <n v="0"/>
  </r>
  <r>
    <s v="First Tech - Checking (5544)"/>
    <d v="2014-12-22T00:00:00"/>
    <n v="-98"/>
    <s v="X"/>
    <s v="Pacific Science Center The"/>
    <s v="Annual membership"/>
    <s v="Kids:Kids Activities/Tax Related"/>
    <n v="2144"/>
    <m/>
    <s v="Tax Related"/>
    <x v="27"/>
    <s v="Kids Activities"/>
    <x v="0"/>
    <m/>
    <x v="0"/>
    <m/>
    <s v="Dec"/>
    <n v="2014"/>
    <s v="Monthly"/>
    <n v="0"/>
    <s v="No"/>
    <s v="None"/>
    <s v="Kids|Kids Activities"/>
  </r>
  <r>
    <s v="First Tech - Checking (5544)"/>
    <d v="2014-12-22T00:00:00"/>
    <n v="-70"/>
    <s v="X"/>
    <s v="Poppy Weber"/>
    <s v="LBJ: The Great Society"/>
    <s v="Kids:Babysitter"/>
    <n v="2146"/>
    <m/>
    <m/>
    <x v="27"/>
    <s v="Babysitter"/>
    <x v="0"/>
    <m/>
    <x v="0"/>
    <m/>
    <s v="Dec"/>
    <n v="2014"/>
    <s v="Monthly"/>
    <n v="0"/>
    <s v="No"/>
    <s v="None"/>
    <s v="Kids|Babysitter"/>
  </r>
  <r>
    <s v="First Tech - Checking (5544)"/>
    <d v="2014-12-22T00:00:00"/>
    <n v="-75"/>
    <s v="X"/>
    <s v="Christi Steinburg"/>
    <s v="Gifts for CDC teachers"/>
    <s v="Gifts"/>
    <n v="2147"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22T00:00:00"/>
    <n v="-13.98"/>
    <s v="X"/>
    <s v="Ken Market"/>
    <m/>
    <s v="Food &amp; Dining:Groceries"/>
    <m/>
    <m/>
    <m/>
    <x v="15"/>
    <s v="Groceries"/>
    <x v="0"/>
    <m/>
    <x v="0"/>
    <m/>
    <s v="Dec"/>
    <n v="2014"/>
    <s v="Monthly"/>
    <n v="0"/>
    <s v="No"/>
    <s v="None"/>
    <s v="Food &amp; Dining|Groceries"/>
  </r>
  <r>
    <s v="Target Red Card"/>
    <d v="2014-12-22T00:00:00"/>
    <n v="-41.6"/>
    <s v="*"/>
    <s v="Target"/>
    <s v="Settlers of Catan"/>
    <s v="Gifts/From Receipt"/>
    <n v="799999943561"/>
    <s v="Split"/>
    <s v="From Receipt"/>
    <x v="28"/>
    <m/>
    <x v="0"/>
    <m/>
    <x v="0"/>
    <m/>
    <s v="Dec"/>
    <n v="2014"/>
    <s v="Monthly"/>
    <n v="0"/>
    <s v="No"/>
    <s v="None"/>
    <s v="Gifts"/>
  </r>
  <r>
    <s v="Target Red Card"/>
    <d v="2014-12-22T00:00:00"/>
    <n v="-49.91"/>
    <s v="*"/>
    <s v="Target"/>
    <s v="Disney planes and cars sets"/>
    <s v="Kids:Toys/From Receipt"/>
    <n v="799999943561"/>
    <s v="Split"/>
    <s v="From Receipt"/>
    <x v="27"/>
    <s v="Toys"/>
    <x v="0"/>
    <m/>
    <x v="0"/>
    <m/>
    <s v="Dec"/>
    <n v="2014"/>
    <s v="Monthly"/>
    <n v="0"/>
    <s v="No"/>
    <s v="None"/>
    <s v="Kids|Toys"/>
  </r>
  <r>
    <s v="Koolikai Credit Card"/>
    <d v="2014-12-21T00:00:00"/>
    <n v="-65.7"/>
    <s v="*"/>
    <s v="Fred Meyer"/>
    <s v="Angela's Christmas sweatshirt"/>
    <s v="Shopping:Clothing/From Receipt"/>
    <m/>
    <s v="Split"/>
    <s v="From Receipt"/>
    <x v="13"/>
    <s v="Clothing"/>
    <x v="0"/>
    <m/>
    <x v="0"/>
    <m/>
    <s v="Dec"/>
    <n v="2014"/>
    <s v="Annual"/>
    <n v="0"/>
    <s v="No"/>
    <s v="None"/>
    <s v="Shopping|Clothing"/>
  </r>
  <r>
    <s v="Koolikai Credit Card"/>
    <d v="2014-12-21T00:00:00"/>
    <n v="-17.559999999999999"/>
    <s v="*"/>
    <s v="Fred Meyer"/>
    <m/>
    <s v="Food &amp; Dining:Groceries/From Receipt"/>
    <m/>
    <s v="Split"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21T00:00:00"/>
    <n v="-3.5"/>
    <s v="X"/>
    <s v="Qfc"/>
    <m/>
    <s v="Food &amp; Dining:Groceries"/>
    <m/>
    <m/>
    <m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21T00:00:00"/>
    <n v="-8.76"/>
    <s v="X"/>
    <s v="Quincy"/>
    <m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21T00:00:00"/>
    <n v="-12"/>
    <s v="X"/>
    <s v="Childrens Museum"/>
    <m/>
    <s v="Kids:Kids Activities"/>
    <m/>
    <m/>
    <m/>
    <x v="27"/>
    <s v="Kids Activities"/>
    <x v="0"/>
    <m/>
    <x v="0"/>
    <m/>
    <s v="Dec"/>
    <n v="2014"/>
    <s v="Monthly"/>
    <n v="0"/>
    <s v="No"/>
    <s v="None"/>
    <s v="Kids|Kids Activities"/>
  </r>
  <r>
    <s v="MasterCard (Capital One)"/>
    <d v="2014-12-21T00:00:00"/>
    <n v="-19.579999999999998"/>
    <s v="X"/>
    <s v="Mod Superfast Pizza"/>
    <m/>
    <s v="Food &amp; Dining:Restaurants/From Receipt"/>
    <m/>
    <m/>
    <s v="From Receipt"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20T00:00:00"/>
    <n v="-10.94"/>
    <s v="X"/>
    <s v="Barnes &amp; Noble"/>
    <m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20T00:00:00"/>
    <n v="-27.36"/>
    <s v="X"/>
    <s v="Jcpenney"/>
    <m/>
    <s v="Gifts/From Receipt"/>
    <m/>
    <m/>
    <s v="From Receipt"/>
    <x v="28"/>
    <m/>
    <x v="0"/>
    <m/>
    <x v="0"/>
    <m/>
    <s v="Dec"/>
    <n v="2014"/>
    <s v="Monthly"/>
    <n v="0"/>
    <s v="No"/>
    <s v="None"/>
    <s v="Gifts"/>
  </r>
  <r>
    <s v="MasterCard (Capital One)"/>
    <d v="2014-12-20T00:00:00"/>
    <n v="-27.36"/>
    <s v="X"/>
    <s v="Holiday Mall Photos"/>
    <s v="Christmas pictures"/>
    <s v="Home:Furnishings"/>
    <m/>
    <m/>
    <m/>
    <x v="14"/>
    <s v="Furnishings"/>
    <x v="0"/>
    <m/>
    <x v="0"/>
    <m/>
    <s v="Dec"/>
    <n v="2014"/>
    <s v="Monthly"/>
    <n v="0"/>
    <s v="No"/>
    <s v="None"/>
    <s v="Home|Furnishings"/>
  </r>
  <r>
    <s v="MasterCard (Capital One)"/>
    <d v="2014-12-20T00:00:00"/>
    <n v="-91.87"/>
    <s v="X"/>
    <s v="Fred Meyer"/>
    <s v="Includes Christmas treats and stocking stuffers"/>
    <s v="Food &amp; Dining:Groceries/From Receipt"/>
    <m/>
    <m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First Tech - Checking (5544)"/>
    <d v="2014-12-19T00:00:00"/>
    <n v="-45"/>
    <s v="X"/>
    <s v="Greenlake PTA"/>
    <s v="Christmas Tree@CAT:@@BAL:$29,866.34@"/>
    <s v="Home:Furnishings"/>
    <n v="2145"/>
    <m/>
    <m/>
    <x v="14"/>
    <s v="Furnishings"/>
    <x v="0"/>
    <m/>
    <x v="0"/>
    <m/>
    <s v="Dec"/>
    <n v="2014"/>
    <s v="Monthly"/>
    <n v="0"/>
    <s v="No"/>
    <s v="None"/>
    <s v="Home|Furnishings"/>
  </r>
  <r>
    <s v="MasterCard (Capital One)"/>
    <d v="2014-12-19T00:00:00"/>
    <n v="25"/>
    <s v="X"/>
    <s v="Cash Back Reward"/>
    <m/>
    <s v="Other Inc"/>
    <m/>
    <m/>
    <m/>
    <x v="29"/>
    <m/>
    <x v="0"/>
    <m/>
    <x v="0"/>
    <m/>
    <s v="Dec"/>
    <n v="2014"/>
    <s v="Monthly"/>
    <n v="0"/>
    <s v="No"/>
    <s v="None"/>
    <s v="Other Inc"/>
  </r>
  <r>
    <s v="MasterCard (Capital One)"/>
    <d v="2014-12-19T00:00:00"/>
    <n v="-12.03"/>
    <s v="X"/>
    <s v="O'reilly Auto Parts"/>
    <s v="Oil pan for magnets"/>
    <s v="Kids:Toys/From Receipt"/>
    <m/>
    <m/>
    <s v="From Receipt"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9T00:00:00"/>
    <n v="-15.86"/>
    <s v="X"/>
    <s v="Diamond Parking"/>
    <m/>
    <s v="Auto &amp; Transport:Parking"/>
    <m/>
    <m/>
    <m/>
    <x v="17"/>
    <s v="Parking"/>
    <x v="0"/>
    <m/>
    <x v="0"/>
    <m/>
    <s v="Dec"/>
    <n v="2014"/>
    <s v="Monthly"/>
    <n v="0"/>
    <s v="No"/>
    <s v="None"/>
    <s v="Auto &amp; Transport|Parking"/>
  </r>
  <r>
    <s v="MasterCard (Capital One)"/>
    <d v="2014-12-19T00:00:00"/>
    <n v="-34"/>
    <s v="X"/>
    <s v="Starbucks"/>
    <s v="Specialty coffees"/>
    <s v="Gifts/From Receipt"/>
    <m/>
    <m/>
    <s v="From Receipt"/>
    <x v="28"/>
    <m/>
    <x v="0"/>
    <m/>
    <x v="0"/>
    <m/>
    <s v="Dec"/>
    <n v="2014"/>
    <s v="Monthly"/>
    <n v="0"/>
    <s v="No"/>
    <s v="None"/>
    <s v="Gifts"/>
  </r>
  <r>
    <s v="MasterCard (Capital One)"/>
    <d v="2014-12-19T00:00:00"/>
    <n v="-11"/>
    <s v="X"/>
    <s v="Pac Sci Ctr"/>
    <s v="Movies with Diz - InterStellar"/>
    <s v="Entertainment"/>
    <m/>
    <m/>
    <m/>
    <x v="30"/>
    <m/>
    <x v="0"/>
    <m/>
    <x v="0"/>
    <m/>
    <s v="Dec"/>
    <n v="2014"/>
    <s v="Monthly"/>
    <n v="0"/>
    <s v="No"/>
    <s v="None"/>
    <s v="Entertainment"/>
  </r>
  <r>
    <s v="MasterCard (Capital One)"/>
    <d v="2014-12-19T00:00:00"/>
    <n v="-13.88"/>
    <s v="X"/>
    <s v="Taco Del Mar"/>
    <s v="2011: TACO DEL MAR GREENWOOD SEATTLE WA 98103 USA"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19T00:00:00"/>
    <n v="-14.81"/>
    <s v="X"/>
    <s v="Pie Center"/>
    <m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REI Mastercard (xx1787)"/>
    <d v="2014-12-19T00:00:00"/>
    <n v="-5"/>
    <s v="*"/>
    <s v="Rei"/>
    <s v="Bronner's soap"/>
    <s v="Food &amp; Dining:Groceries/From Receipt"/>
    <m/>
    <s v="Split"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REI Mastercard (xx1787)"/>
    <d v="2014-12-19T00:00:00"/>
    <n v="-6.57"/>
    <s v="*"/>
    <s v="Rei"/>
    <s v="Key ring"/>
    <s v="Shopping:Clothing/From Receipt"/>
    <m/>
    <s v="Split"/>
    <s v="From Receipt"/>
    <x v="13"/>
    <s v="Clothing"/>
    <x v="0"/>
    <m/>
    <x v="0"/>
    <m/>
    <s v="Dec"/>
    <n v="2014"/>
    <s v="Annual"/>
    <n v="0"/>
    <s v="No"/>
    <s v="None"/>
    <s v="Shopping|Clothing"/>
  </r>
  <r>
    <s v="REI Mastercard (xx1787)"/>
    <d v="2014-12-19T00:00:00"/>
    <n v="-15.33"/>
    <s v="*"/>
    <s v="Rei"/>
    <s v="Cell phone case for Kurt"/>
    <s v="Gifts/From Receipt"/>
    <m/>
    <s v="Split"/>
    <s v="From Receipt"/>
    <x v="28"/>
    <m/>
    <x v="0"/>
    <m/>
    <x v="0"/>
    <m/>
    <s v="Dec"/>
    <n v="2014"/>
    <s v="Monthly"/>
    <n v="0"/>
    <s v="No"/>
    <s v="None"/>
    <s v="Gifts"/>
  </r>
  <r>
    <s v="REI Mastercard (xx1787)"/>
    <d v="2014-12-19T00:00:00"/>
    <n v="-15.81"/>
    <s v="*"/>
    <s v="Rei"/>
    <s v="eQua Hand Towel"/>
    <s v="Charity:Charity (Cash)/From Receipt"/>
    <m/>
    <s v="Split"/>
    <s v="From Receipt"/>
    <x v="22"/>
    <s v="Charity (Cash)"/>
    <x v="0"/>
    <m/>
    <x v="0"/>
    <m/>
    <s v="Dec"/>
    <n v="2014"/>
    <s v="Annual"/>
    <n v="0"/>
    <s v="No"/>
    <s v="None"/>
    <s v="Charity|Charity (Cash)"/>
  </r>
  <r>
    <s v="MasterCard (Capital One)"/>
    <d v="2014-12-18T00:00:00"/>
    <n v="-15.05"/>
    <s v="X"/>
    <s v="Amazon"/>
    <s v="Mt. St. Helens Video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8T00:00:00"/>
    <n v="-60.23"/>
    <s v="X"/>
    <s v="Rei"/>
    <s v="Angela's Christmas present"/>
    <s v="Shopping:Clothing/From Receipt"/>
    <m/>
    <m/>
    <s v="From Receipt"/>
    <x v="13"/>
    <s v="Clothing"/>
    <x v="0"/>
    <m/>
    <x v="0"/>
    <m/>
    <s v="Dec"/>
    <n v="2014"/>
    <s v="Annual"/>
    <n v="0"/>
    <s v="No"/>
    <s v="None"/>
    <s v="Shopping|Clothing"/>
  </r>
  <r>
    <s v="Schwab - Checking (9784)"/>
    <d v="2014-12-17T00:00:00"/>
    <n v="-60"/>
    <s v="X"/>
    <s v="Kens Market"/>
    <s v="Boy's haircut"/>
    <s v="Personal Care:Hair"/>
    <m/>
    <s v="Split"/>
    <m/>
    <x v="31"/>
    <s v="Hair"/>
    <x v="0"/>
    <m/>
    <x v="0"/>
    <m/>
    <s v="Dec"/>
    <n v="2014"/>
    <s v="Monthly"/>
    <n v="0"/>
    <s v="No"/>
    <s v="None"/>
    <s v="Personal Care|Hair"/>
  </r>
  <r>
    <s v="Schwab - Checking (9784)"/>
    <d v="2014-12-17T00:00:00"/>
    <n v="-2"/>
    <s v="X"/>
    <s v="Kens Market"/>
    <m/>
    <s v="Bank Fees &amp; Charges:ATM Fee"/>
    <m/>
    <s v="Split"/>
    <m/>
    <x v="32"/>
    <s v="ATM Fee"/>
    <x v="0"/>
    <m/>
    <x v="0"/>
    <m/>
    <s v="Dec"/>
    <n v="2014"/>
    <s v="Monthly"/>
    <n v="0"/>
    <s v="No"/>
    <s v="None"/>
    <s v="Bank Fees &amp; Charges|ATM Fee"/>
  </r>
  <r>
    <s v="MasterCard (Capital One)"/>
    <d v="2014-12-17T00:00:00"/>
    <n v="-1.62"/>
    <s v="X"/>
    <s v="Taco Del Mar"/>
    <s v="2011: TACO DEL MAR GREENWOOD SEATTLE WA 98103 USA"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17T00:00:00"/>
    <n v="-3.32"/>
    <s v="X"/>
    <s v="Park"/>
    <m/>
    <s v="Auto &amp; Transport:Parking"/>
    <m/>
    <m/>
    <m/>
    <x v="17"/>
    <s v="Parking"/>
    <x v="0"/>
    <m/>
    <x v="0"/>
    <m/>
    <s v="Dec"/>
    <n v="2014"/>
    <s v="Monthly"/>
    <n v="0"/>
    <s v="No"/>
    <s v="None"/>
    <s v="Auto &amp; Transport|Parking"/>
  </r>
  <r>
    <s v="MasterCard (Capital One)"/>
    <d v="2014-12-17T00:00:00"/>
    <n v="-6.56"/>
    <s v="X"/>
    <s v="Marbles Brain Stor"/>
    <s v="Foot massager for Angela"/>
    <s v="Shopping:Clothing/From Receipt"/>
    <m/>
    <m/>
    <s v="From Receipt"/>
    <x v="13"/>
    <s v="Clothing"/>
    <x v="0"/>
    <m/>
    <x v="0"/>
    <m/>
    <s v="Dec"/>
    <n v="2014"/>
    <s v="Annual"/>
    <n v="0"/>
    <s v="No"/>
    <s v="None"/>
    <s v="Shopping|Clothing"/>
  </r>
  <r>
    <s v="MasterCard (Capital One)"/>
    <d v="2014-12-17T00:00:00"/>
    <n v="-7.95"/>
    <s v="X"/>
    <s v="Starbucks"/>
    <m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17T00:00:00"/>
    <n v="-8.75"/>
    <s v="X"/>
    <s v="Blue Water Taco"/>
    <m/>
    <s v="Food &amp; Dining:Restaurants/From Receipt"/>
    <m/>
    <m/>
    <s v="From Receipt"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17T00:00:00"/>
    <n v="-13.81"/>
    <s v="X"/>
    <s v="Taco Del Mar"/>
    <s v="2011: TACO DEL MAR GREENWOOD SEATTLE WA 98103 USA"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17T00:00:00"/>
    <n v="-17.510000000000002"/>
    <s v="X"/>
    <s v="Amazon"/>
    <s v="Microscope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7T00:00:00"/>
    <n v="-34.159999999999997"/>
    <s v="X"/>
    <s v="Amazon"/>
    <s v="Bath toys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7T00:00:00"/>
    <n v="-52.99"/>
    <s v="X"/>
    <s v="Amazon"/>
    <s v="Pirate ship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6T00:00:00"/>
    <n v="-4.37"/>
    <s v="X"/>
    <s v="Pandora"/>
    <m/>
    <s v="Subscriptions &amp; Dues"/>
    <m/>
    <m/>
    <m/>
    <x v="33"/>
    <m/>
    <x v="0"/>
    <m/>
    <x v="0"/>
    <m/>
    <s v="Dec"/>
    <n v="2014"/>
    <s v="Annual"/>
    <n v="0"/>
    <s v="No"/>
    <s v="None"/>
    <s v="Subscriptions &amp; Dues"/>
  </r>
  <r>
    <s v="MasterCard (Capital One)"/>
    <d v="2014-12-16T00:00:00"/>
    <n v="-6.52"/>
    <s v="X"/>
    <s v="Amazon"/>
    <s v="@CAT:@Map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6T00:00:00"/>
    <n v="-9.4700000000000006"/>
    <s v="X"/>
    <s v="Trader Joe's"/>
    <m/>
    <s v="Food &amp; Dining:Groceries/From Receipt"/>
    <m/>
    <m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16T00:00:00"/>
    <n v="-20.77"/>
    <s v="X"/>
    <s v="Fred Meyer"/>
    <s v="Giving tree at CDC"/>
    <s v="Charity:Charity (Cash)/From Receipt"/>
    <m/>
    <m/>
    <s v="From Receipt"/>
    <x v="22"/>
    <s v="Charity (Cash)"/>
    <x v="0"/>
    <m/>
    <x v="0"/>
    <m/>
    <s v="Dec"/>
    <n v="2014"/>
    <s v="Annual"/>
    <n v="0"/>
    <s v="No"/>
    <s v="None"/>
    <s v="Charity|Charity (Cash)"/>
  </r>
  <r>
    <s v="MasterCard (Capital One)"/>
    <d v="2014-12-16T00:00:00"/>
    <n v="-32.69"/>
    <s v="X"/>
    <s v="Amazon"/>
    <s v="Medical playset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6T00:00:00"/>
    <n v="-36.03"/>
    <s v="X"/>
    <s v="Amazon"/>
    <s v="Stuffies, books, and pencils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6T00:00:00"/>
    <n v="-57.88"/>
    <s v="X"/>
    <s v="Amazon"/>
    <s v="Videos and stuffies"/>
    <s v="Kids:Toys"/>
    <m/>
    <m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6T00:00:00"/>
    <n v="-97.44"/>
    <s v="X"/>
    <s v="Fireworks Cen"/>
    <m/>
    <s v="Gifts/From Receipt"/>
    <m/>
    <m/>
    <s v="From Receipt"/>
    <x v="28"/>
    <m/>
    <x v="0"/>
    <m/>
    <x v="0"/>
    <m/>
    <s v="Dec"/>
    <n v="2014"/>
    <s v="Monthly"/>
    <n v="0"/>
    <s v="No"/>
    <s v="None"/>
    <s v="Gifts"/>
  </r>
  <r>
    <s v="First Tech - Checking (5544)"/>
    <d v="2014-12-15T00:00:00"/>
    <n v="-103.03"/>
    <s v="X"/>
    <s v="Puget Sound Energy"/>
    <s v="ACH Debit--PUGET SOUND ENER DIRECT DEBITING - PSE BILL  36250555"/>
    <s v="Bills &amp; Utilities:Utilities"/>
    <m/>
    <m/>
    <m/>
    <x v="34"/>
    <s v="Utilities"/>
    <x v="0"/>
    <m/>
    <x v="0"/>
    <m/>
    <s v="Dec"/>
    <n v="2014"/>
    <s v="Monthly"/>
    <n v="0"/>
    <s v="No"/>
    <s v="None"/>
    <s v="Bills &amp; Utilities|Utilities"/>
  </r>
  <r>
    <s v="First Tech - Checking (5544)"/>
    <d v="2014-12-15T00:00:00"/>
    <n v="-246.38"/>
    <s v="X"/>
    <s v="Northwest Awning Online"/>
    <s v="Awning repair"/>
    <s v="Home:Home Improvement"/>
    <m/>
    <m/>
    <m/>
    <x v="14"/>
    <s v="Home Improvement"/>
    <x v="0"/>
    <m/>
    <x v="0"/>
    <m/>
    <s v="Dec"/>
    <n v="2014"/>
    <s v="Irregular"/>
    <n v="0"/>
    <s v="No"/>
    <s v="None"/>
    <s v="Home|Home Improvement"/>
  </r>
  <r>
    <s v="MasterCard (Capital One)"/>
    <d v="2014-12-15T00:00:00"/>
    <n v="-7.32"/>
    <s v="X"/>
    <s v="Diamond Parking"/>
    <m/>
    <s v="Auto &amp; Transport:Parking"/>
    <m/>
    <m/>
    <m/>
    <x v="17"/>
    <s v="Parking"/>
    <x v="0"/>
    <m/>
    <x v="0"/>
    <m/>
    <s v="Dec"/>
    <n v="2014"/>
    <s v="Monthly"/>
    <n v="0"/>
    <s v="No"/>
    <s v="None"/>
    <s v="Auto &amp; Transport|Parking"/>
  </r>
  <r>
    <s v="First Tech - Checking (5544)"/>
    <d v="2014-12-14T00:00:00"/>
    <n v="5548.92"/>
    <s v="X"/>
    <s v="Microsoft (Paystub)"/>
    <s v="ACH Deposit--MICROSOFT  - EDIPAYMENT"/>
    <s v="Net Salary"/>
    <m/>
    <m/>
    <m/>
    <x v="35"/>
    <m/>
    <x v="0"/>
    <m/>
    <x v="0"/>
    <m/>
    <s v="Dec"/>
    <n v="2014"/>
    <s v="Monthly"/>
    <n v="0"/>
    <s v="No"/>
    <s v="None"/>
    <s v="Net Salary"/>
  </r>
  <r>
    <s v="MasterCard (Capital One)"/>
    <d v="2014-12-14T00:00:00"/>
    <n v="-6.23"/>
    <s v="X"/>
    <s v="Greenwood Hardware"/>
    <s v="Christmas light supplies"/>
    <s v="Home:Furnishings/From Receipt"/>
    <m/>
    <m/>
    <s v="From Receipt"/>
    <x v="14"/>
    <s v="Furnishings"/>
    <x v="0"/>
    <m/>
    <x v="0"/>
    <m/>
    <s v="Dec"/>
    <n v="2014"/>
    <s v="Monthly"/>
    <n v="0"/>
    <s v="No"/>
    <s v="None"/>
    <s v="Home|Furnishings"/>
  </r>
  <r>
    <s v="MasterCard (Capital One)"/>
    <d v="2014-12-14T00:00:00"/>
    <n v="-6.56"/>
    <s v="X"/>
    <s v="Fred Meyer"/>
    <s v="Christmas Tree decorations"/>
    <s v="Home:Furnishings/From Receipt"/>
    <m/>
    <s v="Split"/>
    <s v="From Receipt"/>
    <x v="14"/>
    <s v="Furnishings"/>
    <x v="0"/>
    <m/>
    <x v="0"/>
    <m/>
    <s v="Dec"/>
    <n v="2014"/>
    <s v="Monthly"/>
    <n v="0"/>
    <s v="No"/>
    <s v="None"/>
    <s v="Home|Furnishings"/>
  </r>
  <r>
    <s v="MasterCard (Capital One)"/>
    <d v="2014-12-14T00:00:00"/>
    <n v="-2"/>
    <s v="X"/>
    <s v="Fred Meyer"/>
    <m/>
    <s v="Food &amp; Dining:Groceries/From Receipt"/>
    <m/>
    <s v="Split"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14T00:00:00"/>
    <n v="-9.8800000000000008"/>
    <s v="X"/>
    <s v="Fred Meyer"/>
    <m/>
    <s v="Food &amp; Dining:Groceries"/>
    <m/>
    <m/>
    <m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14T00:00:00"/>
    <n v="-11.25"/>
    <s v="X"/>
    <s v="Stoneway Hardware"/>
    <s v="Christmas light supplies"/>
    <s v="Home:Furnishings/From Receipt"/>
    <m/>
    <m/>
    <s v="From Receipt"/>
    <x v="14"/>
    <s v="Furnishings"/>
    <x v="0"/>
    <m/>
    <x v="0"/>
    <m/>
    <s v="Dec"/>
    <n v="2014"/>
    <s v="Monthly"/>
    <n v="0"/>
    <s v="No"/>
    <s v="None"/>
    <s v="Home|Furnishings"/>
  </r>
  <r>
    <s v="MasterCard (Capital One)"/>
    <d v="2014-12-14T00:00:00"/>
    <n v="-25.61"/>
    <s v="X"/>
    <s v="Fofritzing"/>
    <s v="Fritzing software"/>
    <s v="Shopping:Electronics &amp; Software"/>
    <m/>
    <m/>
    <m/>
    <x v="13"/>
    <s v="Electronics &amp; Software"/>
    <x v="0"/>
    <m/>
    <x v="0"/>
    <m/>
    <s v="Dec"/>
    <n v="2014"/>
    <s v="Annual"/>
    <n v="0"/>
    <s v="No"/>
    <s v="None"/>
    <s v="Shopping|Electronics &amp; Software"/>
  </r>
  <r>
    <s v="MasterCard (Capital One)"/>
    <d v="2014-12-13T00:00:00"/>
    <n v="0.25"/>
    <s v="X"/>
    <s v="Etsy Com"/>
    <m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13T00:00:00"/>
    <n v="4"/>
    <s v="X"/>
    <s v="Etsy Com"/>
    <m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13T00:00:00"/>
    <n v="-2.87"/>
    <s v="X"/>
    <s v="Park"/>
    <m/>
    <s v="Auto &amp; Transport:Parking"/>
    <m/>
    <m/>
    <m/>
    <x v="17"/>
    <s v="Parking"/>
    <x v="0"/>
    <m/>
    <x v="0"/>
    <m/>
    <s v="Dec"/>
    <n v="2014"/>
    <s v="Monthly"/>
    <n v="0"/>
    <s v="No"/>
    <s v="None"/>
    <s v="Auto &amp; Transport|Parking"/>
  </r>
  <r>
    <s v="MasterCard (Capital One)"/>
    <d v="2014-12-13T00:00:00"/>
    <n v="-13.07"/>
    <s v="X"/>
    <s v="Amazon"/>
    <s v="Dot to dot book"/>
    <s v="Gifts"/>
    <m/>
    <s v="Split"/>
    <m/>
    <x v="28"/>
    <m/>
    <x v="0"/>
    <m/>
    <x v="0"/>
    <m/>
    <s v="Dec"/>
    <n v="2014"/>
    <s v="Monthly"/>
    <n v="0"/>
    <s v="No"/>
    <s v="None"/>
    <s v="Gifts"/>
  </r>
  <r>
    <s v="MasterCard (Capital One)"/>
    <d v="2014-12-13T00:00:00"/>
    <n v="-11.82"/>
    <s v="X"/>
    <s v="Amazon"/>
    <s v="Frosty the snowman returns"/>
    <s v="Kids:Toys"/>
    <m/>
    <s v="Split"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3T00:00:00"/>
    <n v="-57"/>
    <s v="X"/>
    <s v="Beehive Salon"/>
    <s v="2011: BEEHIVE SALON SEATTLE WA 981036264 USA"/>
    <s v="Personal Care:Hair"/>
    <m/>
    <m/>
    <m/>
    <x v="31"/>
    <s v="Hair"/>
    <x v="0"/>
    <m/>
    <x v="0"/>
    <m/>
    <s v="Dec"/>
    <n v="2014"/>
    <s v="Monthly"/>
    <n v="0"/>
    <s v="No"/>
    <s v="None"/>
    <s v="Personal Care|Hair"/>
  </r>
  <r>
    <s v="MasterCard (Capital One)"/>
    <d v="2014-12-13T00:00:00"/>
    <n v="-60.76"/>
    <s v="X"/>
    <s v="Pesos"/>
    <m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MasterCard (Capital One)"/>
    <d v="2014-12-13T00:00:00"/>
    <n v="-160.66"/>
    <s v="X"/>
    <s v="Fred Meyer"/>
    <m/>
    <s v="Food &amp; Dining:Groceries"/>
    <m/>
    <m/>
    <m/>
    <x v="15"/>
    <s v="Groceries"/>
    <x v="0"/>
    <m/>
    <x v="0"/>
    <m/>
    <s v="Dec"/>
    <n v="2014"/>
    <s v="Monthly"/>
    <n v="0"/>
    <s v="No"/>
    <s v="None"/>
    <s v="Food &amp; Dining|Groceries"/>
  </r>
  <r>
    <s v="Discover Card"/>
    <d v="2014-12-12T00:00:00"/>
    <n v="-5.46"/>
    <s v="X"/>
    <s v="Microsoft"/>
    <s v="#Apps#"/>
    <s v="Work Expense:Reimbursable expense"/>
    <m/>
    <m/>
    <m/>
    <x v="19"/>
    <s v="Reimbursable expense"/>
    <x v="0"/>
    <m/>
    <x v="4"/>
    <m/>
    <s v="Dec"/>
    <n v="2014"/>
    <s v="Irregular"/>
    <n v="0"/>
    <s v="No"/>
    <s v="None"/>
    <s v="Work Expense|Reimbursable expense"/>
  </r>
  <r>
    <s v="Koolikai Credit Card"/>
    <d v="2014-12-12T00:00:00"/>
    <n v="-146.88"/>
    <s v="*"/>
    <s v="Verizon Wireless"/>
    <m/>
    <s v="Business Expenses (Koolikai):Cell Phone"/>
    <m/>
    <m/>
    <m/>
    <x v="36"/>
    <s v="Cell Phone"/>
    <x v="0"/>
    <m/>
    <x v="0"/>
    <m/>
    <s v="Dec"/>
    <n v="2014"/>
    <s v="Monthly"/>
    <n v="0"/>
    <s v="No"/>
    <s v="None"/>
    <s v="Business Expenses (Koolikai)|Cell Phone"/>
  </r>
  <r>
    <s v="MasterCard (Capital One)"/>
    <d v="2014-12-12T00:00:00"/>
    <n v="-36.71"/>
    <s v="X"/>
    <s v="Amazon"/>
    <s v="Seahawks blanket"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12T00:00:00"/>
    <n v="-24.63"/>
    <s v="X"/>
    <s v="Amazon"/>
    <s v="Sherlock"/>
    <s v="Gifts"/>
    <m/>
    <s v="Split"/>
    <m/>
    <x v="28"/>
    <m/>
    <x v="0"/>
    <m/>
    <x v="0"/>
    <m/>
    <s v="Dec"/>
    <n v="2014"/>
    <s v="Monthly"/>
    <n v="0"/>
    <s v="No"/>
    <s v="None"/>
    <s v="Gifts"/>
  </r>
  <r>
    <s v="MasterCard (Capital One)"/>
    <d v="2014-12-12T00:00:00"/>
    <n v="-14.89"/>
    <s v="X"/>
    <s v="Amazon"/>
    <s v="Magnetic letters for boys"/>
    <s v="Kids:Toys"/>
    <m/>
    <s v="Split"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2T00:00:00"/>
    <n v="-4.37"/>
    <s v="X"/>
    <s v="Amazon"/>
    <s v="Frosty the snowman book"/>
    <s v="Kids:Toys"/>
    <m/>
    <s v="Split"/>
    <m/>
    <x v="27"/>
    <s v="Toys"/>
    <x v="0"/>
    <m/>
    <x v="0"/>
    <m/>
    <s v="Dec"/>
    <n v="2014"/>
    <s v="Monthly"/>
    <n v="0"/>
    <s v="No"/>
    <s v="None"/>
    <s v="Kids|Toys"/>
  </r>
  <r>
    <s v="MasterCard (Capital One)"/>
    <d v="2014-12-12T00:00:00"/>
    <n v="-42.52"/>
    <s v="X"/>
    <s v="Amazon"/>
    <m/>
    <s v="Gifts"/>
    <m/>
    <s v="Split"/>
    <m/>
    <x v="28"/>
    <m/>
    <x v="0"/>
    <m/>
    <x v="0"/>
    <m/>
    <s v="Dec"/>
    <n v="2014"/>
    <s v="Monthly"/>
    <n v="0"/>
    <s v="No"/>
    <s v="None"/>
    <s v="Gifts"/>
  </r>
  <r>
    <s v="MasterCard (Capital One)"/>
    <d v="2014-12-12T00:00:00"/>
    <n v="-95.66"/>
    <s v="X"/>
    <s v="Hi Life"/>
    <m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Discover Card"/>
    <d v="2014-12-11T00:00:00"/>
    <n v="-3.27"/>
    <s v="X"/>
    <s v="Microsoft"/>
    <s v="#Apps#"/>
    <s v="Work Expense:Reimbursable expense"/>
    <m/>
    <m/>
    <m/>
    <x v="19"/>
    <s v="Reimbursable expense"/>
    <x v="0"/>
    <m/>
    <x v="4"/>
    <m/>
    <s v="Dec"/>
    <n v="2014"/>
    <s v="Irregular"/>
    <n v="0"/>
    <s v="No"/>
    <s v="None"/>
    <s v="Work Expense|Reimbursable expense"/>
  </r>
  <r>
    <s v="Discover Card"/>
    <d v="2014-12-11T00:00:00"/>
    <n v="-4.37"/>
    <s v="X"/>
    <s v="Microsoft"/>
    <s v="#Apps#"/>
    <s v="Work Expense:Reimbursable expense"/>
    <m/>
    <m/>
    <m/>
    <x v="19"/>
    <s v="Reimbursable expense"/>
    <x v="0"/>
    <m/>
    <x v="4"/>
    <m/>
    <s v="Dec"/>
    <n v="2014"/>
    <s v="Irregular"/>
    <n v="0"/>
    <s v="No"/>
    <s v="None"/>
    <s v="Work Expense|Reimbursable expense"/>
  </r>
  <r>
    <s v="MasterCard (Capital One)"/>
    <d v="2014-12-11T00:00:00"/>
    <n v="-14.59"/>
    <s v="X"/>
    <s v="Ken's Market"/>
    <m/>
    <s v="Food &amp; Dining:Groceries"/>
    <m/>
    <m/>
    <m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11T00:00:00"/>
    <n v="-16.41"/>
    <s v="X"/>
    <s v="Fuego"/>
    <s v="Book for Tony"/>
    <s v="Gifts/From Receipt"/>
    <m/>
    <m/>
    <s v="From Receipt"/>
    <x v="28"/>
    <m/>
    <x v="0"/>
    <m/>
    <x v="0"/>
    <m/>
    <s v="Dec"/>
    <n v="2014"/>
    <s v="Monthly"/>
    <n v="0"/>
    <s v="No"/>
    <s v="None"/>
    <s v="Gifts"/>
  </r>
  <r>
    <s v="MasterCard (Capital One)"/>
    <d v="2014-12-11T00:00:00"/>
    <n v="-30.65"/>
    <s v="X"/>
    <s v="Jcpenney"/>
    <m/>
    <s v="Gifts/From Receipt"/>
    <m/>
    <m/>
    <s v="From Receipt"/>
    <x v="28"/>
    <m/>
    <x v="0"/>
    <m/>
    <x v="0"/>
    <m/>
    <s v="Dec"/>
    <n v="2014"/>
    <s v="Monthly"/>
    <n v="0"/>
    <s v="No"/>
    <s v="None"/>
    <s v="Gifts"/>
  </r>
  <r>
    <s v="MasterCard (Capital One)"/>
    <d v="2014-12-11T00:00:00"/>
    <n v="-32.840000000000003"/>
    <s v="X"/>
    <s v="Brookstone"/>
    <s v="Fitbit band"/>
    <s v="Shopping:Clothing:Accessories/From Receipt"/>
    <m/>
    <m/>
    <s v="From Receipt"/>
    <x v="13"/>
    <s v="Clothing"/>
    <x v="1"/>
    <m/>
    <x v="0"/>
    <m/>
    <s v="Dec"/>
    <n v="2014"/>
    <s v="Annual"/>
    <n v="0"/>
    <s v="No"/>
    <s v="None"/>
    <s v="Shopping|Clothing"/>
  </r>
  <r>
    <s v="MasterCard (Capital One)"/>
    <d v="2014-12-11T00:00:00"/>
    <n v="-146.5"/>
    <s v="X"/>
    <s v="Barnes &amp; Noble"/>
    <m/>
    <s v="Gifts/From Receipt"/>
    <m/>
    <m/>
    <s v="From Receipt"/>
    <x v="28"/>
    <m/>
    <x v="0"/>
    <m/>
    <x v="0"/>
    <m/>
    <s v="Dec"/>
    <n v="2014"/>
    <s v="Monthly"/>
    <n v="0"/>
    <s v="No"/>
    <s v="None"/>
    <s v="Gifts"/>
  </r>
  <r>
    <s v="MasterCard (Capital One)"/>
    <d v="2014-12-10T00:00:00"/>
    <n v="25"/>
    <s v="X"/>
    <s v="Capital One (Cash Back)"/>
    <m/>
    <s v="Other Inc"/>
    <m/>
    <m/>
    <m/>
    <x v="29"/>
    <m/>
    <x v="0"/>
    <m/>
    <x v="0"/>
    <m/>
    <s v="Dec"/>
    <n v="2014"/>
    <s v="Monthly"/>
    <n v="0"/>
    <s v="No"/>
    <s v="None"/>
    <s v="Other Inc"/>
  </r>
  <r>
    <s v="MasterCard (Capital One)"/>
    <d v="2014-12-10T00:00:00"/>
    <n v="-11.58"/>
    <s v="X"/>
    <s v="Ken's Market"/>
    <m/>
    <s v="Food &amp; Dining:Groceries"/>
    <m/>
    <m/>
    <m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10T00:00:00"/>
    <n v="-142.30000000000001"/>
    <s v="X"/>
    <s v="FitBit"/>
    <s v="#Stay Fit#"/>
    <s v="Health &amp; Fitness:Sports"/>
    <m/>
    <m/>
    <m/>
    <x v="18"/>
    <s v="Sports"/>
    <x v="0"/>
    <m/>
    <x v="5"/>
    <m/>
    <s v="Dec"/>
    <n v="2014"/>
    <s v="Irregular"/>
    <n v="0"/>
    <s v="No"/>
    <s v="None"/>
    <s v="Health &amp; Fitness|Sports"/>
  </r>
  <r>
    <s v="MasterCard (Capital One)"/>
    <d v="2014-12-09T00:00:00"/>
    <n v="-8.25"/>
    <s v="X"/>
    <s v="Etsy Com"/>
    <m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09T00:00:00"/>
    <n v="-35.25"/>
    <s v="X"/>
    <s v="Etsy Com"/>
    <m/>
    <s v="Gifts"/>
    <m/>
    <m/>
    <m/>
    <x v="28"/>
    <m/>
    <x v="0"/>
    <m/>
    <x v="0"/>
    <m/>
    <s v="Dec"/>
    <n v="2014"/>
    <s v="Monthly"/>
    <n v="0"/>
    <s v="No"/>
    <s v="None"/>
    <s v="Gifts"/>
  </r>
  <r>
    <s v="MasterCard (Capital One)"/>
    <d v="2014-12-09T00:00:00"/>
    <n v="-180"/>
    <s v="X"/>
    <s v="Whlelfeyoga"/>
    <s v="#Stay Fit#"/>
    <s v="Health &amp; Fitness:Sports"/>
    <m/>
    <m/>
    <m/>
    <x v="18"/>
    <s v="Sports"/>
    <x v="0"/>
    <m/>
    <x v="5"/>
    <m/>
    <s v="Dec"/>
    <n v="2014"/>
    <s v="Irregular"/>
    <n v="0"/>
    <s v="No"/>
    <s v="None"/>
    <s v="Health &amp; Fitness|Sports"/>
  </r>
  <r>
    <s v="MasterCard (Capital One)"/>
    <d v="2014-12-08T00:00:00"/>
    <n v="-7.88"/>
    <s v="X"/>
    <s v="Taco Del Mar"/>
    <s v="2011: TACO DEL MAR GREENWOOD SEATTLE WA 98103 USA"/>
    <s v="Food &amp; Dining:Restaurants"/>
    <m/>
    <m/>
    <m/>
    <x v="15"/>
    <s v="Restaurants"/>
    <x v="0"/>
    <m/>
    <x v="0"/>
    <m/>
    <s v="Dec"/>
    <n v="2014"/>
    <s v="Monthly"/>
    <n v="0"/>
    <s v="No"/>
    <s v="None"/>
    <s v="Food &amp; Dining|Restaurants"/>
  </r>
  <r>
    <s v="First Tech - Checking (5544)"/>
    <d v="2014-12-07T00:00:00"/>
    <n v="11.95"/>
    <s v="X"/>
    <s v="Dave Smith"/>
    <s v="Reimbursement for T-Mobile payment"/>
    <s v="Bills &amp; Utilities:Mobile Phone"/>
    <m/>
    <m/>
    <m/>
    <x v="34"/>
    <s v="Mobile Phone"/>
    <x v="0"/>
    <m/>
    <x v="0"/>
    <m/>
    <s v="Dec"/>
    <n v="2014"/>
    <s v="Hidden"/>
    <n v="0"/>
    <s v="No"/>
    <s v="None"/>
    <s v="Bills &amp; Utilities|Mobile Phone"/>
  </r>
  <r>
    <s v="Koolikai - Checking XX2129"/>
    <d v="2014-12-07T00:00:00"/>
    <n v="2295"/>
    <s v="*"/>
    <s v="Shared Branch Mobile"/>
    <s v="Deposit--Shared Branch Mobile Deposit          First Tech FC CA"/>
    <s v="Business Income (Koolikai):Rent/7231"/>
    <m/>
    <m/>
    <n v="7231"/>
    <x v="37"/>
    <s v="Rent"/>
    <x v="0"/>
    <m/>
    <x v="0"/>
    <m/>
    <s v="Dec"/>
    <n v="2014"/>
    <s v="Monthly"/>
    <n v="0"/>
    <s v="No"/>
    <s v="None"/>
    <s v="Business Income (Koolikai)|Rent"/>
  </r>
  <r>
    <s v="MasterCard (Capital One)"/>
    <d v="2014-12-07T00:00:00"/>
    <n v="-21.45"/>
    <s v="X"/>
    <s v="Safeway"/>
    <m/>
    <s v="Food &amp; Dining:Groceries/From Receipt"/>
    <m/>
    <m/>
    <s v="From Receipt"/>
    <x v="15"/>
    <s v="Groceries"/>
    <x v="0"/>
    <m/>
    <x v="0"/>
    <m/>
    <s v="Dec"/>
    <n v="2014"/>
    <s v="Monthly"/>
    <n v="0"/>
    <s v="No"/>
    <s v="None"/>
    <s v="Food &amp; Dining|Groceries"/>
  </r>
  <r>
    <s v="MasterCard (Capital One)"/>
    <d v="2014-12-06T00:00:00"/>
    <n v="-25"/>
    <s v="X"/>
    <s v="Virgin America"/>
    <s v="#Disneyland 2014#"/>
    <s v="Vacation:Transportation"/>
    <m/>
    <m/>
    <m/>
    <x v="23"/>
    <s v="Transportation"/>
    <x v="0"/>
    <m/>
    <x v="6"/>
    <m/>
    <s v="Dec"/>
    <n v="2014"/>
    <s v="Irregular"/>
    <n v="0"/>
    <s v="No"/>
    <s v="None"/>
    <s v="Vacation|Transportation"/>
  </r>
  <r>
    <s v="MasterCard (Capital One)"/>
    <d v="2014-12-06T00:00:00"/>
    <n v="-26.01"/>
    <s v="X"/>
    <s v="Burger King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6T00:00:00"/>
    <n v="-64.7"/>
    <s v="X"/>
    <s v="Shuttlepark"/>
    <s v="#Disneyland 2014#"/>
    <s v="Vacation:Transportation/From Receipt"/>
    <m/>
    <m/>
    <s v="From Receipt"/>
    <x v="23"/>
    <s v="Transportation"/>
    <x v="0"/>
    <m/>
    <x v="6"/>
    <m/>
    <s v="Dec"/>
    <n v="2014"/>
    <s v="Irregular"/>
    <n v="0"/>
    <s v="No"/>
    <s v="None"/>
    <s v="Vacation|Transportation"/>
  </r>
  <r>
    <s v="MasterCard (Capital One)"/>
    <d v="2014-12-06T00:00:00"/>
    <n v="-921.39"/>
    <s v="X"/>
    <s v="Howard Johnson"/>
    <s v="#Disneyland 2014#"/>
    <s v="Vacation:Lodging"/>
    <m/>
    <m/>
    <m/>
    <x v="23"/>
    <s v="Lodging"/>
    <x v="0"/>
    <m/>
    <x v="6"/>
    <m/>
    <s v="Dec"/>
    <n v="2014"/>
    <s v="Irregular"/>
    <n v="0"/>
    <s v="No"/>
    <s v="None"/>
    <s v="Vacation|Lodging"/>
  </r>
  <r>
    <s v="First Tech - Checking (5544)"/>
    <d v="2014-12-05T00:00:00"/>
    <n v="-3864.19"/>
    <s v="X"/>
    <s v="Wells Fargo Home Mortgage"/>
    <s v="ACH Debit--WF HOME MTG ACH - AUTO PAY"/>
    <s v="Home:Mortgage"/>
    <m/>
    <m/>
    <m/>
    <x v="14"/>
    <s v="Mortgage"/>
    <x v="0"/>
    <m/>
    <x v="0"/>
    <m/>
    <s v="Dec"/>
    <n v="2014"/>
    <s v="Monthly"/>
    <n v="0"/>
    <s v="No"/>
    <s v="None"/>
    <s v="Home|Mortgage"/>
  </r>
  <r>
    <s v="MasterCard (Capital One)"/>
    <d v="2014-12-05T00:00:00"/>
    <n v="-2.58"/>
    <s v="X"/>
    <s v="Mcdonald'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4.25"/>
    <s v="X"/>
    <s v="Popcorn Tomorrowl"/>
    <s v="#Disneyland 2014# Popcorn"/>
    <s v="Vacation:Food/From Receipt"/>
    <m/>
    <m/>
    <s v="From Receipt"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5.61"/>
    <s v="X"/>
    <s v="Tiki Juice Bar"/>
    <s v="#Disneyland 2014#"/>
    <s v="Vacation:Food/From Receipt"/>
    <m/>
    <m/>
    <s v="From Receipt"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10.53"/>
    <s v="X"/>
    <s v="La Brea Y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14.18"/>
    <s v="X"/>
    <s v="Mcdonald'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18.309999999999999"/>
    <s v="X"/>
    <s v="Disney"/>
    <s v="#Disneyland 2014# Shirt?"/>
    <s v="Vacation:Trinkets"/>
    <m/>
    <m/>
    <m/>
    <x v="23"/>
    <s v="Trinkets"/>
    <x v="0"/>
    <m/>
    <x v="6"/>
    <m/>
    <s v="Dec"/>
    <n v="2014"/>
    <s v="Irregular"/>
    <n v="0"/>
    <s v="No"/>
    <s v="None"/>
    <s v="Vacation|Trinkets"/>
  </r>
  <r>
    <s v="MasterCard (Capital One)"/>
    <d v="2014-12-05T00:00:00"/>
    <n v="-29.05"/>
    <s v="X"/>
    <s v="Emporium Dl"/>
    <s v="#Disneyland 2014# Stuffies"/>
    <s v="Vacation:Trinkets/From Receipt"/>
    <m/>
    <m/>
    <s v="From Receipt"/>
    <x v="23"/>
    <s v="Trinkets"/>
    <x v="0"/>
    <m/>
    <x v="6"/>
    <m/>
    <s v="Dec"/>
    <n v="2014"/>
    <s v="Irregular"/>
    <n v="0"/>
    <s v="No"/>
    <s v="None"/>
    <s v="Vacation|Trinkets"/>
  </r>
  <r>
    <s v="MasterCard (Capital One)"/>
    <d v="2014-12-05T00:00:00"/>
    <n v="-32.68"/>
    <s v="X"/>
    <s v="Riverbelle Terrace"/>
    <s v="#Disneyland 2014# Breakfast"/>
    <s v="Vacation:Food/From Receipt"/>
    <m/>
    <m/>
    <s v="From Receipt"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91.82"/>
    <s v="X"/>
    <s v="Naples Ristorante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First Tech - Checking (5544)"/>
    <d v="2014-12-04T00:00:00"/>
    <n v="-25.5"/>
    <s v="X"/>
    <s v="Amie Hanson"/>
    <s v="Play tickets"/>
    <s v="Entertainment"/>
    <n v="2140"/>
    <m/>
    <m/>
    <x v="30"/>
    <m/>
    <x v="0"/>
    <m/>
    <x v="0"/>
    <m/>
    <s v="Dec"/>
    <n v="2014"/>
    <s v="Monthly"/>
    <n v="0"/>
    <s v="No"/>
    <s v="None"/>
    <s v="Entertainment"/>
  </r>
  <r>
    <s v="MasterCard (Capital One)"/>
    <d v="2014-12-04T00:00:00"/>
    <n v="25"/>
    <s v="X"/>
    <s v="Cash Back Reward"/>
    <m/>
    <s v="Other Inc"/>
    <m/>
    <m/>
    <m/>
    <x v="29"/>
    <m/>
    <x v="0"/>
    <m/>
    <x v="0"/>
    <m/>
    <s v="Dec"/>
    <n v="2014"/>
    <s v="Monthly"/>
    <n v="0"/>
    <s v="No"/>
    <s v="None"/>
    <s v="Other Inc"/>
  </r>
  <r>
    <s v="MasterCard (Capital One)"/>
    <d v="2014-12-04T00:00:00"/>
    <n v="-8.6300000000000008"/>
    <s v="X"/>
    <s v="Toontown Dl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4T00:00:00"/>
    <n v="-21.6"/>
    <s v="X"/>
    <s v="Pizza Pres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First Tech - Checking (5544)"/>
    <d v="2014-12-03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Dec"/>
    <n v="2014"/>
    <s v="Monthly"/>
    <n v="0"/>
    <s v="No"/>
    <s v="None"/>
    <s v="Kids|American Funds 529A"/>
  </r>
  <r>
    <s v="MasterCard (Capital One)"/>
    <d v="2014-12-03T00:00:00"/>
    <n v="-8.75"/>
    <s v="X"/>
    <s v="Netflix"/>
    <s v="@CAT:@@BAL:$3,882.20@"/>
    <s v="Subscriptions &amp; Dues"/>
    <m/>
    <m/>
    <m/>
    <x v="33"/>
    <m/>
    <x v="0"/>
    <m/>
    <x v="0"/>
    <m/>
    <s v="Dec"/>
    <n v="2014"/>
    <s v="Annual"/>
    <n v="0"/>
    <s v="No"/>
    <s v="None"/>
    <s v="Subscriptions &amp; Dues"/>
  </r>
  <r>
    <s v="MasterCard (Capital One)"/>
    <d v="2014-12-03T00:00:00"/>
    <n v="-10.86"/>
    <s v="X"/>
    <s v="Mcdonald'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3T00:00:00"/>
    <n v="-29.44"/>
    <s v="X"/>
    <s v="Award Wieners Dca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3T00:00:00"/>
    <n v="-91.98"/>
    <s v="X"/>
    <s v="Tortilla Jo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First Tech - Checking (5544)"/>
    <d v="2014-12-02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Dec"/>
    <n v="2014"/>
    <s v="Monthly"/>
    <n v="0"/>
    <s v="No"/>
    <s v="None"/>
    <s v="Business Expenses (Koolikai)|Mortgage (Business)"/>
  </r>
  <r>
    <s v="First Tech - Checking (5544)"/>
    <d v="2014-12-02T00:00:00"/>
    <n v="-3517.65"/>
    <s v="X"/>
    <s v="NYCB Mortgage Company"/>
    <s v="ACH Debit--NEW YORK COMMUNI 678 - NEW YORK C"/>
    <s v="Business Expenses (Koolikai):Mortgage (Business)/7231"/>
    <m/>
    <m/>
    <n v="7231"/>
    <x v="36"/>
    <s v="Mortgage (Business)"/>
    <x v="0"/>
    <m/>
    <x v="0"/>
    <m/>
    <s v="Dec"/>
    <n v="2014"/>
    <s v="Monthly"/>
    <n v="0"/>
    <s v="No"/>
    <s v="None"/>
    <s v="Business Expenses (Koolikai)|Mortgage (Business)"/>
  </r>
  <r>
    <s v="First Tech - Checking (5544)"/>
    <d v="2014-12-02T00:00:00"/>
    <n v="-4343.96"/>
    <s v="X"/>
    <s v="Capital One (Autopay)"/>
    <s v="ACH Debit--CAPITAL ONE  - CRCARDPMT"/>
    <s v="[MasterCard (Capital One)]"/>
    <m/>
    <m/>
    <m/>
    <x v="38"/>
    <m/>
    <x v="0"/>
    <m/>
    <x v="0"/>
    <m/>
    <s v="Dec"/>
    <n v="2014"/>
    <s v="Account"/>
    <n v="0"/>
    <s v="No"/>
    <s v="None"/>
    <s v="[MasterCard (Capital One)]"/>
  </r>
  <r>
    <s v="MasterCard (Capital One)"/>
    <d v="2014-12-02T00:00:00"/>
    <n v="25"/>
    <s v="X"/>
    <s v="Cash Back Reward"/>
    <m/>
    <s v="Other Inc"/>
    <m/>
    <m/>
    <m/>
    <x v="29"/>
    <m/>
    <x v="0"/>
    <m/>
    <x v="0"/>
    <m/>
    <s v="Dec"/>
    <n v="2014"/>
    <s v="Monthly"/>
    <n v="0"/>
    <s v="No"/>
    <s v="None"/>
    <s v="Other Inc"/>
  </r>
  <r>
    <s v="MasterCard (Capital One)"/>
    <d v="2014-12-02T00:00:00"/>
    <n v="-8.73"/>
    <s v="X"/>
    <s v="Mcdonald'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2T00:00:00"/>
    <n v="-17.170000000000002"/>
    <s v="X"/>
    <s v="Emporium Dl"/>
    <s v="#Disneyland 2014# For work"/>
    <s v="Gifts"/>
    <m/>
    <m/>
    <m/>
    <x v="28"/>
    <m/>
    <x v="0"/>
    <m/>
    <x v="6"/>
    <m/>
    <s v="Dec"/>
    <n v="2014"/>
    <s v="Monthly"/>
    <n v="0"/>
    <s v="No"/>
    <s v="None"/>
    <s v="Gifts"/>
  </r>
  <r>
    <s v="MasterCard (Capital One)"/>
    <d v="2014-12-02T00:00:00"/>
    <n v="-23.6"/>
    <s v="X"/>
    <s v="Pizza Press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2T00:00:00"/>
    <n v="-27.19"/>
    <s v="X"/>
    <s v="Emporium Dl"/>
    <s v="#Disneyland 2014#Ponchos"/>
    <s v="Vacation:Trinkets"/>
    <m/>
    <m/>
    <m/>
    <x v="23"/>
    <s v="Trinkets"/>
    <x v="0"/>
    <m/>
    <x v="6"/>
    <m/>
    <s v="Dec"/>
    <n v="2014"/>
    <s v="Irregular"/>
    <n v="0"/>
    <s v="No"/>
    <s v="None"/>
    <s v="Vacation|Trinkets"/>
  </r>
  <r>
    <s v="MasterCard (Capital One)"/>
    <d v="2014-12-02T00:00:00"/>
    <n v="-42.17"/>
    <s v="X"/>
    <s v="Ihop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MasterCard (Capital One)"/>
    <d v="2014-12-02T00:00:00"/>
    <n v="-76.5"/>
    <s v="X"/>
    <s v="Seattle Parks And Recreation"/>
    <s v="Swimming lessons for Zach and Josh"/>
    <s v="Kids:Kids Activities"/>
    <m/>
    <m/>
    <m/>
    <x v="27"/>
    <s v="Kids Activities"/>
    <x v="0"/>
    <m/>
    <x v="0"/>
    <m/>
    <s v="Dec"/>
    <n v="2014"/>
    <s v="Monthly"/>
    <n v="0"/>
    <s v="No"/>
    <s v="None"/>
    <s v="Kids|Kids Activities"/>
  </r>
  <r>
    <s v="MasterCard (Capital One)"/>
    <d v="2014-12-02T00:00:00"/>
    <n v="10.56"/>
    <s v="X"/>
    <s v="Comcast"/>
    <s v="Refund of convenience charge a"/>
    <s v="Bank Fees &amp; Charges:Bank Fee"/>
    <m/>
    <s v="Split"/>
    <m/>
    <x v="32"/>
    <s v="Bank Fee"/>
    <x v="0"/>
    <m/>
    <x v="0"/>
    <m/>
    <s v="Dec"/>
    <n v="2014"/>
    <s v="Irregular"/>
    <n v="0"/>
    <s v="No"/>
    <s v="None"/>
    <s v="Bank Fees &amp; Charges|Bank Fee"/>
  </r>
  <r>
    <s v="MasterCard (Capital One)"/>
    <d v="2014-12-02T00:00:00"/>
    <n v="-19.72"/>
    <s v="X"/>
    <s v="Comcast"/>
    <m/>
    <s v="Bills &amp; Utilities:Television"/>
    <m/>
    <s v="Split"/>
    <m/>
    <x v="34"/>
    <s v="Television"/>
    <x v="0"/>
    <m/>
    <x v="0"/>
    <m/>
    <s v="Dec"/>
    <n v="2014"/>
    <s v="Monthly"/>
    <n v="0"/>
    <s v="No"/>
    <s v="None"/>
    <s v="Bills &amp; Utilities|Television"/>
  </r>
  <r>
    <s v="MasterCard (Capital One)"/>
    <d v="2014-12-02T00:00:00"/>
    <n v="-65.27"/>
    <s v="X"/>
    <s v="Comcast"/>
    <m/>
    <s v="Business Expenses (Koolikai):Internet"/>
    <m/>
    <s v="Split"/>
    <m/>
    <x v="36"/>
    <s v="Internet"/>
    <x v="0"/>
    <m/>
    <x v="0"/>
    <m/>
    <s v="Dec"/>
    <n v="2014"/>
    <s v="Monthly"/>
    <n v="0"/>
    <s v="No"/>
    <s v="None"/>
    <s v="Business Expenses (Koolikai)|Internet"/>
  </r>
  <r>
    <s v="MasterCard (Capital One)"/>
    <d v="2014-12-02T00:00:00"/>
    <n v="-43.27"/>
    <s v="X"/>
    <s v="Comcast"/>
    <m/>
    <s v="Bills &amp; Utilities:Home Phone"/>
    <m/>
    <s v="Split"/>
    <m/>
    <x v="34"/>
    <s v="Home Phone"/>
    <x v="0"/>
    <m/>
    <x v="0"/>
    <m/>
    <s v="Dec"/>
    <n v="2014"/>
    <s v="Monthly"/>
    <n v="0"/>
    <s v="No"/>
    <s v="None"/>
    <s v="Bills &amp; Utilities|Home Phone"/>
  </r>
  <r>
    <s v="MasterCard (Capital One)"/>
    <d v="2014-12-02T00:00:00"/>
    <n v="-5.48"/>
    <s v="X"/>
    <s v="Comcast"/>
    <s v="Need to go refigure charges fr"/>
    <s v="Business Expenses (Koolikai):Internet"/>
    <m/>
    <s v="Split"/>
    <m/>
    <x v="36"/>
    <s v="Internet"/>
    <x v="0"/>
    <m/>
    <x v="0"/>
    <m/>
    <s v="Dec"/>
    <n v="2014"/>
    <s v="Monthly"/>
    <n v="0"/>
    <s v="No"/>
    <s v="None"/>
    <s v="Business Expenses (Koolikai)|Internet"/>
  </r>
  <r>
    <s v="MasterCard (Capital One)"/>
    <d v="2014-12-02T00:00:00"/>
    <n v="-300"/>
    <s v="X"/>
    <s v="City Of Mountlake Terrace"/>
    <s v="#SFOM Pool Party#"/>
    <s v="Work Expense:Reimbursable expense"/>
    <m/>
    <m/>
    <m/>
    <x v="19"/>
    <s v="Reimbursable expense"/>
    <x v="0"/>
    <m/>
    <x v="2"/>
    <m/>
    <s v="Dec"/>
    <n v="2014"/>
    <s v="Irregular"/>
    <n v="0"/>
    <s v="No"/>
    <s v="None"/>
    <s v="Work Expense|Reimbursable expense"/>
  </r>
  <r>
    <s v="First Tech - Checking (5544)"/>
    <d v="2014-12-01T00:00:00"/>
    <n v="-2052"/>
    <s v="X"/>
    <s v="Phinney Ridge CDC"/>
    <s v="ACH Debit--PHINNEY RIDGE LU 504759859 - CONTRIBUTN"/>
    <s v="Kids:Daycare"/>
    <m/>
    <m/>
    <m/>
    <x v="27"/>
    <s v="Daycare"/>
    <x v="0"/>
    <m/>
    <x v="0"/>
    <m/>
    <s v="Dec"/>
    <n v="2014"/>
    <s v="Monthly"/>
    <n v="0"/>
    <s v="No"/>
    <s v="None"/>
    <s v="Kids|Daycare"/>
  </r>
  <r>
    <s v="First Tech - Checking (5544)"/>
    <d v="2014-12-01T00:00:00"/>
    <n v="-727.13"/>
    <s v="X"/>
    <s v="Lowe's"/>
    <s v="Electronic Check--LOWES (CHECK PYMT) Accounts Receivable Entry S"/>
    <s v="Projects:Appliances"/>
    <n v="2143"/>
    <m/>
    <m/>
    <x v="39"/>
    <s v="Appliances"/>
    <x v="0"/>
    <m/>
    <x v="0"/>
    <m/>
    <s v="Dec"/>
    <n v="2014"/>
    <s v="Unplanned"/>
    <n v="0"/>
    <s v="No"/>
    <s v="None"/>
    <s v="Projects|Appliances"/>
  </r>
  <r>
    <s v="MasterCard (Capital One)"/>
    <d v="2014-12-01T00:00:00"/>
    <n v="4343.96"/>
    <s v="X"/>
    <s v="Capital One (Autopay)"/>
    <m/>
    <s v="[First Tech - Checking (5544)]"/>
    <m/>
    <m/>
    <m/>
    <x v="21"/>
    <m/>
    <x v="0"/>
    <m/>
    <x v="0"/>
    <m/>
    <s v="Dec"/>
    <n v="2014"/>
    <s v="Account"/>
    <n v="0"/>
    <s v="No"/>
    <s v="None"/>
    <s v="[First Tech - Checking (5544)]"/>
  </r>
  <r>
    <s v="MasterCard (Capital One)"/>
    <d v="2014-12-01T00:00:00"/>
    <n v="-64.94"/>
    <s v="X"/>
    <s v="Mimi's Cafe"/>
    <s v="#Disneyland 2014#"/>
    <s v="Vacation:Food"/>
    <m/>
    <m/>
    <m/>
    <x v="23"/>
    <s v="Food"/>
    <x v="0"/>
    <m/>
    <x v="6"/>
    <m/>
    <s v="Dec"/>
    <n v="2014"/>
    <s v="Irregular"/>
    <n v="0"/>
    <s v="No"/>
    <s v="None"/>
    <s v="Vacation|Food"/>
  </r>
  <r>
    <s v="Koolikai - Sec Dep XX1200"/>
    <d v="2014-11-30T00:00:00"/>
    <n v="0.19"/>
    <s v="*"/>
    <s v="First Tech (Dividend)"/>
    <s v="Credit Dividend--"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Chase Freedom XX9381"/>
    <d v="2014-11-30T00:00:00"/>
    <n v="-11.95"/>
    <s v="X"/>
    <s v="T-mobile"/>
    <s v="Mom's mobile phone"/>
    <s v="Bills &amp; Utilities:Mobile Phone"/>
    <m/>
    <m/>
    <m/>
    <x v="34"/>
    <s v="Mobile Phone"/>
    <x v="0"/>
    <m/>
    <x v="0"/>
    <m/>
    <s v="Nov"/>
    <n v="2014"/>
    <s v="Hidden"/>
    <n v="0"/>
    <s v="No"/>
    <s v="None"/>
    <s v="Bills &amp; Utilities|Mobile Phone"/>
  </r>
  <r>
    <s v="MasterCard (Capital One)"/>
    <d v="2014-11-30T00:00:00"/>
    <n v="-2.87"/>
    <s v="X"/>
    <s v="Blink Network Llc"/>
    <m/>
    <s v="Auto &amp; Transport:Gas &amp; Fuel"/>
    <m/>
    <m/>
    <m/>
    <x v="17"/>
    <s v="Gas &amp; Fuel"/>
    <x v="0"/>
    <m/>
    <x v="0"/>
    <m/>
    <s v="Nov"/>
    <n v="2014"/>
    <s v="Monthly"/>
    <n v="0"/>
    <s v="No"/>
    <s v="None"/>
    <s v="Auto &amp; Transport|Gas &amp; Fuel"/>
  </r>
  <r>
    <s v="MasterCard (Capital One)"/>
    <d v="2014-11-30T00:00:00"/>
    <n v="-12.59"/>
    <s v="X"/>
    <s v="Taco Del Mar"/>
    <s v="2011: TACO DEL MAR GREENWOOD SEATTLE WA 98103 USA"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30T00:00:00"/>
    <n v="-4.7"/>
    <s v="X"/>
    <s v="Walgreens"/>
    <s v="Proxabrush"/>
    <s v="Food &amp; Dining:Groceries/From Receipt"/>
    <m/>
    <s v="Split"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MasterCard (Capital One)"/>
    <d v="2014-11-30T00:00:00"/>
    <n v="-10"/>
    <s v="X"/>
    <s v="Walgreens"/>
    <m/>
    <s v="Health &amp; Fitness:Pharmacy/From Receipt"/>
    <m/>
    <s v="Split"/>
    <s v="From Receipt"/>
    <x v="18"/>
    <s v="Pharmacy"/>
    <x v="0"/>
    <m/>
    <x v="0"/>
    <m/>
    <s v="Nov"/>
    <n v="2014"/>
    <s v="Irregular"/>
    <n v="0"/>
    <s v="No"/>
    <s v="None"/>
    <s v="Health &amp; Fitness|Pharmacy"/>
  </r>
  <r>
    <s v="MasterCard (Capital One)"/>
    <d v="2014-11-30T00:00:00"/>
    <n v="-25"/>
    <s v="X"/>
    <s v="Virgin America"/>
    <s v="#Disneyland 2014#"/>
    <s v="Vacation:Transportation"/>
    <m/>
    <m/>
    <m/>
    <x v="23"/>
    <s v="Transportation"/>
    <x v="0"/>
    <m/>
    <x v="6"/>
    <m/>
    <s v="Nov"/>
    <n v="2014"/>
    <s v="Irregular"/>
    <n v="0"/>
    <s v="No"/>
    <s v="None"/>
    <s v="Vacation|Transportation"/>
  </r>
  <r>
    <s v="MasterCard (Capital One)"/>
    <d v="2014-11-30T00:00:00"/>
    <n v="-34"/>
    <s v="X"/>
    <s v="Rudys Barber Shop"/>
    <s v="2011: RUDYS BARBER SHOP - PH SEATTLE WA 98103 USA"/>
    <s v="Personal Care:Hair"/>
    <m/>
    <m/>
    <m/>
    <x v="31"/>
    <s v="Hair"/>
    <x v="0"/>
    <m/>
    <x v="0"/>
    <m/>
    <s v="Nov"/>
    <n v="2014"/>
    <s v="Monthly"/>
    <n v="0"/>
    <s v="No"/>
    <s v="None"/>
    <s v="Personal Care|Hair"/>
  </r>
  <r>
    <s v="MasterCard (Capital One)"/>
    <d v="2014-11-30T00:00:00"/>
    <n v="-45.28"/>
    <s v="X"/>
    <s v="Trader Joe's"/>
    <m/>
    <s v="Food &amp; Dining:Groceries"/>
    <m/>
    <m/>
    <m/>
    <x v="15"/>
    <s v="Groceries"/>
    <x v="0"/>
    <m/>
    <x v="0"/>
    <m/>
    <s v="Nov"/>
    <n v="2014"/>
    <s v="Monthly"/>
    <n v="0"/>
    <s v="No"/>
    <s v="None"/>
    <s v="Food &amp; Dining|Groceries"/>
  </r>
  <r>
    <s v="MasterCard (Capital One)"/>
    <d v="2014-11-30T00:00:00"/>
    <n v="-42.21"/>
    <s v="X"/>
    <s v="Fred Meyer"/>
    <m/>
    <s v="Food &amp; Dining:Groceries/From Receipt"/>
    <m/>
    <s v="Split"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MasterCard (Capital One)"/>
    <d v="2014-11-30T00:00:00"/>
    <n v="-15"/>
    <s v="X"/>
    <s v="Fred Meyer"/>
    <s v="Peterson sleep over"/>
    <s v="Parties/From Receipt"/>
    <m/>
    <s v="Split"/>
    <s v="From Receipt"/>
    <x v="16"/>
    <m/>
    <x v="0"/>
    <m/>
    <x v="0"/>
    <m/>
    <s v="Nov"/>
    <n v="2014"/>
    <s v="Annual"/>
    <n v="0"/>
    <s v="No"/>
    <s v="None"/>
    <s v="Parties"/>
  </r>
  <r>
    <s v="MasterCard (Capital One)"/>
    <d v="2014-11-30T00:00:00"/>
    <n v="-72"/>
    <s v="X"/>
    <s v="Groupon"/>
    <s v="Angela's Birthday present"/>
    <s v="Entertainment"/>
    <m/>
    <m/>
    <m/>
    <x v="30"/>
    <m/>
    <x v="0"/>
    <m/>
    <x v="0"/>
    <m/>
    <s v="Nov"/>
    <n v="2014"/>
    <s v="Monthly"/>
    <n v="0"/>
    <s v="No"/>
    <s v="None"/>
    <s v="Entertainment"/>
  </r>
  <r>
    <s v="MasterCard (Capital One)"/>
    <d v="2014-11-30T00:00:00"/>
    <n v="-72"/>
    <s v="X"/>
    <s v="Groupon"/>
    <s v="Angela's Birthday present"/>
    <s v="Entertainment"/>
    <m/>
    <m/>
    <m/>
    <x v="30"/>
    <m/>
    <x v="0"/>
    <m/>
    <x v="0"/>
    <m/>
    <s v="Nov"/>
    <n v="2014"/>
    <s v="Monthly"/>
    <n v="0"/>
    <s v="No"/>
    <s v="None"/>
    <s v="Entertainment"/>
  </r>
  <r>
    <s v="Koolikai - Checking XX2129"/>
    <d v="2014-11-29T00:00:00"/>
    <n v="2195"/>
    <s v="*"/>
    <s v="Shared Branch Mobile"/>
    <s v="Deposit--Shared Branch Mobile Deposit          First Tech FC CA"/>
    <s v="Business Income (Koolikai):Rent/9602"/>
    <m/>
    <m/>
    <n v="9602"/>
    <x v="37"/>
    <s v="Rent"/>
    <x v="0"/>
    <m/>
    <x v="0"/>
    <m/>
    <s v="Nov"/>
    <n v="2014"/>
    <s v="Monthly"/>
    <n v="0"/>
    <s v="No"/>
    <s v="None"/>
    <s v="Business Income (Koolikai)|Rent"/>
  </r>
  <r>
    <s v="MasterCard (Capital One)"/>
    <d v="2014-11-29T00:00:00"/>
    <n v="-129.19999999999999"/>
    <s v="X"/>
    <s v="Vios Cafe 3rd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29T00:00:00"/>
    <n v="-970"/>
    <s v="X"/>
    <s v="Disney"/>
    <s v="#Disneyland 2014#Park hopper passes"/>
    <s v="Vacation:Activities"/>
    <m/>
    <m/>
    <m/>
    <x v="23"/>
    <s v="Activities"/>
    <x v="0"/>
    <m/>
    <x v="6"/>
    <m/>
    <s v="Nov"/>
    <n v="2014"/>
    <s v="Irregular"/>
    <n v="0"/>
    <s v="No"/>
    <s v="None"/>
    <s v="Vacation|Activities"/>
  </r>
  <r>
    <s v="Capital One - Investment (6759)"/>
    <d v="2014-11-28T00:00:00"/>
    <n v="19.420000000000002"/>
    <s v="X"/>
    <s v="Capital One (Interest Income)"/>
    <m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Capital One - Long Term Emergency (1201)"/>
    <d v="2014-11-28T00:00:00"/>
    <n v="48.77"/>
    <s v="X"/>
    <s v="Capital One (Interest Income)"/>
    <m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Capital One - Secondary Savings (3126)"/>
    <d v="2014-11-28T00:00:00"/>
    <n v="0.02"/>
    <s v="X"/>
    <s v="Capital One (Interest Income)"/>
    <m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Capital One - Vacation (4959)"/>
    <d v="2014-11-28T00:00:00"/>
    <n v="14.81"/>
    <s v="X"/>
    <s v="Capital One (Interest Income)"/>
    <m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First Tech - Checking (5544)"/>
    <d v="2014-11-28T00:00:00"/>
    <n v="-9.0500000000000007"/>
    <s v="X"/>
    <s v="Chase (Autopay)"/>
    <s v="ACH Debit--CHASE  - AUTOPAY"/>
    <s v="[Chase Freedom XX9381]"/>
    <m/>
    <m/>
    <m/>
    <x v="7"/>
    <m/>
    <x v="0"/>
    <m/>
    <x v="0"/>
    <m/>
    <s v="Nov"/>
    <n v="2014"/>
    <e v="#N/A"/>
    <e v="#N/A"/>
    <e v="#N/A"/>
    <e v="#N/A"/>
    <s v="[Chase Freedom XX9381]"/>
  </r>
  <r>
    <s v="Schwab - Checking (9784)"/>
    <d v="2014-11-28T00:00:00"/>
    <n v="0.03"/>
    <s v="X"/>
    <s v="Interest Paid"/>
    <m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Schwab - Checking (9784)"/>
    <d v="2014-11-28T00:00:00"/>
    <n v="3"/>
    <s v="X"/>
    <s v="ATM Fee Refund"/>
    <m/>
    <s v="Bank Fees &amp; Charges:ATM Fee"/>
    <m/>
    <m/>
    <m/>
    <x v="32"/>
    <s v="ATM Fee"/>
    <x v="0"/>
    <m/>
    <x v="0"/>
    <m/>
    <s v="Nov"/>
    <n v="2014"/>
    <s v="Monthly"/>
    <n v="0"/>
    <s v="No"/>
    <s v="None"/>
    <s v="Bank Fees &amp; Charges|ATM Fee"/>
  </r>
  <r>
    <s v="MasterCard (Capital One)"/>
    <d v="2014-11-28T00:00:00"/>
    <n v="-39.74"/>
    <s v="X"/>
    <s v="Lowe's"/>
    <s v="Washing machine"/>
    <s v="Projects:Appliances/From Receipt"/>
    <m/>
    <m/>
    <s v="From Receipt"/>
    <x v="39"/>
    <s v="Appliances"/>
    <x v="0"/>
    <m/>
    <x v="0"/>
    <m/>
    <s v="Nov"/>
    <n v="2014"/>
    <s v="Unplanned"/>
    <n v="0"/>
    <s v="No"/>
    <s v="None"/>
    <s v="Projects|Appliances"/>
  </r>
  <r>
    <s v="MasterCard (Capital One)"/>
    <d v="2014-11-28T00:00:00"/>
    <n v="-50"/>
    <s v="X"/>
    <s v="Good Go Replenishment"/>
    <s v="2011: GOOD2GO REPLENISHMENT 08669368246 WA 98105 USA"/>
    <s v="Auto &amp; Transport:Tolls"/>
    <m/>
    <m/>
    <m/>
    <x v="17"/>
    <s v="Tolls"/>
    <x v="0"/>
    <m/>
    <x v="0"/>
    <m/>
    <s v="Nov"/>
    <n v="2014"/>
    <s v="Irregular"/>
    <n v="0"/>
    <s v="No"/>
    <s v="None"/>
    <s v="Auto &amp; Transport|Tolls"/>
  </r>
  <r>
    <s v="MasterCard (Capital One)"/>
    <d v="2014-11-28T00:00:00"/>
    <n v="-10.82"/>
    <s v="X"/>
    <s v="Home Depot"/>
    <s v="Flashlights for the boys"/>
    <s v="Kids:Toys/From Receipt"/>
    <m/>
    <s v="Split"/>
    <s v="From Receipt"/>
    <x v="27"/>
    <s v="Toys"/>
    <x v="0"/>
    <m/>
    <x v="0"/>
    <m/>
    <s v="Nov"/>
    <n v="2014"/>
    <s v="Monthly"/>
    <n v="0"/>
    <s v="No"/>
    <s v="None"/>
    <s v="Kids|Toys"/>
  </r>
  <r>
    <s v="MasterCard (Capital One)"/>
    <d v="2014-11-28T00:00:00"/>
    <n v="-3.97"/>
    <s v="X"/>
    <s v="Home Depot"/>
    <s v="Dryer fitting"/>
    <s v="Projects:Appliances/From Receipt"/>
    <m/>
    <s v="Split"/>
    <s v="From Receipt"/>
    <x v="39"/>
    <s v="Appliances"/>
    <x v="0"/>
    <m/>
    <x v="0"/>
    <m/>
    <s v="Nov"/>
    <n v="2014"/>
    <s v="Unplanned"/>
    <n v="0"/>
    <s v="No"/>
    <s v="None"/>
    <s v="Projects|Appliances"/>
  </r>
  <r>
    <s v="MasterCard (Capital One)"/>
    <d v="2014-11-28T00:00:00"/>
    <n v="-21.88"/>
    <s v="X"/>
    <s v="Third Place Books"/>
    <s v="Books"/>
    <s v="Kids:Toys/From Receipt"/>
    <m/>
    <m/>
    <s v="From Receipt"/>
    <x v="27"/>
    <s v="Toys"/>
    <x v="0"/>
    <m/>
    <x v="0"/>
    <m/>
    <s v="Nov"/>
    <n v="2014"/>
    <s v="Monthly"/>
    <n v="0"/>
    <s v="No"/>
    <s v="None"/>
    <s v="Kids|Toys"/>
  </r>
  <r>
    <s v="First Tech - Checking (5544)"/>
    <d v="2014-11-27T00:00:00"/>
    <n v="5496.28"/>
    <s v="X"/>
    <s v="Microsoft (Paystub)"/>
    <s v="ACH Deposit--MICROSOFT  - EDIPAYMENT"/>
    <s v="Net Salary"/>
    <m/>
    <m/>
    <m/>
    <x v="35"/>
    <m/>
    <x v="0"/>
    <m/>
    <x v="0"/>
    <m/>
    <s v="Nov"/>
    <n v="2014"/>
    <s v="Monthly"/>
    <n v="0"/>
    <s v="No"/>
    <s v="None"/>
    <s v="Net Salary"/>
  </r>
  <r>
    <s v="MasterCard (Capital One)"/>
    <d v="2014-11-27T00:00:00"/>
    <n v="-96.84"/>
    <s v="X"/>
    <s v="Fred Meyer"/>
    <s v="Includes some for Thanksgiving"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First Tech - Checking (5544)"/>
    <d v="2014-11-26T00:00:00"/>
    <n v="-45"/>
    <s v="X"/>
    <s v="Patricia Anderson"/>
    <m/>
    <s v="Kids:Babysitter"/>
    <n v="2142"/>
    <m/>
    <m/>
    <x v="27"/>
    <s v="Babysitter"/>
    <x v="0"/>
    <m/>
    <x v="0"/>
    <m/>
    <s v="Nov"/>
    <n v="2014"/>
    <s v="Monthly"/>
    <n v="0"/>
    <s v="No"/>
    <s v="None"/>
    <s v="Kids|Babysitter"/>
  </r>
  <r>
    <s v="Chase Freedom XX9381"/>
    <d v="2014-11-26T00:00:00"/>
    <n v="9.0500000000000007"/>
    <s v="X"/>
    <s v="Chase Freedom (Autopay)"/>
    <m/>
    <s v="[First Tech - Checking (5544)]"/>
    <m/>
    <m/>
    <m/>
    <x v="21"/>
    <m/>
    <x v="0"/>
    <m/>
    <x v="0"/>
    <m/>
    <s v="Nov"/>
    <n v="2014"/>
    <s v="Account"/>
    <n v="0"/>
    <s v="No"/>
    <s v="None"/>
    <s v="[First Tech - Checking (5544)]"/>
  </r>
  <r>
    <s v="First Tech - Checking (5544)"/>
    <d v="2014-11-25T00:00:00"/>
    <n v="6058.12"/>
    <s v="X"/>
    <s v="CRAB (Paystub)"/>
    <s v="ACH Deposit--Cancer Research  - Payroll"/>
    <s v="Net Salary"/>
    <m/>
    <m/>
    <m/>
    <x v="35"/>
    <m/>
    <x v="0"/>
    <m/>
    <x v="0"/>
    <m/>
    <s v="Nov"/>
    <n v="2014"/>
    <s v="Monthly"/>
    <n v="0"/>
    <s v="No"/>
    <s v="None"/>
    <s v="Net Salary"/>
  </r>
  <r>
    <s v="First Tech - Checking (5544)"/>
    <d v="2014-11-24T00:00:00"/>
    <n v="-736.22"/>
    <s v="X"/>
    <s v="Discover Card (Autopay)"/>
    <s v="ACH Debit--DISCOVER DC PYMNTS DCIDPIINT - E-PAYMENT"/>
    <s v="[Discover Card]"/>
    <m/>
    <m/>
    <m/>
    <x v="24"/>
    <m/>
    <x v="0"/>
    <m/>
    <x v="0"/>
    <m/>
    <s v="Nov"/>
    <n v="2014"/>
    <s v="Account"/>
    <n v="0"/>
    <s v="No"/>
    <s v="None"/>
    <s v="[Discover Card]"/>
  </r>
  <r>
    <s v="Koolikai - Checking XX2129"/>
    <d v="2014-11-24T00:00:00"/>
    <n v="-146.84"/>
    <s v="*"/>
    <s v="Chase - Koolikai (Autopay)"/>
    <s v="ACH Debit--CHASE  - AUTOPAYBUS"/>
    <s v="[Koolikai Credit Card]"/>
    <m/>
    <m/>
    <m/>
    <x v="9"/>
    <m/>
    <x v="0"/>
    <m/>
    <x v="0"/>
    <m/>
    <s v="Nov"/>
    <n v="2014"/>
    <s v="Account"/>
    <n v="0"/>
    <s v="No"/>
    <s v="None"/>
    <s v="[Koolikai Credit Card]"/>
  </r>
  <r>
    <s v="Chase Freedom XX9381"/>
    <d v="2014-11-24T00:00:00"/>
    <n v="-5.32"/>
    <s v="X"/>
    <s v="Amazon"/>
    <s v="Alligator clips"/>
    <s v="Shopping:Electronics &amp; Software"/>
    <m/>
    <m/>
    <m/>
    <x v="13"/>
    <s v="Electronics &amp; Software"/>
    <x v="0"/>
    <m/>
    <x v="0"/>
    <m/>
    <s v="Nov"/>
    <n v="2014"/>
    <s v="Annual"/>
    <n v="0"/>
    <s v="No"/>
    <s v="None"/>
    <s v="Shopping|Electronics &amp; Software"/>
  </r>
  <r>
    <s v="MasterCard (Capital One)"/>
    <d v="2014-11-24T00:00:00"/>
    <n v="20.76"/>
    <s v="X"/>
    <s v="Aerovironment"/>
    <s v="Refund for extra month's charge"/>
    <s v="Auto &amp; Transport:Gas &amp; Fuel"/>
    <m/>
    <m/>
    <m/>
    <x v="17"/>
    <s v="Gas &amp; Fuel"/>
    <x v="0"/>
    <m/>
    <x v="0"/>
    <m/>
    <s v="Nov"/>
    <n v="2014"/>
    <s v="Monthly"/>
    <n v="0"/>
    <s v="No"/>
    <s v="None"/>
    <s v="Auto &amp; Transport|Gas &amp; Fuel"/>
  </r>
  <r>
    <s v="MasterCard (Capital One)"/>
    <d v="2014-11-24T00:00:00"/>
    <n v="-12.72"/>
    <s v="X"/>
    <s v="Larsen Original Bake"/>
    <m/>
    <s v="Parties"/>
    <m/>
    <m/>
    <m/>
    <x v="16"/>
    <m/>
    <x v="0"/>
    <m/>
    <x v="0"/>
    <m/>
    <s v="Nov"/>
    <n v="2014"/>
    <s v="Annual"/>
    <n v="0"/>
    <s v="No"/>
    <s v="None"/>
    <s v="Parties"/>
  </r>
  <r>
    <s v="Schwab - Checking (9784)"/>
    <d v="2014-11-23T00:00:00"/>
    <n v="-9"/>
    <s v="X"/>
    <s v="Bank Of America"/>
    <s v="Monorail tickets"/>
    <s v="Vacation:Activities"/>
    <m/>
    <s v="Split"/>
    <m/>
    <x v="23"/>
    <s v="Activities"/>
    <x v="0"/>
    <m/>
    <x v="0"/>
    <m/>
    <s v="Nov"/>
    <n v="2014"/>
    <s v="Irregular"/>
    <n v="0"/>
    <s v="No"/>
    <s v="None"/>
    <s v="Vacation|Activities"/>
  </r>
  <r>
    <s v="Schwab - Checking (9784)"/>
    <d v="2014-11-23T00:00:00"/>
    <n v="-14"/>
    <s v="X"/>
    <s v="Bank Of America"/>
    <m/>
    <s v="Food &amp; Dining:Restaurants"/>
    <m/>
    <s v="Split"/>
    <m/>
    <x v="15"/>
    <s v="Restaurants"/>
    <x v="0"/>
    <m/>
    <x v="0"/>
    <m/>
    <s v="Nov"/>
    <n v="2014"/>
    <s v="Monthly"/>
    <n v="0"/>
    <s v="No"/>
    <s v="None"/>
    <s v="Food &amp; Dining|Restaurants"/>
  </r>
  <r>
    <s v="Chase Freedom XX9381"/>
    <d v="2014-11-23T00:00:00"/>
    <n v="-49.61"/>
    <s v="X"/>
    <s v="The Ridge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Discover Card"/>
    <d v="2014-11-23T00:00:00"/>
    <n v="736.22"/>
    <s v="X"/>
    <s v="Discover Card (Autopay)"/>
    <m/>
    <s v="[First Tech - Checking (5544)]"/>
    <m/>
    <m/>
    <m/>
    <x v="21"/>
    <m/>
    <x v="0"/>
    <m/>
    <x v="0"/>
    <m/>
    <s v="Nov"/>
    <n v="2014"/>
    <s v="Account"/>
    <n v="0"/>
    <s v="No"/>
    <s v="None"/>
    <s v="[First Tech - Checking (5544)]"/>
  </r>
  <r>
    <s v="Koolikai Credit Card"/>
    <d v="2014-11-23T00:00:00"/>
    <n v="146.84"/>
    <s v="*"/>
    <s v="Chase - Koolikai (Autopay)"/>
    <m/>
    <s v="[Koolikai - Checking XX2129]"/>
    <m/>
    <m/>
    <m/>
    <x v="25"/>
    <m/>
    <x v="0"/>
    <m/>
    <x v="0"/>
    <m/>
    <s v="Nov"/>
    <n v="2014"/>
    <s v="Account"/>
    <n v="0"/>
    <s v="No"/>
    <s v="None"/>
    <s v="[Koolikai - Checking XX2129]"/>
  </r>
  <r>
    <s v="MasterCard (Capital One)"/>
    <d v="2014-11-23T00:00:00"/>
    <n v="-36.78"/>
    <s v="X"/>
    <s v="Shell"/>
    <m/>
    <s v="Auto &amp; Transport:Gas &amp; Fuel"/>
    <m/>
    <m/>
    <m/>
    <x v="17"/>
    <s v="Gas &amp; Fuel"/>
    <x v="0"/>
    <m/>
    <x v="0"/>
    <m/>
    <s v="Nov"/>
    <n v="2014"/>
    <s v="Monthly"/>
    <n v="0"/>
    <s v="No"/>
    <s v="None"/>
    <s v="Auto &amp; Transport|Gas &amp; Fuel"/>
  </r>
  <r>
    <s v="First Tech - Checking (5544)"/>
    <d v="2014-11-22T00:00:00"/>
    <n v="801.65"/>
    <s v="X"/>
    <s v="CRAB (Reimbursement)"/>
    <s v="#Group Meeting Fall#"/>
    <s v="Work Expense:Reimbursement"/>
    <m/>
    <m/>
    <m/>
    <x v="19"/>
    <s v="Reimbursement"/>
    <x v="0"/>
    <m/>
    <x v="7"/>
    <m/>
    <s v="Nov"/>
    <n v="2014"/>
    <s v="Irregular"/>
    <n v="0"/>
    <s v="No"/>
    <s v="None"/>
    <s v="Work Expense|Reimbursement"/>
  </r>
  <r>
    <s v="MasterCard (Capital One)"/>
    <d v="2014-11-22T00:00:00"/>
    <n v="-4.22"/>
    <s v="X"/>
    <s v="Park"/>
    <m/>
    <s v="Auto &amp; Transport:Parking"/>
    <m/>
    <m/>
    <m/>
    <x v="17"/>
    <s v="Parking"/>
    <x v="0"/>
    <m/>
    <x v="0"/>
    <m/>
    <s v="Nov"/>
    <n v="2014"/>
    <s v="Monthly"/>
    <n v="0"/>
    <s v="No"/>
    <s v="None"/>
    <s v="Auto &amp; Transport|Parking"/>
  </r>
  <r>
    <s v="MasterCard (Capital One)"/>
    <d v="2014-11-22T00:00:00"/>
    <n v="-4.37"/>
    <s v="X"/>
    <s v="Sq Monkeys Toys"/>
    <m/>
    <s v="Kids:Toys"/>
    <m/>
    <m/>
    <m/>
    <x v="27"/>
    <s v="Toys"/>
    <x v="0"/>
    <m/>
    <x v="0"/>
    <m/>
    <s v="Nov"/>
    <n v="2014"/>
    <s v="Monthly"/>
    <n v="0"/>
    <s v="No"/>
    <s v="None"/>
    <s v="Kids|Toys"/>
  </r>
  <r>
    <s v="MasterCard (Capital One)"/>
    <d v="2014-11-22T00:00:00"/>
    <n v="-15.31"/>
    <s v="X"/>
    <s v="Kabob Corner Greek"/>
    <s v="Dinner after Dick Whittington and his cat"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22T00:00:00"/>
    <n v="-24.91"/>
    <s v="X"/>
    <s v="Skillet Counter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22T00:00:00"/>
    <n v="-111.81"/>
    <s v="X"/>
    <s v="Fred Meyer"/>
    <m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Target Red Card"/>
    <d v="2014-11-22T00:00:00"/>
    <n v="-33.5"/>
    <s v="*"/>
    <s v="Central Checkout Northg"/>
    <s v="#Disneyland 2014# Toys for trip"/>
    <s v="Vacation:Activities/From Receipt"/>
    <n v="799999943261"/>
    <m/>
    <s v="From Receipt"/>
    <x v="23"/>
    <s v="Activities"/>
    <x v="0"/>
    <m/>
    <x v="6"/>
    <m/>
    <s v="Nov"/>
    <n v="2014"/>
    <s v="Irregular"/>
    <n v="0"/>
    <s v="No"/>
    <s v="None"/>
    <s v="Vacation|Activities"/>
  </r>
  <r>
    <s v="First Tech - Checking (5544)"/>
    <d v="2014-11-21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Nov"/>
    <n v="2014"/>
    <s v="Monthly"/>
    <n v="0"/>
    <s v="No"/>
    <s v="None"/>
    <s v="Auto &amp; Transport|Auto Lease Payment"/>
  </r>
  <r>
    <s v="First Tech - Checking (5544)"/>
    <d v="2014-11-21T00:00:00"/>
    <n v="-70"/>
    <s v="X"/>
    <s v="Poppy Weber"/>
    <s v="@CAT:@"/>
    <s v="Kids:Babysitter"/>
    <n v="2141"/>
    <m/>
    <m/>
    <x v="27"/>
    <s v="Babysitter"/>
    <x v="0"/>
    <m/>
    <x v="0"/>
    <m/>
    <s v="Nov"/>
    <n v="2014"/>
    <s v="Monthly"/>
    <n v="0"/>
    <s v="No"/>
    <s v="None"/>
    <s v="Kids|Babysitter"/>
  </r>
  <r>
    <s v="Koolikai - Checking XX2129"/>
    <d v="2014-11-21T00:00:00"/>
    <n v="-128.66"/>
    <s v="*"/>
    <s v="Fritz's Plumbing"/>
    <s v="Unblock bathroom drain at 9602"/>
    <s v="Business Expenses (Koolikai):Repairs/9602:From Receipt"/>
    <n v="1095"/>
    <m/>
    <s v="9602:From Receipt"/>
    <x v="36"/>
    <s v="Repairs"/>
    <x v="0"/>
    <m/>
    <x v="0"/>
    <m/>
    <s v="Nov"/>
    <n v="2014"/>
    <s v="Irregular"/>
    <n v="0"/>
    <s v="No"/>
    <s v="None"/>
    <s v="Business Expenses (Koolikai)|Repairs"/>
  </r>
  <r>
    <s v="Schwab - Checking (9784)"/>
    <d v="2014-11-21T00:00:00"/>
    <n v="-5.79"/>
    <s v="X"/>
    <s v="Costco"/>
    <s v="Eyeglass cleaner"/>
    <s v="Health &amp; Fitness:Eyecare/From Receipt"/>
    <m/>
    <s v="Split"/>
    <s v="From Receipt"/>
    <x v="18"/>
    <s v="Eyecare"/>
    <x v="0"/>
    <m/>
    <x v="0"/>
    <m/>
    <s v="Nov"/>
    <n v="2014"/>
    <s v="Irregular"/>
    <n v="0"/>
    <s v="No"/>
    <s v="None"/>
    <s v="Health &amp; Fitness|Eyecare"/>
  </r>
  <r>
    <s v="Schwab - Checking (9784)"/>
    <d v="2014-11-21T00:00:00"/>
    <n v="-6.55"/>
    <s v="X"/>
    <s v="Costco"/>
    <s v="Pictures for Nikki"/>
    <s v="Gifts/From Receipt"/>
    <m/>
    <s v="Split"/>
    <s v="From Receipt"/>
    <x v="28"/>
    <m/>
    <x v="0"/>
    <m/>
    <x v="0"/>
    <m/>
    <s v="Nov"/>
    <n v="2014"/>
    <s v="Monthly"/>
    <n v="0"/>
    <s v="No"/>
    <s v="None"/>
    <s v="Gifts"/>
  </r>
  <r>
    <s v="MasterCard (Capital One)"/>
    <d v="2014-11-21T00:00:00"/>
    <n v="-20.05"/>
    <s v="X"/>
    <s v="Metropolis"/>
    <s v="Christmas cards"/>
    <s v="Gifts/From Receipt"/>
    <m/>
    <m/>
    <s v="From Receipt"/>
    <x v="28"/>
    <m/>
    <x v="0"/>
    <m/>
    <x v="0"/>
    <m/>
    <s v="Nov"/>
    <n v="2014"/>
    <s v="Monthly"/>
    <n v="0"/>
    <s v="No"/>
    <s v="None"/>
    <s v="Gifts"/>
  </r>
  <r>
    <s v="MasterCard (Capital One)"/>
    <d v="2014-11-21T00:00:00"/>
    <n v="-21.89"/>
    <s v="X"/>
    <s v="Babies &quot;R&quot; Us"/>
    <s v="Little learning house"/>
    <s v="Gifts/From Receipt"/>
    <m/>
    <m/>
    <s v="From Receipt"/>
    <x v="28"/>
    <m/>
    <x v="0"/>
    <m/>
    <x v="0"/>
    <m/>
    <s v="Nov"/>
    <n v="2014"/>
    <s v="Monthly"/>
    <n v="0"/>
    <s v="No"/>
    <s v="None"/>
    <s v="Gifts"/>
  </r>
  <r>
    <s v="MasterCard (Capital One)"/>
    <d v="2014-11-21T00:00:00"/>
    <n v="-42.54"/>
    <s v="X"/>
    <s v="Metropolis"/>
    <s v="Christmas cards"/>
    <s v="Gifts/From Receipt"/>
    <m/>
    <m/>
    <s v="From Receipt"/>
    <x v="28"/>
    <m/>
    <x v="0"/>
    <m/>
    <x v="0"/>
    <m/>
    <s v="Nov"/>
    <n v="2014"/>
    <s v="Monthly"/>
    <n v="0"/>
    <s v="No"/>
    <s v="None"/>
    <s v="Gifts"/>
  </r>
  <r>
    <s v="MasterCard (Capital One)"/>
    <d v="2014-11-21T00:00:00"/>
    <n v="-70.77"/>
    <s v="X"/>
    <s v="Phinney Market Pub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REI Mastercard (xx1787)"/>
    <d v="2014-11-19T00:00:00"/>
    <n v="-43.8"/>
    <s v="*"/>
    <s v="Rei"/>
    <s v="Dave's gloves"/>
    <s v="Shopping:Clothing/From Receipt"/>
    <m/>
    <m/>
    <s v="From Receipt"/>
    <x v="13"/>
    <s v="Clothing"/>
    <x v="0"/>
    <m/>
    <x v="0"/>
    <m/>
    <s v="Nov"/>
    <n v="2014"/>
    <s v="Annual"/>
    <n v="0"/>
    <s v="No"/>
    <s v="None"/>
    <s v="Shopping|Clothing"/>
  </r>
  <r>
    <s v="First Tech - Checking (5544)"/>
    <d v="2014-11-18T00:00:00"/>
    <n v="-74.77"/>
    <s v="X"/>
    <s v="Seattle City Light"/>
    <s v="ACH Debit--CITY OF SEATTLE  - 1 - SCL De"/>
    <s v="Bills &amp; Utilities:Utilities"/>
    <m/>
    <m/>
    <m/>
    <x v="34"/>
    <s v="Utilities"/>
    <x v="0"/>
    <m/>
    <x v="0"/>
    <m/>
    <s v="Nov"/>
    <n v="2014"/>
    <s v="Monthly"/>
    <n v="0"/>
    <s v="No"/>
    <s v="None"/>
    <s v="Bills &amp; Utilities|Utilities"/>
  </r>
  <r>
    <s v="Chase Freedom XX9381"/>
    <d v="2014-11-18T00:00:00"/>
    <n v="-1.98"/>
    <s v="X"/>
    <s v="Ken Market"/>
    <m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Chase Freedom XX9381"/>
    <d v="2014-11-18T00:00:00"/>
    <n v="-20"/>
    <s v="X"/>
    <s v="Seattle Families Of Multiples"/>
    <s v="Kids T-shirts"/>
    <s v="Kids:Clothing"/>
    <m/>
    <m/>
    <m/>
    <x v="27"/>
    <s v="Clothing"/>
    <x v="0"/>
    <m/>
    <x v="0"/>
    <m/>
    <s v="Nov"/>
    <n v="2014"/>
    <s v="Monthly"/>
    <n v="0"/>
    <s v="No"/>
    <s v="None"/>
    <s v="Kids|Clothing"/>
  </r>
  <r>
    <s v="REI Mastercard (xx1787)"/>
    <d v="2014-11-18T00:00:00"/>
    <n v="0"/>
    <s v="X"/>
    <s v="Opening Balance"/>
    <m/>
    <s v="[REI Mastercard (xx1787)]"/>
    <m/>
    <m/>
    <m/>
    <x v="11"/>
    <m/>
    <x v="0"/>
    <m/>
    <x v="0"/>
    <m/>
    <s v="Nov"/>
    <n v="2014"/>
    <e v="#N/A"/>
    <e v="#N/A"/>
    <e v="#N/A"/>
    <e v="#N/A"/>
    <s v="[REI Mastercard (xx1787)]"/>
  </r>
  <r>
    <s v="MasterCard (Capital One)"/>
    <d v="2014-11-16T00:00:00"/>
    <n v="-9.17"/>
    <s v="X"/>
    <s v="Mcdonald's"/>
    <s v="@BAL:$5556.22@@CAT:@"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Discover Card"/>
    <d v="2014-11-15T00:00:00"/>
    <n v="-24.05"/>
    <s v="X"/>
    <s v="Ikea"/>
    <s v="@CAT:@"/>
    <s v="Home:Furnishings/From Receipt"/>
    <m/>
    <s v="Split"/>
    <s v="From Receipt"/>
    <x v="14"/>
    <s v="Furnishings"/>
    <x v="0"/>
    <m/>
    <x v="0"/>
    <m/>
    <s v="Nov"/>
    <n v="2014"/>
    <s v="Monthly"/>
    <n v="0"/>
    <s v="No"/>
    <s v="None"/>
    <s v="Home|Furnishings"/>
  </r>
  <r>
    <s v="Discover Card"/>
    <d v="2014-11-15T00:00:00"/>
    <n v="-27.33"/>
    <s v="X"/>
    <s v="Ikea"/>
    <m/>
    <s v="Gifts/From Receipt"/>
    <m/>
    <s v="Split"/>
    <s v="From Receipt"/>
    <x v="28"/>
    <m/>
    <x v="0"/>
    <m/>
    <x v="0"/>
    <m/>
    <s v="Nov"/>
    <n v="2014"/>
    <s v="Monthly"/>
    <n v="0"/>
    <s v="No"/>
    <s v="None"/>
    <s v="Gifts"/>
  </r>
  <r>
    <s v="Discover Card"/>
    <d v="2014-11-15T00:00:00"/>
    <n v="-27.96"/>
    <s v="X"/>
    <s v="Ikea"/>
    <m/>
    <s v="Kids:Toys/From Receipt"/>
    <m/>
    <s v="Split"/>
    <s v="From Receipt"/>
    <x v="27"/>
    <s v="Toys"/>
    <x v="0"/>
    <m/>
    <x v="0"/>
    <m/>
    <s v="Nov"/>
    <n v="2014"/>
    <s v="Monthly"/>
    <n v="0"/>
    <s v="No"/>
    <s v="None"/>
    <s v="Kids|Toys"/>
  </r>
  <r>
    <s v="MasterCard (Capital One)"/>
    <d v="2014-11-15T00:00:00"/>
    <n v="-4.21"/>
    <s v="X"/>
    <s v="Blink Network Llc"/>
    <m/>
    <s v="Auto &amp; Transport:Gas &amp; Fuel"/>
    <m/>
    <m/>
    <m/>
    <x v="17"/>
    <s v="Gas &amp; Fuel"/>
    <x v="0"/>
    <m/>
    <x v="0"/>
    <m/>
    <s v="Nov"/>
    <n v="2014"/>
    <s v="Monthly"/>
    <n v="0"/>
    <s v="No"/>
    <s v="None"/>
    <s v="Auto &amp; Transport|Gas &amp; Fuel"/>
  </r>
  <r>
    <s v="MasterCard (Capital One)"/>
    <d v="2014-11-15T00:00:00"/>
    <n v="-25.12"/>
    <s v="X"/>
    <s v="Ikea"/>
    <m/>
    <s v="Food &amp; Dining:Restaurants/From Receipt"/>
    <m/>
    <m/>
    <s v="From Receipt"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15T00:00:00"/>
    <n v="-134.79"/>
    <s v="X"/>
    <s v="Toulouse Petit Kitchen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15T00:00:00"/>
    <n v="-155.08000000000001"/>
    <s v="X"/>
    <s v="Fred Meyer"/>
    <m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First Tech - Checking (5544)"/>
    <d v="2014-11-14T00:00:00"/>
    <n v="15"/>
    <s v="X"/>
    <s v="CRAB (Reimbursement)"/>
    <s v="#Cash Payment for keycard#"/>
    <s v="Work Expense:Reimbursement"/>
    <m/>
    <m/>
    <m/>
    <x v="19"/>
    <s v="Reimbursement"/>
    <x v="0"/>
    <m/>
    <x v="8"/>
    <m/>
    <s v="Nov"/>
    <n v="2014"/>
    <s v="Irregular"/>
    <n v="0"/>
    <s v="No"/>
    <s v="None"/>
    <s v="Work Expense|Reimbursement"/>
  </r>
  <r>
    <s v="First Tech - Checking (5544)"/>
    <d v="2014-11-14T00:00:00"/>
    <n v="148.91"/>
    <s v="X"/>
    <s v="Stay Fit Credit"/>
    <s v="#Stay Fit# ACH Deposit--STAY FIT MICROSO 304254681"/>
    <s v="Health &amp; Fitness:Sports"/>
    <m/>
    <m/>
    <m/>
    <x v="18"/>
    <s v="Sports"/>
    <x v="0"/>
    <m/>
    <x v="5"/>
    <m/>
    <s v="Nov"/>
    <n v="2014"/>
    <s v="Irregular"/>
    <n v="0"/>
    <s v="No"/>
    <s v="None"/>
    <s v="Health &amp; Fitness|Sports"/>
  </r>
  <r>
    <s v="Discover Card"/>
    <d v="2014-11-14T00:00:00"/>
    <n v="-4"/>
    <s v="X"/>
    <s v="Cafe Remond Wa"/>
    <s v="Omelet"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Discover Card"/>
    <d v="2014-11-14T00:00:00"/>
    <n v="-100"/>
    <s v="X"/>
    <s v="Cafe Remond Wa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First Tech - Checking (5544)"/>
    <d v="2014-11-13T00:00:00"/>
    <n v="5507.73"/>
    <s v="X"/>
    <s v="Microsoft (Paystub)"/>
    <s v="ACH Deposit--MICROSOFT  - EDIPAYMENT"/>
    <s v="Net Salary"/>
    <m/>
    <m/>
    <m/>
    <x v="35"/>
    <m/>
    <x v="0"/>
    <m/>
    <x v="0"/>
    <m/>
    <s v="Nov"/>
    <n v="2014"/>
    <s v="Monthly"/>
    <n v="0"/>
    <s v="No"/>
    <s v="None"/>
    <s v="Net Salary"/>
  </r>
  <r>
    <s v="First Tech - Checking (5544)"/>
    <d v="2014-11-13T00:00:00"/>
    <n v="-48.63"/>
    <s v="X"/>
    <s v="Puget Sound Energy"/>
    <s v="ACH Debit--PUGET SOUND ENER DIRECT DEBITING - PSE BILL  46250514"/>
    <s v="Bills &amp; Utilities:Utilities"/>
    <m/>
    <m/>
    <m/>
    <x v="34"/>
    <s v="Utilities"/>
    <x v="0"/>
    <m/>
    <x v="0"/>
    <m/>
    <s v="Nov"/>
    <n v="2014"/>
    <s v="Monthly"/>
    <n v="0"/>
    <s v="No"/>
    <s v="None"/>
    <s v="Bills &amp; Utilities|Utilities"/>
  </r>
  <r>
    <s v="MasterCard (Capital One)"/>
    <d v="2014-11-13T00:00:00"/>
    <n v="-21.71"/>
    <s v="X"/>
    <s v="Icon Grill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Koolikai - Checking XX2129"/>
    <d v="2014-11-12T00:00:00"/>
    <n v="-67.81"/>
    <s v="X"/>
    <s v="John Schaibley"/>
    <s v="Smoke and CO detectors@CAT:@@BAL:$23,364.92@"/>
    <s v="Business Expenses (Koolikai):Repairs/9602:From Receipt"/>
    <n v="1094"/>
    <m/>
    <s v="9602:From Receipt"/>
    <x v="36"/>
    <s v="Repairs"/>
    <x v="0"/>
    <m/>
    <x v="0"/>
    <m/>
    <s v="Nov"/>
    <n v="2014"/>
    <s v="Irregular"/>
    <n v="0"/>
    <s v="No"/>
    <s v="None"/>
    <s v="Business Expenses (Koolikai)|Repairs"/>
  </r>
  <r>
    <s v="Koolikai - Sec Dep XX1200"/>
    <d v="2014-11-12T00:00:00"/>
    <n v="0"/>
    <s v="X"/>
    <s v="Balanced"/>
    <s v="@CAT:@@BAL:$4,502.42@"/>
    <s v="[Koolikai - Sec Dep XX1200]"/>
    <m/>
    <m/>
    <m/>
    <x v="41"/>
    <m/>
    <x v="0"/>
    <m/>
    <x v="0"/>
    <m/>
    <s v="Nov"/>
    <n v="2014"/>
    <s v="Account"/>
    <n v="0"/>
    <s v="No"/>
    <s v="None"/>
    <s v="[Koolikai - Sec Dep XX1200]"/>
  </r>
  <r>
    <s v="Discover Card"/>
    <d v="2014-11-12T00:00:00"/>
    <n v="-5.2"/>
    <s v="X"/>
    <s v="Cafe Remond Wa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Koolikai Credit Card"/>
    <d v="2014-11-12T00:00:00"/>
    <n v="-146.88"/>
    <s v="*"/>
    <s v="Verizon Wireless"/>
    <m/>
    <s v="Business Expenses (Koolikai):Cell Phone"/>
    <m/>
    <m/>
    <m/>
    <x v="36"/>
    <s v="Cell Phone"/>
    <x v="0"/>
    <m/>
    <x v="0"/>
    <m/>
    <s v="Nov"/>
    <n v="2014"/>
    <s v="Monthly"/>
    <n v="0"/>
    <s v="No"/>
    <s v="None"/>
    <s v="Business Expenses (Koolikai)|Cell Phone"/>
  </r>
  <r>
    <s v="MasterCard (Capital One)"/>
    <d v="2014-11-12T00:00:00"/>
    <n v="-36.11"/>
    <s v="X"/>
    <s v="Officemax"/>
    <s v="Calendar and receipt holder"/>
    <s v="Business Expenses (Koolikai):Office Expenses (Business)/From Receipt"/>
    <m/>
    <m/>
    <s v="From Receipt"/>
    <x v="36"/>
    <s v="Office Expenses (Business)"/>
    <x v="0"/>
    <m/>
    <x v="0"/>
    <m/>
    <s v="Nov"/>
    <n v="2014"/>
    <s v="Monthly"/>
    <n v="0"/>
    <s v="No"/>
    <s v="None"/>
    <s v="Business Expenses (Koolikai)|Office Expenses (Business)"/>
  </r>
  <r>
    <s v="Schwab - Checking (9784)"/>
    <d v="2014-11-11T00:00:00"/>
    <n v="-44.74"/>
    <s v="X"/>
    <s v="Costco"/>
    <s v="Sonicare brush heads"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Chase Slate (XX1141)"/>
    <d v="2014-11-11T00:00:00"/>
    <n v="0"/>
    <s v="X"/>
    <s v="Balanced"/>
    <s v="@CAT:@@BAL:$0.00@"/>
    <s v="[Chase Slate (XX1141)]"/>
    <m/>
    <m/>
    <m/>
    <x v="8"/>
    <m/>
    <x v="0"/>
    <m/>
    <x v="0"/>
    <m/>
    <s v="Nov"/>
    <n v="2014"/>
    <e v="#N/A"/>
    <e v="#N/A"/>
    <e v="#N/A"/>
    <e v="#N/A"/>
    <s v="[Chase Slate (XX1141)]"/>
  </r>
  <r>
    <s v="Mastercard (Angela)"/>
    <d v="2014-11-11T00:00:00"/>
    <n v="0"/>
    <s v="X"/>
    <s v="Balanced"/>
    <s v="@CAT:@@BAL:$0.00@"/>
    <s v="[Mastercard (Angela)]"/>
    <m/>
    <m/>
    <m/>
    <x v="10"/>
    <m/>
    <x v="0"/>
    <m/>
    <x v="0"/>
    <m/>
    <s v="Nov"/>
    <n v="2014"/>
    <s v="Account"/>
    <n v="0"/>
    <s v="No"/>
    <s v="None"/>
    <s v="[Mastercard (Angela)]"/>
  </r>
  <r>
    <s v="MasterCard (Capital One)"/>
    <d v="2014-11-11T00:00:00"/>
    <n v="25"/>
    <s v="X"/>
    <s v="Capital One (Cash Back)"/>
    <m/>
    <s v="Other Inc"/>
    <m/>
    <m/>
    <m/>
    <x v="29"/>
    <m/>
    <x v="0"/>
    <m/>
    <x v="0"/>
    <m/>
    <s v="Nov"/>
    <n v="2014"/>
    <s v="Monthly"/>
    <n v="0"/>
    <s v="No"/>
    <s v="None"/>
    <s v="Other Inc"/>
  </r>
  <r>
    <s v="MasterCard (Capital One)"/>
    <d v="2014-11-11T00:00:00"/>
    <n v="-23.89"/>
    <s v="X"/>
    <s v="Oshkosh"/>
    <m/>
    <s v="Kids:Clothing"/>
    <m/>
    <m/>
    <m/>
    <x v="27"/>
    <s v="Clothing"/>
    <x v="0"/>
    <m/>
    <x v="0"/>
    <m/>
    <s v="Nov"/>
    <n v="2014"/>
    <s v="Monthly"/>
    <n v="0"/>
    <s v="No"/>
    <s v="None"/>
    <s v="Kids|Clothing"/>
  </r>
  <r>
    <s v="MasterCard (Capital One)"/>
    <d v="2014-11-11T00:00:00"/>
    <n v="-519"/>
    <s v="X"/>
    <s v="Seattle Gymnastic Academy"/>
    <m/>
    <s v="Kids:Kids Activities"/>
    <m/>
    <m/>
    <m/>
    <x v="27"/>
    <s v="Kids Activities"/>
    <x v="0"/>
    <m/>
    <x v="0"/>
    <m/>
    <s v="Nov"/>
    <n v="2014"/>
    <s v="Monthly"/>
    <n v="0"/>
    <s v="No"/>
    <s v="None"/>
    <s v="Kids|Kids Activities"/>
  </r>
  <r>
    <s v="REI Mastercard (xx1787)"/>
    <d v="2014-11-11T00:00:00"/>
    <n v="0"/>
    <s v="X"/>
    <s v="Balanced"/>
    <s v="@CAT:@@BAL:$0.00@"/>
    <s v="[REI Mastercard (xx1787)]"/>
    <m/>
    <m/>
    <m/>
    <x v="11"/>
    <m/>
    <x v="0"/>
    <m/>
    <x v="0"/>
    <m/>
    <s v="Nov"/>
    <n v="2014"/>
    <e v="#N/A"/>
    <e v="#N/A"/>
    <e v="#N/A"/>
    <e v="#N/A"/>
    <s v="[REI Mastercard (xx1787)]"/>
  </r>
  <r>
    <s v="First Tech - Short Term Emergency (5400)"/>
    <d v="2014-11-09T00:00:00"/>
    <n v="0"/>
    <s v="X"/>
    <s v="Balanced"/>
    <s v="@CAT:@@BAL:$5.00@"/>
    <s v="[First Tech - Short Term Emergency (5400)]"/>
    <m/>
    <m/>
    <m/>
    <x v="4"/>
    <m/>
    <x v="0"/>
    <m/>
    <x v="0"/>
    <m/>
    <s v="Nov"/>
    <n v="2014"/>
    <s v="Account"/>
    <n v="0"/>
    <s v="No"/>
    <s v="None"/>
    <s v="[First Tech - Short Term Emergency (5400)]"/>
  </r>
  <r>
    <s v="MasterCard (Capital One)"/>
    <d v="2014-11-09T00:00:00"/>
    <n v="-6.57"/>
    <s v="X"/>
    <s v="Playdate Sea"/>
    <m/>
    <s v="Food &amp; Dining:Restaurants/From Receipt"/>
    <m/>
    <m/>
    <s v="From Receipt"/>
    <x v="15"/>
    <s v="Restaurants"/>
    <x v="0"/>
    <m/>
    <x v="0"/>
    <m/>
    <s v="Nov"/>
    <n v="2014"/>
    <s v="Monthly"/>
    <n v="0"/>
    <s v="No"/>
    <s v="None"/>
    <s v="Food &amp; Dining|Restaurants"/>
  </r>
  <r>
    <s v="Chase Slate (XX1141)"/>
    <d v="2014-11-08T00:00:00"/>
    <n v="0"/>
    <s v="X"/>
    <s v="Opening Balance"/>
    <m/>
    <s v="[Chase Slate (XX1141)]"/>
    <m/>
    <m/>
    <m/>
    <x v="8"/>
    <m/>
    <x v="0"/>
    <m/>
    <x v="0"/>
    <m/>
    <s v="Nov"/>
    <n v="2014"/>
    <e v="#N/A"/>
    <e v="#N/A"/>
    <e v="#N/A"/>
    <e v="#N/A"/>
    <s v="[Chase Slate (XX1141)]"/>
  </r>
  <r>
    <s v="MasterCard (Capital One)"/>
    <d v="2014-11-08T00:00:00"/>
    <n v="-15.87"/>
    <s v="X"/>
    <s v="Hales Ales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8T00:00:00"/>
    <n v="-18.72"/>
    <s v="X"/>
    <s v="Subway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8T00:00:00"/>
    <n v="-21.53"/>
    <s v="X"/>
    <s v="Trader Joe's"/>
    <m/>
    <s v="Food &amp; Dining:Groceries/From Receipt"/>
    <m/>
    <s v="Split"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MasterCard (Capital One)"/>
    <d v="2014-11-08T00:00:00"/>
    <n v="-15"/>
    <s v="X"/>
    <s v="Trader Joe's"/>
    <s v="#Disneyland 2014#"/>
    <s v="Vacation:Food/From Receipt"/>
    <m/>
    <s v="Split"/>
    <s v="From Receipt"/>
    <x v="23"/>
    <s v="Food"/>
    <x v="0"/>
    <m/>
    <x v="6"/>
    <m/>
    <s v="Nov"/>
    <n v="2014"/>
    <s v="Irregular"/>
    <n v="0"/>
    <s v="No"/>
    <s v="None"/>
    <s v="Vacation|Food"/>
  </r>
  <r>
    <s v="MasterCard (Capital One)"/>
    <d v="2014-11-08T00:00:00"/>
    <n v="-116.55"/>
    <s v="X"/>
    <s v="Fred Meyer"/>
    <m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First Tech - Checking (5544)"/>
    <d v="2014-11-07T00:00:00"/>
    <n v="-30"/>
    <s v="X"/>
    <s v="Thistle Theater"/>
    <s v="Puppet show@CAT:@"/>
    <s v="Kids:Kids Activities/From Receipt:Tax Related"/>
    <n v="2139"/>
    <m/>
    <s v="From Receipt:Tax Related"/>
    <x v="27"/>
    <s v="Kids Activities"/>
    <x v="0"/>
    <m/>
    <x v="0"/>
    <m/>
    <s v="Nov"/>
    <n v="2014"/>
    <s v="Monthly"/>
    <n v="0"/>
    <s v="No"/>
    <s v="None"/>
    <s v="Kids|Kids Activities"/>
  </r>
  <r>
    <s v="MasterCard (Capital One)"/>
    <d v="2014-11-07T00:00:00"/>
    <n v="-96"/>
    <s v="X"/>
    <s v="Pacific Coast Shell"/>
    <s v="#Disneyland 2014#"/>
    <s v="Vacation:Transportation"/>
    <m/>
    <m/>
    <m/>
    <x v="23"/>
    <s v="Transportation"/>
    <x v="0"/>
    <m/>
    <x v="6"/>
    <m/>
    <s v="Nov"/>
    <n v="2014"/>
    <s v="Irregular"/>
    <n v="0"/>
    <s v="No"/>
    <s v="None"/>
    <s v="Vacation|Transportation"/>
  </r>
  <r>
    <s v="First Tech - Checking (5544)"/>
    <d v="2014-11-06T00:00:00"/>
    <n v="116.5"/>
    <s v="X"/>
    <s v="Stay Fit Credit"/>
    <s v="#Stay Fit# Reimbursement for Beat the Blerch"/>
    <s v="Health &amp; Fitness:Sports"/>
    <m/>
    <m/>
    <m/>
    <x v="18"/>
    <s v="Sports"/>
    <x v="0"/>
    <m/>
    <x v="5"/>
    <m/>
    <s v="Nov"/>
    <n v="2014"/>
    <s v="Irregular"/>
    <n v="0"/>
    <s v="No"/>
    <s v="None"/>
    <s v="Health &amp; Fitness|Sports"/>
  </r>
  <r>
    <s v="First Tech - Checking (5544)"/>
    <d v="2014-11-06T00:00:00"/>
    <n v="-54.49"/>
    <s v="X"/>
    <s v="Target (Autopay)"/>
    <s v="ACH Debit--TARGET CARD SRVC 001 - AUTO PYMT"/>
    <s v="[Target Red Card]"/>
    <m/>
    <m/>
    <m/>
    <x v="12"/>
    <m/>
    <x v="0"/>
    <m/>
    <x v="0"/>
    <m/>
    <s v="Nov"/>
    <n v="2014"/>
    <s v="Account"/>
    <n v="0"/>
    <s v="No"/>
    <s v="None"/>
    <s v="[Target Red Card]"/>
  </r>
  <r>
    <s v="First Tech - Checking (5544)"/>
    <d v="2014-11-06T00:00:00"/>
    <n v="-30"/>
    <s v="X"/>
    <s v="Courtney Willie"/>
    <s v="3x SWOG cookbooks"/>
    <s v="Gifts"/>
    <n v="2135"/>
    <m/>
    <m/>
    <x v="28"/>
    <m/>
    <x v="0"/>
    <m/>
    <x v="0"/>
    <m/>
    <s v="Nov"/>
    <n v="2014"/>
    <s v="Monthly"/>
    <n v="0"/>
    <s v="No"/>
    <s v="None"/>
    <s v="Gifts"/>
  </r>
  <r>
    <s v="MasterCard (Capital One)"/>
    <d v="2014-11-06T00:00:00"/>
    <n v="-1.65"/>
    <s v="X"/>
    <s v="Ken Market"/>
    <m/>
    <s v="Food &amp; Dining:Groceries"/>
    <m/>
    <m/>
    <m/>
    <x v="15"/>
    <s v="Groceries"/>
    <x v="0"/>
    <m/>
    <x v="0"/>
    <m/>
    <s v="Nov"/>
    <n v="2014"/>
    <s v="Monthly"/>
    <n v="0"/>
    <s v="No"/>
    <s v="None"/>
    <s v="Food &amp; Dining|Groceries"/>
  </r>
  <r>
    <s v="Target Red Card"/>
    <d v="2014-11-06T00:00:00"/>
    <n v="54.49"/>
    <s v="X"/>
    <s v="Target (Autopay)"/>
    <s v="@BAL:$0.00@@CAT:@"/>
    <s v="[First Tech - Checking (5544)]"/>
    <m/>
    <m/>
    <m/>
    <x v="21"/>
    <m/>
    <x v="0"/>
    <m/>
    <x v="0"/>
    <m/>
    <s v="Nov"/>
    <n v="2014"/>
    <s v="Account"/>
    <n v="0"/>
    <s v="No"/>
    <s v="None"/>
    <s v="[First Tech - Checking (5544)]"/>
  </r>
  <r>
    <s v="First Tech - Checking (5544)"/>
    <d v="2014-11-05T00:00:00"/>
    <n v="-3864.19"/>
    <s v="X"/>
    <s v="Wells Fargo Home Mortgage"/>
    <s v="ACH Debit--WF HOME MTG ACH - AUTO PAY"/>
    <s v="Home:Mortgage"/>
    <m/>
    <m/>
    <m/>
    <x v="14"/>
    <s v="Mortgage"/>
    <x v="0"/>
    <m/>
    <x v="0"/>
    <m/>
    <s v="Nov"/>
    <n v="2014"/>
    <s v="Monthly"/>
    <n v="0"/>
    <s v="No"/>
    <s v="None"/>
    <s v="Home|Mortgage"/>
  </r>
  <r>
    <s v="Koolikai - Checking XX2129"/>
    <d v="2014-11-05T00:00:00"/>
    <n v="2295"/>
    <s v="X"/>
    <s v="Aaron Ausland"/>
    <s v="Deposit--Shared Branch Mobile Deposit          First Tech FC CA"/>
    <s v="Business Income (Koolikai):Rent/7231"/>
    <m/>
    <m/>
    <n v="7231"/>
    <x v="37"/>
    <s v="Rent"/>
    <x v="0"/>
    <m/>
    <x v="0"/>
    <m/>
    <s v="Nov"/>
    <n v="2014"/>
    <s v="Monthly"/>
    <n v="0"/>
    <s v="No"/>
    <s v="None"/>
    <s v="Business Income (Koolikai)|Rent"/>
  </r>
  <r>
    <s v="Discover Card"/>
    <d v="2014-11-05T00:00:00"/>
    <n v="-148.91"/>
    <s v="X"/>
    <s v="Garmin International"/>
    <s v="#Stay Fit# Running watch@BAL:$-895.13@@CAT:@"/>
    <s v="Health &amp; Fitness:Sports"/>
    <m/>
    <m/>
    <m/>
    <x v="18"/>
    <s v="Sports"/>
    <x v="0"/>
    <m/>
    <x v="5"/>
    <m/>
    <s v="Nov"/>
    <n v="2014"/>
    <s v="Irregular"/>
    <n v="0"/>
    <s v="No"/>
    <s v="None"/>
    <s v="Health &amp; Fitness|Sports"/>
  </r>
  <r>
    <s v="First Tech - Checking (5544)"/>
    <d v="2014-11-04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Nov"/>
    <n v="2014"/>
    <s v="Monthly"/>
    <n v="0"/>
    <s v="No"/>
    <s v="None"/>
    <s v="Kids|American Funds 529A"/>
  </r>
  <r>
    <s v="Discover Card"/>
    <d v="2014-11-04T00:00:00"/>
    <n v="-10"/>
    <s v="X"/>
    <s v="Ezells Famous Chicken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4T00:00:00"/>
    <n v="-4.25"/>
    <s v="X"/>
    <s v="Seattle Parks And Recreation"/>
    <s v="Change fee for swimming lessons"/>
    <s v="Kids:Kids Activities"/>
    <m/>
    <m/>
    <m/>
    <x v="27"/>
    <s v="Kids Activities"/>
    <x v="0"/>
    <m/>
    <x v="0"/>
    <m/>
    <s v="Nov"/>
    <n v="2014"/>
    <s v="Monthly"/>
    <n v="0"/>
    <s v="No"/>
    <s v="None"/>
    <s v="Kids|Kids Activities"/>
  </r>
  <r>
    <s v="MasterCard (Capital One)"/>
    <d v="2014-11-04T00:00:00"/>
    <n v="-12.04"/>
    <s v="X"/>
    <s v="Taco Del Mar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4T00:00:00"/>
    <n v="-21.19"/>
    <s v="X"/>
    <s v="Comcast"/>
    <s v="October"/>
    <s v="Bills &amp; Utilities:Television"/>
    <m/>
    <s v="Split"/>
    <m/>
    <x v="34"/>
    <s v="Television"/>
    <x v="0"/>
    <m/>
    <x v="0"/>
    <m/>
    <s v="Nov"/>
    <n v="2014"/>
    <s v="Monthly"/>
    <n v="0"/>
    <s v="No"/>
    <s v="None"/>
    <s v="Bills &amp; Utilities|Television"/>
  </r>
  <r>
    <s v="MasterCard (Capital One)"/>
    <d v="2014-11-04T00:00:00"/>
    <n v="-66.739999999999995"/>
    <s v="X"/>
    <s v="Comcast"/>
    <s v="October"/>
    <s v="Business Expenses (Koolikai):Internet"/>
    <m/>
    <s v="Split"/>
    <m/>
    <x v="36"/>
    <s v="Internet"/>
    <x v="0"/>
    <m/>
    <x v="0"/>
    <m/>
    <s v="Nov"/>
    <n v="2014"/>
    <s v="Monthly"/>
    <n v="0"/>
    <s v="No"/>
    <s v="None"/>
    <s v="Business Expenses (Koolikai)|Internet"/>
  </r>
  <r>
    <s v="MasterCard (Capital One)"/>
    <d v="2014-11-04T00:00:00"/>
    <n v="-44.74"/>
    <s v="X"/>
    <s v="Comcast"/>
    <s v="October"/>
    <s v="Bills &amp; Utilities:Home Phone"/>
    <m/>
    <s v="Split"/>
    <m/>
    <x v="34"/>
    <s v="Home Phone"/>
    <x v="0"/>
    <m/>
    <x v="0"/>
    <m/>
    <s v="Nov"/>
    <n v="2014"/>
    <s v="Monthly"/>
    <n v="0"/>
    <s v="No"/>
    <s v="None"/>
    <s v="Bills &amp; Utilities|Home Phone"/>
  </r>
  <r>
    <s v="MasterCard (Capital One)"/>
    <d v="2014-11-04T00:00:00"/>
    <n v="-21.36"/>
    <s v="X"/>
    <s v="Comcast"/>
    <m/>
    <s v="Bills &amp; Utilities:Television"/>
    <m/>
    <s v="Split"/>
    <m/>
    <x v="34"/>
    <s v="Television"/>
    <x v="0"/>
    <m/>
    <x v="0"/>
    <m/>
    <s v="Nov"/>
    <n v="2014"/>
    <s v="Monthly"/>
    <n v="0"/>
    <s v="No"/>
    <s v="None"/>
    <s v="Bills &amp; Utilities|Television"/>
  </r>
  <r>
    <s v="MasterCard (Capital One)"/>
    <d v="2014-11-04T00:00:00"/>
    <n v="-66.91"/>
    <s v="X"/>
    <s v="Comcast"/>
    <m/>
    <s v="Business Expenses (Koolikai):Internet"/>
    <m/>
    <s v="Split"/>
    <m/>
    <x v="36"/>
    <s v="Internet"/>
    <x v="0"/>
    <m/>
    <x v="0"/>
    <m/>
    <s v="Nov"/>
    <n v="2014"/>
    <s v="Monthly"/>
    <n v="0"/>
    <s v="No"/>
    <s v="None"/>
    <s v="Business Expenses (Koolikai)|Internet"/>
  </r>
  <r>
    <s v="MasterCard (Capital One)"/>
    <d v="2014-11-04T00:00:00"/>
    <n v="-44.91"/>
    <s v="X"/>
    <s v="Comcast"/>
    <m/>
    <s v="Bills &amp; Utilities:Home Phone"/>
    <m/>
    <s v="Split"/>
    <m/>
    <x v="34"/>
    <s v="Home Phone"/>
    <x v="0"/>
    <m/>
    <x v="0"/>
    <m/>
    <s v="Nov"/>
    <n v="2014"/>
    <s v="Monthly"/>
    <n v="0"/>
    <s v="No"/>
    <s v="None"/>
    <s v="Bills &amp; Utilities|Home Phone"/>
  </r>
  <r>
    <s v="MasterCard (Capital One)"/>
    <d v="2014-11-04T00:00:00"/>
    <n v="-8.86"/>
    <s v="X"/>
    <s v="Comcast"/>
    <s v="Bill says $9.50 late fee and $"/>
    <s v="Bank Fees &amp; Charges:Bank Fee"/>
    <m/>
    <s v="Split"/>
    <m/>
    <x v="32"/>
    <s v="Bank Fee"/>
    <x v="0"/>
    <m/>
    <x v="0"/>
    <m/>
    <s v="Nov"/>
    <n v="2014"/>
    <s v="Irregular"/>
    <n v="0"/>
    <s v="No"/>
    <s v="None"/>
    <s v="Bank Fees &amp; Charges|Bank Fee"/>
  </r>
  <r>
    <s v="First Tech - Checking (5544)"/>
    <d v="2014-11-03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Nov"/>
    <n v="2014"/>
    <s v="Monthly"/>
    <n v="0"/>
    <s v="No"/>
    <s v="None"/>
    <s v="Business Expenses (Koolikai)|Mortgage (Business)"/>
  </r>
  <r>
    <s v="First Tech - Checking (5544)"/>
    <d v="2014-11-03T00:00:00"/>
    <n v="-2052"/>
    <s v="X"/>
    <s v="Phinney Ridge CDC"/>
    <s v="ACH Debit--PHINNEY RIDGE LU 504759859 - CONTRIBUTN"/>
    <s v="Kids:Daycare"/>
    <m/>
    <m/>
    <m/>
    <x v="27"/>
    <s v="Daycare"/>
    <x v="0"/>
    <m/>
    <x v="0"/>
    <m/>
    <s v="Nov"/>
    <n v="2014"/>
    <s v="Monthly"/>
    <n v="0"/>
    <s v="No"/>
    <s v="None"/>
    <s v="Kids|Daycare"/>
  </r>
  <r>
    <s v="First Tech - Checking (5544)"/>
    <d v="2014-11-03T00:00:00"/>
    <n v="-2386.54"/>
    <s v="X"/>
    <s v="Capital One (Autopay)"/>
    <s v="ACH Debit--CAPITAL ONE  - CRCARDPMT"/>
    <s v="[MasterCard (Capital One)]"/>
    <m/>
    <m/>
    <m/>
    <x v="38"/>
    <m/>
    <x v="0"/>
    <m/>
    <x v="0"/>
    <m/>
    <s v="Nov"/>
    <n v="2014"/>
    <s v="Account"/>
    <n v="0"/>
    <s v="No"/>
    <s v="None"/>
    <s v="[MasterCard (Capital One)]"/>
  </r>
  <r>
    <s v="First Tech - Checking (5544)"/>
    <d v="2014-11-03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Nov"/>
    <n v="2014"/>
    <s v="Monthly"/>
    <n v="0"/>
    <s v="No"/>
    <s v="None"/>
    <s v="Business Expenses (Koolikai)|Mortgage (Business)"/>
  </r>
  <r>
    <s v="MasterCard (Capital One)"/>
    <d v="2014-11-03T00:00:00"/>
    <n v="2386.54"/>
    <s v="X"/>
    <s v="Capital One (Autopay)"/>
    <s v="ACH Debit--CAPITAL ONE  - CRCARDPMT"/>
    <s v="[First Tech - Checking (5544)]"/>
    <m/>
    <m/>
    <m/>
    <x v="21"/>
    <m/>
    <x v="0"/>
    <m/>
    <x v="0"/>
    <m/>
    <s v="Nov"/>
    <n v="2014"/>
    <s v="Account"/>
    <n v="0"/>
    <s v="No"/>
    <s v="None"/>
    <s v="[First Tech - Checking (5544)]"/>
  </r>
  <r>
    <s v="MasterCard (Capital One)"/>
    <d v="2014-11-03T00:00:00"/>
    <n v="-8.75"/>
    <s v="X"/>
    <s v="Netflix"/>
    <m/>
    <s v="Entertainment:Movies &amp; DVDs"/>
    <m/>
    <m/>
    <m/>
    <x v="30"/>
    <s v="Movies &amp; DVDs"/>
    <x v="0"/>
    <m/>
    <x v="0"/>
    <m/>
    <s v="Nov"/>
    <n v="2014"/>
    <s v="Unplanned"/>
    <n v="0"/>
    <s v="No"/>
    <s v="None"/>
    <s v="Entertainment|Movies &amp; DVDs"/>
  </r>
  <r>
    <s v="MasterCard (Capital One)"/>
    <d v="2014-11-03T00:00:00"/>
    <n v="-20.76"/>
    <s v="X"/>
    <s v="Aerovironment"/>
    <m/>
    <s v="Auto &amp; Transport:Gas &amp; Fuel"/>
    <m/>
    <m/>
    <m/>
    <x v="17"/>
    <s v="Gas &amp; Fuel"/>
    <x v="0"/>
    <m/>
    <x v="0"/>
    <m/>
    <s v="Nov"/>
    <n v="2014"/>
    <s v="Monthly"/>
    <n v="0"/>
    <s v="No"/>
    <s v="None"/>
    <s v="Auto &amp; Transport|Gas &amp; Fuel"/>
  </r>
  <r>
    <s v="MasterCard (Capital One)"/>
    <d v="2014-11-03T00:00:00"/>
    <n v="-65"/>
    <s v="X"/>
    <s v="Nurturing Knowledge Sc"/>
    <m/>
    <s v="Kids:School Fees"/>
    <m/>
    <m/>
    <m/>
    <x v="27"/>
    <s v="School Fees"/>
    <x v="0"/>
    <m/>
    <x v="0"/>
    <m/>
    <s v="Nov"/>
    <n v="2014"/>
    <s v="Monthly"/>
    <n v="0"/>
    <s v="No"/>
    <s v="None"/>
    <s v="Kids|School Fees"/>
  </r>
  <r>
    <s v="MasterCard (Capital One)"/>
    <d v="2014-11-03T00:00:00"/>
    <n v="-65"/>
    <s v="X"/>
    <s v="Nurturing Knowledge Sc"/>
    <s v="@BAL:$4069.25@@CAT:@"/>
    <s v="Kids:School Fees"/>
    <m/>
    <m/>
    <m/>
    <x v="27"/>
    <s v="School Fees"/>
    <x v="0"/>
    <m/>
    <x v="0"/>
    <m/>
    <s v="Nov"/>
    <n v="2014"/>
    <s v="Monthly"/>
    <n v="0"/>
    <s v="No"/>
    <s v="None"/>
    <s v="Kids|School Fees"/>
  </r>
  <r>
    <s v="MasterCard (Capital One)"/>
    <d v="2014-11-02T00:00:00"/>
    <n v="-4.93"/>
    <s v="X"/>
    <s v="Playdate Cafe"/>
    <m/>
    <s v="Kids:Kids Activities/From Receipt"/>
    <m/>
    <m/>
    <s v="From Receipt"/>
    <x v="27"/>
    <s v="Kids Activities"/>
    <x v="0"/>
    <m/>
    <x v="0"/>
    <m/>
    <s v="Nov"/>
    <n v="2014"/>
    <s v="Monthly"/>
    <n v="0"/>
    <s v="No"/>
    <s v="None"/>
    <s v="Kids|Kids Activities"/>
  </r>
  <r>
    <s v="MasterCard (Capital One)"/>
    <d v="2014-11-02T00:00:00"/>
    <n v="-5.2"/>
    <s v="X"/>
    <s v="Playdate Cafe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2T00:00:00"/>
    <n v="-8.76"/>
    <s v="X"/>
    <s v="Playdate Cafe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2T00:00:00"/>
    <n v="-9.76"/>
    <s v="X"/>
    <s v="Playdate Cafe"/>
    <m/>
    <s v="Kids:Kids Activities"/>
    <m/>
    <m/>
    <m/>
    <x v="27"/>
    <s v="Kids Activities"/>
    <x v="0"/>
    <m/>
    <x v="0"/>
    <m/>
    <s v="Nov"/>
    <n v="2014"/>
    <s v="Monthly"/>
    <n v="0"/>
    <s v="No"/>
    <s v="None"/>
    <s v="Kids|Kids Activities"/>
  </r>
  <r>
    <s v="MasterCard (Capital One)"/>
    <d v="2014-11-02T00:00:00"/>
    <n v="-142.59"/>
    <s v="X"/>
    <s v="Fred Meyer"/>
    <m/>
    <s v="Food &amp; Dining:Groceries/From Receipt"/>
    <m/>
    <m/>
    <s v="From Receipt"/>
    <x v="15"/>
    <s v="Groceries"/>
    <x v="0"/>
    <m/>
    <x v="0"/>
    <m/>
    <s v="Nov"/>
    <n v="2014"/>
    <s v="Monthly"/>
    <n v="0"/>
    <s v="No"/>
    <s v="None"/>
    <s v="Food &amp; Dining|Groceries"/>
  </r>
  <r>
    <s v="Koolikai - Sec Dep XX1200"/>
    <d v="2014-11-01T00:00:00"/>
    <n v="0.19"/>
    <s v="X"/>
    <s v="First Tech (Dividend)"/>
    <s v="Credit Dividend--"/>
    <s v="Interest Income"/>
    <m/>
    <m/>
    <m/>
    <x v="40"/>
    <m/>
    <x v="0"/>
    <m/>
    <x v="0"/>
    <m/>
    <s v="Nov"/>
    <n v="2014"/>
    <s v="Monthly"/>
    <n v="0"/>
    <s v="No"/>
    <s v="None"/>
    <s v="Interest Income"/>
  </r>
  <r>
    <s v="Schwab - Checking (9784)"/>
    <d v="2014-11-01T00:00:00"/>
    <n v="-9.84"/>
    <s v="X"/>
    <s v="Costco"/>
    <s v="Dot-to-dot for Halley"/>
    <s v="Gifts"/>
    <m/>
    <s v="Split"/>
    <m/>
    <x v="28"/>
    <m/>
    <x v="0"/>
    <m/>
    <x v="0"/>
    <m/>
    <s v="Nov"/>
    <n v="2014"/>
    <s v="Monthly"/>
    <n v="0"/>
    <s v="No"/>
    <s v="None"/>
    <s v="Gifts"/>
  </r>
  <r>
    <s v="Schwab - Checking (9784)"/>
    <d v="2014-11-01T00:00:00"/>
    <n v="-8.75"/>
    <s v="X"/>
    <s v="Costco"/>
    <s v="Writing book for the boys"/>
    <s v="Kids:Toys"/>
    <m/>
    <s v="Split"/>
    <m/>
    <x v="27"/>
    <s v="Toys"/>
    <x v="0"/>
    <m/>
    <x v="0"/>
    <m/>
    <s v="Nov"/>
    <n v="2014"/>
    <s v="Monthly"/>
    <n v="0"/>
    <s v="No"/>
    <s v="None"/>
    <s v="Kids|Toys"/>
  </r>
  <r>
    <s v="Schwab - Checking (9784)"/>
    <d v="2014-11-01T00:00:00"/>
    <n v="-13.89"/>
    <s v="X"/>
    <s v="Costco"/>
    <m/>
    <s v="Food &amp; Dining:Groceries"/>
    <m/>
    <s v="Split"/>
    <m/>
    <x v="15"/>
    <s v="Groceries"/>
    <x v="0"/>
    <m/>
    <x v="0"/>
    <m/>
    <s v="Nov"/>
    <n v="2014"/>
    <s v="Monthly"/>
    <n v="0"/>
    <s v="No"/>
    <s v="None"/>
    <s v="Food &amp; Dining|Groceries"/>
  </r>
  <r>
    <s v="MasterCard (Capital One)"/>
    <d v="2014-11-01T00:00:00"/>
    <n v="-15.34"/>
    <s v="X"/>
    <s v="Sq Parfait Ice"/>
    <s v="Ice cream with Pierre and Jesse"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MasterCard (Capital One)"/>
    <d v="2014-11-01T00:00:00"/>
    <n v="-68.58"/>
    <s v="X"/>
    <s v="Skillet Diner"/>
    <m/>
    <s v="Food &amp; Dining:Restaurants"/>
    <m/>
    <m/>
    <m/>
    <x v="15"/>
    <s v="Restaurants"/>
    <x v="0"/>
    <m/>
    <x v="0"/>
    <m/>
    <s v="Nov"/>
    <n v="2014"/>
    <s v="Monthly"/>
    <n v="0"/>
    <s v="No"/>
    <s v="None"/>
    <s v="Food &amp; Dining|Restaurants"/>
  </r>
  <r>
    <s v="Capital One - Investment (6759)"/>
    <d v="2014-10-31T00:00:00"/>
    <n v="20.059999999999999"/>
    <s v="X"/>
    <s v="Capital One (Interest Income)"/>
    <s v="@CAT:@@BAL:47,255.66@"/>
    <s v="Interest Income"/>
    <m/>
    <m/>
    <m/>
    <x v="40"/>
    <m/>
    <x v="0"/>
    <m/>
    <x v="0"/>
    <m/>
    <s v="Oct"/>
    <n v="2014"/>
    <s v="Monthly"/>
    <n v="0"/>
    <s v="No"/>
    <s v="None"/>
    <s v="Interest Income"/>
  </r>
  <r>
    <s v="Capital One - Long Term Emergency (1201)"/>
    <d v="2014-10-31T00:00:00"/>
    <n v="50.37"/>
    <s v="X"/>
    <s v="Capital One (Interest Income)"/>
    <s v="@CAT:@@BAL:118646.76@"/>
    <s v="Interest Income"/>
    <m/>
    <m/>
    <m/>
    <x v="40"/>
    <m/>
    <x v="0"/>
    <m/>
    <x v="0"/>
    <m/>
    <s v="Oct"/>
    <n v="2014"/>
    <s v="Monthly"/>
    <n v="0"/>
    <s v="No"/>
    <s v="None"/>
    <s v="Interest Income"/>
  </r>
  <r>
    <s v="Capital One - Secondary Savings (3126)"/>
    <d v="2014-10-31T00:00:00"/>
    <n v="0.02"/>
    <s v="X"/>
    <s v="Capital One (Interest Income)"/>
    <s v="@CAT:@@BAL:$123.20@"/>
    <s v="Interest Income"/>
    <m/>
    <m/>
    <m/>
    <x v="40"/>
    <m/>
    <x v="0"/>
    <m/>
    <x v="0"/>
    <m/>
    <s v="Oct"/>
    <n v="2014"/>
    <s v="Monthly"/>
    <n v="0"/>
    <s v="No"/>
    <s v="None"/>
    <s v="Interest Income"/>
  </r>
  <r>
    <s v="Capital One - Vacation (4959)"/>
    <d v="2014-10-31T00:00:00"/>
    <n v="5.96"/>
    <s v="X"/>
    <s v="Capital One (Interest Income)"/>
    <s v="@BAL:$36,031.06@@CAT:@"/>
    <s v="Interest Income"/>
    <m/>
    <m/>
    <m/>
    <x v="40"/>
    <m/>
    <x v="0"/>
    <m/>
    <x v="0"/>
    <m/>
    <s v="Oct"/>
    <n v="2014"/>
    <s v="Monthly"/>
    <n v="0"/>
    <s v="No"/>
    <s v="None"/>
    <s v="Interest Income"/>
  </r>
  <r>
    <s v="First Tech - Checking (5544)"/>
    <d v="2014-10-31T00:00:00"/>
    <n v="5492.31"/>
    <s v="X"/>
    <s v="Microsoft (Paystub)"/>
    <s v="ACH Deposit--MICROSOFT  - EDIPAYMENT"/>
    <s v="Net Salary"/>
    <m/>
    <m/>
    <m/>
    <x v="35"/>
    <m/>
    <x v="0"/>
    <m/>
    <x v="0"/>
    <m/>
    <s v="Oct"/>
    <n v="2014"/>
    <s v="Monthly"/>
    <n v="0"/>
    <s v="No"/>
    <s v="None"/>
    <s v="Net Salary"/>
  </r>
  <r>
    <s v="First Tech - Checking (5544)"/>
    <d v="2014-10-31T00:00:00"/>
    <n v="6058.12"/>
    <s v="X"/>
    <s v="CRAB (Paystub)"/>
    <s v="ACH Deposit--Cancer Research  - Payroll"/>
    <s v="Net Salary"/>
    <m/>
    <m/>
    <m/>
    <x v="35"/>
    <m/>
    <x v="0"/>
    <m/>
    <x v="0"/>
    <m/>
    <s v="Oct"/>
    <n v="2014"/>
    <s v="Monthly"/>
    <n v="0"/>
    <s v="No"/>
    <s v="None"/>
    <s v="Net Salary"/>
  </r>
  <r>
    <s v="First Tech - Checking (5544)"/>
    <d v="2014-10-31T00:00:00"/>
    <n v="-70"/>
    <s v="X"/>
    <s v="Poppy Weber"/>
    <s v="@BAL:$39,256.33@@CAT:@"/>
    <s v="Kids:Babysitter"/>
    <n v="2138"/>
    <m/>
    <m/>
    <x v="27"/>
    <s v="Babysitter"/>
    <x v="0"/>
    <m/>
    <x v="0"/>
    <m/>
    <s v="Oct"/>
    <n v="2014"/>
    <s v="Monthly"/>
    <n v="0"/>
    <s v="No"/>
    <s v="None"/>
    <s v="Kids|Babysitter"/>
  </r>
  <r>
    <s v="Koolikai - Checking XX2129"/>
    <d v="2014-10-31T00:00:00"/>
    <n v="2195"/>
    <s v="X"/>
    <s v="John Schaibley"/>
    <s v="Deposit--Shared Branch Mobile Deposit          First Tech FC CA"/>
    <s v="Business Income (Koolikai):Rent/9602"/>
    <m/>
    <m/>
    <n v="9602"/>
    <x v="37"/>
    <s v="Rent"/>
    <x v="0"/>
    <m/>
    <x v="0"/>
    <m/>
    <s v="Oct"/>
    <n v="2014"/>
    <s v="Monthly"/>
    <n v="0"/>
    <s v="No"/>
    <s v="None"/>
    <s v="Business Income (Koolikai)|Rent"/>
  </r>
  <r>
    <s v="Schwab - Checking (9784)"/>
    <d v="2014-10-31T00:00:00"/>
    <n v="0.05"/>
    <s v="X"/>
    <s v="Interest Paid"/>
    <s v="@BAL:$516.36@"/>
    <s v="Interest Income"/>
    <m/>
    <m/>
    <m/>
    <x v="40"/>
    <m/>
    <x v="0"/>
    <m/>
    <x v="0"/>
    <m/>
    <s v="Oct"/>
    <n v="2014"/>
    <s v="Monthly"/>
    <n v="0"/>
    <s v="No"/>
    <s v="None"/>
    <s v="Interest Income"/>
  </r>
  <r>
    <s v="Discover Card"/>
    <d v="2014-10-31T00:00:00"/>
    <n v="-500"/>
    <s v="X"/>
    <s v="Ca"/>
    <s v="826 Seattle"/>
    <s v="Charity:Charity (Cash)"/>
    <m/>
    <m/>
    <m/>
    <x v="22"/>
    <s v="Charity (Cash)"/>
    <x v="0"/>
    <m/>
    <x v="0"/>
    <m/>
    <s v="Oct"/>
    <n v="2014"/>
    <s v="Annual"/>
    <n v="0"/>
    <s v="No"/>
    <s v="None"/>
    <s v="Charity|Charity (Cash)"/>
  </r>
  <r>
    <s v="MasterCard (Capital One)"/>
    <d v="2014-10-31T00:00:00"/>
    <n v="-111.5"/>
    <s v="X"/>
    <s v="Wa Parksreservationswe"/>
    <s v="#Orcas Island 2015#"/>
    <s v="Vacation:Lodging"/>
    <m/>
    <m/>
    <m/>
    <x v="23"/>
    <s v="Lodging"/>
    <x v="0"/>
    <m/>
    <x v="9"/>
    <m/>
    <s v="Oct"/>
    <n v="2014"/>
    <s v="Irregular"/>
    <n v="0"/>
    <s v="No"/>
    <s v="None"/>
    <s v="Vacation|Lodging"/>
  </r>
  <r>
    <s v="First Tech - Checking (5544)"/>
    <d v="2014-10-30T00:00:00"/>
    <n v="-250.13"/>
    <s v="X"/>
    <s v="City Seattle Spu"/>
    <s v="ACH Debit--CITY OF SEATTLE  - 2 - SPU De"/>
    <s v="Bills &amp; Utilities:Utilities"/>
    <m/>
    <m/>
    <m/>
    <x v="34"/>
    <s v="Utilities"/>
    <x v="0"/>
    <m/>
    <x v="0"/>
    <m/>
    <s v="Oct"/>
    <n v="2014"/>
    <s v="Monthly"/>
    <n v="0"/>
    <s v="No"/>
    <s v="None"/>
    <s v="Bills &amp; Utilities|Utilities"/>
  </r>
  <r>
    <s v="MasterCard (Capital One)"/>
    <d v="2014-10-30T00:00:00"/>
    <n v="-15.86"/>
    <s v="X"/>
    <s v="Diamond Parking"/>
    <m/>
    <s v="Auto &amp; Transport:Parking"/>
    <m/>
    <m/>
    <m/>
    <x v="17"/>
    <s v="Parking"/>
    <x v="0"/>
    <m/>
    <x v="0"/>
    <m/>
    <s v="Oct"/>
    <n v="2014"/>
    <s v="Monthly"/>
    <n v="0"/>
    <s v="No"/>
    <s v="None"/>
    <s v="Auto &amp; Transport|Parking"/>
  </r>
  <r>
    <s v="MasterCard (Capital One)"/>
    <d v="2014-10-29T00:00:00"/>
    <n v="-15.86"/>
    <s v="X"/>
    <s v="Diamond Parking"/>
    <m/>
    <s v="Auto &amp; Transport:Parking"/>
    <m/>
    <m/>
    <m/>
    <x v="17"/>
    <s v="Parking"/>
    <x v="0"/>
    <m/>
    <x v="0"/>
    <m/>
    <s v="Oct"/>
    <n v="2014"/>
    <s v="Monthly"/>
    <n v="0"/>
    <s v="No"/>
    <s v="None"/>
    <s v="Auto &amp; Transport|Parking"/>
  </r>
  <r>
    <s v="First Tech - Checking (5544)"/>
    <d v="2014-10-28T00:00:00"/>
    <n v="263.08"/>
    <s v="X"/>
    <s v="Shared Branch Mobile"/>
    <s v="Deposit--Shared Branch Mobile Deposit          First Tech FC CA"/>
    <s v="Other Inc"/>
    <m/>
    <m/>
    <m/>
    <x v="29"/>
    <m/>
    <x v="0"/>
    <m/>
    <x v="0"/>
    <m/>
    <s v="Oct"/>
    <n v="2014"/>
    <s v="Monthly"/>
    <n v="0"/>
    <s v="No"/>
    <s v="None"/>
    <s v="Other Inc"/>
  </r>
  <r>
    <s v="MasterCard (Capital One)"/>
    <d v="2014-10-28T00:00:00"/>
    <n v="25"/>
    <s v="X"/>
    <s v="Capital One (Cash Back)"/>
    <m/>
    <s v="Other Inc"/>
    <m/>
    <m/>
    <m/>
    <x v="29"/>
    <m/>
    <x v="0"/>
    <m/>
    <x v="0"/>
    <m/>
    <s v="Oct"/>
    <n v="2014"/>
    <s v="Monthly"/>
    <n v="0"/>
    <s v="No"/>
    <s v="None"/>
    <s v="Other Inc"/>
  </r>
  <r>
    <s v="MasterCard (Capital One)"/>
    <d v="2014-10-28T00:00:00"/>
    <n v="-8.7899999999999991"/>
    <s v="X"/>
    <s v="Ken Market"/>
    <m/>
    <s v="Food &amp; Dining:Groceries"/>
    <m/>
    <m/>
    <m/>
    <x v="15"/>
    <s v="Groceries"/>
    <x v="0"/>
    <m/>
    <x v="0"/>
    <m/>
    <s v="Oct"/>
    <n v="2014"/>
    <s v="Monthly"/>
    <n v="0"/>
    <s v="No"/>
    <s v="None"/>
    <s v="Food &amp; Dining|Groceries"/>
  </r>
  <r>
    <s v="First Tech - Checking (5544)"/>
    <d v="2014-10-27T00:00:00"/>
    <n v="-860.28"/>
    <s v="X"/>
    <s v="Chase Freedom (9381)"/>
    <m/>
    <s v="[Chase Freedom XX9381]"/>
    <m/>
    <m/>
    <m/>
    <x v="7"/>
    <m/>
    <x v="0"/>
    <m/>
    <x v="0"/>
    <m/>
    <s v="Oct"/>
    <n v="2014"/>
    <e v="#N/A"/>
    <e v="#N/A"/>
    <e v="#N/A"/>
    <e v="#N/A"/>
    <s v="[Chase Freedom XX9381]"/>
  </r>
  <r>
    <s v="Chase Freedom XX9381"/>
    <d v="2014-10-27T00:00:00"/>
    <n v="860.28"/>
    <s v="X"/>
    <s v="Chase Freedom (9381)"/>
    <s v="@CAT:@@BAL:$9.05@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MasterCard (Capital One)"/>
    <d v="2014-10-27T00:00:00"/>
    <n v="-50"/>
    <s v="X"/>
    <s v="Starbucks"/>
    <m/>
    <s v="Food &amp; Dining:Restaurants/From Receipt"/>
    <m/>
    <m/>
    <s v="From Receipt"/>
    <x v="15"/>
    <s v="Restaurants"/>
    <x v="0"/>
    <m/>
    <x v="0"/>
    <m/>
    <s v="Oct"/>
    <n v="2014"/>
    <s v="Monthly"/>
    <n v="0"/>
    <s v="No"/>
    <s v="None"/>
    <s v="Food &amp; Dining|Restaurants"/>
  </r>
  <r>
    <s v="Discover Card"/>
    <d v="2014-10-25T00:00:00"/>
    <n v="-8.68"/>
    <s v="X"/>
    <s v="Goodwill - Ballard"/>
    <s v="Hats for Zach andJosh"/>
    <s v="Kids:Clothing"/>
    <m/>
    <m/>
    <m/>
    <x v="27"/>
    <s v="Clothing"/>
    <x v="0"/>
    <m/>
    <x v="0"/>
    <m/>
    <s v="Oct"/>
    <n v="2014"/>
    <s v="Monthly"/>
    <n v="0"/>
    <s v="No"/>
    <s v="None"/>
    <s v="Kids|Clothing"/>
  </r>
  <r>
    <s v="MasterCard (Capital One)"/>
    <d v="2014-10-25T00:00:00"/>
    <n v="-3.01"/>
    <s v="X"/>
    <s v="Park"/>
    <m/>
    <s v="Auto &amp; Transport:Parking"/>
    <m/>
    <m/>
    <m/>
    <x v="17"/>
    <s v="Parking"/>
    <x v="0"/>
    <m/>
    <x v="0"/>
    <m/>
    <s v="Oct"/>
    <n v="2014"/>
    <s v="Monthly"/>
    <n v="0"/>
    <s v="No"/>
    <s v="None"/>
    <s v="Auto &amp; Transport|Parking"/>
  </r>
  <r>
    <s v="MasterCard (Capital One)"/>
    <d v="2014-10-25T00:00:00"/>
    <n v="-68"/>
    <s v="X"/>
    <s v="Seattle Parks And Recreation"/>
    <s v="Swimming lessons for Zach"/>
    <s v="Kids:Kids Activities"/>
    <m/>
    <m/>
    <m/>
    <x v="27"/>
    <s v="Kids Activities"/>
    <x v="0"/>
    <m/>
    <x v="0"/>
    <m/>
    <s v="Oct"/>
    <n v="2014"/>
    <s v="Monthly"/>
    <n v="0"/>
    <s v="No"/>
    <s v="None"/>
    <s v="Kids|Kids Activities"/>
  </r>
  <r>
    <s v="MasterCard (Capital One)"/>
    <d v="2014-10-25T00:00:00"/>
    <n v="-68.23"/>
    <s v="X"/>
    <s v="Pesos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25T00:00:00"/>
    <n v="-17.510000000000002"/>
    <s v="X"/>
    <s v="Fred Meyer"/>
    <s v="umbrella"/>
    <s v="Shopping:Clothing:Accessories/From Receipt"/>
    <m/>
    <s v="Split"/>
    <s v="From Receipt"/>
    <x v="13"/>
    <s v="Clothing"/>
    <x v="1"/>
    <m/>
    <x v="0"/>
    <m/>
    <s v="Oct"/>
    <n v="2014"/>
    <s v="Annual"/>
    <n v="0"/>
    <s v="No"/>
    <s v="None"/>
    <s v="Shopping|Clothing"/>
  </r>
  <r>
    <s v="MasterCard (Capital One)"/>
    <d v="2014-10-25T00:00:00"/>
    <n v="-110.47"/>
    <s v="X"/>
    <s v="Fred Meyer"/>
    <m/>
    <s v="Food &amp; Dining:Groceries/From Receipt"/>
    <m/>
    <s v="Split"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First Tech - Checking (5544)"/>
    <d v="2014-10-24T00:00:00"/>
    <n v="-101.01"/>
    <s v="X"/>
    <s v="American Express"/>
    <s v="ACH Debit--AMEX EPayment AM - ACH PMT"/>
    <s v="[American Express (Costco)]"/>
    <m/>
    <m/>
    <m/>
    <x v="20"/>
    <m/>
    <x v="0"/>
    <m/>
    <x v="0"/>
    <m/>
    <s v="Oct"/>
    <n v="2014"/>
    <s v="Account"/>
    <n v="0"/>
    <s v="No"/>
    <s v="None"/>
    <s v="[American Express (Costco)]"/>
  </r>
  <r>
    <s v="Koolikai - Checking XX2129"/>
    <d v="2014-10-24T00:00:00"/>
    <n v="-148.16"/>
    <s v="X"/>
    <s v="Chase - Koolikai (Autopay)"/>
    <s v="ACH Debit--CHASE  - AUTOPAYBUS"/>
    <s v="[Koolikai Credit Card]"/>
    <m/>
    <m/>
    <m/>
    <x v="9"/>
    <m/>
    <x v="0"/>
    <m/>
    <x v="0"/>
    <m/>
    <s v="Oct"/>
    <n v="2014"/>
    <s v="Account"/>
    <n v="0"/>
    <s v="No"/>
    <s v="None"/>
    <s v="[Koolikai Credit Card]"/>
  </r>
  <r>
    <s v="American Express (Costco)"/>
    <d v="2014-10-24T00:00:00"/>
    <n v="101.01"/>
    <s v="*"/>
    <s v="American Express (Autopay)"/>
    <s v="@CAT:@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Koolikai Credit Card"/>
    <d v="2014-10-24T00:00:00"/>
    <n v="148.16"/>
    <s v="X"/>
    <s v="Chase - Koolikai (Autopay)"/>
    <s v="@BAL:$148.16@@CAT:@"/>
    <s v="[Koolikai - Checking XX2129]"/>
    <m/>
    <m/>
    <m/>
    <x v="25"/>
    <m/>
    <x v="0"/>
    <m/>
    <x v="0"/>
    <m/>
    <s v="Oct"/>
    <n v="2014"/>
    <s v="Account"/>
    <n v="0"/>
    <s v="No"/>
    <s v="None"/>
    <s v="[Koolikai - Checking XX2129]"/>
  </r>
  <r>
    <s v="MasterCard (Capital One)"/>
    <d v="2014-10-24T00:00:00"/>
    <n v="-2.0699999999999998"/>
    <s v="X"/>
    <s v="Fred Meyer"/>
    <s v="Glue for costumes"/>
    <s v="Kids:Toys/From Receipt"/>
    <m/>
    <s v="Split"/>
    <s v="From Receipt"/>
    <x v="27"/>
    <s v="Toys"/>
    <x v="0"/>
    <m/>
    <x v="0"/>
    <m/>
    <s v="Oct"/>
    <n v="2014"/>
    <s v="Monthly"/>
    <n v="0"/>
    <s v="No"/>
    <s v="None"/>
    <s v="Kids|Toys"/>
  </r>
  <r>
    <s v="MasterCard (Capital One)"/>
    <d v="2014-10-24T00:00:00"/>
    <n v="-7.64"/>
    <s v="X"/>
    <s v="Fred Meyer"/>
    <s v="Cotton for costumes"/>
    <s v="Kids:Toys/From Receipt"/>
    <m/>
    <s v="Split"/>
    <s v="From Receipt"/>
    <x v="27"/>
    <s v="Toys"/>
    <x v="0"/>
    <m/>
    <x v="0"/>
    <m/>
    <s v="Oct"/>
    <n v="2014"/>
    <s v="Monthly"/>
    <n v="0"/>
    <s v="No"/>
    <s v="None"/>
    <s v="Kids|Toys"/>
  </r>
  <r>
    <s v="MasterCard (Capital One)"/>
    <d v="2014-10-24T00:00:00"/>
    <n v="-38.31"/>
    <s v="X"/>
    <s v="Fred Meyer"/>
    <s v="Boots"/>
    <s v="Shopping:Clothing/From Receipt"/>
    <m/>
    <s v="Split"/>
    <s v="From Receipt"/>
    <x v="13"/>
    <s v="Clothing"/>
    <x v="0"/>
    <m/>
    <x v="0"/>
    <m/>
    <s v="Oct"/>
    <n v="2014"/>
    <s v="Annual"/>
    <n v="0"/>
    <s v="No"/>
    <s v="None"/>
    <s v="Shopping|Clothing"/>
  </r>
  <r>
    <s v="MasterCard (Capital One)"/>
    <d v="2014-10-24T00:00:00"/>
    <n v="-3"/>
    <s v="X"/>
    <s v="Fred Meyer"/>
    <s v="Milk"/>
    <s v="Food &amp; Dining:Groceries/From Receipt"/>
    <m/>
    <s v="Split"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MasterCard (Capital One)"/>
    <d v="2014-10-24T00:00:00"/>
    <n v="-598.24"/>
    <s v="X"/>
    <s v="Hyatt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Capital One - Vacation (4959)"/>
    <d v="2014-10-23T00:00:00"/>
    <n v="31000"/>
    <s v="X"/>
    <s v="First Tech Transfer"/>
    <s v="Moving sabbatical cash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First Tech - Checking (5544)"/>
    <d v="2014-10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Oct"/>
    <n v="2014"/>
    <s v="Monthly"/>
    <n v="0"/>
    <s v="No"/>
    <s v="None"/>
    <s v="Auto &amp; Transport|Auto Lease Payment"/>
  </r>
  <r>
    <s v="First Tech - Checking (5544)"/>
    <d v="2014-10-23T00:00:00"/>
    <n v="-31000"/>
    <s v="X"/>
    <s v="First Tech Transfer"/>
    <s v="Moving sabbatical cash out"/>
    <s v="[Capital One - Vacation (4959)]"/>
    <m/>
    <m/>
    <m/>
    <x v="3"/>
    <m/>
    <x v="0"/>
    <m/>
    <x v="0"/>
    <m/>
    <s v="Oct"/>
    <n v="2014"/>
    <s v="Account"/>
    <n v="0"/>
    <s v="No"/>
    <s v="None"/>
    <s v="[Capital One - Vacation (4959)]"/>
  </r>
  <r>
    <s v="Discover Card"/>
    <d v="2014-10-23T00:00:00"/>
    <n v="-5"/>
    <s v="X"/>
    <s v="Mobile"/>
    <m/>
    <s v="Auto &amp; Transport:Gas &amp; Fuel"/>
    <m/>
    <m/>
    <m/>
    <x v="17"/>
    <s v="Gas &amp; Fuel"/>
    <x v="0"/>
    <m/>
    <x v="0"/>
    <m/>
    <s v="Oct"/>
    <n v="2014"/>
    <s v="Monthly"/>
    <n v="0"/>
    <s v="No"/>
    <s v="None"/>
    <s v="Auto &amp; Transport|Gas &amp; Fuel"/>
  </r>
  <r>
    <s v="MasterCard (Capital One)"/>
    <d v="2014-10-23T00:00:00"/>
    <n v="-3"/>
    <s v="X"/>
    <s v="Ventra Vending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MasterCard (Capital One)"/>
    <d v="2014-10-23T00:00:00"/>
    <n v="-11.03"/>
    <s v="X"/>
    <s v="Corner Bakery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MasterCard (Capital One)"/>
    <d v="2014-10-23T00:00:00"/>
    <n v="-19.11"/>
    <s v="X"/>
    <s v="Ice Bar L"/>
    <s v="#Group Meeting Fall#"/>
    <s v="Work Expense:Reimbursable expense/From Receipt"/>
    <m/>
    <m/>
    <s v="From Receipt"/>
    <x v="19"/>
    <s v="Reimbursable expense"/>
    <x v="0"/>
    <m/>
    <x v="7"/>
    <m/>
    <s v="Oct"/>
    <n v="2014"/>
    <s v="Irregular"/>
    <n v="0"/>
    <s v="No"/>
    <s v="None"/>
    <s v="Work Expense|Reimbursable expense"/>
  </r>
  <r>
    <s v="MasterCard (Capital One)"/>
    <d v="2014-10-23T00:00:00"/>
    <n v="-30.89"/>
    <s v="X"/>
    <s v="Shuttlepark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First Tech - Checking (5544)"/>
    <d v="2014-10-22T00:00:00"/>
    <n v="31007.51"/>
    <s v="X"/>
    <s v="First Tech Transfer"/>
    <s v="Moving sabbatical cash out"/>
    <s v="[First Tech - Short Term Emergency (5400)]"/>
    <m/>
    <m/>
    <m/>
    <x v="4"/>
    <m/>
    <x v="0"/>
    <m/>
    <x v="0"/>
    <m/>
    <s v="Oct"/>
    <n v="2014"/>
    <s v="Account"/>
    <n v="0"/>
    <s v="No"/>
    <s v="None"/>
    <s v="[First Tech - Short Term Emergency (5400)]"/>
  </r>
  <r>
    <s v="First Tech - Checking (5544)"/>
    <d v="2014-10-22T00:00:00"/>
    <n v="-31000"/>
    <s v="X"/>
    <s v="First Tech Transfer"/>
    <s v="Moving sabbatical cash out"/>
    <s v="[First Tech - Short Term Emergency (5400)]"/>
    <m/>
    <m/>
    <m/>
    <x v="4"/>
    <m/>
    <x v="0"/>
    <m/>
    <x v="0"/>
    <m/>
    <s v="Oct"/>
    <n v="2014"/>
    <s v="Account"/>
    <n v="0"/>
    <s v="No"/>
    <s v="None"/>
    <s v="[First Tech - Short Term Emergency (5400)]"/>
  </r>
  <r>
    <s v="First Tech - Short Term Emergency (5400)"/>
    <d v="2014-10-22T00:00:00"/>
    <n v="31000"/>
    <s v="X"/>
    <s v="First Tech Transfer"/>
    <s v="Moving sabbatical cash out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First Tech - Short Term Emergency (5400)"/>
    <d v="2014-10-22T00:00:00"/>
    <n v="-31007.51"/>
    <s v="X"/>
    <s v="First Tech Transfer"/>
    <s v="Withdrawal-- Transfer to 914775544, Moving funds to Capital One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MasterCard (Capital One)"/>
    <d v="2014-10-22T00:00:00"/>
    <n v="-2.19"/>
    <s v="X"/>
    <s v="Walgreens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MasterCard (Capital One)"/>
    <d v="2014-10-22T00:00:00"/>
    <n v="-4.42"/>
    <s v="X"/>
    <s v="Hyatt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MasterCard (Capital One)"/>
    <d v="2014-10-22T00:00:00"/>
    <n v="-43.02"/>
    <s v="X"/>
    <s v="Bella Bacino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Capital One - Long Term Emergency (1201)"/>
    <d v="2014-10-21T00:00:00"/>
    <n v="14.93"/>
    <s v="X"/>
    <s v="Quarterly Bonus Int"/>
    <m/>
    <s v="Interest Income"/>
    <m/>
    <m/>
    <m/>
    <x v="40"/>
    <m/>
    <x v="0"/>
    <m/>
    <x v="0"/>
    <m/>
    <s v="Oct"/>
    <n v="2014"/>
    <s v="Monthly"/>
    <n v="0"/>
    <s v="No"/>
    <s v="None"/>
    <s v="Interest Income"/>
  </r>
  <r>
    <s v="Schwab - Checking (9784)"/>
    <d v="2014-10-21T00:00:00"/>
    <n v="-20"/>
    <s v="X"/>
    <s v="US Bank"/>
    <s v="Santorinis"/>
    <s v="Food &amp; Dining:Restaurants/From Receipt"/>
    <m/>
    <m/>
    <s v="From Receipt"/>
    <x v="15"/>
    <s v="Restaurants"/>
    <x v="0"/>
    <m/>
    <x v="0"/>
    <m/>
    <s v="Oct"/>
    <n v="2014"/>
    <s v="Monthly"/>
    <n v="0"/>
    <s v="No"/>
    <s v="None"/>
    <s v="Food &amp; Dining|Restaurants"/>
  </r>
  <r>
    <s v="Discover Card"/>
    <d v="2014-10-21T00:00:00"/>
    <n v="-6.3"/>
    <s v="X"/>
    <s v="Cafe Remond Wa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Discover Card"/>
    <d v="2014-10-21T00:00:00"/>
    <n v="-8.56"/>
    <s v="X"/>
    <s v="Taco Del Mar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21T00:00:00"/>
    <n v="-6"/>
    <s v="X"/>
    <s v="Alaska Air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MasterCard (Capital One)"/>
    <d v="2014-10-21T00:00:00"/>
    <n v="-30.44"/>
    <s v="X"/>
    <s v="Walgreens"/>
    <m/>
    <s v="Personal Care:Beauty &amp; Makeup/From Receipt"/>
    <m/>
    <m/>
    <s v="From Receipt"/>
    <x v="31"/>
    <s v="Beauty &amp; Makeup"/>
    <x v="0"/>
    <m/>
    <x v="0"/>
    <m/>
    <s v="Oct"/>
    <n v="2014"/>
    <s v="Monthly"/>
    <n v="0"/>
    <s v="No"/>
    <s v="None"/>
    <s v="Personal Care|Beauty &amp; Makeup"/>
  </r>
  <r>
    <s v="MasterCard (Capital One)"/>
    <d v="2014-10-21T00:00:00"/>
    <n v="-54.68"/>
    <s v="X"/>
    <s v="Volare"/>
    <s v="#Group Meeting Fall#"/>
    <s v="Work Expense:Reimbursable expense"/>
    <m/>
    <m/>
    <m/>
    <x v="19"/>
    <s v="Reimbursable expense"/>
    <x v="0"/>
    <m/>
    <x v="7"/>
    <m/>
    <s v="Oct"/>
    <n v="2014"/>
    <s v="Irregular"/>
    <n v="0"/>
    <s v="No"/>
    <s v="None"/>
    <s v="Work Expense|Reimbursable expense"/>
  </r>
  <r>
    <s v="MasterCard (Capital One)"/>
    <d v="2014-10-21T00:00:00"/>
    <n v="-59.54"/>
    <s v="X"/>
    <s v="Macy's"/>
    <s v="Make up"/>
    <s v="Personal Care:Beauty &amp; Makeup/From Receipt"/>
    <m/>
    <m/>
    <s v="From Receipt"/>
    <x v="31"/>
    <s v="Beauty &amp; Makeup"/>
    <x v="0"/>
    <m/>
    <x v="0"/>
    <m/>
    <s v="Oct"/>
    <n v="2014"/>
    <s v="Monthly"/>
    <n v="0"/>
    <s v="No"/>
    <s v="None"/>
    <s v="Personal Care|Beauty &amp; Makeup"/>
  </r>
  <r>
    <s v="MasterCard (Capital One)"/>
    <d v="2014-10-20T00:00:00"/>
    <n v="-24.75"/>
    <s v="X"/>
    <s v="Fogon Cocina Mexicana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Schwab - Checking (9784)"/>
    <d v="2014-10-19T00:00:00"/>
    <n v="-8.75"/>
    <s v="X"/>
    <s v="Costco"/>
    <s v="book for Grayden"/>
    <s v="Gifts"/>
    <m/>
    <s v="Split"/>
    <m/>
    <x v="28"/>
    <m/>
    <x v="0"/>
    <m/>
    <x v="0"/>
    <m/>
    <s v="Oct"/>
    <n v="2014"/>
    <s v="Monthly"/>
    <n v="0"/>
    <s v="No"/>
    <s v="None"/>
    <s v="Gifts"/>
  </r>
  <r>
    <s v="Schwab - Checking (9784)"/>
    <d v="2014-10-19T00:00:00"/>
    <n v="-16.399999999999999"/>
    <s v="X"/>
    <s v="Costco"/>
    <s v="Pajamas"/>
    <s v="Kids:Clothing"/>
    <m/>
    <s v="Split"/>
    <m/>
    <x v="27"/>
    <s v="Clothing"/>
    <x v="0"/>
    <m/>
    <x v="0"/>
    <m/>
    <s v="Oct"/>
    <n v="2014"/>
    <s v="Monthly"/>
    <n v="0"/>
    <s v="No"/>
    <s v="None"/>
    <s v="Kids|Clothing"/>
  </r>
  <r>
    <s v="Schwab - Checking (9784)"/>
    <d v="2014-10-19T00:00:00"/>
    <n v="-51.78"/>
    <s v="X"/>
    <s v="Costco"/>
    <m/>
    <s v="Food &amp; Dining:Groceries"/>
    <m/>
    <s v="Split"/>
    <m/>
    <x v="15"/>
    <s v="Groceries"/>
    <x v="0"/>
    <m/>
    <x v="0"/>
    <m/>
    <s v="Oct"/>
    <n v="2014"/>
    <s v="Monthly"/>
    <n v="0"/>
    <s v="No"/>
    <s v="None"/>
    <s v="Food &amp; Dining|Groceries"/>
  </r>
  <r>
    <s v="Chase Freedom XX9381"/>
    <d v="2014-10-19T00:00:00"/>
    <n v="216.36"/>
    <s v="X"/>
    <s v="Redemption"/>
    <m/>
    <s v="Other Inc"/>
    <m/>
    <m/>
    <m/>
    <x v="29"/>
    <m/>
    <x v="0"/>
    <m/>
    <x v="0"/>
    <m/>
    <s v="Oct"/>
    <n v="2014"/>
    <s v="Monthly"/>
    <n v="0"/>
    <s v="No"/>
    <s v="None"/>
    <s v="Other Inc"/>
  </r>
  <r>
    <s v="MasterCard (Capital One)"/>
    <d v="2014-10-19T00:00:00"/>
    <n v="-10.37"/>
    <s v="X"/>
    <s v="Taco Del Mar"/>
    <m/>
    <s v="Food &amp; Dining:Restaurants/From Receipt"/>
    <m/>
    <m/>
    <s v="From Receipt"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9T00:00:00"/>
    <n v="-10.5"/>
    <s v="X"/>
    <s v="Bob's Corn Maze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9T00:00:00"/>
    <n v="-15"/>
    <s v="X"/>
    <s v="Bob's Corn Maze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Schwab - Checking (9784)"/>
    <d v="2014-10-18T00:00:00"/>
    <n v="-98.99"/>
    <s v="X"/>
    <s v="Costco"/>
    <s v="Zach's glasses"/>
    <s v="Health &amp; Fitness:Eyecare/From Receipt"/>
    <m/>
    <m/>
    <s v="From Receipt"/>
    <x v="18"/>
    <s v="Eyecare"/>
    <x v="0"/>
    <m/>
    <x v="0"/>
    <m/>
    <s v="Oct"/>
    <n v="2014"/>
    <s v="Irregular"/>
    <n v="0"/>
    <s v="No"/>
    <s v="None"/>
    <s v="Health &amp; Fitness|Eyecare"/>
  </r>
  <r>
    <s v="MasterCard (Capital One)"/>
    <d v="2014-10-18T00:00:00"/>
    <n v="-7.95"/>
    <s v="X"/>
    <s v="Mcdonald's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8T00:00:00"/>
    <n v="-10.039999999999999"/>
    <s v="X"/>
    <s v="Mcdonald's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8T00:00:00"/>
    <n v="-16.399999999999999"/>
    <s v="X"/>
    <s v="Goodwill"/>
    <s v="Haloween costumes"/>
    <s v="Kids:Clothing/From Receipt"/>
    <m/>
    <m/>
    <s v="From Receipt"/>
    <x v="27"/>
    <s v="Clothing"/>
    <x v="0"/>
    <m/>
    <x v="0"/>
    <m/>
    <s v="Oct"/>
    <n v="2014"/>
    <s v="Monthly"/>
    <n v="0"/>
    <s v="No"/>
    <s v="None"/>
    <s v="Kids|Clothing"/>
  </r>
  <r>
    <s v="MasterCard (Capital One)"/>
    <d v="2014-10-18T00:00:00"/>
    <n v="-25.98"/>
    <s v="X"/>
    <s v="Thai Siam Restaurant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8T00:00:00"/>
    <n v="-54.33"/>
    <s v="X"/>
    <s v="Trader Joe's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MasterCard (Capital One)"/>
    <d v="2014-10-18T00:00:00"/>
    <n v="-3.82"/>
    <s v="X"/>
    <s v="Fred Meyer"/>
    <s v="Cotton balls for costume"/>
    <s v="Kids:Toys/From Receipt"/>
    <m/>
    <s v="Split"/>
    <s v="From Receipt"/>
    <x v="27"/>
    <s v="Toys"/>
    <x v="0"/>
    <m/>
    <x v="0"/>
    <m/>
    <s v="Oct"/>
    <n v="2014"/>
    <s v="Monthly"/>
    <n v="0"/>
    <s v="No"/>
    <s v="None"/>
    <s v="Kids|Toys"/>
  </r>
  <r>
    <s v="MasterCard (Capital One)"/>
    <d v="2014-10-18T00:00:00"/>
    <n v="-95.77"/>
    <s v="X"/>
    <s v="Fred Meyer"/>
    <m/>
    <s v="Food &amp; Dining:Groceries/From Receipt"/>
    <m/>
    <s v="Split"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First Tech - Checking (5544)"/>
    <d v="2014-10-17T00:00:00"/>
    <n v="5000"/>
    <s v="X"/>
    <s v="Premera Funding Cyc"/>
    <s v="Reimbursement for dependent care account"/>
    <s v="[Premera Health Care Payment]"/>
    <m/>
    <m/>
    <m/>
    <x v="42"/>
    <m/>
    <x v="0"/>
    <m/>
    <x v="0"/>
    <m/>
    <s v="Oct"/>
    <n v="2014"/>
    <s v="Account"/>
    <n v="0"/>
    <s v="No"/>
    <s v="None"/>
    <s v="[Premera Health Care Payment]"/>
  </r>
  <r>
    <s v="First Tech - Checking (5544)"/>
    <d v="2014-10-17T00:00:00"/>
    <n v="-117"/>
    <s v="X"/>
    <s v="Cleaning Authority, The"/>
    <s v="ACH Debit--THE CLEANING AUT  - ONLINE PMT"/>
    <s v="Home:Home Services"/>
    <m/>
    <m/>
    <m/>
    <x v="14"/>
    <s v="Home Services"/>
    <x v="0"/>
    <m/>
    <x v="0"/>
    <m/>
    <s v="Oct"/>
    <n v="2014"/>
    <s v="Monthly"/>
    <n v="0"/>
    <s v="No"/>
    <s v="None"/>
    <s v="Home|Home Services"/>
  </r>
  <r>
    <s v="Premera Health Care Payment"/>
    <d v="2014-10-17T00:00:00"/>
    <n v="-5000"/>
    <m/>
    <s v="Premera Funding Cyc"/>
    <s v="Reimbursement for dependent care account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First Tech - Checking (5544)"/>
    <d v="2014-10-16T00:00:00"/>
    <n v="-13.5"/>
    <s v="X"/>
    <s v="Seattle Families Of Multiples"/>
    <s v="Purchases from Fall sale"/>
    <s v="Kids:Toys"/>
    <n v="2137"/>
    <s v="Split"/>
    <m/>
    <x v="27"/>
    <s v="Toys"/>
    <x v="0"/>
    <m/>
    <x v="0"/>
    <m/>
    <s v="Oct"/>
    <n v="2014"/>
    <s v="Monthly"/>
    <n v="0"/>
    <s v="No"/>
    <s v="None"/>
    <s v="Kids|Toys"/>
  </r>
  <r>
    <s v="First Tech - Checking (5544)"/>
    <d v="2014-10-16T00:00:00"/>
    <n v="-13.5"/>
    <s v="X"/>
    <s v="Seattle Families Of Multiples"/>
    <m/>
    <s v="Kids:Clothing"/>
    <n v="2137"/>
    <s v="Split"/>
    <m/>
    <x v="27"/>
    <s v="Clothing"/>
    <x v="0"/>
    <m/>
    <x v="0"/>
    <m/>
    <s v="Oct"/>
    <n v="2014"/>
    <s v="Monthly"/>
    <n v="0"/>
    <s v="No"/>
    <s v="None"/>
    <s v="Kids|Clothing"/>
  </r>
  <r>
    <s v="MasterCard (Capital One)"/>
    <d v="2014-10-16T00:00:00"/>
    <n v="-7.11"/>
    <s v="X"/>
    <s v="Fresh Table Cafe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First Tech - Checking (5544)"/>
    <d v="2014-10-15T00:00:00"/>
    <n v="-47.41"/>
    <s v="X"/>
    <s v="Puget Sound Energy"/>
    <s v="ACH Debit--PUGET SOUND ENER DIRECT DEBITING - PSE BILL  37505102"/>
    <s v="Bills &amp; Utilities:Utilities"/>
    <m/>
    <m/>
    <m/>
    <x v="34"/>
    <s v="Utilities"/>
    <x v="0"/>
    <m/>
    <x v="0"/>
    <m/>
    <s v="Oct"/>
    <n v="2014"/>
    <s v="Monthly"/>
    <n v="0"/>
    <s v="No"/>
    <s v="None"/>
    <s v="Bills &amp; Utilities|Utilities"/>
  </r>
  <r>
    <s v="First Tech - Checking (5544)"/>
    <d v="2014-10-15T00:00:00"/>
    <n v="-58"/>
    <s v="X"/>
    <s v="Seattle Families Of Multiples"/>
    <s v="Purchases from Fall sale"/>
    <s v="Kids:Toys"/>
    <n v="2136"/>
    <s v="Split"/>
    <m/>
    <x v="27"/>
    <s v="Toys"/>
    <x v="0"/>
    <m/>
    <x v="0"/>
    <m/>
    <s v="Oct"/>
    <n v="2014"/>
    <s v="Monthly"/>
    <n v="0"/>
    <s v="No"/>
    <s v="None"/>
    <s v="Kids|Toys"/>
  </r>
  <r>
    <s v="First Tech - Checking (5544)"/>
    <d v="2014-10-15T00:00:00"/>
    <n v="-80"/>
    <s v="X"/>
    <s v="Seattle Families Of Multiples"/>
    <m/>
    <s v="Kids:Clothing"/>
    <n v="2136"/>
    <s v="Split"/>
    <m/>
    <x v="27"/>
    <s v="Clothing"/>
    <x v="0"/>
    <m/>
    <x v="0"/>
    <m/>
    <s v="Oct"/>
    <n v="2014"/>
    <s v="Monthly"/>
    <n v="0"/>
    <s v="No"/>
    <s v="None"/>
    <s v="Kids|Clothing"/>
  </r>
  <r>
    <s v="MasterCard (Capital One)"/>
    <d v="2014-10-15T00:00:00"/>
    <n v="-15.08"/>
    <s v="X"/>
    <s v="Walgreens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First Tech - Checking (5544)"/>
    <d v="2014-10-14T00:00:00"/>
    <n v="13905.58"/>
    <s v="X"/>
    <s v="Microsoft (Paystub)"/>
    <s v="ACH Deposit--MICROSOFT  - EDIPAYMENT"/>
    <s v="Net Salary"/>
    <m/>
    <m/>
    <m/>
    <x v="35"/>
    <m/>
    <x v="0"/>
    <m/>
    <x v="0"/>
    <m/>
    <s v="Oct"/>
    <n v="2014"/>
    <s v="Monthly"/>
    <n v="0"/>
    <s v="No"/>
    <s v="None"/>
    <s v="Net Salary"/>
  </r>
  <r>
    <s v="MasterCard (Capital One)"/>
    <d v="2014-10-14T00:00:00"/>
    <n v="-7.63"/>
    <s v="X"/>
    <s v="Ken Market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Koolikai - Checking XX2129"/>
    <d v="2014-10-13T00:00:00"/>
    <n v="2195"/>
    <s v="X"/>
    <s v="John Schaibley"/>
    <s v="Deposit--Shared Branch Mobile Deposit          First Tech FC CA"/>
    <s v="Business Income (Koolikai):Rent/9602"/>
    <m/>
    <m/>
    <n v="9602"/>
    <x v="37"/>
    <s v="Rent"/>
    <x v="0"/>
    <m/>
    <x v="0"/>
    <m/>
    <s v="Oct"/>
    <n v="2014"/>
    <s v="Monthly"/>
    <n v="0"/>
    <s v="No"/>
    <s v="None"/>
    <s v="Business Income (Koolikai)|Rent"/>
  </r>
  <r>
    <s v="Discover Card"/>
    <d v="2014-10-13T00:00:00"/>
    <n v="-129.97999999999999"/>
    <s v="X"/>
    <s v="Discount Com"/>
    <s v="Projector lamp"/>
    <s v="Shopping:Electronics &amp; Software"/>
    <m/>
    <m/>
    <m/>
    <x v="13"/>
    <s v="Electronics &amp; Software"/>
    <x v="0"/>
    <m/>
    <x v="0"/>
    <m/>
    <s v="Oct"/>
    <n v="2014"/>
    <s v="Annual"/>
    <n v="0"/>
    <s v="No"/>
    <s v="None"/>
    <s v="Shopping|Electronics &amp; Software"/>
  </r>
  <r>
    <s v="Chase Freedom XX9381"/>
    <d v="2014-10-12T00:00:00"/>
    <n v="-0.01"/>
    <s v="X"/>
    <s v="Microsoft"/>
    <s v="#Apps#"/>
    <s v="Work Expense:Reimbursable expense"/>
    <m/>
    <m/>
    <m/>
    <x v="19"/>
    <s v="Reimbursable expense"/>
    <x v="0"/>
    <m/>
    <x v="4"/>
    <m/>
    <s v="Oct"/>
    <n v="2014"/>
    <s v="Irregular"/>
    <n v="0"/>
    <s v="No"/>
    <s v="None"/>
    <s v="Work Expense|Reimbursable expense"/>
  </r>
  <r>
    <s v="Chase Freedom XX9381"/>
    <d v="2014-10-12T00:00:00"/>
    <n v="-0.01"/>
    <s v="X"/>
    <s v="Microsoft"/>
    <s v="#Apps#"/>
    <s v="Work Expense:Reimbursable expense"/>
    <m/>
    <m/>
    <m/>
    <x v="19"/>
    <s v="Reimbursable expense"/>
    <x v="0"/>
    <m/>
    <x v="4"/>
    <m/>
    <s v="Oct"/>
    <n v="2014"/>
    <s v="Irregular"/>
    <n v="0"/>
    <s v="No"/>
    <s v="None"/>
    <s v="Work Expense|Reimbursable expense"/>
  </r>
  <r>
    <s v="Koolikai Credit Card"/>
    <d v="2014-10-12T00:00:00"/>
    <n v="-146.84"/>
    <s v="X"/>
    <s v="Verizon Wireless"/>
    <m/>
    <s v="Business Expenses (Koolikai):Cell Phone"/>
    <m/>
    <m/>
    <m/>
    <x v="36"/>
    <s v="Cell Phone"/>
    <x v="0"/>
    <m/>
    <x v="0"/>
    <m/>
    <s v="Oct"/>
    <n v="2014"/>
    <s v="Monthly"/>
    <n v="0"/>
    <s v="No"/>
    <s v="None"/>
    <s v="Business Expenses (Koolikai)|Cell Phone"/>
  </r>
  <r>
    <s v="MasterCard (Capital One)"/>
    <d v="2014-10-12T00:00:00"/>
    <n v="25"/>
    <s v="X"/>
    <s v="Capital One (Cash Back)"/>
    <m/>
    <s v="Other Inc"/>
    <m/>
    <m/>
    <m/>
    <x v="29"/>
    <m/>
    <x v="0"/>
    <m/>
    <x v="0"/>
    <m/>
    <s v="Oct"/>
    <n v="2014"/>
    <s v="Monthly"/>
    <n v="0"/>
    <s v="No"/>
    <s v="None"/>
    <s v="Other Inc"/>
  </r>
  <r>
    <s v="MasterCard (Capital One)"/>
    <d v="2014-10-12T00:00:00"/>
    <n v="-6.11"/>
    <s v="X"/>
    <s v="Fred Meyer"/>
    <m/>
    <s v="Food &amp; Dining:Groceries"/>
    <m/>
    <m/>
    <m/>
    <x v="15"/>
    <s v="Groceries"/>
    <x v="0"/>
    <m/>
    <x v="0"/>
    <m/>
    <s v="Oct"/>
    <n v="2014"/>
    <s v="Monthly"/>
    <n v="0"/>
    <s v="No"/>
    <s v="None"/>
    <s v="Food &amp; Dining|Groceries"/>
  </r>
  <r>
    <s v="MasterCard (Capital One)"/>
    <d v="2014-10-12T00:00:00"/>
    <n v="-34"/>
    <s v="X"/>
    <s v="Rudys Barber Shop"/>
    <m/>
    <s v="Personal Care:Hair"/>
    <m/>
    <m/>
    <m/>
    <x v="31"/>
    <s v="Hair"/>
    <x v="0"/>
    <m/>
    <x v="0"/>
    <m/>
    <s v="Oct"/>
    <n v="2014"/>
    <s v="Monthly"/>
    <n v="0"/>
    <s v="No"/>
    <s v="None"/>
    <s v="Personal Care|Hair"/>
  </r>
  <r>
    <s v="MasterCard (Capital One)"/>
    <d v="2014-10-12T00:00:00"/>
    <n v="-69.13"/>
    <s v="X"/>
    <s v="Fred Meyer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Fideity ESPP and Stock Awards"/>
    <d v="2014-10-12T00:00:00"/>
    <m/>
    <m/>
    <m/>
    <m/>
    <s v="[Fideity ESPP and Stock Awards]"/>
    <s v="Cash"/>
    <m/>
    <m/>
    <x v="43"/>
    <m/>
    <x v="0"/>
    <m/>
    <x v="0"/>
    <m/>
    <s v="Oct"/>
    <n v="2014"/>
    <e v="#N/A"/>
    <e v="#N/A"/>
    <e v="#N/A"/>
    <e v="#N/A"/>
    <s v="[Fideity ESPP and Stock Awards]"/>
  </r>
  <r>
    <s v="LPL Financial"/>
    <d v="2014-10-12T00:00:00"/>
    <m/>
    <m/>
    <m/>
    <m/>
    <s v="[LPL Financial]"/>
    <s v="Cash"/>
    <m/>
    <m/>
    <x v="44"/>
    <m/>
    <x v="0"/>
    <m/>
    <x v="0"/>
    <m/>
    <s v="Oct"/>
    <n v="2014"/>
    <e v="#N/A"/>
    <e v="#N/A"/>
    <e v="#N/A"/>
    <e v="#N/A"/>
    <s v="[LPL Financial]"/>
  </r>
  <r>
    <s v="Discover Card"/>
    <d v="2014-10-11T00:00:00"/>
    <n v="-77.7"/>
    <s v="X"/>
    <s v="Watershed Pub Kitchen"/>
    <s v="Family night out"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1T00:00:00"/>
    <n v="-12.34"/>
    <s v="X"/>
    <s v="Jersey Great Food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First Tech - Checking (5544)"/>
    <d v="2014-10-10T00:00:00"/>
    <n v="-5651.04"/>
    <s v="X"/>
    <s v="Caesar's Gardens"/>
    <s v="ACH Debit--CATHLEEN CAESAR  - ONLINE PMT"/>
    <s v="Projects:Landscaping"/>
    <m/>
    <m/>
    <m/>
    <x v="39"/>
    <s v="Landscaping"/>
    <x v="0"/>
    <m/>
    <x v="0"/>
    <m/>
    <s v="Oct"/>
    <n v="2014"/>
    <s v="Unplanned"/>
    <n v="0"/>
    <s v="No"/>
    <s v="None"/>
    <s v="Projects|Landscaping"/>
  </r>
  <r>
    <s v="Koolikai - Checking XX2129"/>
    <d v="2014-10-10T00:00:00"/>
    <n v="2295"/>
    <s v="X"/>
    <s v="Aaron Ausland"/>
    <s v="Deposit--Shared Branch Mobile Deposit          First Tech FC CA"/>
    <s v="Business Income (Koolikai):Rent/7231"/>
    <m/>
    <m/>
    <n v="7231"/>
    <x v="37"/>
    <s v="Rent"/>
    <x v="0"/>
    <m/>
    <x v="0"/>
    <m/>
    <s v="Oct"/>
    <n v="2014"/>
    <s v="Monthly"/>
    <n v="0"/>
    <s v="No"/>
    <s v="None"/>
    <s v="Business Income (Koolikai)|Rent"/>
  </r>
  <r>
    <s v="Chase Freedom XX9381"/>
    <d v="2014-10-10T00:00:00"/>
    <n v="-0.01"/>
    <s v="X"/>
    <s v="Microsoft"/>
    <s v="#Apps#"/>
    <s v="Work Expense:Reimbursable expense"/>
    <m/>
    <m/>
    <m/>
    <x v="19"/>
    <s v="Reimbursable expense"/>
    <x v="0"/>
    <m/>
    <x v="4"/>
    <m/>
    <s v="Oct"/>
    <n v="2014"/>
    <s v="Irregular"/>
    <n v="0"/>
    <s v="No"/>
    <s v="None"/>
    <s v="Work Expense|Reimbursable expense"/>
  </r>
  <r>
    <s v="Chase Freedom XX9381"/>
    <d v="2014-10-10T00:00:00"/>
    <n v="-0.01"/>
    <s v="X"/>
    <s v="Microsoft"/>
    <s v="#Apps#"/>
    <s v="Work Expense:Reimbursable expense"/>
    <m/>
    <m/>
    <m/>
    <x v="19"/>
    <s v="Reimbursable expense"/>
    <x v="0"/>
    <m/>
    <x v="4"/>
    <m/>
    <s v="Oct"/>
    <n v="2014"/>
    <s v="Irregular"/>
    <n v="0"/>
    <s v="No"/>
    <s v="None"/>
    <s v="Work Expense|Reimbursable expense"/>
  </r>
  <r>
    <s v="MasterCard (Capital One)"/>
    <d v="2014-10-10T00:00:00"/>
    <n v="-3.91"/>
    <s v="X"/>
    <s v="7-Eleven"/>
    <s v="Slurpees"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0T00:00:00"/>
    <n v="-7.59"/>
    <s v="X"/>
    <s v="Great Steak &amp; Potato Company"/>
    <m/>
    <s v="Food &amp; Dining:Restaurants/From Receipt"/>
    <m/>
    <m/>
    <s v="From Receipt"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10T00:00:00"/>
    <n v="-32.630000000000003"/>
    <s v="X"/>
    <s v="Eddie Bauer"/>
    <m/>
    <s v="Shopping:Clothing/From Receipt"/>
    <m/>
    <m/>
    <s v="From Receipt"/>
    <x v="13"/>
    <s v="Clothing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38"/>
    <s v="X"/>
    <s v="Banana Republic"/>
    <m/>
    <s v="Shopping:Clothing"/>
    <m/>
    <m/>
    <m/>
    <x v="13"/>
    <s v="Clothing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64.569999999999993"/>
    <s v="X"/>
    <s v="Bass"/>
    <m/>
    <s v="Shopping:Clothing/From Receipt"/>
    <m/>
    <m/>
    <s v="From Receipt"/>
    <x v="13"/>
    <s v="Clothing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65.099999999999994"/>
    <s v="X"/>
    <s v="Children's Place"/>
    <s v="Coats for Zach and Josh"/>
    <s v="Kids:Clothing/From Receipt"/>
    <m/>
    <m/>
    <s v="From Receipt"/>
    <x v="27"/>
    <s v="Clothing"/>
    <x v="0"/>
    <m/>
    <x v="0"/>
    <m/>
    <s v="Oct"/>
    <n v="2014"/>
    <s v="Monthly"/>
    <n v="0"/>
    <s v="No"/>
    <s v="None"/>
    <s v="Kids|Clothing"/>
  </r>
  <r>
    <s v="MasterCard (Capital One)"/>
    <d v="2014-10-10T00:00:00"/>
    <n v="-73.849999999999994"/>
    <s v="X"/>
    <s v="Ann Taylor"/>
    <m/>
    <s v="Shopping:Clothing/From Receipt"/>
    <m/>
    <m/>
    <s v="From Receipt"/>
    <x v="13"/>
    <s v="Clothing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138.43"/>
    <s v="X"/>
    <s v="Ann Taylor"/>
    <m/>
    <s v="Shopping:Clothing/From Receipt"/>
    <m/>
    <m/>
    <s v="From Receipt"/>
    <x v="13"/>
    <s v="Clothing"/>
    <x v="0"/>
    <m/>
    <x v="0"/>
    <m/>
    <s v="Oct"/>
    <n v="2014"/>
    <s v="Annual"/>
    <n v="0"/>
    <s v="No"/>
    <s v="None"/>
    <s v="Shopping|Clothing"/>
  </r>
  <r>
    <s v="MasterCard (Capital One)"/>
    <d v="2014-10-09T00:00:00"/>
    <n v="-5"/>
    <s v="X"/>
    <s v="Sq Mobile Mayan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09T00:00:00"/>
    <n v="-12.1"/>
    <s v="X"/>
    <s v="Circle K"/>
    <s v="#Sedona#"/>
    <s v="Vacation:Transportation"/>
    <m/>
    <m/>
    <m/>
    <x v="23"/>
    <s v="Transportation"/>
    <x v="0"/>
    <m/>
    <x v="10"/>
    <m/>
    <s v="Oct"/>
    <n v="2014"/>
    <s v="Irregular"/>
    <n v="0"/>
    <s v="No"/>
    <s v="None"/>
    <s v="Vacation|Transportation"/>
  </r>
  <r>
    <s v="MasterCard (Capital One)"/>
    <d v="2014-10-09T00:00:00"/>
    <n v="-36.49"/>
    <s v="X"/>
    <s v="Shell"/>
    <s v="#Sedona#"/>
    <s v="Vacation:Transportation"/>
    <m/>
    <m/>
    <m/>
    <x v="23"/>
    <s v="Transportation"/>
    <x v="0"/>
    <m/>
    <x v="10"/>
    <m/>
    <s v="Oct"/>
    <n v="2014"/>
    <s v="Irregular"/>
    <n v="0"/>
    <s v="No"/>
    <s v="None"/>
    <s v="Vacation|Transportation"/>
  </r>
  <r>
    <s v="MasterCard (Capital One)"/>
    <d v="2014-10-09T00:00:00"/>
    <n v="-53.76"/>
    <s v="X"/>
    <s v="Shuttlepark"/>
    <s v="#Sedona#"/>
    <s v="Vacation:Transportation"/>
    <m/>
    <m/>
    <m/>
    <x v="23"/>
    <s v="Transportation"/>
    <x v="0"/>
    <m/>
    <x v="10"/>
    <m/>
    <s v="Oct"/>
    <n v="2014"/>
    <s v="Irregular"/>
    <n v="0"/>
    <s v="No"/>
    <s v="None"/>
    <s v="Vacation|Transportation"/>
  </r>
  <r>
    <s v="MasterCard (Capital One)"/>
    <d v="2014-10-09T00:00:00"/>
    <n v="-527.30999999999995"/>
    <s v="X"/>
    <s v="Southwest Inn At Sedona"/>
    <s v="#Sedona#"/>
    <s v="Vacation:Lodging/From Receipt"/>
    <m/>
    <m/>
    <s v="From Receipt"/>
    <x v="23"/>
    <s v="Lodging"/>
    <x v="0"/>
    <m/>
    <x v="10"/>
    <m/>
    <s v="Oct"/>
    <n v="2014"/>
    <s v="Irregular"/>
    <n v="0"/>
    <s v="No"/>
    <s v="None"/>
    <s v="Vacation|Lodging"/>
  </r>
  <r>
    <s v="First Tech - Checking (5544)"/>
    <d v="2014-10-08T00:00:00"/>
    <n v="-65.599999999999994"/>
    <s v="X"/>
    <s v="Artistic Checks"/>
    <s v="New checks"/>
    <s v="Business Expenses (Koolikai):Office Expenses (Business)"/>
    <m/>
    <m/>
    <m/>
    <x v="36"/>
    <s v="Office Expenses (Business)"/>
    <x v="0"/>
    <m/>
    <x v="0"/>
    <m/>
    <s v="Oct"/>
    <n v="2014"/>
    <s v="Monthly"/>
    <n v="0"/>
    <s v="No"/>
    <s v="None"/>
    <s v="Business Expenses (Koolikai)|Office Expenses (Business)"/>
  </r>
  <r>
    <s v="MasterCard (Capital One)"/>
    <d v="2014-10-08T00:00:00"/>
    <n v="-7.64"/>
    <s v="X"/>
    <s v="Walgreens"/>
    <s v="#Sedona#Hat for hiking in the rain."/>
    <s v="Vacation:Trinkets/From Receipt"/>
    <m/>
    <m/>
    <s v="From Receipt"/>
    <x v="23"/>
    <s v="Trinkets"/>
    <x v="0"/>
    <m/>
    <x v="10"/>
    <m/>
    <s v="Oct"/>
    <n v="2014"/>
    <s v="Irregular"/>
    <n v="0"/>
    <s v="No"/>
    <s v="None"/>
    <s v="Vacation|Trinkets"/>
  </r>
  <r>
    <s v="MasterCard (Capital One)"/>
    <d v="2014-10-08T00:00:00"/>
    <n v="-10.97"/>
    <s v="X"/>
    <s v="Eisenart Innovations"/>
    <s v="#Sedona#"/>
    <s v="Vacation:Trinkets/From Receipt"/>
    <m/>
    <m/>
    <s v="From Receipt"/>
    <x v="23"/>
    <s v="Trinkets"/>
    <x v="0"/>
    <m/>
    <x v="10"/>
    <m/>
    <s v="Oct"/>
    <n v="2014"/>
    <s v="Irregular"/>
    <n v="0"/>
    <s v="No"/>
    <s v="None"/>
    <s v="Vacation|Trinkets"/>
  </r>
  <r>
    <s v="MasterCard (Capital One)"/>
    <d v="2014-10-08T00:00:00"/>
    <n v="-11.98"/>
    <s v="X"/>
    <s v="Oak Creek Market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8T00:00:00"/>
    <n v="-13.46"/>
    <s v="X"/>
    <s v="Oak Creek Market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8T00:00:00"/>
    <n v="-52.99"/>
    <s v="X"/>
    <s v="Elote Cafe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First Tech - Checking (5544)"/>
    <d v="2014-10-07T00:00:00"/>
    <n v="-3864.19"/>
    <s v="X"/>
    <s v="Wells Fargo Home Mortgage"/>
    <s v="ACH Debit--WF HOME MTG ACH - AUTO PAY"/>
    <s v="Home:Mortgage"/>
    <m/>
    <m/>
    <m/>
    <x v="14"/>
    <s v="Mortgage"/>
    <x v="0"/>
    <m/>
    <x v="0"/>
    <m/>
    <s v="Oct"/>
    <n v="2014"/>
    <s v="Monthly"/>
    <n v="0"/>
    <s v="No"/>
    <s v="None"/>
    <s v="Home|Mortgage"/>
  </r>
  <r>
    <s v="MasterCard (Capital One)"/>
    <d v="2014-10-07T00:00:00"/>
    <n v="-18.899999999999999"/>
    <s v="X"/>
    <s v="Golden Goose Cafe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7T00:00:00"/>
    <n v="-54.02"/>
    <s v="X"/>
    <s v="Creekside Restaurant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7T00:00:00"/>
    <n v="-67.900000000000006"/>
    <s v="X"/>
    <s v="Dahl Diluca Ristoran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7T00:00:00"/>
    <n v="-114"/>
    <s v="X"/>
    <s v="Sedonas New Day"/>
    <s v="#Sedona# Spa"/>
    <s v="Vacation:Activities/From Receipt"/>
    <m/>
    <m/>
    <s v="From Receipt"/>
    <x v="23"/>
    <s v="Activities"/>
    <x v="0"/>
    <m/>
    <x v="10"/>
    <m/>
    <s v="Oct"/>
    <n v="2014"/>
    <s v="Irregular"/>
    <n v="0"/>
    <s v="No"/>
    <s v="None"/>
    <s v="Vacation|Activities"/>
  </r>
  <r>
    <s v="First Tech - Checking (5544)"/>
    <d v="2014-10-06T00:00:00"/>
    <n v="-98.42"/>
    <s v="X"/>
    <s v="Chase Autopay (Amazon)"/>
    <s v="Account xx8482"/>
    <s v="[Chase Amazon (XX8482)]"/>
    <m/>
    <m/>
    <m/>
    <x v="6"/>
    <m/>
    <x v="0"/>
    <m/>
    <x v="0"/>
    <m/>
    <s v="Oct"/>
    <n v="2014"/>
    <e v="#N/A"/>
    <e v="#N/A"/>
    <e v="#N/A"/>
    <e v="#N/A"/>
    <s v="[Chase Amazon (XX8482)]"/>
  </r>
  <r>
    <s v="Chase Amazon (XX8482)"/>
    <d v="2014-10-06T00:00:00"/>
    <n v="98.42"/>
    <s v="X"/>
    <s v="Chase Autopay (Amazon)"/>
    <s v="Account xx8482@BAL:$0.00@@CAT:@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MasterCard (Capital One)"/>
    <d v="2014-10-06T00:00:00"/>
    <n v="-4.95"/>
    <s v="X"/>
    <s v="Oak Creek Market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6T00:00:00"/>
    <n v="-6.4"/>
    <s v="X"/>
    <s v="Oak Creek Market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6T00:00:00"/>
    <n v="-6.53"/>
    <s v="X"/>
    <s v="Kokopelli Dreams"/>
    <s v="#Sedona#"/>
    <s v="Vacation:Trinkets/From Receipt"/>
    <m/>
    <m/>
    <s v="From Receipt"/>
    <x v="23"/>
    <s v="Trinkets"/>
    <x v="0"/>
    <m/>
    <x v="10"/>
    <m/>
    <s v="Oct"/>
    <n v="2014"/>
    <s v="Irregular"/>
    <n v="0"/>
    <s v="No"/>
    <s v="None"/>
    <s v="Vacation|Trinkets"/>
  </r>
  <r>
    <s v="MasterCard (Capital One)"/>
    <d v="2014-10-06T00:00:00"/>
    <n v="-28.53"/>
    <s v="X"/>
    <s v="Zonies Galleria"/>
    <s v="#Sedona#"/>
    <s v="Vacation:Trinkets/From Receipt"/>
    <m/>
    <m/>
    <s v="From Receipt"/>
    <x v="23"/>
    <s v="Trinkets"/>
    <x v="0"/>
    <m/>
    <x v="10"/>
    <m/>
    <s v="Oct"/>
    <n v="2014"/>
    <s v="Irregular"/>
    <n v="0"/>
    <s v="No"/>
    <s v="None"/>
    <s v="Vacation|Trinkets"/>
  </r>
  <r>
    <s v="MasterCard (Capital One)"/>
    <d v="2014-10-06T00:00:00"/>
    <n v="-30.67"/>
    <s v="X"/>
    <s v="Kokopelli Dreams"/>
    <s v="#Sedona#"/>
    <s v="Vacation:Trinkets/From Receipt"/>
    <m/>
    <m/>
    <s v="From Receipt"/>
    <x v="23"/>
    <s v="Trinkets"/>
    <x v="0"/>
    <m/>
    <x v="10"/>
    <m/>
    <s v="Oct"/>
    <n v="2014"/>
    <s v="Irregular"/>
    <n v="0"/>
    <s v="No"/>
    <s v="None"/>
    <s v="Vacation|Trinkets"/>
  </r>
  <r>
    <s v="MasterCard (Capital One)"/>
    <d v="2014-10-06T00:00:00"/>
    <n v="-40.53"/>
    <s v="X"/>
    <s v="Tumbleweed Willie"/>
    <s v="#Sedona#"/>
    <s v="Vacation:Trinkets"/>
    <m/>
    <m/>
    <m/>
    <x v="23"/>
    <s v="Trinkets"/>
    <x v="0"/>
    <m/>
    <x v="10"/>
    <m/>
    <s v="Oct"/>
    <n v="2014"/>
    <s v="Irregular"/>
    <n v="0"/>
    <s v="No"/>
    <s v="None"/>
    <s v="Vacation|Trinkets"/>
  </r>
  <r>
    <s v="Edward Jones - Investment Account"/>
    <d v="2014-10-06T00:00:00"/>
    <n v="28.8"/>
    <s v="c"/>
    <m/>
    <s v="CASH DIV ON 120 AT $.24 PER SHARE"/>
    <m/>
    <s v="Div"/>
    <m/>
    <m/>
    <x v="26"/>
    <m/>
    <x v="0"/>
    <m/>
    <x v="0"/>
    <m/>
    <s v="Oct"/>
    <n v="2014"/>
    <e v="#N/A"/>
    <e v="#N/A"/>
    <e v="#N/A"/>
    <e v="#N/A"/>
    <n v="0"/>
  </r>
  <r>
    <s v="MasterCard (Capital One)"/>
    <d v="2014-10-05T00:00:00"/>
    <n v="-8.89"/>
    <s v="X"/>
    <s v="Taco Del Mar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05T00:00:00"/>
    <n v="-13.16"/>
    <s v="X"/>
    <s v="Feliz Navidad Sedona"/>
    <s v="#Sedona# Prickly pear cactus"/>
    <s v="Vacation:Trinkets/From Receipt"/>
    <m/>
    <m/>
    <s v="From Receipt"/>
    <x v="23"/>
    <s v="Trinkets"/>
    <x v="0"/>
    <m/>
    <x v="10"/>
    <m/>
    <s v="Oct"/>
    <n v="2014"/>
    <s v="Irregular"/>
    <n v="0"/>
    <s v="No"/>
    <s v="None"/>
    <s v="Vacation|Trinkets"/>
  </r>
  <r>
    <s v="MasterCard (Capital One)"/>
    <d v="2014-10-05T00:00:00"/>
    <n v="-25.12"/>
    <s v="X"/>
    <s v="Rincon Del Tlaquepaque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5T00:00:00"/>
    <n v="-35.75"/>
    <s v="X"/>
    <s v="Heartline Cafe"/>
    <s v="#Sedona#"/>
    <s v="Vacation:Food/From Receipt"/>
    <m/>
    <m/>
    <s v="From Receipt"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5T00:00:00"/>
    <n v="-41.5"/>
    <s v="X"/>
    <s v="Hilltop Restaurant"/>
    <s v="#Sedona#"/>
    <s v="Vacation:Food"/>
    <m/>
    <m/>
    <m/>
    <x v="23"/>
    <s v="Food"/>
    <x v="0"/>
    <m/>
    <x v="10"/>
    <m/>
    <s v="Oct"/>
    <n v="2014"/>
    <s v="Irregular"/>
    <n v="0"/>
    <s v="No"/>
    <s v="None"/>
    <s v="Vacation|Food"/>
  </r>
  <r>
    <s v="MasterCard (Capital One)"/>
    <d v="2014-10-04T00:00:00"/>
    <n v="-20"/>
    <s v="X"/>
    <s v="Groupon"/>
    <s v="@BAL:2386.54@@CAT:@ Kangaroo &amp; Kiwi (exp 1/31/15)"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04T00:00:00"/>
    <n v="-20.76"/>
    <s v="X"/>
    <s v="Aerovironment"/>
    <s v="Subscription for DC Fast chargers"/>
    <s v="Auto &amp; Transport:Gas &amp; Fuel"/>
    <m/>
    <m/>
    <m/>
    <x v="17"/>
    <s v="Gas &amp; Fuel"/>
    <x v="0"/>
    <m/>
    <x v="0"/>
    <m/>
    <s v="Oct"/>
    <n v="2014"/>
    <s v="Monthly"/>
    <n v="0"/>
    <s v="No"/>
    <s v="None"/>
    <s v="Auto &amp; Transport|Gas &amp; Fuel"/>
  </r>
  <r>
    <s v="MasterCard (Capital One)"/>
    <d v="2014-10-04T00:00:00"/>
    <n v="-40.659999999999997"/>
    <s v="X"/>
    <s v="Shell"/>
    <m/>
    <s v="Auto &amp; Transport:Gas &amp; Fuel"/>
    <m/>
    <m/>
    <m/>
    <x v="17"/>
    <s v="Gas &amp; Fuel"/>
    <x v="0"/>
    <m/>
    <x v="0"/>
    <m/>
    <s v="Oct"/>
    <n v="2014"/>
    <s v="Monthly"/>
    <n v="0"/>
    <s v="No"/>
    <s v="None"/>
    <s v="Auto &amp; Transport|Gas &amp; Fuel"/>
  </r>
  <r>
    <s v="MasterCard (Capital One)"/>
    <d v="2014-10-04T00:00:00"/>
    <n v="-84.78"/>
    <s v="X"/>
    <s v="Fred Meyer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MasterCard (Capital One)"/>
    <d v="2014-10-04T00:00:00"/>
    <n v="-96.63"/>
    <s v="X"/>
    <s v="Trader Joe's"/>
    <m/>
    <s v="Food &amp; Dining:Groceries/From Receipt"/>
    <m/>
    <m/>
    <s v="From Receipt"/>
    <x v="15"/>
    <s v="Groceries"/>
    <x v="0"/>
    <m/>
    <x v="0"/>
    <m/>
    <s v="Oct"/>
    <n v="2014"/>
    <s v="Monthly"/>
    <n v="0"/>
    <s v="No"/>
    <s v="None"/>
    <s v="Food &amp; Dining|Groceries"/>
  </r>
  <r>
    <s v="First Tech - Checking (5544)"/>
    <d v="2014-10-03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Oct"/>
    <n v="2014"/>
    <s v="Monthly"/>
    <n v="0"/>
    <s v="No"/>
    <s v="None"/>
    <s v="Kids|American Funds 529A"/>
  </r>
  <r>
    <s v="MasterCard (Capital One)"/>
    <d v="2014-10-03T00:00:00"/>
    <n v="-8.75"/>
    <s v="X"/>
    <s v="Netflix"/>
    <m/>
    <s v="Entertainment:Movies &amp; DVDs"/>
    <m/>
    <m/>
    <m/>
    <x v="30"/>
    <s v="Movies &amp; DVDs"/>
    <x v="0"/>
    <m/>
    <x v="0"/>
    <m/>
    <s v="Oct"/>
    <n v="2014"/>
    <s v="Unplanned"/>
    <n v="0"/>
    <s v="No"/>
    <s v="None"/>
    <s v="Entertainment|Movies &amp; DVDs"/>
  </r>
  <r>
    <s v="MasterCard (Capital One)"/>
    <d v="2014-10-03T00:00:00"/>
    <n v="-20.170000000000002"/>
    <s v="X"/>
    <s v="Fred Meyer"/>
    <m/>
    <s v="Food &amp; Dining:Groceries"/>
    <m/>
    <m/>
    <m/>
    <x v="15"/>
    <s v="Groceries"/>
    <x v="0"/>
    <m/>
    <x v="0"/>
    <m/>
    <s v="Oct"/>
    <n v="2014"/>
    <s v="Monthly"/>
    <n v="0"/>
    <s v="No"/>
    <s v="None"/>
    <s v="Food &amp; Dining|Groceries"/>
  </r>
  <r>
    <s v="First Tech - Checking (5544)"/>
    <d v="2014-10-02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Oct"/>
    <n v="2014"/>
    <s v="Monthly"/>
    <n v="0"/>
    <s v="No"/>
    <s v="None"/>
    <s v="Business Expenses (Koolikai)|Mortgage (Business)"/>
  </r>
  <r>
    <s v="First Tech - Checking (5544)"/>
    <d v="2014-10-02T00:00:00"/>
    <n v="-2679.43"/>
    <s v="X"/>
    <s v="Capital One (Autopay)"/>
    <s v="ACH Debit--CAPITAL ONE  - CRCARDPMT"/>
    <s v="[MasterCard (Capital One)]"/>
    <m/>
    <m/>
    <m/>
    <x v="38"/>
    <m/>
    <x v="0"/>
    <m/>
    <x v="0"/>
    <m/>
    <s v="Oct"/>
    <n v="2014"/>
    <s v="Account"/>
    <n v="0"/>
    <s v="No"/>
    <s v="None"/>
    <s v="[MasterCard (Capital One)]"/>
  </r>
  <r>
    <s v="First Tech - Checking (5544)"/>
    <d v="2014-10-02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Oct"/>
    <n v="2014"/>
    <s v="Monthly"/>
    <n v="0"/>
    <s v="No"/>
    <s v="None"/>
    <s v="Business Expenses (Koolikai)|Mortgage (Business)"/>
  </r>
  <r>
    <s v="Chase Freedom XX9381"/>
    <d v="2014-10-02T00:00:00"/>
    <n v="-9.01"/>
    <s v="X"/>
    <s v="Menchie Frozen Yogurt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MasterCard (Capital One)"/>
    <d v="2014-10-02T00:00:00"/>
    <n v="2679.43"/>
    <s v="X"/>
    <s v="Capital One (Autopay)"/>
    <s v="ACH Debit--CAPITAL ONE  - CRCARDPMT"/>
    <s v="[First Tech - Checking (5544)]"/>
    <m/>
    <m/>
    <m/>
    <x v="21"/>
    <m/>
    <x v="0"/>
    <m/>
    <x v="0"/>
    <m/>
    <s v="Oct"/>
    <n v="2014"/>
    <s v="Account"/>
    <n v="0"/>
    <s v="No"/>
    <s v="None"/>
    <s v="[First Tech - Checking (5544)]"/>
  </r>
  <r>
    <s v="MasterCard (Capital One)"/>
    <d v="2014-10-02T00:00:00"/>
    <n v="-13.2"/>
    <s v="X"/>
    <s v="Bluebird Ice Cream"/>
    <m/>
    <s v="Food &amp; Dining:Restaurants"/>
    <m/>
    <m/>
    <m/>
    <x v="15"/>
    <s v="Restaurants"/>
    <x v="0"/>
    <m/>
    <x v="0"/>
    <m/>
    <s v="Oct"/>
    <n v="2014"/>
    <s v="Monthly"/>
    <n v="0"/>
    <s v="No"/>
    <s v="None"/>
    <s v="Food &amp; Dining|Restaurants"/>
  </r>
  <r>
    <s v="First Tech - Checking (5544)"/>
    <d v="2014-10-01T00:00:00"/>
    <n v="-2052"/>
    <s v="X"/>
    <s v="Phinney Ridge CDC"/>
    <s v="ACH Debit--PHINNEY RIDGE LU 504759859 - CONTRIBUTN"/>
    <s v="Kids:Daycare"/>
    <m/>
    <m/>
    <m/>
    <x v="27"/>
    <s v="Daycare"/>
    <x v="0"/>
    <m/>
    <x v="0"/>
    <m/>
    <s v="Oct"/>
    <n v="2014"/>
    <s v="Monthly"/>
    <n v="0"/>
    <s v="No"/>
    <s v="None"/>
    <s v="Kids|Daycare"/>
  </r>
  <r>
    <s v="Capital One - Investment (6759)"/>
    <d v="2014-09-30T00:00:00"/>
    <n v="19.41"/>
    <s v="X"/>
    <s v="Capital One (Interest Income)"/>
    <m/>
    <s v="Interest Income"/>
    <m/>
    <m/>
    <m/>
    <x v="40"/>
    <m/>
    <x v="0"/>
    <m/>
    <x v="0"/>
    <m/>
    <s v="Sep"/>
    <n v="2014"/>
    <s v="Monthly"/>
    <n v="0"/>
    <s v="No"/>
    <s v="None"/>
    <s v="Interest Income"/>
  </r>
  <r>
    <s v="Capital One - Long Term Emergency (1201)"/>
    <d v="2014-09-30T00:00:00"/>
    <n v="48.72"/>
    <s v="X"/>
    <s v="Capital One (Interest Income)"/>
    <m/>
    <s v="Interest Income"/>
    <m/>
    <m/>
    <m/>
    <x v="40"/>
    <m/>
    <x v="0"/>
    <m/>
    <x v="0"/>
    <m/>
    <s v="Sep"/>
    <n v="2014"/>
    <s v="Monthly"/>
    <n v="0"/>
    <s v="No"/>
    <s v="None"/>
    <s v="Interest Income"/>
  </r>
  <r>
    <s v="Capital One - Secondary Savings (3126)"/>
    <d v="2014-09-30T00:00:00"/>
    <n v="0.02"/>
    <s v="X"/>
    <s v="Capital One (Interest Income)"/>
    <m/>
    <s v="Interest Income"/>
    <m/>
    <m/>
    <m/>
    <x v="40"/>
    <m/>
    <x v="0"/>
    <m/>
    <x v="0"/>
    <m/>
    <s v="Sep"/>
    <n v="2014"/>
    <s v="Monthly"/>
    <n v="0"/>
    <s v="No"/>
    <s v="None"/>
    <s v="Interest Income"/>
  </r>
  <r>
    <s v="Capital One - Vacation (4959)"/>
    <d v="2014-09-30T00:00:00"/>
    <n v="2.06"/>
    <s v="X"/>
    <s v="Capital One (Interest Income)"/>
    <m/>
    <s v="Interest Income"/>
    <m/>
    <m/>
    <m/>
    <x v="40"/>
    <m/>
    <x v="0"/>
    <m/>
    <x v="0"/>
    <m/>
    <s v="Sep"/>
    <n v="2014"/>
    <s v="Monthly"/>
    <n v="0"/>
    <s v="No"/>
    <s v="None"/>
    <s v="Interest Income"/>
  </r>
  <r>
    <s v="Koolikai - Sec Dep XX1200"/>
    <d v="2014-09-30T00:00:00"/>
    <n v="0.19"/>
    <s v="X"/>
    <s v="First Tech (Dividend)"/>
    <s v="Credit Dividend--"/>
    <s v="Interest Income"/>
    <m/>
    <m/>
    <m/>
    <x v="40"/>
    <m/>
    <x v="0"/>
    <m/>
    <x v="0"/>
    <m/>
    <s v="Sep"/>
    <n v="2014"/>
    <s v="Monthly"/>
    <n v="0"/>
    <s v="No"/>
    <s v="None"/>
    <s v="Interest Income"/>
  </r>
  <r>
    <s v="Schwab - Checking (9784)"/>
    <d v="2014-09-30T00:00:00"/>
    <n v="0.06"/>
    <s v="X"/>
    <s v="Interest Paid"/>
    <m/>
    <s v="Interest Income"/>
    <m/>
    <m/>
    <m/>
    <x v="40"/>
    <m/>
    <x v="0"/>
    <m/>
    <x v="0"/>
    <m/>
    <s v="Sep"/>
    <n v="2014"/>
    <s v="Monthly"/>
    <n v="0"/>
    <s v="No"/>
    <s v="None"/>
    <s v="Interest Income"/>
  </r>
  <r>
    <s v="MasterCard (Capital One)"/>
    <d v="2014-09-30T00:00:00"/>
    <n v="-2.37"/>
    <s v="X"/>
    <s v="Ken Market"/>
    <m/>
    <s v="Food &amp; Dining:Groceries"/>
    <m/>
    <m/>
    <m/>
    <x v="15"/>
    <s v="Groceries"/>
    <x v="0"/>
    <m/>
    <x v="0"/>
    <m/>
    <s v="Sep"/>
    <n v="2014"/>
    <s v="Monthly"/>
    <n v="0"/>
    <s v="No"/>
    <s v="None"/>
    <s v="Food &amp; Dining|Groceries"/>
  </r>
  <r>
    <s v="MasterCard (Capital One)"/>
    <d v="2014-09-30T00:00:00"/>
    <n v="-4.75"/>
    <s v="X"/>
    <s v="Fresh Table 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30T00:00:00"/>
    <n v="-8.1999999999999993"/>
    <s v="X"/>
    <s v="Fresh Table 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30T00:00:00"/>
    <n v="-43.8"/>
    <s v="X"/>
    <s v="Super Jock n Jill"/>
    <s v="#Stay Fit# Ang's shoe inserts"/>
    <s v="Health &amp; Fitness:Sports"/>
    <m/>
    <m/>
    <m/>
    <x v="18"/>
    <s v="Sports"/>
    <x v="0"/>
    <m/>
    <x v="5"/>
    <m/>
    <s v="Sep"/>
    <n v="2014"/>
    <s v="Irregular"/>
    <n v="0"/>
    <s v="No"/>
    <s v="None"/>
    <s v="Health &amp; Fitness|Sports"/>
  </r>
  <r>
    <s v="MasterCard (Capital One)"/>
    <d v="2014-09-30T00:00:00"/>
    <n v="-263.2"/>
    <s v="X"/>
    <s v="Virgin America"/>
    <s v="#Disneyland 2014#"/>
    <s v="Vacation:Transportation"/>
    <m/>
    <m/>
    <m/>
    <x v="23"/>
    <s v="Transportation"/>
    <x v="0"/>
    <m/>
    <x v="6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s v="Transportation"/>
    <x v="0"/>
    <m/>
    <x v="6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s v="Transportation"/>
    <x v="0"/>
    <m/>
    <x v="6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s v="Transportation"/>
    <x v="0"/>
    <m/>
    <x v="6"/>
    <m/>
    <s v="Sep"/>
    <n v="2014"/>
    <s v="Irregular"/>
    <n v="0"/>
    <s v="No"/>
    <s v="None"/>
    <s v="Vacation|Transportation"/>
  </r>
  <r>
    <s v="First Tech - Checking (5544)"/>
    <d v="2014-09-29T00:00:00"/>
    <n v="6058.12"/>
    <s v="X"/>
    <s v="CRAB (Paystub)"/>
    <s v="ACH Deposit--Cancer Research  - Payroll"/>
    <s v="Net Salary"/>
    <m/>
    <m/>
    <m/>
    <x v="35"/>
    <m/>
    <x v="0"/>
    <m/>
    <x v="0"/>
    <m/>
    <s v="Sep"/>
    <n v="2014"/>
    <s v="Monthly"/>
    <n v="0"/>
    <s v="No"/>
    <s v="None"/>
    <s v="Net Salary"/>
  </r>
  <r>
    <s v="First Tech - Checking (5544)"/>
    <d v="2014-09-29T00:00:00"/>
    <n v="22136.080000000002"/>
    <s v="X"/>
    <s v="Microsoft (Paystub)"/>
    <s v="ACH Deposit--MICROSOFT  - EDIPAYMENT"/>
    <s v="Net Salary"/>
    <m/>
    <m/>
    <m/>
    <x v="35"/>
    <m/>
    <x v="0"/>
    <m/>
    <x v="0"/>
    <m/>
    <s v="Sep"/>
    <n v="2014"/>
    <s v="Monthly"/>
    <n v="0"/>
    <s v="No"/>
    <s v="None"/>
    <s v="Net Salary"/>
  </r>
  <r>
    <s v="First Tech - Checking (5544)"/>
    <d v="2014-09-29T00:00:00"/>
    <n v="-117"/>
    <s v="X"/>
    <s v="Cleaning Authority, The"/>
    <s v="ACH Debit--THE CLEANING AUT  - ONLINE PMT"/>
    <s v="Home:Home Services"/>
    <m/>
    <m/>
    <m/>
    <x v="14"/>
    <s v="Home Services"/>
    <x v="0"/>
    <m/>
    <x v="0"/>
    <m/>
    <s v="Sep"/>
    <n v="2014"/>
    <s v="Monthly"/>
    <n v="0"/>
    <s v="No"/>
    <s v="None"/>
    <s v="Home|Home Services"/>
  </r>
  <r>
    <s v="First Tech - Checking (5544)"/>
    <d v="2014-09-29T00:00:00"/>
    <n v="-539.61"/>
    <s v="X"/>
    <s v="Chase Autopay (Freedom)"/>
    <s v="@BAL:61785.65@@CAT:@"/>
    <s v="[Chase Freedom XX9381]"/>
    <m/>
    <m/>
    <m/>
    <x v="7"/>
    <m/>
    <x v="0"/>
    <m/>
    <x v="0"/>
    <m/>
    <s v="Sep"/>
    <n v="2014"/>
    <e v="#N/A"/>
    <e v="#N/A"/>
    <e v="#N/A"/>
    <e v="#N/A"/>
    <s v="[Chase Freedom XX9381]"/>
  </r>
  <r>
    <s v="Chase Freedom XX9381"/>
    <d v="2014-09-29T00:00:00"/>
    <n v="539.61"/>
    <s v="X"/>
    <s v="Chase Autopay (Freedom)"/>
    <s v="ACH Debit--CHASE  - AUTOPAY"/>
    <s v="[First Tech - Checking (5544)]"/>
    <m/>
    <m/>
    <m/>
    <x v="21"/>
    <m/>
    <x v="0"/>
    <m/>
    <x v="0"/>
    <m/>
    <s v="Sep"/>
    <n v="2014"/>
    <s v="Account"/>
    <n v="0"/>
    <s v="No"/>
    <s v="None"/>
    <s v="[First Tech - Checking (5544)]"/>
  </r>
  <r>
    <s v="Target Red Card"/>
    <d v="2014-09-29T00:00:00"/>
    <n v="-54.49"/>
    <s v="X"/>
    <s v="Target"/>
    <m/>
    <s v="Kids:Clothing/From Receipt"/>
    <m/>
    <m/>
    <s v="From Receipt"/>
    <x v="27"/>
    <s v="Clothing"/>
    <x v="0"/>
    <m/>
    <x v="0"/>
    <m/>
    <s v="Sep"/>
    <n v="2014"/>
    <s v="Monthly"/>
    <n v="0"/>
    <s v="No"/>
    <s v="None"/>
    <s v="Kids|Clothing"/>
  </r>
  <r>
    <s v="Edward Jones - Roth IRA"/>
    <d v="2014-09-29T00:00:00"/>
    <m/>
    <m/>
    <m/>
    <s v="0.274 shares added to account"/>
    <m/>
    <s v="ShrsIn"/>
    <m/>
    <m/>
    <x v="26"/>
    <m/>
    <x v="0"/>
    <m/>
    <x v="0"/>
    <m/>
    <s v="Sep"/>
    <n v="2014"/>
    <e v="#N/A"/>
    <e v="#N/A"/>
    <e v="#N/A"/>
    <e v="#N/A"/>
    <n v="0"/>
  </r>
  <r>
    <s v="Chase Freedom XX9381"/>
    <d v="2014-09-28T00:00:00"/>
    <n v="-7.57"/>
    <s v="X"/>
    <s v="Pike Place Common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Freedom XX9381"/>
    <d v="2014-09-28T00:00:00"/>
    <n v="-100"/>
    <s v="X"/>
    <s v="Pike Place Common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28T00:00:00"/>
    <n v="43.79"/>
    <s v="X"/>
    <s v="Fred Meyer"/>
    <m/>
    <s v="Kids:Clothing/From Receipt"/>
    <m/>
    <m/>
    <s v="From Receipt"/>
    <x v="27"/>
    <s v="Clothing"/>
    <x v="0"/>
    <m/>
    <x v="0"/>
    <m/>
    <s v="Sep"/>
    <n v="2014"/>
    <s v="Monthly"/>
    <n v="0"/>
    <s v="No"/>
    <s v="None"/>
    <s v="Kids|Clothing"/>
  </r>
  <r>
    <s v="MasterCard (Capital One)"/>
    <d v="2014-09-28T00:00:00"/>
    <n v="-22.71"/>
    <s v="X"/>
    <s v="Fred Meyer"/>
    <s v="Flowers"/>
    <s v="Projects:Landscaping/From Receipt"/>
    <m/>
    <s v="Split"/>
    <s v="From Receipt"/>
    <x v="39"/>
    <s v="Landscaping"/>
    <x v="0"/>
    <m/>
    <x v="0"/>
    <m/>
    <s v="Sep"/>
    <n v="2014"/>
    <s v="Unplanned"/>
    <n v="0"/>
    <s v="No"/>
    <s v="None"/>
    <s v="Projects|Landscaping"/>
  </r>
  <r>
    <s v="MasterCard (Capital One)"/>
    <d v="2014-09-28T00:00:00"/>
    <n v="-2.5"/>
    <s v="X"/>
    <s v="Fred Meyer"/>
    <m/>
    <s v="Food &amp; Dining:Groceries/From Receipt"/>
    <m/>
    <s v="Split"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MasterCard (Capital One)"/>
    <d v="2014-09-28T00:00:00"/>
    <n v="-50.45"/>
    <s v="X"/>
    <s v="California Pizza Kitchen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27T00:00:00"/>
    <n v="-9.86"/>
    <s v="X"/>
    <s v="Playdate Cafe"/>
    <m/>
    <s v="Kids:Kids Activities"/>
    <m/>
    <m/>
    <m/>
    <x v="27"/>
    <s v="Kids Activities"/>
    <x v="0"/>
    <m/>
    <x v="0"/>
    <m/>
    <s v="Sep"/>
    <n v="2014"/>
    <s v="Monthly"/>
    <n v="0"/>
    <s v="No"/>
    <s v="None"/>
    <s v="Kids|Kids Activities"/>
  </r>
  <r>
    <s v="MasterCard (Capital One)"/>
    <d v="2014-09-27T00:00:00"/>
    <n v="-17.5"/>
    <s v="X"/>
    <s v="Fred Meyer"/>
    <s v="Swimming goggles"/>
    <s v="Health &amp; Fitness:Sports/From Receipt"/>
    <m/>
    <m/>
    <s v="From Receipt"/>
    <x v="18"/>
    <s v="Sports"/>
    <x v="0"/>
    <m/>
    <x v="0"/>
    <m/>
    <s v="Sep"/>
    <n v="2014"/>
    <s v="Irregular"/>
    <n v="0"/>
    <s v="No"/>
    <s v="None"/>
    <s v="Health &amp; Fitness|Sports"/>
  </r>
  <r>
    <s v="MasterCard (Capital One)"/>
    <d v="2014-09-27T00:00:00"/>
    <n v="-25.6"/>
    <s v="X"/>
    <s v="Playdate 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27T00:00:00"/>
    <n v="-9.84"/>
    <s v="X"/>
    <s v="Fred Meyer"/>
    <s v="Propane #Kalaloch 2015#"/>
    <s v="Vacation:Food/From Receipt"/>
    <m/>
    <s v="Split"/>
    <s v="From Receipt"/>
    <x v="23"/>
    <s v="Food"/>
    <x v="0"/>
    <m/>
    <x v="11"/>
    <m/>
    <s v="Sep"/>
    <n v="2014"/>
    <s v="Irregular"/>
    <n v="0"/>
    <s v="No"/>
    <s v="None"/>
    <s v="Vacation|Food"/>
  </r>
  <r>
    <s v="MasterCard (Capital One)"/>
    <d v="2014-09-27T00:00:00"/>
    <n v="-13.13"/>
    <s v="X"/>
    <s v="Fred Meyer"/>
    <s v="Lantern globe"/>
    <s v="Shopping:Hobbies:Camping Equipment/From Receipt"/>
    <m/>
    <s v="Split"/>
    <s v="From Receipt"/>
    <x v="13"/>
    <s v="Hobbies"/>
    <x v="2"/>
    <m/>
    <x v="0"/>
    <m/>
    <s v="Sep"/>
    <n v="2014"/>
    <s v="Annual"/>
    <n v="0"/>
    <s v="No"/>
    <s v="None"/>
    <s v="Shopping|Hobbies"/>
  </r>
  <r>
    <s v="MasterCard (Capital One)"/>
    <d v="2014-09-27T00:00:00"/>
    <n v="-37.22"/>
    <s v="X"/>
    <s v="Fred Meyer"/>
    <s v="Tod boy 4-1"/>
    <s v="Kids:Clothing/From Receipt"/>
    <m/>
    <s v="Split"/>
    <s v="From Receipt"/>
    <x v="27"/>
    <s v="Clothing"/>
    <x v="0"/>
    <m/>
    <x v="0"/>
    <m/>
    <s v="Sep"/>
    <n v="2014"/>
    <s v="Monthly"/>
    <n v="0"/>
    <s v="No"/>
    <s v="None"/>
    <s v="Kids|Clothing"/>
  </r>
  <r>
    <s v="MasterCard (Capital One)"/>
    <d v="2014-09-27T00:00:00"/>
    <n v="-27.36"/>
    <s v="X"/>
    <s v="Fred Meyer"/>
    <s v="Tod girl 4-1"/>
    <s v="Kids:Clothing/From Receipt"/>
    <m/>
    <s v="Split"/>
    <s v="From Receipt"/>
    <x v="27"/>
    <s v="Clothing"/>
    <x v="0"/>
    <m/>
    <x v="0"/>
    <m/>
    <s v="Sep"/>
    <n v="2014"/>
    <s v="Monthly"/>
    <n v="0"/>
    <s v="No"/>
    <s v="None"/>
    <s v="Kids|Clothing"/>
  </r>
  <r>
    <s v="MasterCard (Capital One)"/>
    <d v="2014-09-27T00:00:00"/>
    <n v="-24.07"/>
    <s v="X"/>
    <s v="Fred Meyer"/>
    <s v="2x Slippers for boys"/>
    <s v="Kids:Clothing/From Receipt"/>
    <m/>
    <s v="Split"/>
    <s v="From Receipt"/>
    <x v="27"/>
    <s v="Clothing"/>
    <x v="0"/>
    <m/>
    <x v="0"/>
    <m/>
    <s v="Sep"/>
    <n v="2014"/>
    <s v="Monthly"/>
    <n v="0"/>
    <s v="No"/>
    <s v="None"/>
    <s v="Kids|Clothing"/>
  </r>
  <r>
    <s v="MasterCard (Capital One)"/>
    <d v="2014-09-27T00:00:00"/>
    <n v="-87.39"/>
    <s v="X"/>
    <s v="Fred Meyer"/>
    <m/>
    <s v="Food &amp; Dining:Groceries/From Receipt"/>
    <m/>
    <s v="Split"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Chase Freedom XX9381"/>
    <d v="2014-09-26T00:00:00"/>
    <n v="-32.47"/>
    <s v="X"/>
    <s v="74th St Al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26T00:00:00"/>
    <n v="-26.59"/>
    <s v="X"/>
    <s v="Ken's Market"/>
    <m/>
    <s v="Food &amp; Dining:Groceries"/>
    <m/>
    <m/>
    <m/>
    <x v="15"/>
    <s v="Groceries"/>
    <x v="0"/>
    <m/>
    <x v="0"/>
    <m/>
    <s v="Sep"/>
    <n v="2014"/>
    <s v="Monthly"/>
    <n v="0"/>
    <s v="No"/>
    <s v="None"/>
    <s v="Food &amp; Dining|Groceries"/>
  </r>
  <r>
    <s v="Chase Freedom XX9381"/>
    <d v="2014-09-25T00:00:00"/>
    <n v="-6.1"/>
    <s v="X"/>
    <s v="Acapulco Fresh Mexican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Freedom XX9381"/>
    <d v="2014-09-25T00:00:00"/>
    <n v="-8.67"/>
    <s v="X"/>
    <s v="Taco Del Mar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Koolikai - Checking XX2129"/>
    <d v="2014-09-24T00:00:00"/>
    <n v="-146.91999999999999"/>
    <s v="X"/>
    <s v="Chase - Koolikai (Autopay)"/>
    <s v="ACH Debit--CHASE  - AUTOPAYBUS"/>
    <s v="[Koolikai Credit Card]"/>
    <m/>
    <m/>
    <m/>
    <x v="9"/>
    <m/>
    <x v="0"/>
    <m/>
    <x v="0"/>
    <m/>
    <s v="Sep"/>
    <n v="2014"/>
    <s v="Account"/>
    <n v="0"/>
    <s v="No"/>
    <s v="None"/>
    <s v="[Koolikai Credit Card]"/>
  </r>
  <r>
    <s v="Chase Freedom XX9381"/>
    <d v="2014-09-24T00:00:00"/>
    <n v="-6.3"/>
    <s v="X"/>
    <s v="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24T00:00:00"/>
    <n v="50"/>
    <s v="X"/>
    <s v="Capital One (Cash Back)"/>
    <m/>
    <s v="Other Inc"/>
    <m/>
    <m/>
    <m/>
    <x v="29"/>
    <m/>
    <x v="0"/>
    <m/>
    <x v="0"/>
    <m/>
    <s v="Sep"/>
    <n v="2014"/>
    <s v="Monthly"/>
    <n v="0"/>
    <s v="No"/>
    <s v="None"/>
    <s v="Other Inc"/>
  </r>
  <r>
    <s v="First Tech - Checking (5544)"/>
    <d v="2014-09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Sep"/>
    <n v="2014"/>
    <s v="Monthly"/>
    <n v="0"/>
    <s v="No"/>
    <s v="None"/>
    <s v="Auto &amp; Transport|Auto Lease Payment"/>
  </r>
  <r>
    <s v="Chase Freedom XX9381"/>
    <d v="2014-09-23T00:00:00"/>
    <n v="-31.96"/>
    <s v="X"/>
    <s v="Home Depot"/>
    <s v="Hack saw blades, door sweeps, caulk"/>
    <s v="Business Expenses (Koolikai):Tools"/>
    <m/>
    <m/>
    <m/>
    <x v="36"/>
    <s v="Tools"/>
    <x v="0"/>
    <m/>
    <x v="0"/>
    <m/>
    <s v="Sep"/>
    <n v="2014"/>
    <s v="Irregular"/>
    <n v="0"/>
    <s v="No"/>
    <s v="None"/>
    <s v="Business Expenses (Koolikai)|Tools"/>
  </r>
  <r>
    <s v="Koolikai Credit Card"/>
    <d v="2014-09-23T00:00:00"/>
    <n v="146.91999999999999"/>
    <s v="X"/>
    <s v="Chase - Koolikai (Autopay)"/>
    <m/>
    <s v="[Koolikai - Checking XX2129]"/>
    <m/>
    <m/>
    <m/>
    <x v="25"/>
    <m/>
    <x v="0"/>
    <m/>
    <x v="0"/>
    <m/>
    <s v="Sep"/>
    <n v="2014"/>
    <s v="Account"/>
    <n v="0"/>
    <s v="No"/>
    <s v="None"/>
    <s v="[Koolikai - Checking XX2129]"/>
  </r>
  <r>
    <s v="First Tech - Checking (5544)"/>
    <d v="2014-09-22T00:00:00"/>
    <n v="-85.11"/>
    <s v="X"/>
    <s v="Seattle City Light"/>
    <s v="ACH Debit--CITY OF SEATTLE  - 1 - SCL De"/>
    <s v="Bills &amp; Utilities:Utilities"/>
    <m/>
    <m/>
    <m/>
    <x v="34"/>
    <s v="Utilities"/>
    <x v="0"/>
    <m/>
    <x v="0"/>
    <m/>
    <s v="Sep"/>
    <n v="2014"/>
    <s v="Monthly"/>
    <n v="0"/>
    <s v="No"/>
    <s v="None"/>
    <s v="Bills &amp; Utilities|Utilities"/>
  </r>
  <r>
    <s v="Chase Freedom XX9381"/>
    <d v="2014-09-22T00:00:00"/>
    <n v="-0.5"/>
    <s v="X"/>
    <s v="Park"/>
    <m/>
    <s v="Auto &amp; Transport:Parking"/>
    <m/>
    <m/>
    <m/>
    <x v="17"/>
    <s v="Parking"/>
    <x v="0"/>
    <m/>
    <x v="0"/>
    <m/>
    <s v="Sep"/>
    <n v="2014"/>
    <s v="Monthly"/>
    <n v="0"/>
    <s v="No"/>
    <s v="None"/>
    <s v="Auto &amp; Transport|Parking"/>
  </r>
  <r>
    <s v="Chase Freedom XX9381"/>
    <d v="2014-09-22T00:00:00"/>
    <n v="-29.09"/>
    <s v="X"/>
    <s v="Skillet Diner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Freedom XX9381"/>
    <d v="2014-09-22T00:00:00"/>
    <n v="-52.92"/>
    <s v="X"/>
    <s v="Old Spaghetti Fctry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Freedom XX9381"/>
    <d v="2014-09-21T00:00:00"/>
    <n v="-6.3"/>
    <s v="X"/>
    <s v="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Freedom XX9381"/>
    <d v="2014-09-21T00:00:00"/>
    <n v="-8.2100000000000009"/>
    <s v="X"/>
    <s v="Officemax"/>
    <s v="Envelopes"/>
    <s v="Business Expenses (Koolikai):Office Expenses (Business)"/>
    <m/>
    <m/>
    <m/>
    <x v="36"/>
    <s v="Office Expenses (Business)"/>
    <x v="0"/>
    <m/>
    <x v="0"/>
    <m/>
    <s v="Sep"/>
    <n v="2014"/>
    <s v="Monthly"/>
    <n v="0"/>
    <s v="No"/>
    <s v="None"/>
    <s v="Business Expenses (Koolikai)|Office Expenses (Business)"/>
  </r>
  <r>
    <s v="Chase Freedom XX9381"/>
    <d v="2014-09-21T00:00:00"/>
    <n v="-57"/>
    <s v="X"/>
    <s v="Beehive Salon"/>
    <m/>
    <s v="Personal Care:Hair"/>
    <m/>
    <m/>
    <m/>
    <x v="31"/>
    <s v="Hair"/>
    <x v="0"/>
    <m/>
    <x v="0"/>
    <m/>
    <s v="Sep"/>
    <n v="2014"/>
    <s v="Monthly"/>
    <n v="0"/>
    <s v="No"/>
    <s v="None"/>
    <s v="Personal Care|Hair"/>
  </r>
  <r>
    <s v="Chase Freedom XX9381"/>
    <d v="2014-09-21T00:00:00"/>
    <n v="-19.690000000000001"/>
    <s v="X"/>
    <s v="Fred Meyer"/>
    <s v="Flowers"/>
    <s v="Projects:Landscaping/From Receipt"/>
    <m/>
    <s v="Split"/>
    <s v="From Receipt"/>
    <x v="39"/>
    <s v="Landscaping"/>
    <x v="0"/>
    <m/>
    <x v="0"/>
    <m/>
    <s v="Sep"/>
    <n v="2014"/>
    <s v="Unplanned"/>
    <n v="0"/>
    <s v="No"/>
    <s v="None"/>
    <s v="Projects|Landscaping"/>
  </r>
  <r>
    <s v="Chase Freedom XX9381"/>
    <d v="2014-09-21T00:00:00"/>
    <n v="-105.64"/>
    <s v="X"/>
    <s v="Fred Meyer"/>
    <m/>
    <s v="Food &amp; Dining:Groceries/From Receipt"/>
    <m/>
    <s v="Split"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Chase Freedom XX9381"/>
    <d v="2014-09-19T00:00:00"/>
    <n v="-11.95"/>
    <s v="X"/>
    <s v="T-mobile"/>
    <m/>
    <s v="Bills &amp; Utilities:Mobile Phone"/>
    <m/>
    <m/>
    <m/>
    <x v="34"/>
    <s v="Mobile Phone"/>
    <x v="0"/>
    <m/>
    <x v="0"/>
    <m/>
    <s v="Sep"/>
    <n v="2014"/>
    <s v="Hidden"/>
    <n v="0"/>
    <s v="No"/>
    <s v="None"/>
    <s v="Bills &amp; Utilities|Mobile Phone"/>
  </r>
  <r>
    <s v="Chase Freedom XX9381"/>
    <d v="2014-09-19T00:00:00"/>
    <n v="-575.15"/>
    <s v="X"/>
    <s v="Farmers Insurance"/>
    <s v="Mom's insurance"/>
    <s v="Gifts"/>
    <m/>
    <m/>
    <m/>
    <x v="28"/>
    <m/>
    <x v="0"/>
    <m/>
    <x v="0"/>
    <m/>
    <s v="Sep"/>
    <n v="2014"/>
    <s v="Monthly"/>
    <n v="0"/>
    <s v="No"/>
    <s v="None"/>
    <s v="Gifts"/>
  </r>
  <r>
    <s v="Chase Freedom XX9381"/>
    <d v="2014-09-18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8T00:00:00"/>
    <n v="-6.1"/>
    <s v="X"/>
    <s v="Acapulco Fresh Mexican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Edward Jones - Roth IRA"/>
    <d v="2014-09-18T00:00:00"/>
    <n v="15.72"/>
    <s v="c"/>
    <m/>
    <m/>
    <m/>
    <s v="ReinvDiv"/>
    <m/>
    <m/>
    <x v="26"/>
    <m/>
    <x v="0"/>
    <m/>
    <x v="0"/>
    <m/>
    <s v="Sep"/>
    <n v="2014"/>
    <e v="#N/A"/>
    <e v="#N/A"/>
    <e v="#N/A"/>
    <e v="#N/A"/>
    <n v="0"/>
  </r>
  <r>
    <s v="Chase Freedom XX9381"/>
    <d v="2014-09-17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43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43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8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8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33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51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6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7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78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94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94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95"/>
    <s v="X"/>
    <s v="Adjustmen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Kmar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Liquorland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Liquorland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Kmar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43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43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88"/>
    <s v="X"/>
    <s v="Big W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8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33"/>
    <s v="X"/>
    <s v="Kmar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51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68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78"/>
    <s v="X"/>
    <s v="Kmar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78"/>
    <s v="X"/>
    <s v="Kmart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94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94"/>
    <s v="X"/>
    <s v="Cole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95"/>
    <s v="X"/>
    <s v="Woolworths"/>
    <m/>
    <s v="Misc Expenses:Fraud"/>
    <m/>
    <m/>
    <m/>
    <x v="45"/>
    <s v="Fraud"/>
    <x v="0"/>
    <m/>
    <x v="0"/>
    <m/>
    <s v="Sep"/>
    <n v="2014"/>
    <e v="#N/A"/>
    <e v="#N/A"/>
    <e v="#N/A"/>
    <e v="#N/A"/>
    <s v="Misc Expenses|Fraud"/>
  </r>
  <r>
    <s v="MasterCard (Capital One)"/>
    <d v="2014-09-16T00:00:00"/>
    <n v="-5.49"/>
    <s v="X"/>
    <s v="Sq Hallava Falafel"/>
    <s v="Food truck at Microsoft"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First Tech - Checking (5544)"/>
    <d v="2014-09-15T00:00:00"/>
    <n v="62"/>
    <s v="X"/>
    <s v="Balance Refund Jcgprdid"/>
    <s v="Received as a check"/>
    <s v="[REI Mastercard (xx1787)]"/>
    <m/>
    <m/>
    <m/>
    <x v="11"/>
    <m/>
    <x v="0"/>
    <m/>
    <x v="0"/>
    <m/>
    <s v="Sep"/>
    <n v="2014"/>
    <e v="#N/A"/>
    <e v="#N/A"/>
    <e v="#N/A"/>
    <e v="#N/A"/>
    <s v="[REI Mastercard (xx1787)]"/>
  </r>
  <r>
    <s v="First Tech - Checking (5544)"/>
    <d v="2014-09-15T00:00:00"/>
    <n v="-45.02"/>
    <s v="X"/>
    <s v="Puget Sound Energy"/>
    <s v="ACH Debit--PUGET SOUND ENER DIRECT DEBITING - PSE BILL  41250464"/>
    <s v="Bills &amp; Utilities:Utilities"/>
    <m/>
    <m/>
    <m/>
    <x v="34"/>
    <s v="Utilities"/>
    <x v="0"/>
    <m/>
    <x v="0"/>
    <m/>
    <s v="Sep"/>
    <n v="2014"/>
    <s v="Monthly"/>
    <n v="0"/>
    <s v="No"/>
    <s v="None"/>
    <s v="Bills &amp; Utilities|Utilities"/>
  </r>
  <r>
    <s v="First Tech - Checking (5544)"/>
    <d v="2014-09-15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Sep"/>
    <n v="2014"/>
    <s v="Monthly"/>
    <n v="0"/>
    <s v="No"/>
    <s v="None"/>
    <s v="Home|Home Services"/>
  </r>
  <r>
    <s v="First Tech - Checking (5544)"/>
    <d v="2014-09-15T00:00:00"/>
    <n v="-48"/>
    <s v="X"/>
    <s v="Poppy Weber"/>
    <s v="Check--"/>
    <s v="Kids:Babysitter"/>
    <n v="2134"/>
    <m/>
    <m/>
    <x v="27"/>
    <s v="Babysitter"/>
    <x v="0"/>
    <m/>
    <x v="0"/>
    <m/>
    <s v="Sep"/>
    <n v="2014"/>
    <s v="Monthly"/>
    <n v="0"/>
    <s v="No"/>
    <s v="None"/>
    <s v="Kids|Babysitter"/>
  </r>
  <r>
    <s v="Chase Amazon (XX8482)"/>
    <d v="2014-09-15T00:00:00"/>
    <n v="-1.62"/>
    <s v="X"/>
    <s v="Amazon"/>
    <s v="5pc SN74HC595N Shift Registers"/>
    <s v="Shopping:Electronics &amp; Software"/>
    <m/>
    <m/>
    <m/>
    <x v="13"/>
    <s v="Electronics &amp; Software"/>
    <x v="0"/>
    <m/>
    <x v="0"/>
    <m/>
    <s v="Sep"/>
    <n v="2014"/>
    <s v="Annual"/>
    <n v="0"/>
    <s v="No"/>
    <s v="None"/>
    <s v="Shopping|Electronics &amp; Software"/>
  </r>
  <r>
    <s v="MasterCard (Capital One)"/>
    <d v="2014-09-15T00:00:00"/>
    <n v="-5.6"/>
    <s v="X"/>
    <s v="Ken Market"/>
    <m/>
    <s v="Food &amp; Dining:Groceries"/>
    <m/>
    <m/>
    <m/>
    <x v="15"/>
    <s v="Groceries"/>
    <x v="0"/>
    <m/>
    <x v="0"/>
    <m/>
    <s v="Sep"/>
    <n v="2014"/>
    <s v="Monthly"/>
    <n v="0"/>
    <s v="No"/>
    <s v="None"/>
    <s v="Food &amp; Dining|Groceries"/>
  </r>
  <r>
    <s v="MasterCard (Capital One)"/>
    <d v="2014-09-15T00:00:00"/>
    <n v="-60"/>
    <s v="X"/>
    <s v="Phinney Neighborhood Association"/>
    <m/>
    <s v="Charity:Charity (Cash)"/>
    <m/>
    <m/>
    <m/>
    <x v="22"/>
    <s v="Charity (Cash)"/>
    <x v="0"/>
    <m/>
    <x v="0"/>
    <m/>
    <s v="Sep"/>
    <n v="2014"/>
    <s v="Annual"/>
    <n v="0"/>
    <s v="No"/>
    <s v="None"/>
    <s v="Charity|Charity (Cash)"/>
  </r>
  <r>
    <s v="MasterCard (Capital One)"/>
    <d v="2014-09-15T00:00:00"/>
    <n v="-72.92"/>
    <s v="X"/>
    <s v="Fred Meyer"/>
    <m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REI Mastercard (xx1787)"/>
    <d v="2014-09-15T00:00:00"/>
    <n v="-62"/>
    <s v="X"/>
    <s v="Balance Refund Jcgprdid"/>
    <s v="Received as a check"/>
    <s v="[First Tech - Checking (5544)]"/>
    <m/>
    <m/>
    <m/>
    <x v="21"/>
    <m/>
    <x v="0"/>
    <m/>
    <x v="0"/>
    <m/>
    <s v="Sep"/>
    <n v="2014"/>
    <s v="Account"/>
    <n v="0"/>
    <s v="No"/>
    <s v="None"/>
    <s v="[First Tech - Checking (5544)]"/>
  </r>
  <r>
    <s v="First Tech - Checking (5544)"/>
    <d v="2014-09-14T00:00:00"/>
    <n v="23434.66"/>
    <s v="X"/>
    <s v="Microsoft (Paystub)"/>
    <s v="ACH Deposit--MICROSOFT  - EDIPAYMENT"/>
    <s v="Net Salary"/>
    <m/>
    <m/>
    <m/>
    <x v="35"/>
    <m/>
    <x v="0"/>
    <m/>
    <x v="0"/>
    <m/>
    <s v="Sep"/>
    <n v="2014"/>
    <s v="Monthly"/>
    <n v="0"/>
    <s v="No"/>
    <s v="None"/>
    <s v="Net Salary"/>
  </r>
  <r>
    <s v="Chase Freedom XX9381"/>
    <d v="2014-09-14T00:00:00"/>
    <n v="-10.9"/>
    <s v="X"/>
    <s v="Bluebird Ice Cream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4T00:00:00"/>
    <n v="-21.72"/>
    <s v="X"/>
    <s v="Mcdonald'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4T00:00:00"/>
    <n v="-23.4"/>
    <s v="X"/>
    <s v="Remlinger Farm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3T00:00:00"/>
    <n v="-4.37"/>
    <s v="X"/>
    <s v="Third Place Books"/>
    <m/>
    <s v="Shopping:Books"/>
    <m/>
    <m/>
    <m/>
    <x v="13"/>
    <s v="Books"/>
    <x v="0"/>
    <m/>
    <x v="0"/>
    <m/>
    <s v="Sep"/>
    <n v="2014"/>
    <s v="Unplanned"/>
    <n v="0"/>
    <s v="No"/>
    <s v="None"/>
    <s v="Shopping|Books"/>
  </r>
  <r>
    <s v="MasterCard (Capital One)"/>
    <d v="2014-09-13T00:00:00"/>
    <n v="-5.45"/>
    <s v="X"/>
    <s v="Safeway"/>
    <m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MasterCard (Capital One)"/>
    <d v="2014-09-13T00:00:00"/>
    <n v="-12.5"/>
    <s v="X"/>
    <s v="Marcoe Candy Company"/>
    <s v="Food at the fair"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3T00:00:00"/>
    <n v="-14"/>
    <s v="X"/>
    <s v="Washington State Fair"/>
    <s v="Puyallup Fair - Rides"/>
    <s v="Kids:Kids Activities"/>
    <m/>
    <m/>
    <m/>
    <x v="27"/>
    <s v="Kids Activities"/>
    <x v="0"/>
    <m/>
    <x v="0"/>
    <m/>
    <s v="Sep"/>
    <n v="2014"/>
    <s v="Monthly"/>
    <n v="0"/>
    <s v="No"/>
    <s v="None"/>
    <s v="Kids|Kids Activities"/>
  </r>
  <r>
    <s v="MasterCard (Capital One)"/>
    <d v="2014-09-13T00:00:00"/>
    <n v="-20"/>
    <s v="X"/>
    <s v="Safeway"/>
    <s v="Puyallup Fair - Tickets"/>
    <s v="Kids:Kids Activities/From Receipt"/>
    <m/>
    <m/>
    <s v="From Receipt"/>
    <x v="27"/>
    <s v="Kids Activities"/>
    <x v="0"/>
    <m/>
    <x v="0"/>
    <m/>
    <s v="Sep"/>
    <n v="2014"/>
    <s v="Monthly"/>
    <n v="0"/>
    <s v="No"/>
    <s v="None"/>
    <s v="Kids|Kids Activities"/>
  </r>
  <r>
    <s v="MasterCard (Capital One)"/>
    <d v="2014-09-13T00:00:00"/>
    <n v="-28.5"/>
    <s v="X"/>
    <s v="Washington State Fair"/>
    <s v="Puyallup Fair - Rides"/>
    <s v="Kids:Kids Activities"/>
    <m/>
    <m/>
    <m/>
    <x v="27"/>
    <s v="Kids Activities"/>
    <x v="0"/>
    <m/>
    <x v="0"/>
    <m/>
    <s v="Sep"/>
    <n v="2014"/>
    <s v="Monthly"/>
    <n v="0"/>
    <s v="No"/>
    <s v="None"/>
    <s v="Kids|Kids Activities"/>
  </r>
  <r>
    <s v="MasterCard (Capital One)"/>
    <d v="2014-09-13T00:00:00"/>
    <n v="-84"/>
    <s v="X"/>
    <s v="Vios Cafe 3rd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Koolikai Credit Card"/>
    <d v="2014-09-12T00:00:00"/>
    <n v="-148.16"/>
    <s v="X"/>
    <s v="Verizon Wireless"/>
    <m/>
    <s v="Business Expenses (Koolikai):Cell Phone"/>
    <m/>
    <m/>
    <m/>
    <x v="36"/>
    <s v="Cell Phone"/>
    <x v="0"/>
    <m/>
    <x v="0"/>
    <m/>
    <s v="Sep"/>
    <n v="2014"/>
    <s v="Monthly"/>
    <n v="0"/>
    <s v="No"/>
    <s v="None"/>
    <s v="Business Expenses (Koolikai)|Cell Phone"/>
  </r>
  <r>
    <s v="MasterCard (Capital One)"/>
    <d v="2014-09-12T00:00:00"/>
    <n v="-7.11"/>
    <s v="X"/>
    <s v="Fresh Table 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2T00:00:00"/>
    <n v="-27"/>
    <s v="X"/>
    <s v="Seattle Public Libraries"/>
    <s v="Book fair"/>
    <s v="Shopping:Books/From Receipt"/>
    <m/>
    <m/>
    <s v="From Receipt"/>
    <x v="13"/>
    <s v="Books"/>
    <x v="0"/>
    <m/>
    <x v="0"/>
    <m/>
    <s v="Sep"/>
    <n v="2014"/>
    <s v="Unplanned"/>
    <n v="0"/>
    <s v="No"/>
    <s v="None"/>
    <s v="Shopping|Books"/>
  </r>
  <r>
    <s v="MasterCard (Capital One)"/>
    <d v="2014-09-12T00:00:00"/>
    <n v="-56.43"/>
    <s v="X"/>
    <s v="Pies &amp; Pint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Chase Amazon (XX8482)"/>
    <d v="2014-09-11T00:00:00"/>
    <n v="-4.4800000000000004"/>
    <s v="X"/>
    <s v="Amazon"/>
    <s v="Colored LEDs"/>
    <s v="Shopping:Electronics &amp; Software"/>
    <m/>
    <m/>
    <m/>
    <x v="13"/>
    <s v="Electronics &amp; Software"/>
    <x v="0"/>
    <m/>
    <x v="0"/>
    <m/>
    <s v="Sep"/>
    <n v="2014"/>
    <s v="Annual"/>
    <n v="0"/>
    <s v="No"/>
    <s v="None"/>
    <s v="Shopping|Electronics &amp; Software"/>
  </r>
  <r>
    <s v="Chase Amazon (XX8482)"/>
    <d v="2014-09-11T00:00:00"/>
    <n v="-79.56"/>
    <s v="X"/>
    <s v="Amazon"/>
    <s v="Wet suits for Zach and Josh"/>
    <s v="Health &amp; Fitness:Sports"/>
    <m/>
    <m/>
    <m/>
    <x v="18"/>
    <s v="Sports"/>
    <x v="0"/>
    <m/>
    <x v="0"/>
    <m/>
    <s v="Sep"/>
    <n v="2014"/>
    <s v="Irregular"/>
    <n v="0"/>
    <s v="No"/>
    <s v="None"/>
    <s v="Health &amp; Fitness|Sports"/>
  </r>
  <r>
    <s v="MasterCard (Capital One)"/>
    <d v="2014-09-11T00:00:00"/>
    <n v="-5.22"/>
    <s v="X"/>
    <s v="Mcdonald'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1T00:00:00"/>
    <n v="-9.4"/>
    <s v="X"/>
    <s v="Jamba Juic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1T00:00:00"/>
    <n v="-18.329999999999998"/>
    <s v="X"/>
    <s v="Canyons Redmond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11T00:00:00"/>
    <n v="-25"/>
    <s v="X"/>
    <s v="Virginia Mason Visual"/>
    <s v="Angela's contacts"/>
    <s v="Health &amp; Fitness:Eyecare/From Receipt"/>
    <m/>
    <m/>
    <s v="From Receipt"/>
    <x v="18"/>
    <s v="Eyecare"/>
    <x v="0"/>
    <m/>
    <x v="0"/>
    <m/>
    <s v="Sep"/>
    <n v="2014"/>
    <s v="Irregular"/>
    <n v="0"/>
    <s v="No"/>
    <s v="None"/>
    <s v="Health &amp; Fitness|Eyecare"/>
  </r>
  <r>
    <s v="Chase Amazon (XX8482)"/>
    <d v="2014-09-10T00:00:00"/>
    <n v="-2.76"/>
    <s v="X"/>
    <s v="Amazon"/>
    <s v="Anti-static tweezers"/>
    <s v="Business Expenses (Koolikai):Tools"/>
    <m/>
    <m/>
    <m/>
    <x v="36"/>
    <s v="Tools"/>
    <x v="0"/>
    <m/>
    <x v="0"/>
    <m/>
    <s v="Sep"/>
    <n v="2014"/>
    <s v="Irregular"/>
    <n v="0"/>
    <s v="No"/>
    <s v="None"/>
    <s v="Business Expenses (Koolikai)|Tools"/>
  </r>
  <r>
    <s v="Chase Amazon (XX8482)"/>
    <d v="2014-09-09T00:00:00"/>
    <n v="-10"/>
    <s v="X"/>
    <s v="Amazon"/>
    <s v="Potentiometers"/>
    <s v="Shopping:Electronics &amp; Software"/>
    <m/>
    <m/>
    <m/>
    <x v="13"/>
    <s v="Electronics &amp; Software"/>
    <x v="0"/>
    <m/>
    <x v="0"/>
    <m/>
    <s v="Sep"/>
    <n v="2014"/>
    <s v="Annual"/>
    <n v="0"/>
    <s v="No"/>
    <s v="None"/>
    <s v="Shopping|Electronics &amp; Software"/>
  </r>
  <r>
    <s v="Chase Freedom XX9381"/>
    <d v="2014-09-09T00:00:00"/>
    <n v="-0.01"/>
    <s v="X"/>
    <s v="Microsoft"/>
    <s v="#Apps#"/>
    <s v="Work Expense:Reimbursable expense"/>
    <m/>
    <m/>
    <m/>
    <x v="19"/>
    <s v="Reimbursable expense"/>
    <x v="0"/>
    <m/>
    <x v="4"/>
    <m/>
    <s v="Sep"/>
    <n v="2014"/>
    <s v="Irregular"/>
    <n v="0"/>
    <s v="No"/>
    <s v="None"/>
    <s v="Work Expense|Reimbursable expense"/>
  </r>
  <r>
    <s v="MasterCard (Capital One)"/>
    <d v="2014-09-09T00:00:00"/>
    <n v="-10"/>
    <s v="X"/>
    <s v="Walgreens"/>
    <m/>
    <s v="Health &amp; Fitness:Pharmacy/From Receipt"/>
    <m/>
    <m/>
    <s v="From Receipt"/>
    <x v="18"/>
    <s v="Pharmacy"/>
    <x v="0"/>
    <m/>
    <x v="0"/>
    <m/>
    <s v="Sep"/>
    <n v="2014"/>
    <s v="Irregular"/>
    <n v="0"/>
    <s v="No"/>
    <s v="None"/>
    <s v="Health &amp; Fitness|Pharmacy"/>
  </r>
  <r>
    <s v="MasterCard (Capital One)"/>
    <d v="2014-09-09T00:00:00"/>
    <n v="-29.61"/>
    <s v="X"/>
    <s v="Fred Meyer"/>
    <m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First Tech - Checking (5544)"/>
    <d v="2014-09-08T00:00:00"/>
    <n v="109.69"/>
    <s v="X"/>
    <s v="Taylor &amp; Francis"/>
    <s v="Angela's book royalties"/>
    <s v="Morale Money"/>
    <m/>
    <m/>
    <m/>
    <x v="46"/>
    <m/>
    <x v="0"/>
    <m/>
    <x v="0"/>
    <m/>
    <s v="Sep"/>
    <n v="2014"/>
    <e v="#N/A"/>
    <e v="#N/A"/>
    <e v="#N/A"/>
    <e v="#N/A"/>
    <s v="Morale Money"/>
  </r>
  <r>
    <s v="Koolikai - Checking XX2129"/>
    <d v="2014-09-08T00:00:00"/>
    <n v="2295"/>
    <s v="X"/>
    <s v="Aaron Ausland"/>
    <s v="Deposit--Shared Branch Mobile Deposit          First Tech FC CA"/>
    <s v="Business Income (Koolikai):Rent/7231"/>
    <m/>
    <m/>
    <n v="7231"/>
    <x v="37"/>
    <s v="Rent"/>
    <x v="0"/>
    <m/>
    <x v="0"/>
    <m/>
    <s v="Sep"/>
    <n v="2014"/>
    <s v="Monthly"/>
    <n v="0"/>
    <s v="No"/>
    <s v="None"/>
    <s v="Business Income (Koolikai)|Rent"/>
  </r>
  <r>
    <s v="American Express (Costco)"/>
    <d v="2014-09-08T00:00:00"/>
    <n v="26.84"/>
    <s v="X"/>
    <s v="Costco Whse Seattle"/>
    <s v="Matress Inflator (Return)"/>
    <s v="Shopping:Hobbies:Camping Equipment/From Receipt"/>
    <m/>
    <m/>
    <s v="From Receipt"/>
    <x v="13"/>
    <s v="Hobbies"/>
    <x v="2"/>
    <m/>
    <x v="0"/>
    <m/>
    <s v="Sep"/>
    <n v="2014"/>
    <s v="Annual"/>
    <n v="0"/>
    <s v="No"/>
    <s v="None"/>
    <s v="Shopping|Hobbies"/>
  </r>
  <r>
    <s v="American Express (Costco)"/>
    <d v="2014-09-08T00:00:00"/>
    <n v="-127.85"/>
    <s v="X"/>
    <s v="Costco"/>
    <s v="@BAL:-$101.01@@CAT:@"/>
    <s v="Food &amp; Dining:Groceries"/>
    <m/>
    <m/>
    <m/>
    <x v="15"/>
    <s v="Groceries"/>
    <x v="0"/>
    <m/>
    <x v="0"/>
    <m/>
    <s v="Sep"/>
    <n v="2014"/>
    <s v="Monthly"/>
    <n v="0"/>
    <s v="No"/>
    <s v="None"/>
    <s v="Food &amp; Dining|Groceries"/>
  </r>
  <r>
    <s v="Chase Amazon (XX8482)"/>
    <d v="2014-09-08T00:00:00"/>
    <n v="0"/>
    <s v="X"/>
    <s v="Opening Balance"/>
    <m/>
    <s v="[Chase Amazon (XX8482)]"/>
    <m/>
    <m/>
    <m/>
    <x v="6"/>
    <m/>
    <x v="0"/>
    <m/>
    <x v="0"/>
    <m/>
    <s v="Sep"/>
    <n v="2014"/>
    <e v="#N/A"/>
    <e v="#N/A"/>
    <e v="#N/A"/>
    <e v="#N/A"/>
    <s v="[Chase Amazon (XX8482)]"/>
  </r>
  <r>
    <s v="MasterCard (Capital One)"/>
    <d v="2014-09-07T00:00:00"/>
    <n v="2.93"/>
    <s v="X"/>
    <s v="Home Depot"/>
    <s v="Returned conduit"/>
    <s v="Projects:Electric Car Setup"/>
    <m/>
    <m/>
    <m/>
    <x v="39"/>
    <s v="Electric Car Setup"/>
    <x v="0"/>
    <m/>
    <x v="0"/>
    <m/>
    <s v="Sep"/>
    <n v="2014"/>
    <s v="Unplanned"/>
    <n v="0"/>
    <s v="No"/>
    <s v="None"/>
    <s v="Projects|Electric Car Setup"/>
  </r>
  <r>
    <s v="MasterCard (Capital One)"/>
    <d v="2014-09-07T00:00:00"/>
    <n v="-36"/>
    <s v="X"/>
    <s v="Bright Horizons Back"/>
    <m/>
    <s v="Kids:Daycare"/>
    <m/>
    <m/>
    <m/>
    <x v="27"/>
    <s v="Daycare"/>
    <x v="0"/>
    <m/>
    <x v="0"/>
    <m/>
    <s v="Sep"/>
    <n v="2014"/>
    <s v="Monthly"/>
    <n v="0"/>
    <s v="No"/>
    <s v="None"/>
    <s v="Kids|Daycare"/>
  </r>
  <r>
    <s v="MasterCard (Capital One)"/>
    <d v="2014-09-06T00:00:00"/>
    <n v="-3.7"/>
    <s v="X"/>
    <s v="Park"/>
    <m/>
    <s v="Auto &amp; Transport:Parking"/>
    <m/>
    <m/>
    <m/>
    <x v="17"/>
    <s v="Parking"/>
    <x v="0"/>
    <m/>
    <x v="0"/>
    <m/>
    <s v="Sep"/>
    <n v="2014"/>
    <s v="Monthly"/>
    <n v="0"/>
    <s v="No"/>
    <s v="None"/>
    <s v="Auto &amp; Transport|Parking"/>
  </r>
  <r>
    <s v="MasterCard (Capital One)"/>
    <d v="2014-09-06T00:00:00"/>
    <n v="-5.25"/>
    <s v="X"/>
    <s v="Bartell Drug"/>
    <m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MasterCard (Capital One)"/>
    <d v="2014-09-06T00:00:00"/>
    <n v="-26.99"/>
    <s v="X"/>
    <s v="Bastille Cafe Bar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06T00:00:00"/>
    <n v="-30.45"/>
    <s v="X"/>
    <s v="Ballard Mkt Thrift"/>
    <m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MasterCard (Capital One)"/>
    <d v="2014-09-06T00:00:00"/>
    <n v="-98.08"/>
    <s v="X"/>
    <s v="Il Bistro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06T00:00:00"/>
    <n v="-128.30000000000001"/>
    <s v="X"/>
    <s v="Fred Meyer"/>
    <m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First Tech - Checking (5544)"/>
    <d v="2014-09-05T00:00:00"/>
    <n v="-53.25"/>
    <s v="X"/>
    <s v="Kirk Boettcher"/>
    <s v="ACH Debit--KIRK BOETTCHER  - ONLINE PMT"/>
    <s v="Health &amp; Fitness:Dentist"/>
    <m/>
    <m/>
    <m/>
    <x v="18"/>
    <s v="Dentist"/>
    <x v="0"/>
    <m/>
    <x v="0"/>
    <m/>
    <s v="Sep"/>
    <n v="2014"/>
    <s v="Irregular"/>
    <n v="0"/>
    <s v="No"/>
    <s v="None"/>
    <s v="Health &amp; Fitness|Dentist"/>
  </r>
  <r>
    <s v="First Tech - Checking (5544)"/>
    <d v="2014-09-05T00:00:00"/>
    <n v="-3864.19"/>
    <s v="X"/>
    <s v="Wells Fargo Home Mortgage"/>
    <s v="ACH Debit--WF HOME MTG ACH - AUTO PAY"/>
    <s v="Home:Mortgage"/>
    <m/>
    <m/>
    <m/>
    <x v="14"/>
    <s v="Mortgage"/>
    <x v="0"/>
    <m/>
    <x v="0"/>
    <m/>
    <s v="Sep"/>
    <n v="2014"/>
    <s v="Monthly"/>
    <n v="0"/>
    <s v="No"/>
    <s v="None"/>
    <s v="Home|Mortgage"/>
  </r>
  <r>
    <s v="MasterCard (Capital One)"/>
    <d v="2014-09-05T00:00:00"/>
    <n v="-7.04"/>
    <s v="X"/>
    <s v="Taco Del Mar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04T00:00:00"/>
    <n v="-5.1100000000000003"/>
    <s v="X"/>
    <s v="Molly Moon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04T00:00:00"/>
    <n v="-32.03"/>
    <s v="X"/>
    <s v="Poquitos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04T00:00:00"/>
    <n v="-36"/>
    <s v="X"/>
    <s v="Seattle Rep Ticketing"/>
    <s v="Upcharge for ticket exchange"/>
    <s v="Entertainment"/>
    <m/>
    <m/>
    <m/>
    <x v="30"/>
    <m/>
    <x v="0"/>
    <m/>
    <x v="0"/>
    <m/>
    <s v="Sep"/>
    <n v="2014"/>
    <s v="Monthly"/>
    <n v="0"/>
    <s v="No"/>
    <s v="None"/>
    <s v="Entertainment"/>
  </r>
  <r>
    <s v="First Tech - Checking (5544)"/>
    <d v="2014-09-03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Sep"/>
    <n v="2014"/>
    <s v="Monthly"/>
    <n v="0"/>
    <s v="No"/>
    <s v="None"/>
    <s v="Kids|American Funds 529A"/>
  </r>
  <r>
    <s v="First Tech - Checking (5544)"/>
    <d v="2014-09-03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Sep"/>
    <n v="2014"/>
    <s v="Monthly"/>
    <n v="0"/>
    <s v="No"/>
    <s v="None"/>
    <s v="Business Expenses (Koolikai)|Mortgage (Business)"/>
  </r>
  <r>
    <s v="First Tech - Checking (5544)"/>
    <d v="2014-09-03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Sep"/>
    <n v="2014"/>
    <s v="Monthly"/>
    <n v="0"/>
    <s v="No"/>
    <s v="None"/>
    <s v="Business Expenses (Koolikai)|Mortgage (Business)"/>
  </r>
  <r>
    <s v="MasterCard (Capital One)"/>
    <d v="2014-09-03T00:00:00"/>
    <n v="-8.75"/>
    <s v="X"/>
    <s v="Netflix"/>
    <m/>
    <s v="Entertainment:Movies &amp; DVDs"/>
    <m/>
    <m/>
    <m/>
    <x v="30"/>
    <s v="Movies &amp; DVDs"/>
    <x v="0"/>
    <m/>
    <x v="0"/>
    <m/>
    <s v="Sep"/>
    <n v="2014"/>
    <s v="Unplanned"/>
    <n v="0"/>
    <s v="No"/>
    <s v="None"/>
    <s v="Entertainment|Movies &amp; DVDs"/>
  </r>
  <r>
    <s v="MasterCard (Capital One)"/>
    <d v="2014-09-03T00:00:00"/>
    <n v="-30"/>
    <s v="X"/>
    <s v="Blk Pancan"/>
    <m/>
    <s v="Charity:Charity (Cash)"/>
    <m/>
    <m/>
    <m/>
    <x v="22"/>
    <s v="Charity (Cash)"/>
    <x v="0"/>
    <m/>
    <x v="0"/>
    <m/>
    <s v="Sep"/>
    <n v="2014"/>
    <s v="Annual"/>
    <n v="0"/>
    <s v="No"/>
    <s v="None"/>
    <s v="Charity|Charity (Cash)"/>
  </r>
  <r>
    <s v="MasterCard (Capital One)"/>
    <d v="2014-09-03T00:00:00"/>
    <n v="-43.45"/>
    <s v="X"/>
    <s v="Fred Meyer"/>
    <s v="@BAL:2679.43@@CAT:@"/>
    <s v="Food &amp; Dining:Groceries/From Receipt"/>
    <m/>
    <m/>
    <s v="From Receipt"/>
    <x v="15"/>
    <s v="Groceries"/>
    <x v="0"/>
    <m/>
    <x v="0"/>
    <m/>
    <s v="Sep"/>
    <n v="2014"/>
    <s v="Monthly"/>
    <n v="0"/>
    <s v="No"/>
    <s v="None"/>
    <s v="Food &amp; Dining|Groceries"/>
  </r>
  <r>
    <s v="First Tech - Checking (5544)"/>
    <d v="2014-09-02T00:00:00"/>
    <n v="-2459.96"/>
    <s v="X"/>
    <s v="Capital One (Autopay)"/>
    <s v="ACH Debit--CAPITAL ONE  - CRCARDPMT"/>
    <s v="[MasterCard (Capital One)]"/>
    <m/>
    <m/>
    <m/>
    <x v="38"/>
    <m/>
    <x v="0"/>
    <m/>
    <x v="0"/>
    <m/>
    <s v="Sep"/>
    <n v="2014"/>
    <s v="Account"/>
    <n v="0"/>
    <s v="No"/>
    <s v="None"/>
    <s v="[MasterCard (Capital One)]"/>
  </r>
  <r>
    <s v="MasterCard (Capital One)"/>
    <d v="2014-09-02T00:00:00"/>
    <n v="2459.96"/>
    <s v="X"/>
    <s v="Capital One (Autopay)"/>
    <s v="ACH Debit--CAPITAL ONE  - CRCARDPMT"/>
    <s v="[First Tech - Checking (5544)]"/>
    <m/>
    <m/>
    <m/>
    <x v="21"/>
    <m/>
    <x v="0"/>
    <m/>
    <x v="0"/>
    <m/>
    <s v="Sep"/>
    <n v="2014"/>
    <s v="Account"/>
    <n v="0"/>
    <s v="No"/>
    <s v="None"/>
    <s v="[First Tech - Checking (5544)]"/>
  </r>
  <r>
    <s v="MasterCard (Capital One)"/>
    <d v="2014-09-02T00:00:00"/>
    <n v="-4.37"/>
    <s v="X"/>
    <s v="Bartell Drug"/>
    <s v="Cards"/>
    <s v="Gifts/From Receipt"/>
    <m/>
    <m/>
    <s v="From Receipt"/>
    <x v="28"/>
    <m/>
    <x v="0"/>
    <m/>
    <x v="0"/>
    <m/>
    <s v="Sep"/>
    <n v="2014"/>
    <s v="Monthly"/>
    <n v="0"/>
    <s v="No"/>
    <s v="None"/>
    <s v="Gifts"/>
  </r>
  <r>
    <s v="MasterCard (Capital One)"/>
    <d v="2014-09-02T00:00:00"/>
    <n v="-9.3000000000000007"/>
    <s v="X"/>
    <s v="Fresh Table Cafe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MasterCard (Capital One)"/>
    <d v="2014-09-02T00:00:00"/>
    <n v="-20.98"/>
    <s v="X"/>
    <s v="Comcast"/>
    <m/>
    <s v="Bills &amp; Utilities:Television"/>
    <m/>
    <s v="Split"/>
    <m/>
    <x v="34"/>
    <s v="Television"/>
    <x v="0"/>
    <m/>
    <x v="0"/>
    <m/>
    <s v="Sep"/>
    <n v="2014"/>
    <s v="Monthly"/>
    <n v="0"/>
    <s v="No"/>
    <s v="None"/>
    <s v="Bills &amp; Utilities|Television"/>
  </r>
  <r>
    <s v="MasterCard (Capital One)"/>
    <d v="2014-09-02T00:00:00"/>
    <n v="-66.53"/>
    <s v="X"/>
    <s v="Comcast"/>
    <m/>
    <s v="Business Expenses (Koolikai):Internet"/>
    <m/>
    <s v="Split"/>
    <m/>
    <x v="36"/>
    <s v="Internet"/>
    <x v="0"/>
    <m/>
    <x v="0"/>
    <m/>
    <s v="Sep"/>
    <n v="2014"/>
    <s v="Monthly"/>
    <n v="0"/>
    <s v="No"/>
    <s v="None"/>
    <s v="Business Expenses (Koolikai)|Internet"/>
  </r>
  <r>
    <s v="MasterCard (Capital One)"/>
    <d v="2014-09-02T00:00:00"/>
    <n v="-44.52"/>
    <s v="X"/>
    <s v="Comcast"/>
    <m/>
    <s v="Bills &amp; Utilities:Home Phone"/>
    <m/>
    <s v="Split"/>
    <m/>
    <x v="34"/>
    <s v="Home Phone"/>
    <x v="0"/>
    <m/>
    <x v="0"/>
    <m/>
    <s v="Sep"/>
    <n v="2014"/>
    <s v="Monthly"/>
    <n v="0"/>
    <s v="No"/>
    <s v="None"/>
    <s v="Bills &amp; Utilities|Home Phone"/>
  </r>
  <r>
    <s v="First Tech - Checking (5544)"/>
    <d v="2014-09-01T00:00:00"/>
    <n v="-2052"/>
    <s v="X"/>
    <s v="Phinney Ridge CDC"/>
    <s v="ACH Debit--PHINNEY RIDGE LU 504759859 - CONTRIBUTN"/>
    <s v="Kids:Daycare"/>
    <m/>
    <m/>
    <m/>
    <x v="27"/>
    <s v="Daycare"/>
    <x v="0"/>
    <m/>
    <x v="0"/>
    <m/>
    <s v="Sep"/>
    <n v="2014"/>
    <s v="Monthly"/>
    <n v="0"/>
    <s v="No"/>
    <s v="None"/>
    <s v="Kids|Daycare"/>
  </r>
  <r>
    <s v="Chase Freedom XX9381"/>
    <d v="2014-09-01T00:00:00"/>
    <n v="-5.45"/>
    <s v="X"/>
    <s v="Piroshky Piroshky"/>
    <m/>
    <s v="Food &amp; Dining:Restaurants"/>
    <m/>
    <m/>
    <m/>
    <x v="15"/>
    <s v="Restaurants"/>
    <x v="0"/>
    <m/>
    <x v="0"/>
    <m/>
    <s v="Sep"/>
    <n v="2014"/>
    <s v="Monthly"/>
    <n v="0"/>
    <s v="No"/>
    <s v="None"/>
    <s v="Food &amp; Dining|Restaurants"/>
  </r>
  <r>
    <s v="Koolikai - Sec Dep XX1200"/>
    <d v="2014-08-31T00:00:00"/>
    <n v="0.19"/>
    <s v="X"/>
    <s v="First Tech (Dividend)"/>
    <s v="Credit Dividend--"/>
    <s v="Interest Income"/>
    <m/>
    <m/>
    <m/>
    <x v="40"/>
    <m/>
    <x v="0"/>
    <m/>
    <x v="0"/>
    <m/>
    <s v="Aug"/>
    <n v="2014"/>
    <s v="Monthly"/>
    <n v="0"/>
    <s v="No"/>
    <s v="None"/>
    <s v="Interest Income"/>
  </r>
  <r>
    <s v="Chase Freedom XX9381"/>
    <d v="2014-08-31T00:00:00"/>
    <n v="-29.63"/>
    <s v="X"/>
    <s v="7-Eleven"/>
    <s v="#Mt. Rainier 2014#"/>
    <s v="Vacation:Transportation"/>
    <m/>
    <m/>
    <m/>
    <x v="23"/>
    <s v="Transportation"/>
    <x v="0"/>
    <m/>
    <x v="12"/>
    <m/>
    <s v="Aug"/>
    <n v="2014"/>
    <s v="Irregular"/>
    <n v="0"/>
    <s v="No"/>
    <s v="None"/>
    <s v="Vacation|Transportation"/>
  </r>
  <r>
    <s v="MasterCard (Capital One)"/>
    <d v="2014-08-31T00:00:00"/>
    <n v="21.79"/>
    <s v="X"/>
    <s v="Top Ten Toys"/>
    <m/>
    <s v="Kids:Toys/From Receipt"/>
    <m/>
    <m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31T00:00:00"/>
    <n v="-1"/>
    <s v="X"/>
    <s v="Blink Network Llc"/>
    <m/>
    <s v="Auto &amp; Transport:Gas &amp; Fuel"/>
    <m/>
    <m/>
    <m/>
    <x v="17"/>
    <s v="Gas &amp; Fuel"/>
    <x v="0"/>
    <m/>
    <x v="0"/>
    <m/>
    <s v="Aug"/>
    <n v="2014"/>
    <s v="Monthly"/>
    <n v="0"/>
    <s v="No"/>
    <s v="None"/>
    <s v="Auto &amp; Transport|Gas &amp; Fuel"/>
  </r>
  <r>
    <s v="MasterCard (Capital One)"/>
    <d v="2014-08-31T00:00:00"/>
    <n v="-3.82"/>
    <s v="X"/>
    <s v="Hallmark"/>
    <m/>
    <s v="Gifts"/>
    <m/>
    <m/>
    <m/>
    <x v="28"/>
    <m/>
    <x v="0"/>
    <m/>
    <x v="0"/>
    <m/>
    <s v="Aug"/>
    <n v="2014"/>
    <s v="Monthly"/>
    <n v="0"/>
    <s v="No"/>
    <s v="None"/>
    <s v="Gifts"/>
  </r>
  <r>
    <s v="MasterCard (Capital One)"/>
    <d v="2014-08-31T00:00:00"/>
    <n v="-4.38"/>
    <s v="X"/>
    <s v="Playdate Sea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31T00:00:00"/>
    <n v="-4.93"/>
    <s v="X"/>
    <s v="Playdate Sea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31T00:00:00"/>
    <n v="-7.39"/>
    <s v="X"/>
    <s v="Jimmy John's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31T00:00:00"/>
    <n v="-8.7899999999999991"/>
    <s v="X"/>
    <s v="Barnes &amp; Noble"/>
    <m/>
    <s v="Shopping:Books/From Receipt"/>
    <m/>
    <m/>
    <s v="From Receipt"/>
    <x v="13"/>
    <s v="Books"/>
    <x v="0"/>
    <m/>
    <x v="0"/>
    <m/>
    <s v="Aug"/>
    <n v="2014"/>
    <s v="Unplanned"/>
    <n v="0"/>
    <s v="No"/>
    <s v="None"/>
    <s v="Shopping|Books"/>
  </r>
  <r>
    <s v="MasterCard (Capital One)"/>
    <d v="2014-08-31T00:00:00"/>
    <n v="-21.66"/>
    <s v="X"/>
    <s v="Fred Meyer"/>
    <m/>
    <s v="Kids:Clothing/From Receipt"/>
    <m/>
    <m/>
    <s v="From Receipt"/>
    <x v="27"/>
    <s v="Clothing"/>
    <x v="0"/>
    <m/>
    <x v="0"/>
    <m/>
    <s v="Aug"/>
    <n v="2014"/>
    <s v="Monthly"/>
    <n v="0"/>
    <s v="No"/>
    <s v="None"/>
    <s v="Kids|Clothing"/>
  </r>
  <r>
    <s v="MasterCard (Capital One)"/>
    <d v="2014-08-31T00:00:00"/>
    <n v="-31.34"/>
    <s v="X"/>
    <s v="Fred Meyer"/>
    <m/>
    <s v="Kids:Toys/From Receipt"/>
    <m/>
    <m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31T00:00:00"/>
    <n v="-58.61"/>
    <s v="X"/>
    <s v="Fred Meyer"/>
    <m/>
    <s v="Food &amp; Dining:Groceries/From Receipt"/>
    <m/>
    <s v="Split"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31T00:00:00"/>
    <n v="-5.46"/>
    <s v="X"/>
    <s v="Fred Meyer"/>
    <s v="Card holder"/>
    <s v="Home:Furnishings/From Receipt"/>
    <m/>
    <s v="Split"/>
    <s v="From Receipt"/>
    <x v="14"/>
    <s v="Furnishings"/>
    <x v="0"/>
    <m/>
    <x v="0"/>
    <m/>
    <s v="Aug"/>
    <n v="2014"/>
    <s v="Monthly"/>
    <n v="0"/>
    <s v="No"/>
    <s v="None"/>
    <s v="Home|Furnishings"/>
  </r>
  <r>
    <s v="Koolikai - Checking XX2129"/>
    <d v="2014-08-30T00:00:00"/>
    <n v="2195"/>
    <s v="X"/>
    <s v="John Schaibley"/>
    <s v="Deposit--Shared Branch Mobile Deposit          First Tech FC CA"/>
    <s v="Business Income (Koolikai):Rent/9602:From Receipt"/>
    <m/>
    <m/>
    <s v="9602:From Receipt"/>
    <x v="37"/>
    <s v="Rent"/>
    <x v="0"/>
    <m/>
    <x v="0"/>
    <m/>
    <s v="Aug"/>
    <n v="2014"/>
    <s v="Monthly"/>
    <n v="0"/>
    <s v="No"/>
    <s v="None"/>
    <s v="Business Income (Koolikai)|Rent"/>
  </r>
  <r>
    <s v="MasterCard (Capital One)"/>
    <d v="2014-08-30T00:00:00"/>
    <n v="-7.06"/>
    <s v="X"/>
    <s v="Amazon"/>
    <s v="Alligator clips"/>
    <s v="Shopping:Electronics &amp; Software"/>
    <m/>
    <m/>
    <m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30T00:00:00"/>
    <n v="-19.23"/>
    <s v="X"/>
    <s v="Pizza Express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Capital One - Investment (6759)"/>
    <d v="2014-08-29T00:00:00"/>
    <n v="20.05"/>
    <s v="X"/>
    <s v="Capital One (Interest Income)"/>
    <s v="@CAT:@@BAL:$47,216.19@"/>
    <s v="Interest Income"/>
    <s v="INT"/>
    <m/>
    <m/>
    <x v="40"/>
    <m/>
    <x v="0"/>
    <m/>
    <x v="0"/>
    <m/>
    <s v="Aug"/>
    <n v="2014"/>
    <s v="Monthly"/>
    <n v="0"/>
    <s v="No"/>
    <s v="None"/>
    <s v="Interest Income"/>
  </r>
  <r>
    <s v="Capital One - Long Term Emergency (1201)"/>
    <d v="2014-08-29T00:00:00"/>
    <n v="50.32"/>
    <s v="X"/>
    <s v="Capital One (Interest Income)"/>
    <m/>
    <s v="Interest Income"/>
    <s v="INT"/>
    <m/>
    <m/>
    <x v="40"/>
    <m/>
    <x v="0"/>
    <m/>
    <x v="0"/>
    <m/>
    <s v="Aug"/>
    <n v="2014"/>
    <s v="Monthly"/>
    <n v="0"/>
    <s v="No"/>
    <s v="None"/>
    <s v="Interest Income"/>
  </r>
  <r>
    <s v="Capital One - Secondary Savings (3126)"/>
    <d v="2014-08-29T00:00:00"/>
    <n v="0.02"/>
    <s v="X"/>
    <s v="Capital One (Interest Income)"/>
    <m/>
    <s v="Interest Income"/>
    <s v="INT"/>
    <m/>
    <m/>
    <x v="40"/>
    <m/>
    <x v="0"/>
    <m/>
    <x v="0"/>
    <m/>
    <s v="Aug"/>
    <n v="2014"/>
    <s v="Monthly"/>
    <n v="0"/>
    <s v="No"/>
    <s v="None"/>
    <s v="Interest Income"/>
  </r>
  <r>
    <s v="Capital One - Vacation (4959)"/>
    <d v="2014-08-29T00:00:00"/>
    <n v="2.13"/>
    <s v="X"/>
    <s v="Capital One (Interest Income)"/>
    <m/>
    <s v="Interest Income"/>
    <s v="INT"/>
    <m/>
    <m/>
    <x v="40"/>
    <m/>
    <x v="0"/>
    <m/>
    <x v="0"/>
    <m/>
    <s v="Aug"/>
    <n v="2014"/>
    <s v="Monthly"/>
    <n v="0"/>
    <s v="No"/>
    <s v="None"/>
    <s v="Interest Income"/>
  </r>
  <r>
    <s v="First Tech - Checking (5544)"/>
    <d v="2014-08-29T00:00:00"/>
    <n v="3649.46"/>
    <s v="X"/>
    <s v="Microsoft (Paystub)"/>
    <s v="ACH Deposit--MICROSOFT  - EDIPAYMENT"/>
    <s v="Net Salary"/>
    <m/>
    <m/>
    <m/>
    <x v="35"/>
    <m/>
    <x v="0"/>
    <m/>
    <x v="0"/>
    <m/>
    <s v="Aug"/>
    <n v="2014"/>
    <s v="Monthly"/>
    <n v="0"/>
    <s v="No"/>
    <s v="None"/>
    <s v="Net Salary"/>
  </r>
  <r>
    <s v="First Tech - Checking (5544)"/>
    <d v="2014-08-29T00:00:00"/>
    <n v="6058.12"/>
    <s v="X"/>
    <s v="CRAB (Paystub)"/>
    <s v="ACH Deposit--Cancer Research  - Payroll"/>
    <s v="Net Salary"/>
    <m/>
    <m/>
    <m/>
    <x v="35"/>
    <m/>
    <x v="0"/>
    <m/>
    <x v="0"/>
    <m/>
    <s v="Aug"/>
    <n v="2014"/>
    <s v="Monthly"/>
    <n v="0"/>
    <s v="No"/>
    <s v="None"/>
    <s v="Net Salary"/>
  </r>
  <r>
    <s v="First Tech - Checking (5544)"/>
    <d v="2014-08-29T00:00:00"/>
    <n v="-252.79"/>
    <s v="X"/>
    <s v="Seattle Public Utilities"/>
    <s v="@BAL:$25,600.65@;@CAT:@"/>
    <s v="Bills &amp; Utilities:Utilities"/>
    <m/>
    <m/>
    <m/>
    <x v="34"/>
    <s v="Utilities"/>
    <x v="0"/>
    <m/>
    <x v="0"/>
    <m/>
    <s v="Aug"/>
    <n v="2014"/>
    <s v="Monthly"/>
    <n v="0"/>
    <s v="No"/>
    <s v="None"/>
    <s v="Bills &amp; Utilities|Utilities"/>
  </r>
  <r>
    <s v="Schwab - Checking (9784)"/>
    <d v="2014-08-29T00:00:00"/>
    <n v="0.06"/>
    <s v="X"/>
    <s v="Interest Paid"/>
    <m/>
    <s v="Interest Income"/>
    <m/>
    <m/>
    <m/>
    <x v="40"/>
    <m/>
    <x v="0"/>
    <m/>
    <x v="0"/>
    <m/>
    <s v="Aug"/>
    <n v="2014"/>
    <s v="Monthly"/>
    <n v="0"/>
    <s v="No"/>
    <s v="None"/>
    <s v="Interest Income"/>
  </r>
  <r>
    <s v="Chase Freedom XX9381"/>
    <d v="2014-08-29T00:00:00"/>
    <n v="-28.28"/>
    <s v="X"/>
    <s v="Shell"/>
    <m/>
    <s v="Auto &amp; Transport:Gas &amp; Fuel"/>
    <m/>
    <m/>
    <m/>
    <x v="17"/>
    <s v="Gas &amp; Fuel"/>
    <x v="0"/>
    <m/>
    <x v="0"/>
    <m/>
    <s v="Aug"/>
    <n v="2014"/>
    <s v="Monthly"/>
    <n v="0"/>
    <s v="No"/>
    <s v="None"/>
    <s v="Auto &amp; Transport|Gas &amp; Fuel"/>
  </r>
  <r>
    <s v="Chase Freedom XX9381"/>
    <d v="2014-08-29T00:00:00"/>
    <n v="-95.85"/>
    <s v="X"/>
    <s v="Alexander's Country Inn"/>
    <s v="#Mt. Rainier 2014#"/>
    <s v="Vacation:Food"/>
    <m/>
    <m/>
    <m/>
    <x v="23"/>
    <s v="Food"/>
    <x v="0"/>
    <m/>
    <x v="12"/>
    <m/>
    <s v="Aug"/>
    <n v="2014"/>
    <s v="Irregular"/>
    <n v="0"/>
    <s v="No"/>
    <s v="None"/>
    <s v="Vacation|Food"/>
  </r>
  <r>
    <s v="MasterCard (Capital One)"/>
    <d v="2014-08-29T00:00:00"/>
    <n v="-9.9"/>
    <s v="X"/>
    <s v="Amazon"/>
    <s v="Shift registers"/>
    <s v="Shopping:Electronics &amp; Software/From Receipt"/>
    <m/>
    <m/>
    <s v="From Receipt"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29T00:00:00"/>
    <n v="-15"/>
    <s v="X"/>
    <s v="Mount Rainier Nisq"/>
    <s v="#Mt. Rainier 2014#"/>
    <s v="Vacation:Activities"/>
    <m/>
    <m/>
    <m/>
    <x v="23"/>
    <s v="Activities"/>
    <x v="0"/>
    <m/>
    <x v="12"/>
    <m/>
    <s v="Aug"/>
    <n v="2014"/>
    <s v="Irregular"/>
    <n v="0"/>
    <s v="No"/>
    <s v="None"/>
    <s v="Vacation|Activities"/>
  </r>
  <r>
    <s v="MasterCard (Capital One)"/>
    <d v="2014-08-29T00:00:00"/>
    <n v="-16.079999999999998"/>
    <s v="X"/>
    <s v="Copper Creek Inn"/>
    <s v="#Mt. Rainier 2014#"/>
    <s v="Vacation:Food"/>
    <m/>
    <m/>
    <m/>
    <x v="23"/>
    <s v="Food"/>
    <x v="0"/>
    <m/>
    <x v="12"/>
    <m/>
    <s v="Aug"/>
    <n v="2014"/>
    <s v="Irregular"/>
    <n v="0"/>
    <s v="No"/>
    <s v="None"/>
    <s v="Vacation|Food"/>
  </r>
  <r>
    <s v="MasterCard (Capital One)"/>
    <d v="2014-08-29T00:00:00"/>
    <n v="-21.53"/>
    <s v="X"/>
    <s v="Jackson Visitors Center"/>
    <s v="#Mt. Rainier 2014# T-Shirts"/>
    <s v="Vacation:Trinkets/From Receipt"/>
    <m/>
    <m/>
    <s v="From Receipt"/>
    <x v="23"/>
    <s v="Trinkets"/>
    <x v="0"/>
    <m/>
    <x v="12"/>
    <m/>
    <s v="Aug"/>
    <n v="2014"/>
    <s v="Irregular"/>
    <n v="0"/>
    <s v="No"/>
    <s v="None"/>
    <s v="Vacation|Trinkets"/>
  </r>
  <r>
    <s v="MasterCard (Capital One)"/>
    <d v="2014-08-29T00:00:00"/>
    <n v="-25.9"/>
    <s v="X"/>
    <s v="Jackson Vision"/>
    <m/>
    <s v="Health &amp; Fitness:Eyecare"/>
    <m/>
    <m/>
    <m/>
    <x v="18"/>
    <s v="Eyecare"/>
    <x v="0"/>
    <m/>
    <x v="0"/>
    <m/>
    <s v="Aug"/>
    <n v="2014"/>
    <s v="Irregular"/>
    <n v="0"/>
    <s v="No"/>
    <s v="None"/>
    <s v="Health &amp; Fitness|Eyecare"/>
  </r>
  <r>
    <s v="MasterCard (Capital One)"/>
    <d v="2014-08-29T00:00:00"/>
    <n v="-37.71"/>
    <s v="X"/>
    <s v="Copper Creek Inn"/>
    <s v="#Mt. Rainier 2014#"/>
    <s v="Vacation:Food"/>
    <m/>
    <m/>
    <m/>
    <x v="23"/>
    <s v="Food"/>
    <x v="0"/>
    <m/>
    <x v="12"/>
    <m/>
    <s v="Aug"/>
    <n v="2014"/>
    <s v="Irregular"/>
    <n v="0"/>
    <s v="No"/>
    <s v="None"/>
    <s v="Vacation|Food"/>
  </r>
  <r>
    <s v="MasterCard (Capital One)"/>
    <d v="2014-08-29T00:00:00"/>
    <n v="-73.84"/>
    <s v="X"/>
    <s v="Copper Creek Inn"/>
    <s v="#Mt. Rainier 2014#"/>
    <s v="Vacation:Food"/>
    <m/>
    <m/>
    <m/>
    <x v="23"/>
    <s v="Food"/>
    <x v="0"/>
    <m/>
    <x v="12"/>
    <m/>
    <s v="Aug"/>
    <n v="2014"/>
    <s v="Irregular"/>
    <n v="0"/>
    <s v="No"/>
    <s v="None"/>
    <s v="Vacation|Food"/>
  </r>
  <r>
    <s v="MasterCard (Capital One)"/>
    <d v="2014-08-28T00:00:00"/>
    <n v="-10.89"/>
    <s v="X"/>
    <s v="Northwest Trek"/>
    <s v="#Mt. Rainier 2014#"/>
    <s v="Vacation:Food"/>
    <m/>
    <m/>
    <m/>
    <x v="23"/>
    <s v="Food"/>
    <x v="0"/>
    <m/>
    <x v="12"/>
    <m/>
    <s v="Aug"/>
    <n v="2014"/>
    <s v="Irregular"/>
    <n v="0"/>
    <s v="No"/>
    <s v="None"/>
    <s v="Vacation|Food"/>
  </r>
  <r>
    <s v="MasterCard (Capital One)"/>
    <d v="2014-08-28T00:00:00"/>
    <n v="-21.58"/>
    <s v="X"/>
    <s v="Northwest Trek"/>
    <s v="Bubble guns"/>
    <s v="Kids:Toys/From Receipt"/>
    <m/>
    <m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28T00:00:00"/>
    <n v="-24.02"/>
    <s v="X"/>
    <s v="Ikea"/>
    <m/>
    <s v="Home:Furnishings"/>
    <m/>
    <m/>
    <m/>
    <x v="14"/>
    <s v="Furnishings"/>
    <x v="0"/>
    <m/>
    <x v="0"/>
    <m/>
    <s v="Aug"/>
    <n v="2014"/>
    <s v="Monthly"/>
    <n v="0"/>
    <s v="No"/>
    <s v="None"/>
    <s v="Home|Furnishings"/>
  </r>
  <r>
    <s v="MasterCard (Capital One)"/>
    <d v="2014-08-28T00:00:00"/>
    <n v="-46"/>
    <s v="X"/>
    <s v="Nw Trek Wildlife"/>
    <s v="#Mt. Rainier 2014#"/>
    <s v="Vacation:Activities"/>
    <m/>
    <m/>
    <m/>
    <x v="23"/>
    <s v="Activities"/>
    <x v="0"/>
    <m/>
    <x v="12"/>
    <m/>
    <s v="Aug"/>
    <n v="2014"/>
    <s v="Irregular"/>
    <n v="0"/>
    <s v="No"/>
    <s v="None"/>
    <s v="Vacation|Activities"/>
  </r>
  <r>
    <s v="MasterCard (Capital One)"/>
    <d v="2014-08-28T00:00:00"/>
    <n v="-258.27"/>
    <s v="X"/>
    <s v="Alexander's Country Inn"/>
    <s v="#Mt. Rainier 2014#"/>
    <s v="Vacation:Lodging"/>
    <m/>
    <m/>
    <m/>
    <x v="23"/>
    <s v="Lodging"/>
    <x v="0"/>
    <m/>
    <x v="12"/>
    <m/>
    <s v="Aug"/>
    <n v="2014"/>
    <s v="Irregular"/>
    <n v="0"/>
    <s v="No"/>
    <s v="None"/>
    <s v="Vacation|Lodging"/>
  </r>
  <r>
    <s v="First Tech - Checking (5544)"/>
    <d v="2014-08-27T00:00:00"/>
    <n v="-186.29"/>
    <s v="X"/>
    <s v="Chase Autopay (Freedom)"/>
    <s v="ACH Debit--CHASE  - AUTOPAY"/>
    <s v="[Chase Freedom XX9381]"/>
    <m/>
    <m/>
    <m/>
    <x v="7"/>
    <m/>
    <x v="0"/>
    <m/>
    <x v="0"/>
    <m/>
    <s v="Aug"/>
    <n v="2014"/>
    <e v="#N/A"/>
    <e v="#N/A"/>
    <e v="#N/A"/>
    <e v="#N/A"/>
    <s v="[Chase Freedom XX9381]"/>
  </r>
  <r>
    <s v="Chase Freedom XX9381"/>
    <d v="2014-08-27T00:00:00"/>
    <n v="186.29"/>
    <s v="X"/>
    <s v="Chase Autopay (Freedom)"/>
    <s v="ACH Debit--CHASE  - AUTOPAY"/>
    <s v="[First Tech - Checking (5544)]"/>
    <m/>
    <m/>
    <m/>
    <x v="21"/>
    <m/>
    <x v="0"/>
    <m/>
    <x v="0"/>
    <m/>
    <s v="Aug"/>
    <n v="2014"/>
    <s v="Account"/>
    <n v="0"/>
    <s v="No"/>
    <s v="None"/>
    <s v="[First Tech - Checking (5544)]"/>
  </r>
  <r>
    <s v="MasterCard (Capital One)"/>
    <d v="2014-08-27T00:00:00"/>
    <n v="25"/>
    <s v="X"/>
    <s v="Capital One (Cash Back)"/>
    <m/>
    <s v="Other Inc"/>
    <m/>
    <m/>
    <m/>
    <x v="29"/>
    <m/>
    <x v="0"/>
    <m/>
    <x v="0"/>
    <m/>
    <s v="Aug"/>
    <n v="2014"/>
    <s v="Monthly"/>
    <n v="0"/>
    <s v="No"/>
    <s v="None"/>
    <s v="Other Inc"/>
  </r>
  <r>
    <s v="MasterCard (Capital One)"/>
    <d v="2014-08-27T00:00:00"/>
    <n v="-4.37"/>
    <s v="X"/>
    <s v="Fred Meyer"/>
    <s v="#Kalaloch 2014# Camping fuel"/>
    <s v="Vacation:Food/From Receipt"/>
    <m/>
    <m/>
    <s v="From Receipt"/>
    <x v="23"/>
    <s v="Food"/>
    <x v="0"/>
    <m/>
    <x v="13"/>
    <m/>
    <s v="Aug"/>
    <n v="2014"/>
    <s v="Irregular"/>
    <n v="0"/>
    <s v="No"/>
    <s v="None"/>
    <s v="Vacation|Food"/>
  </r>
  <r>
    <s v="MasterCard (Capital One)"/>
    <d v="2014-08-27T00:00:00"/>
    <n v="-5.5"/>
    <s v="X"/>
    <s v="Ferry Food People"/>
    <s v="#Orcas Island 2014#"/>
    <s v="Vacation:Food/From Receipt"/>
    <m/>
    <m/>
    <s v="From Receipt"/>
    <x v="23"/>
    <s v="Food"/>
    <x v="0"/>
    <m/>
    <x v="14"/>
    <m/>
    <s v="Aug"/>
    <n v="2014"/>
    <s v="Irregular"/>
    <n v="0"/>
    <s v="No"/>
    <s v="None"/>
    <s v="Vacation|Food"/>
  </r>
  <r>
    <s v="MasterCard (Capital One)"/>
    <d v="2014-08-26T00:00:00"/>
    <n v="-1.99"/>
    <s v="X"/>
    <s v="Landmark"/>
    <s v="Ice  #Orcas Island 2014#"/>
    <s v="Vacation:Food/From Receipt"/>
    <m/>
    <m/>
    <s v="From Receipt"/>
    <x v="23"/>
    <s v="Food"/>
    <x v="0"/>
    <m/>
    <x v="14"/>
    <m/>
    <s v="Aug"/>
    <n v="2014"/>
    <s v="Irregular"/>
    <n v="0"/>
    <s v="No"/>
    <s v="None"/>
    <s v="Vacation|Food"/>
  </r>
  <r>
    <s v="MasterCard (Capital One)"/>
    <d v="2014-08-26T00:00:00"/>
    <n v="-6.49"/>
    <s v="X"/>
    <s v="Sq Orcas Adventure"/>
    <s v="#Orcas Island 2014#"/>
    <s v="Vacation:Food"/>
    <m/>
    <m/>
    <m/>
    <x v="23"/>
    <s v="Food"/>
    <x v="0"/>
    <m/>
    <x v="14"/>
    <m/>
    <s v="Aug"/>
    <n v="2014"/>
    <s v="Irregular"/>
    <n v="0"/>
    <s v="No"/>
    <s v="None"/>
    <s v="Vacation|Food"/>
  </r>
  <r>
    <s v="MasterCard (Capital One)"/>
    <d v="2014-08-26T00:00:00"/>
    <n v="-19.420000000000002"/>
    <s v="X"/>
    <s v="Shell"/>
    <s v="#Orcas Island 2014#"/>
    <s v="Vacation:Transportation"/>
    <m/>
    <m/>
    <m/>
    <x v="23"/>
    <s v="Transportation"/>
    <x v="0"/>
    <m/>
    <x v="14"/>
    <m/>
    <s v="Aug"/>
    <n v="2014"/>
    <s v="Irregular"/>
    <n v="0"/>
    <s v="No"/>
    <s v="None"/>
    <s v="Vacation|Transportation"/>
  </r>
  <r>
    <s v="MasterCard (Capital One)"/>
    <d v="2014-08-26T00:00:00"/>
    <n v="-32.69"/>
    <s v="X"/>
    <s v="Orcas Landing Hotel"/>
    <s v="#Orcas Island 2014#"/>
    <s v="Vacation:Food"/>
    <m/>
    <m/>
    <m/>
    <x v="23"/>
    <s v="Food"/>
    <x v="0"/>
    <m/>
    <x v="14"/>
    <m/>
    <s v="Aug"/>
    <n v="2014"/>
    <s v="Irregular"/>
    <n v="0"/>
    <s v="No"/>
    <s v="None"/>
    <s v="Vacation|Food"/>
  </r>
  <r>
    <s v="First Tech - Checking (5544)"/>
    <d v="2014-08-25T00:00:00"/>
    <n v="-88.17"/>
    <s v="X"/>
    <s v="American Express (Autopay)"/>
    <s v="ACH Debit--AMEX EPayment AM - ACH PMT"/>
    <s v="[American Express (Costco)]"/>
    <m/>
    <m/>
    <m/>
    <x v="20"/>
    <m/>
    <x v="0"/>
    <m/>
    <x v="0"/>
    <m/>
    <s v="Aug"/>
    <n v="2014"/>
    <s v="Account"/>
    <n v="0"/>
    <s v="No"/>
    <s v="None"/>
    <s v="[American Express (Costco)]"/>
  </r>
  <r>
    <s v="First Tech - Checking (5544)"/>
    <d v="2014-08-25T00:00:00"/>
    <n v="-394.2"/>
    <s v="X"/>
    <s v="Caesar's Gardens"/>
    <s v="ACH Debit--CATHLEEN CAESAR  - ONLINE PMT"/>
    <s v="Projects:Landscaping"/>
    <m/>
    <m/>
    <m/>
    <x v="39"/>
    <s v="Landscaping"/>
    <x v="0"/>
    <m/>
    <x v="0"/>
    <m/>
    <s v="Aug"/>
    <n v="2014"/>
    <s v="Unplanned"/>
    <n v="0"/>
    <s v="No"/>
    <s v="None"/>
    <s v="Projects|Landscaping"/>
  </r>
  <r>
    <s v="Koolikai - Checking XX2129"/>
    <d v="2014-08-25T00:00:00"/>
    <n v="-146.97999999999999"/>
    <s v="X"/>
    <s v="Chase - Koolikai (Autopay)"/>
    <s v="ACH Debit--CHASE  - AUTOPAYBUS"/>
    <s v="[Koolikai Credit Card]"/>
    <m/>
    <m/>
    <m/>
    <x v="9"/>
    <m/>
    <x v="0"/>
    <m/>
    <x v="0"/>
    <m/>
    <s v="Aug"/>
    <n v="2014"/>
    <s v="Account"/>
    <n v="0"/>
    <s v="No"/>
    <s v="None"/>
    <s v="[Koolikai Credit Card]"/>
  </r>
  <r>
    <s v="American Express (Costco)"/>
    <d v="2014-08-25T00:00:00"/>
    <n v="88.17"/>
    <s v="X"/>
    <s v="American Express (Autopay)"/>
    <s v="ACH Debit--AMEX EPayment AM - ACH PMT"/>
    <s v="[First Tech - Checking (5544)]"/>
    <m/>
    <m/>
    <m/>
    <x v="21"/>
    <m/>
    <x v="0"/>
    <m/>
    <x v="0"/>
    <m/>
    <s v="Aug"/>
    <n v="2014"/>
    <s v="Account"/>
    <n v="0"/>
    <s v="No"/>
    <s v="None"/>
    <s v="[First Tech - Checking (5544)]"/>
  </r>
  <r>
    <s v="MasterCard (Capital One)"/>
    <d v="2014-08-25T00:00:00"/>
    <n v="-64.05"/>
    <s v="X"/>
    <s v="Wsferries Anacortes"/>
    <s v="#Orcas Island 2014#"/>
    <s v="Vacation:Transportation"/>
    <m/>
    <m/>
    <m/>
    <x v="23"/>
    <s v="Transportation"/>
    <x v="0"/>
    <m/>
    <x v="14"/>
    <m/>
    <s v="Aug"/>
    <n v="2014"/>
    <s v="Irregular"/>
    <n v="0"/>
    <s v="No"/>
    <s v="None"/>
    <s v="Vacation|Transportation"/>
  </r>
  <r>
    <s v="MasterCard (Capital One)"/>
    <d v="2014-08-25T00:00:00"/>
    <n v="-211.4"/>
    <s v="X"/>
    <s v="Orcas Landing Hotel"/>
    <s v="#Orcas Island 2014#"/>
    <s v="Vacation:Lodging/From Receipt"/>
    <m/>
    <m/>
    <s v="From Receipt"/>
    <x v="23"/>
    <s v="Lodging"/>
    <x v="0"/>
    <m/>
    <x v="14"/>
    <m/>
    <s v="Aug"/>
    <n v="2014"/>
    <s v="Irregular"/>
    <n v="0"/>
    <s v="No"/>
    <s v="None"/>
    <s v="Vacation|Lodging"/>
  </r>
  <r>
    <s v="MasterCard (Capital One)"/>
    <d v="2014-08-24T00:00:00"/>
    <n v="14.77"/>
    <s v="X"/>
    <s v="Amazon Services Kindle"/>
    <s v="Accidental purchase of arduino book on Kindle"/>
    <s v="Shopping:Books/From Receipt"/>
    <m/>
    <m/>
    <s v="From Receipt"/>
    <x v="13"/>
    <s v="Books"/>
    <x v="0"/>
    <m/>
    <x v="0"/>
    <m/>
    <s v="Aug"/>
    <n v="2014"/>
    <s v="Unplanned"/>
    <n v="0"/>
    <s v="No"/>
    <s v="None"/>
    <s v="Shopping|Books"/>
  </r>
  <r>
    <s v="MasterCard (Capital One)"/>
    <d v="2014-08-24T00:00:00"/>
    <n v="25.93"/>
    <s v="X"/>
    <s v="Home Depot"/>
    <s v="Returned unnecessary items for roof repair"/>
    <s v="Business Expenses (Koolikai):Repairs/7231:From Receipt"/>
    <m/>
    <m/>
    <s v="7231:From Receipt"/>
    <x v="36"/>
    <s v="Repairs"/>
    <x v="0"/>
    <m/>
    <x v="0"/>
    <m/>
    <s v="Aug"/>
    <n v="2014"/>
    <s v="Irregular"/>
    <n v="0"/>
    <s v="No"/>
    <s v="None"/>
    <s v="Business Expenses (Koolikai)|Repairs"/>
  </r>
  <r>
    <s v="MasterCard (Capital One)"/>
    <d v="2014-08-24T00:00:00"/>
    <n v="-7.49"/>
    <s v="X"/>
    <s v="Fred Meyer"/>
    <m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24T00:00:00"/>
    <n v="-14.77"/>
    <s v="X"/>
    <s v="Amazon Services Kindle"/>
    <s v="Accidental purchase of arduino book on Kindle"/>
    <s v="Shopping:Books/From Receipt"/>
    <m/>
    <m/>
    <s v="From Receipt"/>
    <x v="13"/>
    <s v="Books"/>
    <x v="0"/>
    <m/>
    <x v="0"/>
    <m/>
    <s v="Aug"/>
    <n v="2014"/>
    <s v="Unplanned"/>
    <n v="0"/>
    <s v="No"/>
    <s v="None"/>
    <s v="Shopping|Books"/>
  </r>
  <r>
    <s v="MasterCard (Capital One)"/>
    <d v="2014-08-24T00:00:00"/>
    <n v="-27.3"/>
    <s v="X"/>
    <s v="Top Ten Toys"/>
    <m/>
    <s v="Gifts/From Receipt"/>
    <m/>
    <m/>
    <s v="From Receipt"/>
    <x v="28"/>
    <m/>
    <x v="0"/>
    <m/>
    <x v="0"/>
    <m/>
    <s v="Aug"/>
    <n v="2014"/>
    <s v="Monthly"/>
    <n v="0"/>
    <s v="No"/>
    <s v="None"/>
    <s v="Gifts"/>
  </r>
  <r>
    <s v="MasterCard (Capital One)"/>
    <d v="2014-08-24T00:00:00"/>
    <n v="-29.41"/>
    <s v="X"/>
    <s v="Fred Meyer"/>
    <m/>
    <s v="Kids:Clothing"/>
    <m/>
    <m/>
    <m/>
    <x v="27"/>
    <s v="Clothing"/>
    <x v="0"/>
    <m/>
    <x v="0"/>
    <m/>
    <s v="Aug"/>
    <n v="2014"/>
    <s v="Monthly"/>
    <n v="0"/>
    <s v="No"/>
    <s v="None"/>
    <s v="Kids|Clothing"/>
  </r>
  <r>
    <s v="MasterCard (Capital One)"/>
    <d v="2014-08-24T00:00:00"/>
    <n v="-34"/>
    <s v="X"/>
    <s v="Rudys Barber Shop"/>
    <m/>
    <s v="Personal Care:Hair"/>
    <m/>
    <m/>
    <m/>
    <x v="31"/>
    <s v="Hair"/>
    <x v="0"/>
    <m/>
    <x v="0"/>
    <m/>
    <s v="Aug"/>
    <n v="2014"/>
    <s v="Monthly"/>
    <n v="0"/>
    <s v="No"/>
    <s v="None"/>
    <s v="Personal Care|Hair"/>
  </r>
  <r>
    <s v="MasterCard (Capital One)"/>
    <d v="2014-08-24T00:00:00"/>
    <n v="-45.53"/>
    <s v="X"/>
    <s v="Home Depot"/>
    <s v="Bathroom Sink repairs at 7231"/>
    <s v="Business Expenses (Koolikai):Repairs/7231"/>
    <m/>
    <m/>
    <n v="7231"/>
    <x v="36"/>
    <s v="Repairs"/>
    <x v="0"/>
    <m/>
    <x v="0"/>
    <m/>
    <s v="Aug"/>
    <n v="2014"/>
    <s v="Irregular"/>
    <n v="0"/>
    <s v="No"/>
    <s v="None"/>
    <s v="Business Expenses (Koolikai)|Repairs"/>
  </r>
  <r>
    <s v="MasterCard (Capital One)"/>
    <d v="2014-08-23T00:00:00"/>
    <n v="-2.74"/>
    <s v="X"/>
    <s v="Fred Meyer"/>
    <m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23T00:00:00"/>
    <n v="-26.61"/>
    <s v="X"/>
    <s v="Fred Meyer"/>
    <m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23T00:00:00"/>
    <n v="-104.63"/>
    <s v="X"/>
    <s v="Fred Meyer"/>
    <s v="#Kalaloch 2014#"/>
    <s v="Vacation:Food/From Receipt"/>
    <m/>
    <m/>
    <s v="From Receipt"/>
    <x v="23"/>
    <s v="Food"/>
    <x v="0"/>
    <m/>
    <x v="13"/>
    <m/>
    <s v="Aug"/>
    <n v="2014"/>
    <s v="Irregular"/>
    <n v="0"/>
    <s v="No"/>
    <s v="None"/>
    <s v="Vacation|Food"/>
  </r>
  <r>
    <s v="Koolikai Credit Card"/>
    <d v="2014-08-22T00:00:00"/>
    <n v="146.97999999999999"/>
    <s v="X"/>
    <s v="Chase - Koolikai (Autopay)"/>
    <m/>
    <s v="[Koolikai - Checking XX2129]"/>
    <m/>
    <m/>
    <m/>
    <x v="25"/>
    <m/>
    <x v="0"/>
    <m/>
    <x v="0"/>
    <m/>
    <s v="Aug"/>
    <n v="2014"/>
    <s v="Account"/>
    <n v="0"/>
    <s v="No"/>
    <s v="None"/>
    <s v="[Koolikai - Checking XX2129]"/>
  </r>
  <r>
    <s v="First Tech - Checking (5544)"/>
    <d v="2014-08-21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Aug"/>
    <n v="2014"/>
    <s v="Monthly"/>
    <n v="0"/>
    <s v="No"/>
    <s v="None"/>
    <s v="Auto &amp; Transport|Auto Lease Payment"/>
  </r>
  <r>
    <s v="MasterCard (Capital One)"/>
    <d v="2014-08-21T00:00:00"/>
    <n v="-24.14"/>
    <s v="X"/>
    <s v="Fred Meyer"/>
    <s v="#CRAB Breakfast# Bagels, juice"/>
    <s v="Work Expense:Reimbursable expense/From Receipt"/>
    <m/>
    <s v="Split"/>
    <s v="From Receipt"/>
    <x v="19"/>
    <s v="Reimbursable expense"/>
    <x v="0"/>
    <m/>
    <x v="15"/>
    <m/>
    <s v="Aug"/>
    <n v="2014"/>
    <s v="Irregular"/>
    <n v="0"/>
    <s v="No"/>
    <s v="None"/>
    <s v="Work Expense|Reimbursable expense"/>
  </r>
  <r>
    <s v="MasterCard (Capital One)"/>
    <d v="2014-08-21T00:00:00"/>
    <n v="-1.27"/>
    <s v="X"/>
    <s v="Fred Meyer"/>
    <s v="Pencil box"/>
    <s v="Kids:Toys/From Receipt"/>
    <m/>
    <s v="Split"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20T00:00:00"/>
    <n v="-5.73"/>
    <s v="X"/>
    <s v="Ken Market"/>
    <m/>
    <s v="Food &amp; Dining:Groceries"/>
    <m/>
    <m/>
    <m/>
    <x v="15"/>
    <s v="Groceries"/>
    <x v="0"/>
    <m/>
    <x v="0"/>
    <m/>
    <s v="Aug"/>
    <n v="2014"/>
    <s v="Monthly"/>
    <n v="0"/>
    <s v="No"/>
    <s v="None"/>
    <s v="Food &amp; Dining|Groceries"/>
  </r>
  <r>
    <s v="Chase Freedom XX9381"/>
    <d v="2014-08-19T00:00:00"/>
    <n v="-8.5299999999999994"/>
    <s v="X"/>
    <s v="Amazon"/>
    <s v="Voltage regulator and key pad"/>
    <s v="Shopping:Electronics &amp; Software"/>
    <m/>
    <m/>
    <m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19T00:00:00"/>
    <n v="-64"/>
    <s v="X"/>
    <s v="Beach Comber Kids Cuts"/>
    <s v="2011: BEACHCOMBER KIDS CUT SEATTLE WA 981030000 USA"/>
    <s v="Personal Care:Hair"/>
    <m/>
    <m/>
    <m/>
    <x v="31"/>
    <s v="Hair"/>
    <x v="0"/>
    <m/>
    <x v="0"/>
    <m/>
    <s v="Aug"/>
    <n v="2014"/>
    <s v="Monthly"/>
    <n v="0"/>
    <s v="No"/>
    <s v="None"/>
    <s v="Personal Care|Hair"/>
  </r>
  <r>
    <s v="First Tech - Checking (5544)"/>
    <d v="2014-08-18T00:00:00"/>
    <n v="-10000"/>
    <s v="X"/>
    <s v="Internal Revenue Service"/>
    <s v="ACH Debit--IRS  - USATAXPYMT"/>
    <s v="Tax:Fed"/>
    <m/>
    <m/>
    <m/>
    <x v="47"/>
    <s v="Fed"/>
    <x v="0"/>
    <m/>
    <x v="0"/>
    <m/>
    <s v="Aug"/>
    <n v="2014"/>
    <s v="Unplanned"/>
    <n v="0"/>
    <s v="No"/>
    <s v="None"/>
    <s v="Tax|Fed"/>
  </r>
  <r>
    <s v="MasterCard (Capital One)"/>
    <d v="2014-08-18T00:00:00"/>
    <n v="-4.8"/>
    <s v="X"/>
    <s v="Amazon"/>
    <s v="Multimeter"/>
    <s v="Shopping:Electronics &amp; Software/From Receipt"/>
    <m/>
    <m/>
    <s v="From Receipt"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Chase Freedom XX9381"/>
    <d v="2014-08-17T00:00:00"/>
    <n v="-3.54"/>
    <s v="X"/>
    <s v="Amazon"/>
    <s v="Photo resistors"/>
    <s v="Shopping:Electronics &amp; Software"/>
    <m/>
    <m/>
    <m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Chase Freedom XX9381"/>
    <d v="2014-08-17T00:00:00"/>
    <n v="-15.01"/>
    <s v="X"/>
    <s v="Amazon"/>
    <s v="Jumper wires"/>
    <s v="Shopping:Electronics &amp; Software"/>
    <m/>
    <m/>
    <m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17T00:00:00"/>
    <n v="27.34"/>
    <s v="X"/>
    <s v="Home Depot"/>
    <s v="Returned 10 year smoke alarm"/>
    <s v="Home:Home Improvement/From Receipt"/>
    <m/>
    <m/>
    <s v="From Receipt"/>
    <x v="14"/>
    <s v="Home Improvement"/>
    <x v="0"/>
    <m/>
    <x v="0"/>
    <m/>
    <s v="Aug"/>
    <n v="2014"/>
    <s v="Irregular"/>
    <n v="0"/>
    <s v="No"/>
    <s v="None"/>
    <s v="Home|Home Improvement"/>
  </r>
  <r>
    <s v="MasterCard (Capital One)"/>
    <d v="2014-08-17T00:00:00"/>
    <n v="-5.75"/>
    <s v="X"/>
    <s v="Amazon"/>
    <s v="Distance sensor"/>
    <s v="Shopping:Electronics &amp; Software/From Receipt"/>
    <m/>
    <m/>
    <s v="From Receipt"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17T00:00:00"/>
    <n v="-8.19"/>
    <s v="X"/>
    <s v="Amazon"/>
    <s v="Multimeter"/>
    <s v="Shopping:Electronics &amp; Software/From Receipt"/>
    <m/>
    <m/>
    <s v="From Receipt"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17T00:00:00"/>
    <n v="-8.73"/>
    <s v="X"/>
    <s v="Mcdonald's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7T00:00:00"/>
    <n v="-105.25"/>
    <s v="X"/>
    <s v="Home Depot"/>
    <s v="Garage repairs at 7231"/>
    <s v="Business Expenses (Koolikai):Repairs/7231:From Receipt"/>
    <m/>
    <m/>
    <s v="7231:From Receipt"/>
    <x v="36"/>
    <s v="Repairs"/>
    <x v="0"/>
    <m/>
    <x v="0"/>
    <m/>
    <s v="Aug"/>
    <n v="2014"/>
    <s v="Irregular"/>
    <n v="0"/>
    <s v="No"/>
    <s v="None"/>
    <s v="Business Expenses (Koolikai)|Repairs"/>
  </r>
  <r>
    <s v="MasterCard (Capital One)"/>
    <d v="2014-08-16T00:00:00"/>
    <n v="-7.78"/>
    <s v="X"/>
    <s v="Imagine Children Mus"/>
    <s v="Bouncy lights"/>
    <s v="Kids:Toys/From Receipt"/>
    <m/>
    <m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16T00:00:00"/>
    <n v="-12.77"/>
    <s v="X"/>
    <s v="Dairy Queen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6T00:00:00"/>
    <n v="-17.02"/>
    <s v="X"/>
    <s v="Trader Joe's"/>
    <m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16T00:00:00"/>
    <n v="-24.93"/>
    <s v="X"/>
    <s v="Spartas Pizza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6T00:00:00"/>
    <n v="-71.05"/>
    <s v="X"/>
    <s v="Fred Meyer"/>
    <m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First Tech - Checking (5544)"/>
    <d v="2014-08-15T00:00:00"/>
    <n v="3221.49"/>
    <s v="X"/>
    <s v="Microsoft (Paystub)"/>
    <s v="ACH Deposit--MICROSOFT  - EDIPAYMENT"/>
    <s v="Net Salary"/>
    <m/>
    <m/>
    <m/>
    <x v="35"/>
    <m/>
    <x v="0"/>
    <m/>
    <x v="0"/>
    <m/>
    <s v="Aug"/>
    <n v="2014"/>
    <s v="Monthly"/>
    <n v="0"/>
    <s v="No"/>
    <s v="None"/>
    <s v="Net Salary"/>
  </r>
  <r>
    <s v="MasterCard (Capital One)"/>
    <d v="2014-08-15T00:00:00"/>
    <n v="-4.93"/>
    <s v="X"/>
    <s v="7-Eleven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5T00:00:00"/>
    <n v="-6"/>
    <s v="X"/>
    <s v="Park"/>
    <m/>
    <s v="Auto &amp; Transport:Parking"/>
    <m/>
    <m/>
    <m/>
    <x v="17"/>
    <s v="Parking"/>
    <x v="0"/>
    <m/>
    <x v="0"/>
    <m/>
    <s v="Aug"/>
    <n v="2014"/>
    <s v="Monthly"/>
    <n v="0"/>
    <s v="No"/>
    <s v="None"/>
    <s v="Auto &amp; Transport|Parking"/>
  </r>
  <r>
    <s v="MasterCard (Capital One)"/>
    <d v="2014-08-15T00:00:00"/>
    <n v="-8"/>
    <s v="X"/>
    <s v="Impark"/>
    <m/>
    <s v="Auto &amp; Transport:Parking"/>
    <m/>
    <m/>
    <m/>
    <x v="17"/>
    <s v="Parking"/>
    <x v="0"/>
    <m/>
    <x v="0"/>
    <m/>
    <s v="Aug"/>
    <n v="2014"/>
    <s v="Monthly"/>
    <n v="0"/>
    <s v="No"/>
    <s v="None"/>
    <s v="Auto &amp; Transport|Parking"/>
  </r>
  <r>
    <s v="First Tech - Checking (5544)"/>
    <d v="2014-08-13T00:00:00"/>
    <n v="-45.2"/>
    <s v="X"/>
    <s v="Puget Sound Energy"/>
    <s v="ACH Debit--PUGET SOUND ENER DIRECT DEBITING - PSE BILL  45000438"/>
    <s v="Bills &amp; Utilities:Utilities"/>
    <m/>
    <m/>
    <m/>
    <x v="34"/>
    <s v="Utilities"/>
    <x v="0"/>
    <m/>
    <x v="0"/>
    <m/>
    <s v="Aug"/>
    <n v="2014"/>
    <s v="Monthly"/>
    <n v="0"/>
    <s v="No"/>
    <s v="None"/>
    <s v="Bills &amp; Utilities|Utilities"/>
  </r>
  <r>
    <s v="MasterCard (Capital One)"/>
    <d v="2014-08-13T00:00:00"/>
    <n v="-12.95"/>
    <s v="X"/>
    <s v="Dragonfish Asian Cafe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3T00:00:00"/>
    <n v="-42.13"/>
    <s v="X"/>
    <s v="Oliver Twist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3T00:00:00"/>
    <n v="-8.08"/>
    <s v="X"/>
    <s v="Fred Meyer"/>
    <m/>
    <s v="Gifts/From Receipt"/>
    <m/>
    <s v="Split"/>
    <s v="From Receipt"/>
    <x v="28"/>
    <m/>
    <x v="0"/>
    <m/>
    <x v="0"/>
    <m/>
    <s v="Aug"/>
    <n v="2014"/>
    <s v="Monthly"/>
    <n v="0"/>
    <s v="No"/>
    <s v="None"/>
    <s v="Gifts"/>
  </r>
  <r>
    <s v="MasterCard (Capital One)"/>
    <d v="2014-08-13T00:00:00"/>
    <n v="-81.5"/>
    <s v="X"/>
    <s v="Fred Meyer"/>
    <m/>
    <s v="Food &amp; Dining:Groceries/From Receipt"/>
    <m/>
    <s v="Split"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13T00:00:00"/>
    <n v="-3.93"/>
    <s v="X"/>
    <s v="Fresh Table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13T00:00:00"/>
    <n v="-93"/>
    <s v="X"/>
    <s v="Seattle Shakespeare"/>
    <s v="Twelfth night"/>
    <s v="Entertainment"/>
    <m/>
    <m/>
    <m/>
    <x v="30"/>
    <m/>
    <x v="0"/>
    <m/>
    <x v="0"/>
    <m/>
    <s v="Aug"/>
    <n v="2014"/>
    <s v="Monthly"/>
    <n v="0"/>
    <s v="No"/>
    <s v="None"/>
    <s v="Entertainment"/>
  </r>
  <r>
    <s v="Chase Freedom XX9381"/>
    <d v="2014-08-12T00:00:00"/>
    <n v="-3.63"/>
    <s v="X"/>
    <s v="Amazon"/>
    <s v="More blind repair materials"/>
    <s v="Home:Home Improvement"/>
    <m/>
    <m/>
    <m/>
    <x v="14"/>
    <s v="Home Improvement"/>
    <x v="0"/>
    <m/>
    <x v="0"/>
    <m/>
    <s v="Aug"/>
    <n v="2014"/>
    <s v="Irregular"/>
    <n v="0"/>
    <s v="No"/>
    <s v="None"/>
    <s v="Home|Home Improvement"/>
  </r>
  <r>
    <s v="Chase Freedom XX9381"/>
    <d v="2014-08-12T00:00:00"/>
    <n v="-43.37"/>
    <s v="X"/>
    <s v="Valero"/>
    <m/>
    <s v="Auto &amp; Transport:Gas &amp; Fuel"/>
    <m/>
    <m/>
    <m/>
    <x v="17"/>
    <s v="Gas &amp; Fuel"/>
    <x v="0"/>
    <m/>
    <x v="0"/>
    <m/>
    <s v="Aug"/>
    <n v="2014"/>
    <s v="Monthly"/>
    <n v="0"/>
    <s v="No"/>
    <s v="None"/>
    <s v="Auto &amp; Transport|Gas &amp; Fuel"/>
  </r>
  <r>
    <s v="Koolikai Credit Card"/>
    <d v="2014-08-12T00:00:00"/>
    <n v="-146.91999999999999"/>
    <s v="X"/>
    <s v="Verizon Wireless"/>
    <m/>
    <s v="Business Expenses (Koolikai):Cell Phone"/>
    <m/>
    <m/>
    <m/>
    <x v="36"/>
    <s v="Cell Phone"/>
    <x v="0"/>
    <m/>
    <x v="0"/>
    <m/>
    <s v="Aug"/>
    <n v="2014"/>
    <s v="Monthly"/>
    <n v="0"/>
    <s v="No"/>
    <s v="None"/>
    <s v="Business Expenses (Koolikai)|Cell Phone"/>
  </r>
  <r>
    <s v="MasterCard (Capital One)"/>
    <d v="2014-08-12T00:00:00"/>
    <n v="-103.19"/>
    <s v="X"/>
    <s v="Parts Express"/>
    <s v="Arduino kit"/>
    <s v="Shopping:Electronics &amp; Software"/>
    <m/>
    <m/>
    <m/>
    <x v="13"/>
    <s v="Electronics &amp; Software"/>
    <x v="0"/>
    <m/>
    <x v="0"/>
    <m/>
    <s v="Aug"/>
    <n v="2014"/>
    <s v="Annual"/>
    <n v="0"/>
    <s v="No"/>
    <s v="None"/>
    <s v="Shopping|Electronics &amp; Software"/>
  </r>
  <r>
    <s v="MasterCard (Capital One)"/>
    <d v="2014-08-11T00:00:00"/>
    <n v="-37.72"/>
    <s v="X"/>
    <s v="Fred Meyer"/>
    <m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11T00:00:00"/>
    <n v="-50"/>
    <s v="X"/>
    <s v="National MS Society"/>
    <m/>
    <s v="Charity:Charity (Cash)"/>
    <m/>
    <m/>
    <m/>
    <x v="22"/>
    <s v="Charity (Cash)"/>
    <x v="0"/>
    <m/>
    <x v="0"/>
    <m/>
    <s v="Aug"/>
    <n v="2014"/>
    <s v="Annual"/>
    <n v="0"/>
    <s v="No"/>
    <s v="None"/>
    <s v="Charity|Charity (Cash)"/>
  </r>
  <r>
    <s v="MasterCard (Capital One)"/>
    <d v="2014-08-11T00:00:00"/>
    <n v="-136"/>
    <s v="X"/>
    <s v="Seattle Parks And Recreation"/>
    <s v="Swimming lessons for Zach and Josh"/>
    <s v="Kids:Kids Activities"/>
    <m/>
    <m/>
    <m/>
    <x v="27"/>
    <s v="Kids Activities"/>
    <x v="0"/>
    <m/>
    <x v="0"/>
    <m/>
    <s v="Aug"/>
    <n v="2014"/>
    <s v="Monthly"/>
    <n v="0"/>
    <s v="No"/>
    <s v="None"/>
    <s v="Kids|Kids Activities"/>
  </r>
  <r>
    <s v="First Tech - Checking (5544)"/>
    <d v="2014-08-10T00:00:00"/>
    <n v="100"/>
    <s v="X"/>
    <s v="EFI Rebate Processing"/>
    <s v="Rebate for purchase of washing machine"/>
    <s v="Projects:Appliances"/>
    <m/>
    <m/>
    <m/>
    <x v="39"/>
    <s v="Appliances"/>
    <x v="0"/>
    <m/>
    <x v="0"/>
    <m/>
    <s v="Aug"/>
    <n v="2014"/>
    <s v="Unplanned"/>
    <n v="0"/>
    <s v="No"/>
    <s v="None"/>
    <s v="Projects|Appliances"/>
  </r>
  <r>
    <s v="Chase Freedom XX9381"/>
    <d v="2014-08-10T00:00:00"/>
    <n v="-36.78"/>
    <s v="X"/>
    <s v="Shell"/>
    <m/>
    <s v="Auto &amp; Transport:Gas &amp; Fuel"/>
    <m/>
    <m/>
    <m/>
    <x v="17"/>
    <s v="Gas &amp; Fuel"/>
    <x v="0"/>
    <m/>
    <x v="0"/>
    <m/>
    <s v="Aug"/>
    <n v="2014"/>
    <s v="Monthly"/>
    <n v="0"/>
    <s v="No"/>
    <s v="None"/>
    <s v="Auto &amp; Transport|Gas &amp; Fuel"/>
  </r>
  <r>
    <s v="MasterCard (Capital One)"/>
    <d v="2014-08-10T00:00:00"/>
    <n v="-20.420000000000002"/>
    <s v="X"/>
    <s v="Wendy's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First Tech - Checking (5544)"/>
    <d v="2014-08-08T00:00:00"/>
    <n v="-60.35"/>
    <s v="X"/>
    <s v="Target (Autopay)"/>
    <s v="ACH Debit--TARGET CARD SRVC 001 - AUTO PYMT"/>
    <s v="[Target Red Card]"/>
    <m/>
    <m/>
    <m/>
    <x v="12"/>
    <m/>
    <x v="0"/>
    <m/>
    <x v="0"/>
    <m/>
    <s v="Aug"/>
    <n v="2014"/>
    <s v="Account"/>
    <n v="0"/>
    <s v="No"/>
    <s v="None"/>
    <s v="[Target Red Card]"/>
  </r>
  <r>
    <s v="Chase Freedom XX9381"/>
    <d v="2014-08-08T00:00:00"/>
    <n v="-20.329999999999998"/>
    <s v="X"/>
    <s v="Amazon"/>
    <s v="Rechargeable batteries"/>
    <s v="Kids:Toys"/>
    <m/>
    <m/>
    <m/>
    <x v="27"/>
    <s v="Toys"/>
    <x v="0"/>
    <m/>
    <x v="0"/>
    <m/>
    <s v="Aug"/>
    <n v="2014"/>
    <s v="Monthly"/>
    <n v="0"/>
    <s v="No"/>
    <s v="None"/>
    <s v="Kids|Toys"/>
  </r>
  <r>
    <s v="Target Red Card"/>
    <d v="2014-08-08T00:00:00"/>
    <n v="60.35"/>
    <s v="X"/>
    <s v="Target (Autopay)"/>
    <s v="ACH Debit--TARGET CARD SRVC 001 - AUTO PYMT"/>
    <s v="[First Tech - Checking (5544)]"/>
    <m/>
    <m/>
    <m/>
    <x v="21"/>
    <m/>
    <x v="0"/>
    <m/>
    <x v="0"/>
    <m/>
    <s v="Aug"/>
    <n v="2014"/>
    <s v="Account"/>
    <n v="0"/>
    <s v="No"/>
    <s v="None"/>
    <s v="[First Tech - Checking (5544)]"/>
  </r>
  <r>
    <s v="MasterCard (Capital One)"/>
    <d v="2014-08-07T00:00:00"/>
    <n v="-7.65"/>
    <s v="X"/>
    <s v="Fred Meyer"/>
    <s v="Water gun"/>
    <s v="Kids:Toys/From Receipt"/>
    <m/>
    <s v="Split"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07T00:00:00"/>
    <n v="-43.79"/>
    <s v="X"/>
    <s v="Fred Meyer"/>
    <s v="Air pump"/>
    <s v="Shopping:Hobbies:Camping Equipment/From Receipt"/>
    <m/>
    <s v="Split"/>
    <s v="From Receipt"/>
    <x v="13"/>
    <s v="Hobbies"/>
    <x v="2"/>
    <m/>
    <x v="0"/>
    <m/>
    <s v="Aug"/>
    <n v="2014"/>
    <s v="Annual"/>
    <n v="0"/>
    <s v="No"/>
    <s v="None"/>
    <s v="Shopping|Hobbies"/>
  </r>
  <r>
    <s v="MasterCard (Capital One)"/>
    <d v="2014-08-07T00:00:00"/>
    <n v="-10.94"/>
    <s v="X"/>
    <s v="Fred Meyer"/>
    <s v="Batteries"/>
    <s v="Kids:Toys/From Receipt"/>
    <m/>
    <s v="Split"/>
    <s v="From Receipt"/>
    <x v="27"/>
    <s v="Toys"/>
    <x v="0"/>
    <m/>
    <x v="0"/>
    <m/>
    <s v="Aug"/>
    <n v="2014"/>
    <s v="Monthly"/>
    <n v="0"/>
    <s v="No"/>
    <s v="None"/>
    <s v="Kids|Toys"/>
  </r>
  <r>
    <s v="MasterCard (Capital One)"/>
    <d v="2014-08-07T00:00:00"/>
    <n v="-10.86"/>
    <s v="X"/>
    <s v="KFC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Schwab - Checking (9784)"/>
    <d v="2014-08-06T00:00:00"/>
    <n v="-40"/>
    <s v="X"/>
    <s v="First Tech 154th"/>
    <s v="Cash for lunches, etc."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06T00:00:00"/>
    <n v="-6"/>
    <s v="X"/>
    <s v="Fred Meyer"/>
    <s v="Mini biners and mantel"/>
    <s v="Shopping:Hobbies:Camping Equipment/From Receipt"/>
    <m/>
    <s v="Split"/>
    <s v="From Receipt"/>
    <x v="13"/>
    <s v="Hobbies"/>
    <x v="2"/>
    <m/>
    <x v="0"/>
    <m/>
    <s v="Aug"/>
    <n v="2014"/>
    <s v="Annual"/>
    <n v="0"/>
    <s v="No"/>
    <s v="None"/>
    <s v="Shopping|Hobbies"/>
  </r>
  <r>
    <s v="MasterCard (Capital One)"/>
    <d v="2014-08-06T00:00:00"/>
    <n v="-67.77"/>
    <s v="X"/>
    <s v="Fred Meyer"/>
    <m/>
    <s v="Food &amp; Dining:Groceries/From Receipt"/>
    <m/>
    <s v="Split"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First Tech - Checking (5544)"/>
    <d v="2014-08-05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Aug"/>
    <n v="2014"/>
    <s v="Monthly"/>
    <n v="0"/>
    <s v="No"/>
    <s v="None"/>
    <s v="Kids|American Funds 529A"/>
  </r>
  <r>
    <s v="First Tech - Checking (5544)"/>
    <d v="2014-08-05T00:00:00"/>
    <n v="-3864.19"/>
    <s v="X"/>
    <s v="Wells Fargo Home Mortgage"/>
    <s v="ACH Debit--WF HOME MTG ACH - AUTO PAY"/>
    <s v="Home:Mortgage"/>
    <m/>
    <m/>
    <m/>
    <x v="14"/>
    <s v="Mortgage"/>
    <x v="0"/>
    <m/>
    <x v="0"/>
    <m/>
    <s v="Aug"/>
    <n v="2014"/>
    <s v="Monthly"/>
    <n v="0"/>
    <s v="No"/>
    <s v="None"/>
    <s v="Home|Mortgage"/>
  </r>
  <r>
    <s v="First Tech - Checking (5544)"/>
    <d v="2014-08-05T00:00:00"/>
    <n v="-70"/>
    <s v="X"/>
    <s v="Patricia Anderson"/>
    <s v="Check--"/>
    <s v="Kids:Babysitter"/>
    <n v="2133"/>
    <m/>
    <m/>
    <x v="27"/>
    <s v="Babysitter"/>
    <x v="0"/>
    <m/>
    <x v="0"/>
    <m/>
    <s v="Aug"/>
    <n v="2014"/>
    <s v="Monthly"/>
    <n v="0"/>
    <s v="No"/>
    <s v="None"/>
    <s v="Kids|Babysitter"/>
  </r>
  <r>
    <s v="MasterCard (Capital One)"/>
    <d v="2014-08-05T00:00:00"/>
    <n v="25"/>
    <s v="X"/>
    <s v="Capital One (Cash Back)"/>
    <s v="2011: CREDIT-CASH BACK REWARD"/>
    <s v="Other Inc"/>
    <m/>
    <m/>
    <m/>
    <x v="29"/>
    <m/>
    <x v="0"/>
    <m/>
    <x v="0"/>
    <m/>
    <s v="Aug"/>
    <n v="2014"/>
    <s v="Monthly"/>
    <n v="0"/>
    <s v="No"/>
    <s v="None"/>
    <s v="Other Inc"/>
  </r>
  <r>
    <s v="MasterCard (Capital One)"/>
    <d v="2014-08-05T00:00:00"/>
    <n v="-14.22"/>
    <s v="X"/>
    <s v="Amazon"/>
    <s v="Camping lantern"/>
    <s v="Shopping:Hobbies:Camping Equipment/From Receipt"/>
    <m/>
    <m/>
    <s v="From Receipt"/>
    <x v="13"/>
    <s v="Hobbies"/>
    <x v="2"/>
    <m/>
    <x v="0"/>
    <m/>
    <s v="Aug"/>
    <n v="2014"/>
    <s v="Annual"/>
    <n v="0"/>
    <s v="No"/>
    <s v="None"/>
    <s v="Shopping|Hobbies"/>
  </r>
  <r>
    <s v="MasterCard (Capital One)"/>
    <d v="2014-08-05T00:00:00"/>
    <n v="-2.25"/>
    <s v="X"/>
    <s v="Park"/>
    <m/>
    <s v="Auto &amp; Transport:Parking"/>
    <m/>
    <m/>
    <m/>
    <x v="17"/>
    <s v="Parking"/>
    <x v="0"/>
    <m/>
    <x v="0"/>
    <m/>
    <s v="Aug"/>
    <n v="2014"/>
    <s v="Monthly"/>
    <n v="0"/>
    <s v="No"/>
    <s v="None"/>
    <s v="Auto &amp; Transport|Parking"/>
  </r>
  <r>
    <s v="MasterCard (Capital One)"/>
    <d v="2014-08-05T00:00:00"/>
    <n v="-29.09"/>
    <s v="X"/>
    <s v="Barrio"/>
    <m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First Tech - Checking (5544)"/>
    <d v="2014-08-04T00:00:00"/>
    <n v="632.09"/>
    <s v="X"/>
    <s v="Bryndel Swift"/>
    <s v="Deposit--Shared Branch Mobile Deposit          First Tech FC CA"/>
    <s v="Projects:Fence/7231"/>
    <m/>
    <m/>
    <n v="7231"/>
    <x v="39"/>
    <s v="Fence"/>
    <x v="0"/>
    <m/>
    <x v="0"/>
    <m/>
    <s v="Aug"/>
    <n v="2014"/>
    <s v="Unplanned"/>
    <n v="0"/>
    <s v="No"/>
    <s v="None"/>
    <s v="Projects|Fence"/>
  </r>
  <r>
    <s v="First Tech - Checking (5544)"/>
    <d v="2014-08-04T00:00:00"/>
    <n v="1000"/>
    <s v="X"/>
    <s v="Fred Hutchinson"/>
    <s v="Compensation for Angela participating in round table"/>
    <s v="Other Inc"/>
    <m/>
    <m/>
    <m/>
    <x v="29"/>
    <m/>
    <x v="0"/>
    <m/>
    <x v="0"/>
    <m/>
    <s v="Aug"/>
    <n v="2014"/>
    <s v="Monthly"/>
    <n v="0"/>
    <s v="No"/>
    <s v="None"/>
    <s v="Other Inc"/>
  </r>
  <r>
    <s v="First Tech - Checking (5544)"/>
    <d v="2014-08-04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Aug"/>
    <n v="2014"/>
    <s v="Monthly"/>
    <n v="0"/>
    <s v="No"/>
    <s v="None"/>
    <s v="Business Expenses (Koolikai)|Mortgage (Business)"/>
  </r>
  <r>
    <s v="First Tech - Checking (5544)"/>
    <d v="2014-08-04T00:00:00"/>
    <n v="-2837.01"/>
    <s v="X"/>
    <s v="Capital One (Autopay)"/>
    <s v="ACH Debit--CAPITAL ONE  - CRCARDPMT"/>
    <s v="[MasterCard (Capital One)]"/>
    <m/>
    <m/>
    <m/>
    <x v="38"/>
    <m/>
    <x v="0"/>
    <m/>
    <x v="0"/>
    <m/>
    <s v="Aug"/>
    <n v="2014"/>
    <s v="Account"/>
    <n v="0"/>
    <s v="No"/>
    <s v="None"/>
    <s v="[MasterCard (Capital One)]"/>
  </r>
  <r>
    <s v="First Tech - Checking (5544)"/>
    <d v="2014-08-04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Aug"/>
    <n v="2014"/>
    <s v="Monthly"/>
    <n v="0"/>
    <s v="No"/>
    <s v="None"/>
    <s v="Business Expenses (Koolikai)|Mortgage (Business)"/>
  </r>
  <r>
    <s v="Koolikai - Checking XX2129"/>
    <d v="2014-08-04T00:00:00"/>
    <n v="2295"/>
    <s v="X"/>
    <s v="Aaron Ausland"/>
    <s v="Deposit--Shared Branch Mobile Deposit          First Tech FC CA"/>
    <s v="Business Income (Koolikai):Rent/7231:From Receipt"/>
    <m/>
    <m/>
    <s v="7231:From Receipt"/>
    <x v="37"/>
    <s v="Rent"/>
    <x v="0"/>
    <m/>
    <x v="0"/>
    <m/>
    <s v="Aug"/>
    <n v="2014"/>
    <s v="Monthly"/>
    <n v="0"/>
    <s v="No"/>
    <s v="None"/>
    <s v="Business Income (Koolikai)|Rent"/>
  </r>
  <r>
    <s v="MasterCard (Capital One)"/>
    <d v="2014-08-04T00:00:00"/>
    <n v="-23.9"/>
    <s v="X"/>
    <s v="Amazon"/>
    <s v="Camping toaster and griddle"/>
    <s v="Shopping:Hobbies:Camping Equipment/From Receipt"/>
    <m/>
    <m/>
    <s v="From Receipt"/>
    <x v="13"/>
    <s v="Hobbies"/>
    <x v="2"/>
    <m/>
    <x v="0"/>
    <m/>
    <s v="Aug"/>
    <n v="2014"/>
    <s v="Annual"/>
    <n v="0"/>
    <s v="No"/>
    <s v="None"/>
    <s v="Shopping|Hobbies"/>
  </r>
  <r>
    <s v="MasterCard (Capital One)"/>
    <d v="2014-08-04T00:00:00"/>
    <n v="-32.85"/>
    <s v="X"/>
    <s v="Groundspeak Membership Groundspeak"/>
    <s v="2011: Groundspeak Membership 866-436-2224 WA 98103 USA"/>
    <s v="Shopping:Hobbies"/>
    <m/>
    <m/>
    <m/>
    <x v="13"/>
    <s v="Hobbies"/>
    <x v="0"/>
    <m/>
    <x v="0"/>
    <m/>
    <s v="Aug"/>
    <n v="2014"/>
    <s v="Annual"/>
    <n v="0"/>
    <s v="No"/>
    <s v="None"/>
    <s v="Shopping|Hobbies"/>
  </r>
  <r>
    <s v="Chase Freedom XX9381"/>
    <d v="2014-08-03T00:00:00"/>
    <n v="-249.21"/>
    <s v="X"/>
    <s v="Amazon"/>
    <s v="Smoke detectors"/>
    <s v="Home:Home Improvement"/>
    <m/>
    <m/>
    <m/>
    <x v="14"/>
    <s v="Home Improvement"/>
    <x v="0"/>
    <m/>
    <x v="0"/>
    <m/>
    <s v="Aug"/>
    <n v="2014"/>
    <s v="Irregular"/>
    <n v="0"/>
    <s v="No"/>
    <s v="None"/>
    <s v="Home|Home Improvement"/>
  </r>
  <r>
    <s v="MasterCard (Capital One)"/>
    <d v="2014-08-03T00:00:00"/>
    <n v="-8.75"/>
    <s v="X"/>
    <s v="Netflix"/>
    <s v="2011: NETFLIX.COM NETFLIX.COM CA 95032 USA"/>
    <s v="Entertainment:Movies &amp; DVDs"/>
    <m/>
    <m/>
    <m/>
    <x v="30"/>
    <s v="Movies &amp; DVDs"/>
    <x v="0"/>
    <m/>
    <x v="0"/>
    <m/>
    <s v="Aug"/>
    <n v="2014"/>
    <s v="Unplanned"/>
    <n v="0"/>
    <s v="No"/>
    <s v="None"/>
    <s v="Entertainment|Movies &amp; DVDs"/>
  </r>
  <r>
    <s v="MasterCard (Capital One)"/>
    <d v="2014-08-03T00:00:00"/>
    <n v="-12.97"/>
    <s v="X"/>
    <s v="Taco Del Mar"/>
    <s v="2011: TACO DEL MAR GREENWOOD SEATTLE WA 98103 USA"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03T00:00:00"/>
    <n v="-37.04"/>
    <s v="X"/>
    <s v="Trader Joe's"/>
    <s v="2011: TRADER JOE'S #147 QPS SEATTLE WA 98107 USA"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03T00:00:00"/>
    <n v="-78.959999999999994"/>
    <s v="X"/>
    <s v="Fred Meyer"/>
    <s v="@BAL:2459.96@@CAT:@"/>
    <s v="Food &amp; Dining:Groceries/From Receipt"/>
    <m/>
    <m/>
    <s v="From Receipt"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02T00:00:00"/>
    <n v="-0.6"/>
    <s v="X"/>
    <s v="Seattle Park Seattle"/>
    <s v="2011: SEATTLE 684-PARK SEATTLE WA 98104 USA"/>
    <s v="Auto &amp; Transport:Parking"/>
    <m/>
    <m/>
    <m/>
    <x v="17"/>
    <s v="Parking"/>
    <x v="0"/>
    <m/>
    <x v="0"/>
    <m/>
    <s v="Aug"/>
    <n v="2014"/>
    <s v="Monthly"/>
    <n v="0"/>
    <s v="No"/>
    <s v="None"/>
    <s v="Auto &amp; Transport|Parking"/>
  </r>
  <r>
    <s v="MasterCard (Capital One)"/>
    <d v="2014-08-02T00:00:00"/>
    <n v="-8.15"/>
    <s v="X"/>
    <s v="J Aime Les Crepes"/>
    <s v="2011: J'AIME LES CREPES KINGSTON WA 98346 USA"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MasterCard (Capital One)"/>
    <d v="2014-08-02T00:00:00"/>
    <n v="-16"/>
    <s v="X"/>
    <s v="Wsferries Ed Seattle"/>
    <s v="2011: WSFERRIES-ED 888087971 SEATTLE WA 98121 USA"/>
    <s v="Kids:Kids Activities"/>
    <m/>
    <m/>
    <m/>
    <x v="27"/>
    <s v="Kids Activities"/>
    <x v="0"/>
    <m/>
    <x v="0"/>
    <m/>
    <s v="Aug"/>
    <n v="2014"/>
    <s v="Monthly"/>
    <n v="0"/>
    <s v="No"/>
    <s v="None"/>
    <s v="Kids|Kids Activities"/>
  </r>
  <r>
    <s v="MasterCard (Capital One)"/>
    <d v="2014-08-02T00:00:00"/>
    <n v="-20"/>
    <s v="X"/>
    <s v="Ken's Market"/>
    <s v="2011: KEN'S MARKET #75-116 SEATTLE WA 98103 USA"/>
    <s v="Food &amp; Dining:Groceries"/>
    <m/>
    <m/>
    <m/>
    <x v="15"/>
    <s v="Groceries"/>
    <x v="0"/>
    <m/>
    <x v="0"/>
    <m/>
    <s v="Aug"/>
    <n v="2014"/>
    <s v="Monthly"/>
    <n v="0"/>
    <s v="No"/>
    <s v="None"/>
    <s v="Food &amp; Dining|Groceries"/>
  </r>
  <r>
    <s v="MasterCard (Capital One)"/>
    <d v="2014-08-02T00:00:00"/>
    <n v="-20.98"/>
    <s v="X"/>
    <s v="Comcast"/>
    <s v="2011: COMCAST CABLE COMM 800-COMCAST WA 98087 USA"/>
    <s v="Bills &amp; Utilities:Television"/>
    <m/>
    <s v="Split"/>
    <m/>
    <x v="34"/>
    <s v="Television"/>
    <x v="0"/>
    <m/>
    <x v="0"/>
    <m/>
    <s v="Aug"/>
    <n v="2014"/>
    <s v="Monthly"/>
    <n v="0"/>
    <s v="No"/>
    <s v="None"/>
    <s v="Bills &amp; Utilities|Television"/>
  </r>
  <r>
    <s v="MasterCard (Capital One)"/>
    <d v="2014-08-02T00:00:00"/>
    <n v="-66.53"/>
    <s v="X"/>
    <s v="Comcast"/>
    <m/>
    <s v="Business Expenses (Koolikai):Internet"/>
    <m/>
    <s v="Split"/>
    <m/>
    <x v="36"/>
    <s v="Internet"/>
    <x v="0"/>
    <m/>
    <x v="0"/>
    <m/>
    <s v="Aug"/>
    <n v="2014"/>
    <s v="Monthly"/>
    <n v="0"/>
    <s v="No"/>
    <s v="None"/>
    <s v="Business Expenses (Koolikai)|Internet"/>
  </r>
  <r>
    <s v="MasterCard (Capital One)"/>
    <d v="2014-08-02T00:00:00"/>
    <n v="-44.54"/>
    <s v="X"/>
    <s v="Comcast"/>
    <m/>
    <s v="Bills &amp; Utilities:Home Phone"/>
    <m/>
    <s v="Split"/>
    <m/>
    <x v="34"/>
    <s v="Home Phone"/>
    <x v="0"/>
    <m/>
    <x v="0"/>
    <m/>
    <s v="Aug"/>
    <n v="2014"/>
    <s v="Monthly"/>
    <n v="0"/>
    <s v="No"/>
    <s v="None"/>
    <s v="Bills &amp; Utilities|Home Phone"/>
  </r>
  <r>
    <s v="MasterCard (Capital One)"/>
    <d v="2014-08-02T00:00:00"/>
    <n v="-149.38"/>
    <s v="X"/>
    <s v="Volterra"/>
    <s v="2011: VOLTERRA SEATTLE WA 98107 USA"/>
    <s v="Food &amp; Dining:Restaurants"/>
    <m/>
    <m/>
    <m/>
    <x v="15"/>
    <s v="Restaurants"/>
    <x v="0"/>
    <m/>
    <x v="0"/>
    <m/>
    <s v="Aug"/>
    <n v="2014"/>
    <s v="Monthly"/>
    <n v="0"/>
    <s v="No"/>
    <s v="None"/>
    <s v="Food &amp; Dining|Restaurants"/>
  </r>
  <r>
    <s v="First Tech - Checking (5544)"/>
    <d v="2014-08-01T00:00:00"/>
    <n v="-1976"/>
    <s v="X"/>
    <s v="Phinney Ridge Lu 504759859 - Con"/>
    <s v="ACH Debit--PHINNEY RIDGE LU 504759859 - CONTRIBUTN"/>
    <s v="Kids:Daycare"/>
    <m/>
    <m/>
    <m/>
    <x v="27"/>
    <s v="Daycare"/>
    <x v="0"/>
    <m/>
    <x v="0"/>
    <m/>
    <s v="Aug"/>
    <n v="2014"/>
    <s v="Monthly"/>
    <n v="0"/>
    <s v="No"/>
    <s v="None"/>
    <s v="Kids|Daycare"/>
  </r>
  <r>
    <s v="MasterCard (Capital One)"/>
    <d v="2014-08-01T00:00:00"/>
    <n v="2837.01"/>
    <s v="X"/>
    <s v="Capital One (Autopay)"/>
    <s v="2011: CAPITAL ONE AUTOPAY PYMT AuthDate 06-JUL"/>
    <s v="[First Tech - Checking (5544)]"/>
    <m/>
    <m/>
    <m/>
    <x v="21"/>
    <m/>
    <x v="0"/>
    <m/>
    <x v="0"/>
    <m/>
    <s v="Aug"/>
    <n v="2014"/>
    <s v="Account"/>
    <n v="0"/>
    <s v="No"/>
    <s v="None"/>
    <s v="[First Tech - Checking (5544)]"/>
  </r>
  <r>
    <s v="Capital One - Investment (6759)"/>
    <d v="2014-07-31T00:00:00"/>
    <n v="20.04"/>
    <s v="X"/>
    <s v="Capital One (Interest Income)"/>
    <s v="@CAT:@"/>
    <s v="Interest Income"/>
    <s v="INT"/>
    <m/>
    <m/>
    <x v="40"/>
    <m/>
    <x v="0"/>
    <m/>
    <x v="0"/>
    <m/>
    <s v="Jul"/>
    <n v="2014"/>
    <s v="Monthly"/>
    <n v="0"/>
    <s v="No"/>
    <s v="None"/>
    <s v="Interest Income"/>
  </r>
  <r>
    <s v="Capital One - Long Term Emergency (1201)"/>
    <d v="2014-07-31T00:00:00"/>
    <n v="50.3"/>
    <s v="X"/>
    <s v="Capital One (Interest Income)"/>
    <m/>
    <s v="Interest Income"/>
    <s v="INT"/>
    <m/>
    <m/>
    <x v="40"/>
    <m/>
    <x v="0"/>
    <m/>
    <x v="0"/>
    <m/>
    <s v="Jul"/>
    <n v="2014"/>
    <s v="Monthly"/>
    <n v="0"/>
    <s v="No"/>
    <s v="None"/>
    <s v="Interest Income"/>
  </r>
  <r>
    <s v="Capital One - Secondary Savings (3126)"/>
    <d v="2014-07-31T00:00:00"/>
    <n v="0.02"/>
    <s v="X"/>
    <s v="Capital One (Interest Income)"/>
    <m/>
    <s v="Interest Income"/>
    <s v="INT"/>
    <m/>
    <m/>
    <x v="40"/>
    <m/>
    <x v="0"/>
    <m/>
    <x v="0"/>
    <m/>
    <s v="Jul"/>
    <n v="2014"/>
    <s v="Monthly"/>
    <n v="0"/>
    <s v="No"/>
    <s v="None"/>
    <s v="Interest Income"/>
  </r>
  <r>
    <s v="Capital One - Vacation (4959)"/>
    <d v="2014-07-31T00:00:00"/>
    <n v="2.13"/>
    <s v="X"/>
    <s v="Capital One (Interest Income)"/>
    <m/>
    <s v="Interest Income"/>
    <s v="INT"/>
    <m/>
    <m/>
    <x v="40"/>
    <m/>
    <x v="0"/>
    <m/>
    <x v="0"/>
    <m/>
    <s v="Jul"/>
    <n v="2014"/>
    <s v="Monthly"/>
    <n v="0"/>
    <s v="No"/>
    <s v="None"/>
    <s v="Interest Income"/>
  </r>
  <r>
    <s v="Koolikai - Checking XX2129"/>
    <d v="2014-07-31T00:00:00"/>
    <n v="2195"/>
    <s v="X"/>
    <s v="John Schaibley"/>
    <s v="Deposit--Shared Branch Mobile Deposit          First Tech FC CA"/>
    <s v="Business Income (Koolikai):Rent/9602:From Receipt"/>
    <m/>
    <m/>
    <s v="9602:From Receipt"/>
    <x v="37"/>
    <s v="Rent"/>
    <x v="0"/>
    <m/>
    <x v="0"/>
    <m/>
    <s v="Jul"/>
    <n v="2014"/>
    <s v="Monthly"/>
    <n v="0"/>
    <s v="No"/>
    <s v="None"/>
    <s v="Business Income (Koolikai)|Rent"/>
  </r>
  <r>
    <s v="Koolikai - Sec Dep XX1200"/>
    <d v="2014-07-31T00:00:00"/>
    <n v="0.19"/>
    <s v="X"/>
    <s v="First Tech (Dividend)"/>
    <s v="Credit Dividend--"/>
    <s v="Interest Income"/>
    <m/>
    <m/>
    <m/>
    <x v="40"/>
    <m/>
    <x v="0"/>
    <m/>
    <x v="0"/>
    <m/>
    <s v="Jul"/>
    <n v="2014"/>
    <s v="Monthly"/>
    <n v="0"/>
    <s v="No"/>
    <s v="None"/>
    <s v="Interest Income"/>
  </r>
  <r>
    <s v="Schwab - Checking (9784)"/>
    <d v="2014-07-31T00:00:00"/>
    <n v="7.0000000000000007E-2"/>
    <s v="X"/>
    <s v="Interest Paid"/>
    <m/>
    <s v="Interest Income"/>
    <m/>
    <m/>
    <m/>
    <x v="40"/>
    <m/>
    <x v="0"/>
    <m/>
    <x v="0"/>
    <m/>
    <s v="Jul"/>
    <n v="2014"/>
    <s v="Monthly"/>
    <n v="0"/>
    <s v="No"/>
    <s v="None"/>
    <s v="Interest Income"/>
  </r>
  <r>
    <s v="Schwab - Checking (9784)"/>
    <d v="2014-07-31T00:00:00"/>
    <n v="5"/>
    <s v="X"/>
    <s v="ATM Fee Refund"/>
    <m/>
    <s v="Bank Fees &amp; Charges:ATM Fee"/>
    <m/>
    <m/>
    <m/>
    <x v="32"/>
    <s v="ATM Fee"/>
    <x v="0"/>
    <m/>
    <x v="0"/>
    <m/>
    <s v="Jul"/>
    <n v="2014"/>
    <s v="Monthly"/>
    <n v="0"/>
    <s v="No"/>
    <s v="None"/>
    <s v="Bank Fees &amp; Charges|ATM Fee"/>
  </r>
  <r>
    <s v="American Express (Costco)"/>
    <d v="2014-07-31T00:00:00"/>
    <n v="-26.27"/>
    <s v="X"/>
    <s v="Costco"/>
    <s v="Matress inflator"/>
    <s v="Shopping:Hobbies:Camping Equipment"/>
    <m/>
    <s v="Split"/>
    <m/>
    <x v="13"/>
    <s v="Hobbies"/>
    <x v="2"/>
    <m/>
    <x v="0"/>
    <m/>
    <s v="Jul"/>
    <n v="2014"/>
    <s v="Annual"/>
    <n v="0"/>
    <s v="No"/>
    <s v="None"/>
    <s v="Shopping|Hobbies"/>
  </r>
  <r>
    <s v="American Express (Costco)"/>
    <d v="2014-07-31T00:00:00"/>
    <n v="-61.9"/>
    <s v="X"/>
    <s v="Costco"/>
    <m/>
    <s v="Food &amp; Dining:Groceries"/>
    <m/>
    <s v="Split"/>
    <m/>
    <x v="15"/>
    <s v="Groceries"/>
    <x v="0"/>
    <m/>
    <x v="0"/>
    <m/>
    <s v="Jul"/>
    <n v="2014"/>
    <s v="Monthly"/>
    <n v="0"/>
    <s v="No"/>
    <s v="None"/>
    <s v="Food &amp; Dining|Groceries"/>
  </r>
  <r>
    <s v="Chase Freedom XX9381"/>
    <d v="2014-07-31T00:00:00"/>
    <n v="-35.520000000000003"/>
    <s v="X"/>
    <s v="Blinds.Com"/>
    <s v="Repair materials for blinds"/>
    <s v="Home:Home Improvement"/>
    <m/>
    <m/>
    <m/>
    <x v="14"/>
    <s v="Home Improvement"/>
    <x v="0"/>
    <m/>
    <x v="0"/>
    <m/>
    <s v="Jul"/>
    <n v="2014"/>
    <s v="Irregular"/>
    <n v="0"/>
    <s v="No"/>
    <s v="None"/>
    <s v="Home|Home Improvement"/>
  </r>
  <r>
    <s v="First Tech - Checking (5544)"/>
    <d v="2014-07-30T00:00:00"/>
    <n v="3159.33"/>
    <s v="X"/>
    <s v="Microsoft (Paystub)"/>
    <s v="ACH Deposit--MICROSOFT  - EDIPAYMENT"/>
    <s v="Net Salary"/>
    <m/>
    <m/>
    <m/>
    <x v="35"/>
    <m/>
    <x v="0"/>
    <m/>
    <x v="0"/>
    <m/>
    <s v="Jul"/>
    <n v="2014"/>
    <s v="Monthly"/>
    <n v="0"/>
    <s v="No"/>
    <s v="None"/>
    <s v="Net Salary"/>
  </r>
  <r>
    <s v="First Tech - Checking (5544)"/>
    <d v="2014-07-30T00:00:00"/>
    <n v="6058.12"/>
    <s v="X"/>
    <s v="CRAB (Paystub)"/>
    <s v="@CAT:@;@BAL:36,949.10@"/>
    <s v="Net Salary"/>
    <m/>
    <m/>
    <m/>
    <x v="35"/>
    <m/>
    <x v="0"/>
    <m/>
    <x v="0"/>
    <m/>
    <s v="Jul"/>
    <n v="2014"/>
    <s v="Monthly"/>
    <n v="0"/>
    <s v="No"/>
    <s v="None"/>
    <s v="Net Salary"/>
  </r>
  <r>
    <s v="MasterCard (Capital One)"/>
    <d v="2014-07-30T00:00:00"/>
    <n v="-1"/>
    <s v="X"/>
    <s v="Fred Meyer"/>
    <s v="2011: FRED-MEYER #0122 SEATTLE WA 98117 USA"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30T00:00:00"/>
    <n v="-21.9"/>
    <s v="X"/>
    <s v="Fred Meyer"/>
    <m/>
    <s v="Kids:Clothing/From Receipt"/>
    <m/>
    <s v="Split"/>
    <s v="From Receipt"/>
    <x v="27"/>
    <s v="Clothing"/>
    <x v="0"/>
    <m/>
    <x v="0"/>
    <m/>
    <s v="Jul"/>
    <n v="2014"/>
    <s v="Monthly"/>
    <n v="0"/>
    <s v="No"/>
    <s v="None"/>
    <s v="Kids|Clothing"/>
  </r>
  <r>
    <s v="First Tech - Checking (5544)"/>
    <d v="2014-07-28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Jul"/>
    <n v="2014"/>
    <s v="Monthly"/>
    <n v="0"/>
    <s v="No"/>
    <s v="None"/>
    <s v="Home|Home Services"/>
  </r>
  <r>
    <s v="First Tech - Checking (5544)"/>
    <d v="2014-07-28T00:00:00"/>
    <n v="-968.25"/>
    <s v="X"/>
    <s v="Chase  - Autopay"/>
    <s v="ACH Debit--CHASE  - AUTOPAY"/>
    <s v="[Chase Freedom XX9381]"/>
    <m/>
    <m/>
    <m/>
    <x v="7"/>
    <m/>
    <x v="0"/>
    <m/>
    <x v="0"/>
    <m/>
    <s v="Jul"/>
    <n v="2014"/>
    <e v="#N/A"/>
    <e v="#N/A"/>
    <e v="#N/A"/>
    <e v="#N/A"/>
    <s v="[Chase Freedom XX9381]"/>
  </r>
  <r>
    <s v="Chase Freedom XX9381"/>
    <d v="2014-07-28T00:00:00"/>
    <n v="-20"/>
    <s v="X"/>
    <s v="Safeway"/>
    <m/>
    <s v="Food &amp; Dining:Groceries"/>
    <m/>
    <m/>
    <m/>
    <x v="15"/>
    <s v="Groceries"/>
    <x v="0"/>
    <m/>
    <x v="0"/>
    <m/>
    <s v="Jul"/>
    <n v="2014"/>
    <s v="Monthly"/>
    <n v="0"/>
    <s v="No"/>
    <s v="None"/>
    <s v="Food &amp; Dining|Groceries"/>
  </r>
  <r>
    <s v="Chase Freedom XX9381"/>
    <d v="2014-07-28T00:00:00"/>
    <n v="-47.4"/>
    <s v="X"/>
    <s v="Safeway"/>
    <s v="#Deception Pass 2014#"/>
    <s v="Vacation:Food/From Receipt"/>
    <m/>
    <m/>
    <s v="From Receipt"/>
    <x v="23"/>
    <s v="Food"/>
    <x v="0"/>
    <m/>
    <x v="16"/>
    <m/>
    <s v="Jul"/>
    <n v="2014"/>
    <s v="Irregular"/>
    <n v="0"/>
    <s v="No"/>
    <s v="None"/>
    <s v="Vacation|Food"/>
  </r>
  <r>
    <s v="MasterCard (Capital One)"/>
    <d v="2014-07-28T00:00:00"/>
    <n v="-53.65"/>
    <s v="X"/>
    <s v="Fred Meyer"/>
    <s v="2011: FRED-MEYER #0122 SEATTLE WA 98117 USA"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28T00:00:00"/>
    <n v="-9.84"/>
    <s v="X"/>
    <s v="Fred Meyer"/>
    <s v="Camping fuel #Kalaloch 2014#"/>
    <s v="Vacation:Food/From Receipt"/>
    <m/>
    <s v="Split"/>
    <s v="From Receipt"/>
    <x v="23"/>
    <s v="Food"/>
    <x v="0"/>
    <m/>
    <x v="13"/>
    <m/>
    <s v="Jul"/>
    <n v="2014"/>
    <s v="Irregular"/>
    <n v="0"/>
    <s v="No"/>
    <s v="None"/>
    <s v="Vacation|Food"/>
  </r>
  <r>
    <s v="Capital One - Long Term Emergency (1201)"/>
    <d v="2014-07-25T00:00:00"/>
    <n v="14.75"/>
    <s v="X"/>
    <s v="Quarterly Bonus Int"/>
    <m/>
    <s v="Interest Income"/>
    <m/>
    <m/>
    <m/>
    <x v="40"/>
    <m/>
    <x v="0"/>
    <m/>
    <x v="0"/>
    <m/>
    <s v="Jul"/>
    <n v="2014"/>
    <s v="Monthly"/>
    <n v="0"/>
    <s v="No"/>
    <s v="None"/>
    <s v="Interest Income"/>
  </r>
  <r>
    <s v="Chase Freedom XX9381"/>
    <d v="2014-07-25T00:00:00"/>
    <n v="968.25"/>
    <s v="X"/>
    <s v="Chase Autopay (Freedom)"/>
    <m/>
    <s v="[First Tech - Checking (5544)]"/>
    <m/>
    <m/>
    <m/>
    <x v="21"/>
    <m/>
    <x v="0"/>
    <m/>
    <x v="0"/>
    <m/>
    <s v="Jul"/>
    <n v="2014"/>
    <s v="Account"/>
    <n v="0"/>
    <s v="No"/>
    <s v="None"/>
    <s v="[First Tech - Checking (5544)]"/>
  </r>
  <r>
    <s v="First Tech - Checking (5544)"/>
    <d v="2014-07-24T00:00:00"/>
    <n v="16.41"/>
    <s v="X"/>
    <s v="Stay Fit Credit"/>
    <s v="#Stay Fit# ACH Deposit--STAY FIT MICROSO 304254681"/>
    <s v="Health &amp; Fitness:Sports"/>
    <m/>
    <m/>
    <m/>
    <x v="18"/>
    <s v="Sports"/>
    <x v="0"/>
    <m/>
    <x v="5"/>
    <m/>
    <s v="Jul"/>
    <n v="2014"/>
    <s v="Irregular"/>
    <n v="0"/>
    <s v="No"/>
    <s v="None"/>
    <s v="Health &amp; Fitness|Sports"/>
  </r>
  <r>
    <s v="Koolikai - Checking XX2129"/>
    <d v="2014-07-24T00:00:00"/>
    <n v="-231.67"/>
    <s v="X"/>
    <s v="Chase - Koolikai (Autopay)"/>
    <s v="ACH Debit--CHASE  - AUTOPAYBUS"/>
    <s v="[Koolikai Credit Card]"/>
    <m/>
    <m/>
    <m/>
    <x v="9"/>
    <m/>
    <x v="0"/>
    <m/>
    <x v="0"/>
    <m/>
    <s v="Jul"/>
    <n v="2014"/>
    <s v="Account"/>
    <n v="0"/>
    <s v="No"/>
    <s v="None"/>
    <s v="[Koolikai Credit Card]"/>
  </r>
  <r>
    <s v="MasterCard (Capital One)"/>
    <d v="2014-07-24T00:00:00"/>
    <n v="-122.1"/>
    <s v="X"/>
    <s v="Fred Meyer"/>
    <s v="2011: FRED-MEYER #0122 SEATTLE WA 98117 USA"/>
    <s v="Food &amp; Dining:Groceries"/>
    <m/>
    <s v="Split"/>
    <m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24T00:00:00"/>
    <n v="-5.46"/>
    <s v="X"/>
    <s v="Fred Meyer"/>
    <s v="Glow sticks"/>
    <s v="Kids:Toys/From Receipt"/>
    <m/>
    <s v="Split"/>
    <s v="From Receipt"/>
    <x v="27"/>
    <s v="Toys"/>
    <x v="0"/>
    <m/>
    <x v="0"/>
    <m/>
    <s v="Jul"/>
    <n v="2014"/>
    <s v="Monthly"/>
    <n v="0"/>
    <s v="No"/>
    <s v="None"/>
    <s v="Kids|Toys"/>
  </r>
  <r>
    <s v="First Tech - Checking (5544)"/>
    <d v="2014-07-23T00:00:00"/>
    <n v="-75.19"/>
    <s v="X"/>
    <s v="American Express (Autopay)"/>
    <s v="ACH Debit--AMEX EPayment AM - ACH PMT"/>
    <s v="[American Express (Costco)]"/>
    <m/>
    <m/>
    <m/>
    <x v="20"/>
    <m/>
    <x v="0"/>
    <m/>
    <x v="0"/>
    <m/>
    <s v="Jul"/>
    <n v="2014"/>
    <s v="Account"/>
    <n v="0"/>
    <s v="No"/>
    <s v="None"/>
    <s v="[American Express (Costco)]"/>
  </r>
  <r>
    <s v="First Tech - Checking (5544)"/>
    <d v="2014-07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Jul"/>
    <n v="2014"/>
    <s v="Monthly"/>
    <n v="0"/>
    <s v="No"/>
    <s v="None"/>
    <s v="Auto &amp; Transport|Auto Lease Payment"/>
  </r>
  <r>
    <s v="American Express (Costco)"/>
    <d v="2014-07-23T00:00:00"/>
    <n v="75.19"/>
    <s v="X"/>
    <s v="American Express (Autopay)"/>
    <s v="ACH Debit--AMEX EPayment AM - ACH PMT"/>
    <s v="[First Tech - Checking (5544)]"/>
    <m/>
    <m/>
    <m/>
    <x v="21"/>
    <m/>
    <x v="0"/>
    <m/>
    <x v="0"/>
    <m/>
    <s v="Jul"/>
    <n v="2014"/>
    <s v="Account"/>
    <n v="0"/>
    <s v="No"/>
    <s v="None"/>
    <s v="[First Tech - Checking (5544)]"/>
  </r>
  <r>
    <s v="Koolikai Credit Card"/>
    <d v="2014-07-23T00:00:00"/>
    <n v="231.67"/>
    <s v="X"/>
    <s v="Chase - Koolikai (Autopay)"/>
    <m/>
    <s v="[Koolikai - Checking XX2129]"/>
    <m/>
    <m/>
    <m/>
    <x v="25"/>
    <m/>
    <x v="0"/>
    <m/>
    <x v="0"/>
    <m/>
    <s v="Jul"/>
    <n v="2014"/>
    <s v="Account"/>
    <n v="0"/>
    <s v="No"/>
    <s v="None"/>
    <s v="[Koolikai - Checking XX2129]"/>
  </r>
  <r>
    <s v="Schwab - Checking (9784)"/>
    <d v="2014-07-22T00:00:00"/>
    <n v="-26.66"/>
    <s v="X"/>
    <s v="Fred Meyer"/>
    <m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Schwab - Checking (9784)"/>
    <d v="2014-07-22T00:00:00"/>
    <n v="-20"/>
    <s v="X"/>
    <s v="Fred Meyer"/>
    <s v="Cash back"/>
    <s v="Food &amp; Dining:Restaurants/From Receipt"/>
    <m/>
    <s v="Split"/>
    <s v="From Receipt"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20T00:00:00"/>
    <n v="-11.83"/>
    <s v="X"/>
    <s v="Pie Seattle Center"/>
    <s v="2011: PIE - SEATTLE CENTER SEATTLE WA 98109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20T00:00:00"/>
    <n v="-12"/>
    <s v="X"/>
    <s v="Children's Museum"/>
    <s v="2011: THE CHILDRENS MUSEUM S 206-4411768 WA 981094623 USA"/>
    <s v="Kids:Kids Activities"/>
    <m/>
    <m/>
    <m/>
    <x v="27"/>
    <s v="Kids Activities"/>
    <x v="0"/>
    <m/>
    <x v="0"/>
    <m/>
    <s v="Jul"/>
    <n v="2014"/>
    <s v="Monthly"/>
    <n v="0"/>
    <s v="No"/>
    <s v="None"/>
    <s v="Kids|Kids Activities"/>
  </r>
  <r>
    <s v="MasterCard (Capital One)"/>
    <d v="2014-07-20T00:00:00"/>
    <n v="-18.23"/>
    <s v="X"/>
    <s v="Mod Superfast Pizza"/>
    <s v="2011: MOD SUPERFAST PIZZA - SEATTLE WA 98109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9T00:00:00"/>
    <n v="-31.68"/>
    <s v="X"/>
    <s v="Home Depot"/>
    <s v="Smoke alarm, tape measures, hole cover"/>
    <s v="Business Expenses (Koolikai):Office Expenses (Business)/From Receipt"/>
    <m/>
    <m/>
    <s v="From Receipt"/>
    <x v="36"/>
    <s v="Office Expenses (Business)"/>
    <x v="0"/>
    <m/>
    <x v="0"/>
    <m/>
    <s v="Jul"/>
    <n v="2014"/>
    <s v="Monthly"/>
    <n v="0"/>
    <s v="No"/>
    <s v="None"/>
    <s v="Business Expenses (Koolikai)|Office Expenses (Business)"/>
  </r>
  <r>
    <s v="MasterCard (Capital One)"/>
    <d v="2014-07-19T00:00:00"/>
    <n v="-50.03"/>
    <s v="X"/>
    <s v="Lucianos Pizza &amp; Pasta"/>
    <s v="2011: LUCIANOS PIZZA AND PAS SEATTLE WA 98116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9T00:00:00"/>
    <n v="-2.6"/>
    <s v="X"/>
    <s v="Fred Meyer"/>
    <s v="Drawing pad and notebooks"/>
    <s v="Kids:Toys/From Receipt"/>
    <m/>
    <s v="Split"/>
    <s v="From Receipt"/>
    <x v="27"/>
    <s v="Toys"/>
    <x v="0"/>
    <m/>
    <x v="0"/>
    <m/>
    <s v="Jul"/>
    <n v="2014"/>
    <s v="Monthly"/>
    <n v="0"/>
    <s v="No"/>
    <s v="None"/>
    <s v="Kids|Toys"/>
  </r>
  <r>
    <s v="MasterCard (Capital One)"/>
    <d v="2014-07-19T00:00:00"/>
    <n v="-70.73"/>
    <s v="X"/>
    <s v="Fred Meyer"/>
    <m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18T00:00:00"/>
    <n v="-6.56"/>
    <s v="X"/>
    <s v="Greenwood Hardware"/>
    <s v="Sprinkler"/>
    <s v="Projects:Landscaping"/>
    <m/>
    <m/>
    <m/>
    <x v="39"/>
    <s v="Landscaping"/>
    <x v="0"/>
    <m/>
    <x v="0"/>
    <m/>
    <s v="Jul"/>
    <n v="2014"/>
    <s v="Unplanned"/>
    <n v="0"/>
    <s v="No"/>
    <s v="None"/>
    <s v="Projects|Landscaping"/>
  </r>
  <r>
    <s v="MasterCard (Capital One)"/>
    <d v="2014-07-17T00:00:00"/>
    <n v="-21.9"/>
    <s v="X"/>
    <s v="Eastside Ski Sport"/>
    <s v="#Stay Fit# Bike repairs"/>
    <s v="Health &amp; Fitness:Sports/From Receipt"/>
    <m/>
    <m/>
    <s v="From Receipt"/>
    <x v="18"/>
    <s v="Sports"/>
    <x v="0"/>
    <m/>
    <x v="5"/>
    <m/>
    <s v="Jul"/>
    <n v="2014"/>
    <s v="Irregular"/>
    <n v="0"/>
    <s v="No"/>
    <s v="None"/>
    <s v="Health &amp; Fitness|Sports"/>
  </r>
  <r>
    <s v="MasterCard (Capital One)"/>
    <d v="2014-07-17T00:00:00"/>
    <n v="-42.14"/>
    <s v="X"/>
    <s v="Phinney Market"/>
    <s v="2011: PHINNEY MARKET PUB &amp; E SEATTLE WA 9810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7T00:00:00"/>
    <n v="-46.87"/>
    <s v="X"/>
    <s v="Poquitos"/>
    <s v="2011: POQUITOS SEATTLE WA 98122 USA"/>
    <s v="Food &amp; Dining:Restaurants/From Receipt"/>
    <m/>
    <m/>
    <s v="From Receipt"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7T00:00:00"/>
    <n v="-100"/>
    <s v="X"/>
    <s v="Eurest"/>
    <s v="2011: CAFE 86 11171386 REDMOND WA 98052 USA"/>
    <s v="Food &amp; Dining:Restaurants/From Receipt"/>
    <m/>
    <m/>
    <s v="From Receipt"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7T00:00:00"/>
    <n v="-170.77"/>
    <s v="X"/>
    <s v="Southwest Inn At Sedona"/>
    <s v="#Sedona#"/>
    <s v="Vacation:Transportation"/>
    <m/>
    <m/>
    <m/>
    <x v="23"/>
    <s v="Transportation"/>
    <x v="0"/>
    <m/>
    <x v="10"/>
    <m/>
    <s v="Jul"/>
    <n v="2014"/>
    <s v="Irregular"/>
    <n v="0"/>
    <s v="No"/>
    <s v="None"/>
    <s v="Vacation|Transportation"/>
  </r>
  <r>
    <s v="First Tech - Checking (5544)"/>
    <d v="2014-07-16T00:00:00"/>
    <n v="-65"/>
    <s v="X"/>
    <s v="Sue Schoedal"/>
    <s v="Check--"/>
    <s v="Kids:Babysitter"/>
    <n v="2132"/>
    <m/>
    <m/>
    <x v="27"/>
    <s v="Babysitter"/>
    <x v="0"/>
    <m/>
    <x v="0"/>
    <m/>
    <s v="Jul"/>
    <n v="2014"/>
    <s v="Monthly"/>
    <n v="0"/>
    <s v="No"/>
    <s v="None"/>
    <s v="Kids|Babysitter"/>
  </r>
  <r>
    <s v="First Tech - Checking (5544)"/>
    <d v="2014-07-15T00:00:00"/>
    <n v="-51.08"/>
    <s v="X"/>
    <s v="Puget Sound Energy"/>
    <s v="ACH Debit--PUGET SOUND ENER DIRECT DEBITING - PSE BILL  12504348"/>
    <s v="Bills &amp; Utilities:Utilities"/>
    <m/>
    <m/>
    <m/>
    <x v="34"/>
    <s v="Utilities"/>
    <x v="0"/>
    <m/>
    <x v="0"/>
    <m/>
    <s v="Jul"/>
    <n v="2014"/>
    <s v="Monthly"/>
    <n v="0"/>
    <s v="No"/>
    <s v="None"/>
    <s v="Bills &amp; Utilities|Utilities"/>
  </r>
  <r>
    <s v="MasterCard (Capital One)"/>
    <d v="2014-07-15T00:00:00"/>
    <n v="25"/>
    <s v="X"/>
    <s v="Capital One (Cash Back)"/>
    <s v="2011: CREDIT-CASH BACK REWARD"/>
    <s v="Other Inc"/>
    <m/>
    <m/>
    <m/>
    <x v="29"/>
    <m/>
    <x v="0"/>
    <m/>
    <x v="0"/>
    <m/>
    <s v="Jul"/>
    <n v="2014"/>
    <s v="Monthly"/>
    <n v="0"/>
    <s v="No"/>
    <s v="None"/>
    <s v="Other Inc"/>
  </r>
  <r>
    <s v="MasterCard (Capital One)"/>
    <d v="2014-07-15T00:00:00"/>
    <n v="-298"/>
    <s v="X"/>
    <s v="Alaska Air"/>
    <s v="#Sedona#"/>
    <s v="Vacation:Transportation"/>
    <m/>
    <m/>
    <m/>
    <x v="23"/>
    <s v="Transportation"/>
    <x v="0"/>
    <m/>
    <x v="10"/>
    <m/>
    <s v="Jul"/>
    <n v="2014"/>
    <s v="Irregular"/>
    <n v="0"/>
    <s v="No"/>
    <s v="None"/>
    <s v="Vacation|Transportation"/>
  </r>
  <r>
    <s v="First Tech - Checking (5544)"/>
    <d v="2014-07-14T00:00:00"/>
    <n v="3165.2"/>
    <s v="X"/>
    <s v="Microsoft (Paystub)"/>
    <s v="ACH Deposit--MICROSOFT  - EDIPAYMENT"/>
    <s v="Net Salary"/>
    <m/>
    <m/>
    <m/>
    <x v="35"/>
    <m/>
    <x v="0"/>
    <m/>
    <x v="0"/>
    <m/>
    <s v="Jul"/>
    <n v="2014"/>
    <s v="Monthly"/>
    <n v="0"/>
    <s v="No"/>
    <s v="None"/>
    <s v="Net Salary"/>
  </r>
  <r>
    <s v="First Tech - Checking (5544)"/>
    <d v="2014-07-14T00:00:00"/>
    <n v="-105.38"/>
    <s v="X"/>
    <s v="Seattle City Light"/>
    <s v="ACH Debit--CITY OF SEATTLE  - 1 - SCL De"/>
    <s v="Bills &amp; Utilities:Utilities"/>
    <m/>
    <m/>
    <m/>
    <x v="34"/>
    <s v="Utilities"/>
    <x v="0"/>
    <m/>
    <x v="0"/>
    <m/>
    <s v="Jul"/>
    <n v="2014"/>
    <s v="Monthly"/>
    <n v="0"/>
    <s v="No"/>
    <s v="None"/>
    <s v="Bills &amp; Utilities|Utilities"/>
  </r>
  <r>
    <s v="MasterCard (Capital One)"/>
    <d v="2014-07-14T00:00:00"/>
    <n v="-15.86"/>
    <s v="X"/>
    <s v="Diamond Parking"/>
    <s v="2011: DIAMOND PARKING A096 SEATTLE WA 98101 USA"/>
    <s v="Auto &amp; Transport:Parking"/>
    <m/>
    <m/>
    <m/>
    <x v="17"/>
    <s v="Parking"/>
    <x v="0"/>
    <m/>
    <x v="0"/>
    <m/>
    <s v="Jul"/>
    <n v="2014"/>
    <s v="Monthly"/>
    <n v="0"/>
    <s v="No"/>
    <s v="None"/>
    <s v="Auto &amp; Transport|Parking"/>
  </r>
  <r>
    <s v="Koolikai Credit Card"/>
    <d v="2014-07-13T00:00:00"/>
    <n v="-146.97999999999999"/>
    <s v="X"/>
    <s v="Verizon Wireless"/>
    <m/>
    <s v="Business Expenses (Koolikai):Cell Phone"/>
    <m/>
    <m/>
    <m/>
    <x v="36"/>
    <s v="Cell Phone"/>
    <x v="0"/>
    <m/>
    <x v="0"/>
    <m/>
    <s v="Jul"/>
    <n v="2014"/>
    <s v="Monthly"/>
    <n v="0"/>
    <s v="No"/>
    <s v="None"/>
    <s v="Business Expenses (Koolikai)|Cell Phone"/>
  </r>
  <r>
    <s v="MasterCard (Capital One)"/>
    <d v="2014-07-13T00:00:00"/>
    <n v="-13.13"/>
    <s v="X"/>
    <s v="Bartell Drug"/>
    <s v="Sunscreen"/>
    <s v="Food &amp; Dining:Groceries/From Receipt"/>
    <m/>
    <m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13T00:00:00"/>
    <n v="-16.43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13T00:00:00"/>
    <n v="-19.510000000000002"/>
    <s v="X"/>
    <s v="Mcdonald's"/>
    <s v="2011: MCDONALD'S F459 SEATTLE WA 98107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3T00:00:00"/>
    <n v="-21.88"/>
    <s v="X"/>
    <s v="Officemax"/>
    <s v="Mesh stacking letter trays"/>
    <s v="Business Expenses (Koolikai):Office Expenses (Business)/From Receipt"/>
    <m/>
    <m/>
    <s v="From Receipt"/>
    <x v="36"/>
    <s v="Office Expenses (Business)"/>
    <x v="0"/>
    <m/>
    <x v="0"/>
    <m/>
    <s v="Jul"/>
    <n v="2014"/>
    <s v="Monthly"/>
    <n v="0"/>
    <s v="No"/>
    <s v="None"/>
    <s v="Business Expenses (Koolikai)|Office Expenses (Business)"/>
  </r>
  <r>
    <s v="MasterCard (Capital One)"/>
    <d v="2014-07-13T00:00:00"/>
    <n v="-24.16"/>
    <s v="X"/>
    <s v="Trader Joe's"/>
    <s v="2011: TRADER JOE'S #147 QPS SEATTLE WA 98107 USA"/>
    <s v="Food &amp; Dining:Groceries/From Receipt"/>
    <m/>
    <m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13T00:00:00"/>
    <n v="-4.92"/>
    <s v="X"/>
    <s v="Fred Meyer"/>
    <s v="2011: FRED-MEYER #0608 SEATTLE WA 98107 USA"/>
    <s v="Kids:Toys/From Receipt"/>
    <m/>
    <s v="Split"/>
    <s v="From Receipt"/>
    <x v="27"/>
    <s v="Toys"/>
    <x v="0"/>
    <m/>
    <x v="0"/>
    <m/>
    <s v="Jul"/>
    <n v="2014"/>
    <s v="Monthly"/>
    <n v="0"/>
    <s v="No"/>
    <s v="None"/>
    <s v="Kids|Toys"/>
  </r>
  <r>
    <s v="MasterCard (Capital One)"/>
    <d v="2014-07-13T00:00:00"/>
    <n v="-3.27"/>
    <s v="X"/>
    <s v="Fred Meyer"/>
    <s v="Gladware"/>
    <s v="Home:Furnishings/From Receipt"/>
    <m/>
    <s v="Split"/>
    <s v="From Receipt"/>
    <x v="14"/>
    <s v="Furnishings"/>
    <x v="0"/>
    <m/>
    <x v="0"/>
    <m/>
    <s v="Jul"/>
    <n v="2014"/>
    <s v="Monthly"/>
    <n v="0"/>
    <s v="No"/>
    <s v="None"/>
    <s v="Home|Furnishings"/>
  </r>
  <r>
    <s v="MasterCard (Capital One)"/>
    <d v="2014-07-13T00:00:00"/>
    <n v="-69.760000000000005"/>
    <s v="X"/>
    <s v="Fred Meyer"/>
    <m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Schwab - Checking (9784)"/>
    <d v="2014-07-12T00:00:00"/>
    <n v="-2"/>
    <s v="X"/>
    <s v="Ken's Market"/>
    <m/>
    <s v="Bank Fees &amp; Charges:ATM Fee/From Receipt"/>
    <m/>
    <s v="Split"/>
    <s v="From Receipt"/>
    <x v="32"/>
    <s v="ATM Fee"/>
    <x v="0"/>
    <m/>
    <x v="0"/>
    <m/>
    <s v="Jul"/>
    <n v="2014"/>
    <s v="Monthly"/>
    <n v="0"/>
    <s v="No"/>
    <s v="None"/>
    <s v="Bank Fees &amp; Charges|ATM Fee"/>
  </r>
  <r>
    <s v="Schwab - Checking (9784)"/>
    <d v="2014-07-12T00:00:00"/>
    <n v="-15"/>
    <s v="X"/>
    <s v="Ken's Market"/>
    <s v="Folding table"/>
    <s v="Shopping:Hobbies:Camping Equipment/From Receipt"/>
    <m/>
    <s v="Split"/>
    <s v="From Receipt"/>
    <x v="13"/>
    <s v="Hobbies"/>
    <x v="2"/>
    <m/>
    <x v="0"/>
    <m/>
    <s v="Jul"/>
    <n v="2014"/>
    <s v="Annual"/>
    <n v="0"/>
    <s v="No"/>
    <s v="None"/>
    <s v="Shopping|Hobbies"/>
  </r>
  <r>
    <s v="Schwab - Checking (9784)"/>
    <d v="2014-07-12T00:00:00"/>
    <n v="-5"/>
    <s v="X"/>
    <s v="Ken's Market"/>
    <m/>
    <s v="Food &amp; Dining:Restaurants/From Receipt"/>
    <m/>
    <s v="Split"/>
    <s v="From Receipt"/>
    <x v="15"/>
    <s v="Restaurants"/>
    <x v="0"/>
    <m/>
    <x v="0"/>
    <m/>
    <s v="Jul"/>
    <n v="2014"/>
    <s v="Monthly"/>
    <n v="0"/>
    <s v="No"/>
    <s v="None"/>
    <s v="Food &amp; Dining|Restaurants"/>
  </r>
  <r>
    <s v="Schwab - Checking (9784)"/>
    <d v="2014-07-12T00:00:00"/>
    <n v="-40"/>
    <s v="X"/>
    <s v="Bank Of America"/>
    <s v="Seattle Science Center, Polish"/>
    <s v="Food &amp; Dining:Restaurants"/>
    <m/>
    <s v="Split"/>
    <m/>
    <x v="15"/>
    <s v="Restaurants"/>
    <x v="0"/>
    <m/>
    <x v="0"/>
    <m/>
    <s v="Jul"/>
    <n v="2014"/>
    <s v="Monthly"/>
    <n v="0"/>
    <s v="No"/>
    <s v="None"/>
    <s v="Food &amp; Dining|Restaurants"/>
  </r>
  <r>
    <s v="Schwab - Checking (9784)"/>
    <d v="2014-07-12T00:00:00"/>
    <n v="-3"/>
    <s v="X"/>
    <s v="Bank Of America"/>
    <m/>
    <s v="Bank Fees &amp; Charges:ATM Fee"/>
    <m/>
    <s v="Split"/>
    <m/>
    <x v="32"/>
    <s v="ATM Fee"/>
    <x v="0"/>
    <m/>
    <x v="0"/>
    <m/>
    <s v="Jul"/>
    <n v="2014"/>
    <s v="Monthly"/>
    <n v="0"/>
    <s v="No"/>
    <s v="None"/>
    <s v="Bank Fees &amp; Charges|ATM Fee"/>
  </r>
  <r>
    <s v="MasterCard (Capital One)"/>
    <d v="2014-07-12T00:00:00"/>
    <n v="-1.1000000000000001"/>
    <s v="X"/>
    <s v="City Of Kirkland - Parking"/>
    <s v="2011: CITY KIRKLAND PARKING KIRKLAND WA 98033 USA"/>
    <s v="Auto &amp; Transport:Parking"/>
    <m/>
    <m/>
    <m/>
    <x v="17"/>
    <s v="Parking"/>
    <x v="0"/>
    <m/>
    <x v="0"/>
    <m/>
    <s v="Jul"/>
    <n v="2014"/>
    <s v="Monthly"/>
    <n v="0"/>
    <s v="No"/>
    <s v="None"/>
    <s v="Auto &amp; Transport|Parking"/>
  </r>
  <r>
    <s v="MasterCard (Capital One)"/>
    <d v="2014-07-12T00:00:00"/>
    <n v="-3.85"/>
    <s v="X"/>
    <s v="Blue Bird"/>
    <s v="2011: BLUEBIRD ICE CREAM GRE SEATTLE WA 9810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2T00:00:00"/>
    <n v="-85.47"/>
    <s v="X"/>
    <s v="Beehive Salon"/>
    <s v="2011: BEEHIVE SALON SEATTLE WA 981036264 USA"/>
    <s v="Personal Care:Hair"/>
    <m/>
    <m/>
    <m/>
    <x v="31"/>
    <s v="Hair"/>
    <x v="0"/>
    <m/>
    <x v="0"/>
    <m/>
    <s v="Jul"/>
    <n v="2014"/>
    <s v="Monthly"/>
    <n v="0"/>
    <s v="No"/>
    <s v="None"/>
    <s v="Personal Care|Hair"/>
  </r>
  <r>
    <s v="MasterCard (Capital One)"/>
    <d v="2014-07-12T00:00:00"/>
    <n v="-115.45"/>
    <s v="X"/>
    <s v="Zig Zag Cafe"/>
    <s v="2011: ZIG ZAG CAFE SEATTLE WA 98101 USA"/>
    <s v="Food &amp; Dining:Restaurants/From Receipt"/>
    <m/>
    <m/>
    <s v="From Receipt"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11T00:00:00"/>
    <n v="-7.2"/>
    <s v="X"/>
    <s v="Good Go Internet"/>
    <s v="2011: GOOD2GO-INTERNET 08669368246 WA 98105 USA"/>
    <s v="Auto &amp; Transport:Tolls"/>
    <m/>
    <m/>
    <m/>
    <x v="17"/>
    <s v="Tolls"/>
    <x v="0"/>
    <m/>
    <x v="0"/>
    <m/>
    <s v="Jul"/>
    <n v="2014"/>
    <s v="Irregular"/>
    <n v="0"/>
    <s v="No"/>
    <s v="None"/>
    <s v="Auto &amp; Transport|Tolls"/>
  </r>
  <r>
    <s v="MasterCard (Capital One)"/>
    <d v="2014-07-11T00:00:00"/>
    <n v="-17"/>
    <s v="X"/>
    <s v="The Grape Choice"/>
    <s v="2011: THE GRAPE CHOICE KIRKLAND WA 9803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First Tech - Checking (5544)"/>
    <d v="2014-07-10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Jul"/>
    <n v="2014"/>
    <s v="Monthly"/>
    <n v="0"/>
    <s v="No"/>
    <s v="None"/>
    <s v="Home|Home Services"/>
  </r>
  <r>
    <s v="Koolikai - Checking XX2129"/>
    <d v="2014-07-09T00:00:00"/>
    <n v="2295"/>
    <s v="X"/>
    <s v="Aaron Ausland"/>
    <s v="Deposit--Shared Branch Mobile Deposit          First Tech FC CA"/>
    <s v="Business Income (Koolikai):Rent/7231"/>
    <m/>
    <m/>
    <n v="7231"/>
    <x v="37"/>
    <s v="Rent"/>
    <x v="0"/>
    <m/>
    <x v="0"/>
    <m/>
    <s v="Jul"/>
    <n v="2014"/>
    <s v="Monthly"/>
    <n v="0"/>
    <s v="No"/>
    <s v="None"/>
    <s v="Business Income (Koolikai)|Rent"/>
  </r>
  <r>
    <s v="MasterCard (Capital One)"/>
    <d v="2014-07-09T00:00:00"/>
    <n v="-6.55"/>
    <s v="X"/>
    <s v="Greenwood Hardware"/>
    <s v="House keys"/>
    <s v="Business Expenses (Koolikai):Office Expenses (Business)"/>
    <m/>
    <m/>
    <m/>
    <x v="36"/>
    <s v="Office Expenses (Business)"/>
    <x v="0"/>
    <m/>
    <x v="0"/>
    <m/>
    <s v="Jul"/>
    <n v="2014"/>
    <s v="Monthly"/>
    <n v="0"/>
    <s v="No"/>
    <s v="None"/>
    <s v="Business Expenses (Koolikai)|Office Expenses (Business)"/>
  </r>
  <r>
    <s v="First Tech - Checking (5544)"/>
    <d v="2014-07-08T00:00:00"/>
    <n v="-109.06"/>
    <s v="X"/>
    <s v="Target (Autopay)"/>
    <s v="ACH Debit--TARGET CARD SRVC 001 - AUTO PYMT"/>
    <s v="[Target Red Card]"/>
    <m/>
    <m/>
    <m/>
    <x v="12"/>
    <m/>
    <x v="0"/>
    <m/>
    <x v="0"/>
    <m/>
    <s v="Jul"/>
    <n v="2014"/>
    <s v="Account"/>
    <n v="0"/>
    <s v="No"/>
    <s v="None"/>
    <s v="[Target Red Card]"/>
  </r>
  <r>
    <s v="First Tech - Checking (5544)"/>
    <d v="2014-07-08T00:00:00"/>
    <n v="-3748.69"/>
    <s v="X"/>
    <s v="Wells Fargo Home Mortgage"/>
    <s v="ACH Debit--WF HOME MTG ACH - AUTO PAY"/>
    <s v="Home:Mortgage"/>
    <m/>
    <m/>
    <m/>
    <x v="14"/>
    <s v="Mortgage"/>
    <x v="0"/>
    <m/>
    <x v="0"/>
    <m/>
    <s v="Jul"/>
    <n v="2014"/>
    <s v="Monthly"/>
    <n v="0"/>
    <s v="No"/>
    <s v="None"/>
    <s v="Home|Mortgage"/>
  </r>
  <r>
    <s v="Chase Freedom XX9381"/>
    <d v="2014-07-08T00:00:00"/>
    <n v="-5.1100000000000003"/>
    <s v="X"/>
    <s v="Shell"/>
    <s v="#Mt. St. Helens#"/>
    <s v="Vacation:Food"/>
    <m/>
    <m/>
    <m/>
    <x v="23"/>
    <s v="Food"/>
    <x v="0"/>
    <m/>
    <x v="17"/>
    <m/>
    <s v="Jul"/>
    <n v="2014"/>
    <s v="Irregular"/>
    <n v="0"/>
    <s v="No"/>
    <s v="None"/>
    <s v="Vacation|Food"/>
  </r>
  <r>
    <s v="Chase Freedom XX9381"/>
    <d v="2014-07-08T00:00:00"/>
    <n v="-23.44"/>
    <s v="X"/>
    <s v="Shell"/>
    <s v="#Mt. St. Helens#"/>
    <s v="Vacation:Transportation"/>
    <m/>
    <m/>
    <m/>
    <x v="23"/>
    <s v="Transportation"/>
    <x v="0"/>
    <m/>
    <x v="17"/>
    <m/>
    <s v="Jul"/>
    <n v="2014"/>
    <s v="Irregular"/>
    <n v="0"/>
    <s v="No"/>
    <s v="None"/>
    <s v="Vacation|Transportation"/>
  </r>
  <r>
    <s v="MasterCard (Capital One)"/>
    <d v="2014-07-08T00:00:00"/>
    <n v="-6.13"/>
    <s v="X"/>
    <s v="Bakker's Fine Dry Cleaning"/>
    <s v="2011: BAKKER'S FINE DRYCLEAN SEATTLE WA 98103 USA"/>
    <s v="Shopping:Clothing"/>
    <m/>
    <m/>
    <m/>
    <x v="13"/>
    <s v="Clothing"/>
    <x v="0"/>
    <m/>
    <x v="0"/>
    <m/>
    <s v="Jul"/>
    <n v="2014"/>
    <s v="Annual"/>
    <n v="0"/>
    <s v="No"/>
    <s v="None"/>
    <s v="Shopping|Clothing"/>
  </r>
  <r>
    <s v="MasterCard (Capital One)"/>
    <d v="2014-07-08T00:00:00"/>
    <n v="-258.27"/>
    <s v="X"/>
    <s v="Alexanders Country Inn"/>
    <s v="#Mt. Rainier 2014#"/>
    <s v="Vacation:Lodging"/>
    <m/>
    <m/>
    <m/>
    <x v="23"/>
    <s v="Lodging"/>
    <x v="0"/>
    <m/>
    <x v="12"/>
    <m/>
    <s v="Jul"/>
    <n v="2014"/>
    <s v="Irregular"/>
    <n v="0"/>
    <s v="No"/>
    <s v="None"/>
    <s v="Vacation|Lodging"/>
  </r>
  <r>
    <s v="Chase Freedom XX9381"/>
    <d v="2014-07-07T00:00:00"/>
    <n v="-1.31"/>
    <s v="X"/>
    <s v="Redbox"/>
    <m/>
    <s v="Entertainment:Movies &amp; DVDs"/>
    <m/>
    <m/>
    <m/>
    <x v="30"/>
    <s v="Movies &amp; DVDs"/>
    <x v="0"/>
    <m/>
    <x v="0"/>
    <m/>
    <s v="Jul"/>
    <n v="2014"/>
    <s v="Unplanned"/>
    <n v="0"/>
    <s v="No"/>
    <s v="None"/>
    <s v="Entertainment|Movies &amp; DVDs"/>
  </r>
  <r>
    <s v="Chase Freedom XX9381"/>
    <d v="2014-07-07T00:00:00"/>
    <n v="-49.58"/>
    <s v="X"/>
    <s v="Shell"/>
    <s v="#Mt. St. Helens#"/>
    <s v="Vacation:Transportation"/>
    <m/>
    <m/>
    <m/>
    <x v="23"/>
    <s v="Transportation"/>
    <x v="0"/>
    <m/>
    <x v="17"/>
    <m/>
    <s v="Jul"/>
    <n v="2014"/>
    <s v="Irregular"/>
    <n v="0"/>
    <s v="No"/>
    <s v="None"/>
    <s v="Vacation|Transportation"/>
  </r>
  <r>
    <s v="Edward Jones - Investment Account"/>
    <d v="2014-07-07T00:00:00"/>
    <n v="28.8"/>
    <s v="c"/>
    <m/>
    <s v="CASH DIV ON 120 AT $.24 PER SHARE"/>
    <m/>
    <s v="Div"/>
    <m/>
    <m/>
    <x v="26"/>
    <m/>
    <x v="0"/>
    <m/>
    <x v="0"/>
    <m/>
    <s v="Jul"/>
    <n v="2014"/>
    <e v="#N/A"/>
    <e v="#N/A"/>
    <e v="#N/A"/>
    <e v="#N/A"/>
    <n v="0"/>
  </r>
  <r>
    <s v="Chase Freedom XX9381"/>
    <d v="2014-07-06T00:00:00"/>
    <n v="-3.93"/>
    <s v="X"/>
    <s v="Arco"/>
    <m/>
    <s v="Auto &amp; Transport:Gas &amp; Fuel"/>
    <m/>
    <m/>
    <m/>
    <x v="17"/>
    <s v="Gas &amp; Fuel"/>
    <x v="0"/>
    <m/>
    <x v="0"/>
    <m/>
    <s v="Jul"/>
    <n v="2014"/>
    <s v="Monthly"/>
    <n v="0"/>
    <s v="No"/>
    <s v="None"/>
    <s v="Auto &amp; Transport|Gas &amp; Fuel"/>
  </r>
  <r>
    <s v="MasterCard (Capital One)"/>
    <d v="2014-07-06T00:00:00"/>
    <n v="-5"/>
    <s v="X"/>
    <s v="Silverlake Visitor Ctr"/>
    <s v="#Mt. St. Helens# Visitor's center"/>
    <s v="Vacation:Activities"/>
    <m/>
    <m/>
    <m/>
    <x v="23"/>
    <s v="Activities"/>
    <x v="0"/>
    <m/>
    <x v="17"/>
    <m/>
    <s v="Jul"/>
    <n v="2014"/>
    <s v="Irregular"/>
    <n v="0"/>
    <s v="No"/>
    <s v="None"/>
    <s v="Vacation|Activities"/>
  </r>
  <r>
    <s v="MasterCard (Capital One)"/>
    <d v="2014-07-06T00:00:00"/>
    <n v="-6.3"/>
    <s v="X"/>
    <s v="Subway"/>
    <s v="2011: SUBWAY 00525212 KIRKLAND WA 9803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Target Red Card"/>
    <d v="2014-07-06T00:00:00"/>
    <n v="109.06"/>
    <s v="X"/>
    <s v="Target (Autopay)"/>
    <m/>
    <s v="[First Tech - Checking (5544)]"/>
    <m/>
    <m/>
    <m/>
    <x v="21"/>
    <m/>
    <x v="0"/>
    <m/>
    <x v="0"/>
    <m/>
    <s v="Jul"/>
    <n v="2014"/>
    <s v="Account"/>
    <n v="0"/>
    <s v="No"/>
    <s v="None"/>
    <s v="[First Tech - Checking (5544)]"/>
  </r>
  <r>
    <s v="MasterCard (Capital One)"/>
    <d v="2014-07-05T00:00:00"/>
    <n v="19.68"/>
    <s v="X"/>
    <s v="Home Depot"/>
    <s v="@CAT:@ Cat5E expansion board (returned)"/>
    <s v="Business Expenses (Koolikai):Repairs/7231:From Receipt"/>
    <m/>
    <m/>
    <s v="7231:From Receipt"/>
    <x v="36"/>
    <s v="Repairs"/>
    <x v="0"/>
    <m/>
    <x v="0"/>
    <m/>
    <s v="Jul"/>
    <n v="2014"/>
    <s v="Irregular"/>
    <n v="0"/>
    <s v="No"/>
    <s v="None"/>
    <s v="Business Expenses (Koolikai)|Repairs"/>
  </r>
  <r>
    <s v="MasterCard (Capital One)"/>
    <d v="2014-07-05T00:00:00"/>
    <n v="-6.76"/>
    <s v="X"/>
    <s v="Menchie Frozen Yogurt"/>
    <s v="2011: MENCHIE`S FROZEN YOGUR KIRKLAND WA 9803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05T00:00:00"/>
    <n v="-8.48"/>
    <s v="X"/>
    <s v="Home Depot"/>
    <s v="Office conversion (grommit for cables, shelf supports, etc)"/>
    <s v="Business Expenses (Koolikai):Office Expenses (Business)/From Receipt"/>
    <m/>
    <m/>
    <s v="From Receipt"/>
    <x v="36"/>
    <s v="Office Expenses (Business)"/>
    <x v="0"/>
    <m/>
    <x v="0"/>
    <m/>
    <s v="Jul"/>
    <n v="2014"/>
    <s v="Monthly"/>
    <n v="0"/>
    <s v="No"/>
    <s v="None"/>
    <s v="Business Expenses (Koolikai)|Office Expenses (Business)"/>
  </r>
  <r>
    <s v="MasterCard (Capital One)"/>
    <d v="2014-07-05T00:00:00"/>
    <n v="-8.67"/>
    <s v="X"/>
    <s v="Home Depot"/>
    <s v="Alligator clips"/>
    <s v="Home:Home Improvement/From Receipt"/>
    <m/>
    <m/>
    <s v="From Receipt"/>
    <x v="14"/>
    <s v="Home Improvement"/>
    <x v="0"/>
    <m/>
    <x v="0"/>
    <m/>
    <s v="Jul"/>
    <n v="2014"/>
    <s v="Irregular"/>
    <n v="0"/>
    <s v="No"/>
    <s v="None"/>
    <s v="Home|Home Improvement"/>
  </r>
  <r>
    <s v="MasterCard (Capital One)"/>
    <d v="2014-07-05T00:00:00"/>
    <n v="-26.15"/>
    <s v="X"/>
    <s v="Naked City Brewery"/>
    <s v="2011: NAKED CITY BREWERY SEATTLE WA 9810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04T00:00:00"/>
    <n v="-9.76"/>
    <s v="X"/>
    <s v="Ken's Market"/>
    <s v="2011: KEN'S MARKET #75-116 SEATTLE WA 98103 USA"/>
    <s v="Food &amp; Dining:Groceries"/>
    <m/>
    <m/>
    <m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04T00:00:00"/>
    <n v="-12.81"/>
    <s v="X"/>
    <s v="Lancer"/>
    <s v="Quesedillas at Woodland Park Zoo"/>
    <s v="Food &amp; Dining:Restaurants/From Receipt"/>
    <m/>
    <m/>
    <s v="From Receipt"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04T00:00:00"/>
    <n v="-12.95"/>
    <s v="X"/>
    <s v="Martino's"/>
    <s v="2011: MARTINO'S SEATTLE WA 98103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MasterCard (Capital One)"/>
    <d v="2014-07-04T00:00:00"/>
    <n v="-8.75"/>
    <s v="X"/>
    <s v="Fred Meyer"/>
    <s v="4D Pump... returned for gift c"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04T00:00:00"/>
    <n v="-122.99"/>
    <s v="X"/>
    <s v="Fred Meyer"/>
    <m/>
    <s v="Food &amp; Dining:Groceries/From Receipt"/>
    <m/>
    <s v="Split"/>
    <s v="From Receipt"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03T00:00:00"/>
    <n v="-8.75"/>
    <s v="X"/>
    <s v="Netflix"/>
    <s v="2011: NETFLIX.COM NETFLIX.COM CA 95032 USA"/>
    <s v="Entertainment:Movies &amp; DVDs"/>
    <m/>
    <m/>
    <m/>
    <x v="30"/>
    <s v="Movies &amp; DVDs"/>
    <x v="0"/>
    <m/>
    <x v="0"/>
    <m/>
    <s v="Jul"/>
    <n v="2014"/>
    <s v="Unplanned"/>
    <n v="0"/>
    <s v="No"/>
    <s v="None"/>
    <s v="Entertainment|Movies &amp; DVDs"/>
  </r>
  <r>
    <s v="MasterCard (Capital One)"/>
    <d v="2014-07-03T00:00:00"/>
    <n v="-24.89"/>
    <s v="X"/>
    <s v="Thai Siam Restaurant"/>
    <s v="2011: THAI SIAM RESTAURANT SEATTLE WA 98117 USA"/>
    <s v="Food &amp; Dining:Restaurants"/>
    <m/>
    <m/>
    <m/>
    <x v="15"/>
    <s v="Restaurants"/>
    <x v="0"/>
    <m/>
    <x v="0"/>
    <m/>
    <s v="Jul"/>
    <n v="2014"/>
    <s v="Monthly"/>
    <n v="0"/>
    <s v="No"/>
    <s v="None"/>
    <s v="Food &amp; Dining|Restaurants"/>
  </r>
  <r>
    <s v="First Tech - Checking (5544)"/>
    <d v="2014-07-02T00:00:00"/>
    <n v="903.11"/>
    <s v="X"/>
    <s v="Microsoft (Reimbursement)"/>
    <s v="#Go Cart Racing# with team"/>
    <s v="Work Expense:Reimbursement"/>
    <m/>
    <m/>
    <m/>
    <x v="19"/>
    <s v="Reimbursement"/>
    <x v="0"/>
    <m/>
    <x v="18"/>
    <m/>
    <s v="Jul"/>
    <n v="2014"/>
    <s v="Irregular"/>
    <n v="0"/>
    <s v="No"/>
    <s v="None"/>
    <s v="Work Expense|Reimbursement"/>
  </r>
  <r>
    <s v="First Tech - Checking (5544)"/>
    <d v="2014-07-02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Jul"/>
    <n v="2014"/>
    <s v="Monthly"/>
    <n v="0"/>
    <s v="No"/>
    <s v="None"/>
    <s v="Business Expenses (Koolikai)|Mortgage (Business)"/>
  </r>
  <r>
    <s v="First Tech - Checking (5544)"/>
    <d v="2014-07-02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Jul"/>
    <n v="2014"/>
    <s v="Monthly"/>
    <n v="0"/>
    <s v="No"/>
    <s v="None"/>
    <s v="Business Expenses (Koolikai)|Mortgage (Business)"/>
  </r>
  <r>
    <s v="First Tech - Checking (5544)"/>
    <d v="2014-07-02T00:00:00"/>
    <n v="-4284.17"/>
    <s v="X"/>
    <s v="Capital One (Autopay)"/>
    <s v="ACH Debit--CAPITAL ONE  - CRCARDPMT"/>
    <s v="[MasterCard (Capital One)]"/>
    <m/>
    <m/>
    <m/>
    <x v="38"/>
    <m/>
    <x v="0"/>
    <m/>
    <x v="0"/>
    <m/>
    <s v="Jul"/>
    <n v="2014"/>
    <s v="Account"/>
    <n v="0"/>
    <s v="No"/>
    <s v="None"/>
    <s v="[MasterCard (Capital One)]"/>
  </r>
  <r>
    <s v="MasterCard (Capital One)"/>
    <d v="2014-07-02T00:00:00"/>
    <n v="-9.8000000000000007"/>
    <s v="X"/>
    <s v="Ken's Market"/>
    <s v="2011: KEN'S MARKET #75-116 SEATTLE WA 98103 USA"/>
    <s v="Food &amp; Dining:Groceries"/>
    <m/>
    <m/>
    <m/>
    <x v="15"/>
    <s v="Groceries"/>
    <x v="0"/>
    <m/>
    <x v="0"/>
    <m/>
    <s v="Jul"/>
    <n v="2014"/>
    <s v="Monthly"/>
    <n v="0"/>
    <s v="No"/>
    <s v="None"/>
    <s v="Food &amp; Dining|Groceries"/>
  </r>
  <r>
    <s v="MasterCard (Capital One)"/>
    <d v="2014-07-02T00:00:00"/>
    <n v="-15.86"/>
    <s v="X"/>
    <s v="Diamond Parking"/>
    <s v="2011: DIAMOND PARKING A096 SEATTLE WA 98101 USA"/>
    <s v="Auto &amp; Transport:Parking"/>
    <m/>
    <m/>
    <m/>
    <x v="17"/>
    <s v="Parking"/>
    <x v="0"/>
    <m/>
    <x v="0"/>
    <m/>
    <s v="Jul"/>
    <n v="2014"/>
    <s v="Monthly"/>
    <n v="0"/>
    <s v="No"/>
    <s v="None"/>
    <s v="Auto &amp; Transport|Parking"/>
  </r>
  <r>
    <s v="MasterCard (Capital One)"/>
    <d v="2014-07-02T00:00:00"/>
    <n v="-22.03"/>
    <s v="X"/>
    <s v="Comcast"/>
    <s v="2011: COMCAST CABLE COMM 800-COMCAST WA 98103 USA"/>
    <s v="Bills &amp; Utilities:Television"/>
    <m/>
    <s v="Split"/>
    <m/>
    <x v="34"/>
    <s v="Television"/>
    <x v="0"/>
    <m/>
    <x v="0"/>
    <m/>
    <s v="Jul"/>
    <n v="2014"/>
    <s v="Monthly"/>
    <n v="0"/>
    <s v="No"/>
    <s v="None"/>
    <s v="Bills &amp; Utilities|Television"/>
  </r>
  <r>
    <s v="MasterCard (Capital One)"/>
    <d v="2014-07-02T00:00:00"/>
    <n v="-64.08"/>
    <s v="X"/>
    <s v="Comcast"/>
    <m/>
    <s v="Business Expenses (Koolikai):Internet"/>
    <m/>
    <s v="Split"/>
    <m/>
    <x v="36"/>
    <s v="Internet"/>
    <x v="0"/>
    <m/>
    <x v="0"/>
    <m/>
    <s v="Jul"/>
    <n v="2014"/>
    <s v="Monthly"/>
    <n v="0"/>
    <s v="No"/>
    <s v="None"/>
    <s v="Business Expenses (Koolikai)|Internet"/>
  </r>
  <r>
    <s v="MasterCard (Capital One)"/>
    <d v="2014-07-02T00:00:00"/>
    <n v="-44.08"/>
    <s v="X"/>
    <s v="Comcast"/>
    <m/>
    <s v="Bills &amp; Utilities:Home Phone"/>
    <m/>
    <s v="Split"/>
    <m/>
    <x v="34"/>
    <s v="Home Phone"/>
    <x v="0"/>
    <m/>
    <x v="0"/>
    <m/>
    <s v="Jul"/>
    <n v="2014"/>
    <s v="Monthly"/>
    <n v="0"/>
    <s v="No"/>
    <s v="None"/>
    <s v="Bills &amp; Utilities|Home Phone"/>
  </r>
  <r>
    <s v="First Tech - Checking (5544)"/>
    <d v="2014-07-01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Jul"/>
    <n v="2014"/>
    <s v="Monthly"/>
    <n v="0"/>
    <s v="No"/>
    <s v="None"/>
    <s v="Kids|Daycare"/>
  </r>
  <r>
    <s v="First Tech - Checking (5544)"/>
    <d v="2014-07-01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Jul"/>
    <n v="2014"/>
    <s v="Monthly"/>
    <n v="0"/>
    <s v="No"/>
    <s v="None"/>
    <s v="Kids|American Funds 529A"/>
  </r>
  <r>
    <s v="MasterCard (Capital One)"/>
    <d v="2014-07-01T00:00:00"/>
    <n v="4284.17"/>
    <s v="X"/>
    <s v="Capital One (Autopay)"/>
    <s v="2011: CAPITAL ONE AUTOPAY PYMT AuthDate 06-JUN"/>
    <s v="[First Tech - Checking (5544)]"/>
    <m/>
    <m/>
    <m/>
    <x v="21"/>
    <m/>
    <x v="0"/>
    <m/>
    <x v="0"/>
    <m/>
    <s v="Jul"/>
    <n v="2014"/>
    <s v="Account"/>
    <n v="0"/>
    <s v="No"/>
    <s v="None"/>
    <s v="[First Tech - Checking (5544)]"/>
  </r>
  <r>
    <s v="Capital One - Investment (6759)"/>
    <d v="2014-06-30T00:00:00"/>
    <n v="19.38"/>
    <s v="X"/>
    <s v="Capital One (Interest Income)"/>
    <s v="@CAT:@"/>
    <s v="Interest Income"/>
    <s v="INT"/>
    <m/>
    <m/>
    <x v="40"/>
    <m/>
    <x v="0"/>
    <m/>
    <x v="0"/>
    <m/>
    <s v="Jun"/>
    <n v="2014"/>
    <s v="Monthly"/>
    <n v="0"/>
    <s v="No"/>
    <s v="None"/>
    <s v="Interest Income"/>
  </r>
  <r>
    <s v="Capital One - Long Term Emergency (1201)"/>
    <d v="2014-06-30T00:00:00"/>
    <n v="48.65"/>
    <s v="X"/>
    <s v="Capital One (Interest Income)"/>
    <s v="@CAT:@"/>
    <s v="Interest Income"/>
    <s v="INT"/>
    <m/>
    <m/>
    <x v="40"/>
    <m/>
    <x v="0"/>
    <m/>
    <x v="0"/>
    <m/>
    <s v="Jun"/>
    <n v="2014"/>
    <s v="Monthly"/>
    <n v="0"/>
    <s v="No"/>
    <s v="None"/>
    <s v="Interest Income"/>
  </r>
  <r>
    <s v="Capital One - Secondary Savings (3126)"/>
    <d v="2014-06-30T00:00:00"/>
    <n v="0.02"/>
    <s v="X"/>
    <s v="Capital One (Interest Income)"/>
    <s v="@CAT:@"/>
    <s v="Interest Income"/>
    <s v="INT"/>
    <m/>
    <m/>
    <x v="40"/>
    <m/>
    <x v="0"/>
    <m/>
    <x v="0"/>
    <m/>
    <s v="Jun"/>
    <n v="2014"/>
    <s v="Monthly"/>
    <n v="0"/>
    <s v="No"/>
    <s v="None"/>
    <s v="Interest Income"/>
  </r>
  <r>
    <s v="Capital One - Vacation (4959)"/>
    <d v="2014-06-30T00:00:00"/>
    <n v="2.06"/>
    <s v="X"/>
    <s v="Capital One (Interest Income)"/>
    <s v="@CAT:@"/>
    <s v="Interest Income"/>
    <s v="INT"/>
    <m/>
    <m/>
    <x v="40"/>
    <m/>
    <x v="0"/>
    <m/>
    <x v="0"/>
    <m/>
    <s v="Jun"/>
    <n v="2014"/>
    <s v="Monthly"/>
    <n v="0"/>
    <s v="No"/>
    <s v="None"/>
    <s v="Interest Income"/>
  </r>
  <r>
    <s v="First Tech - Checking (5544)"/>
    <d v="2014-06-30T00:00:00"/>
    <n v="-211.95"/>
    <s v="X"/>
    <s v="City Of Seattle"/>
    <s v="@BAL:41495.16@;@CAT:@"/>
    <s v="Bills &amp; Utilities:Utilities"/>
    <m/>
    <m/>
    <m/>
    <x v="34"/>
    <s v="Utilities"/>
    <x v="0"/>
    <m/>
    <x v="0"/>
    <m/>
    <s v="Jun"/>
    <n v="2014"/>
    <s v="Monthly"/>
    <n v="0"/>
    <s v="No"/>
    <s v="None"/>
    <s v="Bills &amp; Utilities|Utilities"/>
  </r>
  <r>
    <s v="First Tech - Short Term Emergency (5400)"/>
    <d v="2014-06-30T00:00:00"/>
    <n v="1.57"/>
    <s v="X"/>
    <s v="First Tech (Dividend)"/>
    <s v="Credit Dividend--"/>
    <s v="Interest Income"/>
    <m/>
    <m/>
    <m/>
    <x v="40"/>
    <m/>
    <x v="0"/>
    <m/>
    <x v="0"/>
    <m/>
    <s v="Jun"/>
    <n v="2014"/>
    <s v="Monthly"/>
    <n v="0"/>
    <s v="No"/>
    <s v="None"/>
    <s v="Interest Income"/>
  </r>
  <r>
    <s v="Koolikai - Sec Dep XX1200"/>
    <d v="2014-06-30T00:00:00"/>
    <n v="0.18"/>
    <s v="X"/>
    <s v="First Tech (Dividend)"/>
    <s v="Credit Dividend--"/>
    <s v="Interest Income"/>
    <m/>
    <m/>
    <m/>
    <x v="40"/>
    <m/>
    <x v="0"/>
    <m/>
    <x v="0"/>
    <m/>
    <s v="Jun"/>
    <n v="2014"/>
    <s v="Monthly"/>
    <n v="0"/>
    <s v="No"/>
    <s v="None"/>
    <s v="Interest Income"/>
  </r>
  <r>
    <s v="Schwab - Checking (9784)"/>
    <d v="2014-06-30T00:00:00"/>
    <n v="0.08"/>
    <s v="X"/>
    <s v="Interest Paid"/>
    <m/>
    <s v="Interest Income"/>
    <m/>
    <m/>
    <m/>
    <x v="40"/>
    <m/>
    <x v="0"/>
    <m/>
    <x v="0"/>
    <m/>
    <s v="Jun"/>
    <n v="2014"/>
    <s v="Monthly"/>
    <n v="0"/>
    <s v="No"/>
    <s v="None"/>
    <s v="Interest Income"/>
  </r>
  <r>
    <s v="Schwab - Checking (9784)"/>
    <d v="2014-06-30T00:00:00"/>
    <n v="7.25"/>
    <s v="X"/>
    <s v="ATM Fee Refund"/>
    <m/>
    <s v="Bank Fees &amp; Charges:ATM Fee"/>
    <m/>
    <m/>
    <m/>
    <x v="32"/>
    <s v="ATM Fee"/>
    <x v="0"/>
    <m/>
    <x v="0"/>
    <m/>
    <s v="Jun"/>
    <n v="2014"/>
    <s v="Monthly"/>
    <n v="0"/>
    <s v="No"/>
    <s v="None"/>
    <s v="Bank Fees &amp; Charges|ATM Fee"/>
  </r>
  <r>
    <s v="MasterCard (Capital One)"/>
    <d v="2014-06-30T00:00:00"/>
    <n v="-27.34"/>
    <s v="X"/>
    <s v="Home Depot"/>
    <s v="Smoke detector"/>
    <s v="Business Expenses (Koolikai):Office Expenses (Business)"/>
    <m/>
    <m/>
    <m/>
    <x v="36"/>
    <s v="Office Expenses (Business)"/>
    <x v="0"/>
    <m/>
    <x v="0"/>
    <m/>
    <s v="Jun"/>
    <n v="2014"/>
    <s v="Monthly"/>
    <n v="0"/>
    <s v="No"/>
    <s v="None"/>
    <s v="Business Expenses (Koolikai)|Office Expenses (Business)"/>
  </r>
  <r>
    <s v="First Tech - Checking (5544)"/>
    <d v="2014-06-29T00:00:00"/>
    <n v="21.17"/>
    <s v="X"/>
    <s v="Childrens Hospital"/>
    <s v="Deposit--Shared Branch Mobile Deposit          First Tech FC CA"/>
    <s v="Health &amp; Fitness:Doctor"/>
    <m/>
    <m/>
    <m/>
    <x v="18"/>
    <s v="Doctor"/>
    <x v="0"/>
    <m/>
    <x v="0"/>
    <m/>
    <s v="Jun"/>
    <n v="2014"/>
    <s v="Irregular"/>
    <n v="0"/>
    <s v="No"/>
    <s v="None"/>
    <s v="Health &amp; Fitness|Doctor"/>
  </r>
  <r>
    <s v="First Tech - Checking (5544)"/>
    <d v="2014-06-29T00:00:00"/>
    <n v="3165.19"/>
    <s v="X"/>
    <s v="Microsoft (Paystub)"/>
    <s v="ACH Deposit--MICROSOFT  - EDIPAYMENT"/>
    <s v="Net Salary"/>
    <m/>
    <m/>
    <m/>
    <x v="35"/>
    <m/>
    <x v="0"/>
    <m/>
    <x v="0"/>
    <m/>
    <s v="Jun"/>
    <n v="2014"/>
    <s v="Monthly"/>
    <n v="0"/>
    <s v="No"/>
    <s v="None"/>
    <s v="Net Salary"/>
  </r>
  <r>
    <s v="First Tech - Checking (5544)"/>
    <d v="2014-06-29T00:00:00"/>
    <n v="6058.12"/>
    <s v="X"/>
    <s v="CRAB (Paystub)"/>
    <s v="ACH Deposit--Cancer Research  - Payroll"/>
    <s v="Net Salary"/>
    <m/>
    <m/>
    <m/>
    <x v="35"/>
    <m/>
    <x v="0"/>
    <m/>
    <x v="0"/>
    <m/>
    <s v="Jun"/>
    <n v="2014"/>
    <s v="Monthly"/>
    <n v="0"/>
    <s v="No"/>
    <s v="None"/>
    <s v="Net Salary"/>
  </r>
  <r>
    <s v="Chase Freedom XX9381"/>
    <d v="2014-06-29T00:00:00"/>
    <n v="-12.9"/>
    <s v="X"/>
    <s v="Burney Brothers Bbq"/>
    <s v="Lunch with Rich and Amy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29T00:00:00"/>
    <n v="-34"/>
    <s v="X"/>
    <s v="Rudys Barber Shop"/>
    <s v="2011: RUDYS BARBER SHOP - PH SEATTLE WA 98103 USA"/>
    <s v="Personal Care:Hair/From Receipt"/>
    <m/>
    <m/>
    <s v="From Receipt"/>
    <x v="31"/>
    <s v="Hair"/>
    <x v="0"/>
    <m/>
    <x v="0"/>
    <m/>
    <s v="Jun"/>
    <n v="2014"/>
    <s v="Monthly"/>
    <n v="0"/>
    <s v="No"/>
    <s v="None"/>
    <s v="Personal Care|Hair"/>
  </r>
  <r>
    <s v="MasterCard (Capital One)"/>
    <d v="2014-06-29T00:00:00"/>
    <n v="-99"/>
    <s v="X"/>
    <s v="Amazon"/>
    <s v="Prime membership"/>
    <s v="Subscriptions &amp; Dues"/>
    <m/>
    <m/>
    <m/>
    <x v="33"/>
    <m/>
    <x v="0"/>
    <m/>
    <x v="0"/>
    <m/>
    <s v="Jun"/>
    <n v="2014"/>
    <s v="Annual"/>
    <n v="0"/>
    <s v="No"/>
    <s v="None"/>
    <s v="Subscriptions &amp; Dues"/>
  </r>
  <r>
    <s v="MasterCard (Capital One)"/>
    <d v="2014-06-28T00:00:00"/>
    <n v="-6.78"/>
    <s v="X"/>
    <s v="Newegg"/>
    <s v="Network cable"/>
    <s v="Projects:Boy's Room/From Receipt"/>
    <m/>
    <m/>
    <s v="From Receipt"/>
    <x v="39"/>
    <s v="Boy's Room"/>
    <x v="0"/>
    <m/>
    <x v="0"/>
    <m/>
    <s v="Jun"/>
    <n v="2014"/>
    <s v="Unplanned"/>
    <n v="0"/>
    <s v="No"/>
    <s v="None"/>
    <s v="Projects|Boy's Room"/>
  </r>
  <r>
    <s v="MasterCard (Capital One)"/>
    <d v="2014-06-28T00:00:00"/>
    <n v="-9.52"/>
    <s v="X"/>
    <s v="Swirl Wine Bar"/>
    <s v="2011: SWIRL SEATTLE WA 98155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28T00:00:00"/>
    <n v="-16.97"/>
    <s v="X"/>
    <s v="Honey Bear Bakery"/>
    <s v="2011: HONEY BEAR BAKERY LAKE FOREST P WA 98155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28T00:00:00"/>
    <n v="-19.68"/>
    <s v="X"/>
    <s v="Home Depot"/>
    <s v="CAT5E Data Port Expansion"/>
    <s v="Business Expenses (Koolikai):Repairs/7231:From Receipt"/>
    <m/>
    <m/>
    <s v="7231:From Receipt"/>
    <x v="36"/>
    <s v="Repairs"/>
    <x v="0"/>
    <m/>
    <x v="0"/>
    <m/>
    <s v="Jun"/>
    <n v="2014"/>
    <s v="Irregular"/>
    <n v="0"/>
    <s v="No"/>
    <s v="None"/>
    <s v="Business Expenses (Koolikai)|Repairs"/>
  </r>
  <r>
    <s v="First Tech - Checking (5544)"/>
    <d v="2014-06-27T00:00:00"/>
    <n v="-954.76"/>
    <s v="X"/>
    <s v="Chase  - Autopay"/>
    <s v="ACH Debit--CHASE  - AUTOPAY"/>
    <s v="[Chase Freedom XX9381]"/>
    <m/>
    <m/>
    <m/>
    <x v="7"/>
    <m/>
    <x v="0"/>
    <m/>
    <x v="0"/>
    <m/>
    <s v="Jun"/>
    <n v="2014"/>
    <e v="#N/A"/>
    <e v="#N/A"/>
    <e v="#N/A"/>
    <e v="#N/A"/>
    <s v="[Chase Freedom XX9381]"/>
  </r>
  <r>
    <s v="Chase Freedom XX9381"/>
    <d v="2014-06-27T00:00:00"/>
    <n v="19.7"/>
    <s v="X"/>
    <s v="Fred Meyer"/>
    <s v="#Stay Fit# Returned bike lock"/>
    <s v="Health &amp; Fitness:Sports/From Receipt"/>
    <m/>
    <m/>
    <s v="From Receipt"/>
    <x v="18"/>
    <s v="Sports"/>
    <x v="0"/>
    <m/>
    <x v="5"/>
    <m/>
    <s v="Jun"/>
    <n v="2014"/>
    <s v="Irregular"/>
    <n v="0"/>
    <s v="No"/>
    <s v="None"/>
    <s v="Health &amp; Fitness|Sports"/>
  </r>
  <r>
    <s v="Chase Freedom XX9381"/>
    <d v="2014-06-27T00:00:00"/>
    <n v="-10.91"/>
    <s v="X"/>
    <s v="Lowe's"/>
    <s v="Hose nozzles"/>
    <s v="Home:Home Improvement/From Receipt"/>
    <m/>
    <m/>
    <s v="From Receipt"/>
    <x v="14"/>
    <s v="Home Improvement"/>
    <x v="0"/>
    <m/>
    <x v="0"/>
    <m/>
    <s v="Jun"/>
    <n v="2014"/>
    <s v="Irregular"/>
    <n v="0"/>
    <s v="No"/>
    <s v="None"/>
    <s v="Home|Home Improvement"/>
  </r>
  <r>
    <s v="Chase Freedom XX9381"/>
    <d v="2014-06-27T00:00:00"/>
    <n v="-24.05"/>
    <s v="X"/>
    <s v="Zeeks Pizza Phinney"/>
    <m/>
    <s v="Food &amp; Dining:Restaurants/From Receipt"/>
    <m/>
    <m/>
    <s v="From Receipt"/>
    <x v="15"/>
    <s v="Restaurants"/>
    <x v="0"/>
    <m/>
    <x v="0"/>
    <m/>
    <s v="Jun"/>
    <n v="2014"/>
    <s v="Monthly"/>
    <n v="0"/>
    <s v="No"/>
    <s v="None"/>
    <s v="Food &amp; Dining|Restaurants"/>
  </r>
  <r>
    <s v="Chase Freedom XX9381"/>
    <d v="2014-06-27T00:00:00"/>
    <n v="-688.86"/>
    <s v="X"/>
    <s v="Lowe's"/>
    <s v="Washing machine"/>
    <s v="Projects:Appliances"/>
    <m/>
    <m/>
    <m/>
    <x v="39"/>
    <s v="Appliances"/>
    <x v="0"/>
    <m/>
    <x v="0"/>
    <m/>
    <s v="Jun"/>
    <n v="2014"/>
    <s v="Unplanned"/>
    <n v="0"/>
    <s v="No"/>
    <s v="None"/>
    <s v="Projects|Appliances"/>
  </r>
  <r>
    <s v="MasterCard (Capital One)"/>
    <d v="2014-06-27T00:00:00"/>
    <n v="-10.85"/>
    <s v="X"/>
    <s v="Gymboree"/>
    <s v="2011: GYMBOREE 507350050731 TULALIP WA 98271 USA"/>
    <s v="Kids:Clothing/From Receipt"/>
    <m/>
    <m/>
    <s v="From Receipt"/>
    <x v="27"/>
    <s v="Clothing"/>
    <x v="0"/>
    <m/>
    <x v="0"/>
    <m/>
    <s v="Jun"/>
    <n v="2014"/>
    <s v="Monthly"/>
    <n v="0"/>
    <s v="No"/>
    <s v="None"/>
    <s v="Kids|Clothing"/>
  </r>
  <r>
    <s v="MasterCard (Capital One)"/>
    <d v="2014-06-27T00:00:00"/>
    <n v="-33.64"/>
    <s v="X"/>
    <s v="Ann Taylor"/>
    <s v="2011: ANN TAYLOR LOFT #2955 TULALIP WA 98271 USA"/>
    <s v="Shopping:Clothing/From Receipt"/>
    <m/>
    <m/>
    <s v="From Receipt"/>
    <x v="13"/>
    <s v="Clothing"/>
    <x v="0"/>
    <m/>
    <x v="0"/>
    <m/>
    <s v="Jun"/>
    <n v="2014"/>
    <s v="Annual"/>
    <n v="0"/>
    <s v="No"/>
    <s v="None"/>
    <s v="Shopping|Clothing"/>
  </r>
  <r>
    <s v="MasterCard (Capital One)"/>
    <d v="2014-06-27T00:00:00"/>
    <n v="-49.92"/>
    <s v="X"/>
    <s v="Ann Taylor"/>
    <s v="2011: ANN TAYLOR FACTORY #12 TULALIP WA 98271 USA"/>
    <s v="Shopping:Clothing/From Receipt"/>
    <m/>
    <m/>
    <s v="From Receipt"/>
    <x v="13"/>
    <s v="Clothing"/>
    <x v="0"/>
    <m/>
    <x v="0"/>
    <m/>
    <s v="Jun"/>
    <n v="2014"/>
    <s v="Annual"/>
    <n v="0"/>
    <s v="No"/>
    <s v="None"/>
    <s v="Shopping|Clothing"/>
  </r>
  <r>
    <s v="MasterCard (Capital One)"/>
    <d v="2014-06-27T00:00:00"/>
    <n v="-77.650000000000006"/>
    <s v="X"/>
    <s v="Jockey"/>
    <s v="2011: JOCKEY SEATTLE WA TULALIP WA 98271 USA"/>
    <s v="Shopping:Clothing"/>
    <m/>
    <m/>
    <m/>
    <x v="13"/>
    <s v="Clothing"/>
    <x v="0"/>
    <m/>
    <x v="0"/>
    <m/>
    <s v="Jun"/>
    <n v="2014"/>
    <s v="Annual"/>
    <n v="0"/>
    <s v="No"/>
    <s v="None"/>
    <s v="Shopping|Clothing"/>
  </r>
  <r>
    <s v="Koolikai - Checking XX2129"/>
    <d v="2014-06-26T00:00:00"/>
    <n v="2195"/>
    <s v="X"/>
    <s v="John Schaibley"/>
    <s v="Deposit--Shared Branch Mobile Deposit          First Tech FC CA"/>
    <s v="Business Income (Koolikai):Rent/9602"/>
    <m/>
    <m/>
    <n v="9602"/>
    <x v="37"/>
    <s v="Rent"/>
    <x v="0"/>
    <m/>
    <x v="0"/>
    <m/>
    <s v="Jun"/>
    <n v="2014"/>
    <s v="Monthly"/>
    <n v="0"/>
    <s v="No"/>
    <s v="None"/>
    <s v="Business Income (Koolikai)|Rent"/>
  </r>
  <r>
    <s v="Schwab - Checking (9784)"/>
    <d v="2014-06-26T00:00:00"/>
    <n v="-23.68"/>
    <s v="X"/>
    <s v="Costco"/>
    <s v="Fruit snacks and olive oil"/>
    <s v="Food &amp; Dining:Groceries"/>
    <m/>
    <m/>
    <m/>
    <x v="15"/>
    <s v="Groceries"/>
    <x v="0"/>
    <m/>
    <x v="0"/>
    <m/>
    <s v="Jun"/>
    <n v="2014"/>
    <s v="Monthly"/>
    <n v="0"/>
    <s v="No"/>
    <s v="None"/>
    <s v="Food &amp; Dining|Groceries"/>
  </r>
  <r>
    <s v="Chase Freedom XX9381"/>
    <d v="2014-06-26T00:00:00"/>
    <n v="954.76"/>
    <s v="X"/>
    <s v="Chase Autopay (Freedom)"/>
    <m/>
    <s v="[First Tech - Checking (5544)]"/>
    <m/>
    <m/>
    <m/>
    <x v="21"/>
    <m/>
    <x v="0"/>
    <m/>
    <x v="0"/>
    <m/>
    <s v="Jun"/>
    <n v="2014"/>
    <s v="Account"/>
    <n v="0"/>
    <s v="No"/>
    <s v="None"/>
    <s v="[First Tech - Checking (5544)]"/>
  </r>
  <r>
    <s v="MasterCard (Capital One)"/>
    <d v="2014-06-26T00:00:00"/>
    <n v="27.36"/>
    <s v="X"/>
    <s v="Macy's"/>
    <s v="Returned sharpening steel"/>
    <s v="Home:Furnishings/From Receipt"/>
    <m/>
    <m/>
    <s v="From Receipt"/>
    <x v="14"/>
    <s v="Furnishings"/>
    <x v="0"/>
    <m/>
    <x v="0"/>
    <m/>
    <s v="Jun"/>
    <n v="2014"/>
    <s v="Monthly"/>
    <n v="0"/>
    <s v="No"/>
    <s v="None"/>
    <s v="Home|Furnishings"/>
  </r>
  <r>
    <s v="MasterCard (Capital One)"/>
    <d v="2014-06-26T00:00:00"/>
    <n v="32.83"/>
    <s v="X"/>
    <s v="Childish Things"/>
    <s v="#Scottsdale 2014# Sun hats"/>
    <s v="Kids:Clothing/From Receipt"/>
    <m/>
    <m/>
    <s v="From Receipt"/>
    <x v="27"/>
    <s v="Clothing"/>
    <x v="0"/>
    <m/>
    <x v="19"/>
    <m/>
    <s v="Jun"/>
    <n v="2014"/>
    <s v="Monthly"/>
    <n v="0"/>
    <s v="No"/>
    <s v="None"/>
    <s v="Kids|Clothing"/>
  </r>
  <r>
    <s v="MasterCard (Capital One)"/>
    <d v="2014-06-26T00:00:00"/>
    <n v="-13"/>
    <s v="X"/>
    <s v="Alaska Air"/>
    <s v="#Scottsdale 2014# Plane food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MasterCard (Capital One)"/>
    <d v="2014-06-26T00:00:00"/>
    <n v="-134.6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un"/>
    <n v="2014"/>
    <s v="Monthly"/>
    <n v="0"/>
    <s v="No"/>
    <s v="None"/>
    <s v="Food &amp; Dining|Groceries"/>
  </r>
  <r>
    <s v="Target Red Card"/>
    <d v="2014-06-26T00:00:00"/>
    <n v="15.59"/>
    <s v="X"/>
    <s v="Target"/>
    <s v="#Stay Fit# Return of bike lock"/>
    <s v="Health &amp; Fitness:Sports/From Receipt"/>
    <n v="799999941771"/>
    <m/>
    <s v="From Receipt"/>
    <x v="18"/>
    <s v="Sports"/>
    <x v="0"/>
    <m/>
    <x v="5"/>
    <m/>
    <s v="Jun"/>
    <n v="2014"/>
    <s v="Irregular"/>
    <n v="0"/>
    <s v="No"/>
    <s v="None"/>
    <s v="Health &amp; Fitness|Sports"/>
  </r>
  <r>
    <s v="Target Red Card"/>
    <d v="2014-06-26T00:00:00"/>
    <n v="-31.15"/>
    <s v="X"/>
    <s v="Target"/>
    <s v="Sheets for boys room"/>
    <s v="Home:Furnishings/From Receipt"/>
    <n v="799999941771"/>
    <s v="Split"/>
    <s v="From Receipt"/>
    <x v="14"/>
    <s v="Furnishings"/>
    <x v="0"/>
    <m/>
    <x v="0"/>
    <m/>
    <s v="Jun"/>
    <n v="2014"/>
    <s v="Monthly"/>
    <n v="0"/>
    <s v="No"/>
    <s v="None"/>
    <s v="Home|Furnishings"/>
  </r>
  <r>
    <s v="Target Red Card"/>
    <d v="2014-06-26T00:00:00"/>
    <n v="-6.19"/>
    <s v="X"/>
    <s v="Target"/>
    <s v="Birthday card"/>
    <s v="Gifts/From Receipt"/>
    <n v="799999941771"/>
    <s v="Split"/>
    <s v="From Receipt"/>
    <x v="28"/>
    <m/>
    <x v="0"/>
    <m/>
    <x v="0"/>
    <m/>
    <s v="Jun"/>
    <n v="2014"/>
    <s v="Monthly"/>
    <n v="0"/>
    <s v="No"/>
    <s v="None"/>
    <s v="Gifts"/>
  </r>
  <r>
    <s v="First Tech - Checking (5544)"/>
    <d v="2014-06-25T00:00:00"/>
    <n v="-200000"/>
    <s v="X"/>
    <s v="Lpl  - Debit"/>
    <s v="ACH Debit--LPL  - DEBIT"/>
    <s v="[LPL Financial]"/>
    <m/>
    <m/>
    <m/>
    <x v="44"/>
    <m/>
    <x v="0"/>
    <m/>
    <x v="0"/>
    <m/>
    <s v="Jun"/>
    <n v="2014"/>
    <e v="#N/A"/>
    <e v="#N/A"/>
    <e v="#N/A"/>
    <e v="#N/A"/>
    <s v="[LPL Financial]"/>
  </r>
  <r>
    <s v="Chase Freedom XX9381"/>
    <d v="2014-06-25T00:00:00"/>
    <n v="-45.84"/>
    <s v="X"/>
    <s v="Lowe's"/>
    <m/>
    <s v="Home:Home Improvement"/>
    <m/>
    <m/>
    <m/>
    <x v="14"/>
    <s v="Home Improvement"/>
    <x v="0"/>
    <m/>
    <x v="0"/>
    <m/>
    <s v="Jun"/>
    <n v="2014"/>
    <s v="Irregular"/>
    <n v="0"/>
    <s v="No"/>
    <s v="None"/>
    <s v="Home|Home Improvement"/>
  </r>
  <r>
    <s v="MasterCard (Capital One)"/>
    <d v="2014-06-25T00:00:00"/>
    <n v="-55.21"/>
    <s v="X"/>
    <s v="Shuttlepark 2"/>
    <s v="#Scottsdale 2014#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LPL Financial"/>
    <d v="2014-06-25T00:00:00"/>
    <n v="200000"/>
    <m/>
    <s v="Lpl  - Debit"/>
    <s v="ACH Debit--LPL  - DEBIT"/>
    <s v="[First Tech - Checking (5544)]"/>
    <s v="XIn"/>
    <s v="Split"/>
    <m/>
    <x v="21"/>
    <m/>
    <x v="0"/>
    <m/>
    <x v="0"/>
    <m/>
    <s v="Jun"/>
    <n v="2014"/>
    <s v="Account"/>
    <n v="0"/>
    <s v="No"/>
    <s v="None"/>
    <s v="[First Tech - Checking (5544)]"/>
  </r>
  <r>
    <s v="Koolikai - Checking XX2129"/>
    <d v="2014-06-24T00:00:00"/>
    <n v="-343.98"/>
    <s v="X"/>
    <s v="Chase - Koolikai (Autopay)"/>
    <s v="ACH Debit--CHASE  - AUTOPAYBUS"/>
    <s v="[Koolikai Credit Card]"/>
    <m/>
    <m/>
    <m/>
    <x v="9"/>
    <m/>
    <x v="0"/>
    <m/>
    <x v="0"/>
    <m/>
    <s v="Jun"/>
    <n v="2014"/>
    <s v="Account"/>
    <n v="0"/>
    <s v="No"/>
    <s v="None"/>
    <s v="[Koolikai Credit Card]"/>
  </r>
  <r>
    <s v="MasterCard (Capital One)"/>
    <d v="2014-06-24T00:00:00"/>
    <n v="-25"/>
    <s v="X"/>
    <s v="Alaska Air"/>
    <s v="#Scottsdale 2014# Bag fee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MasterCard (Capital One)"/>
    <d v="2014-06-24T00:00:00"/>
    <n v="-33"/>
    <s v="X"/>
    <s v="Groupon"/>
    <s v="Groupon for Remlinger Farms"/>
    <s v="Kids:Kids Activities"/>
    <m/>
    <m/>
    <m/>
    <x v="27"/>
    <s v="Kids Activities"/>
    <x v="0"/>
    <m/>
    <x v="0"/>
    <m/>
    <s v="Jun"/>
    <n v="2014"/>
    <s v="Monthly"/>
    <n v="0"/>
    <s v="No"/>
    <s v="None"/>
    <s v="Kids|Kids Activities"/>
  </r>
  <r>
    <s v="First Tech - Checking (5544)"/>
    <d v="2014-06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Jun"/>
    <n v="2014"/>
    <s v="Monthly"/>
    <n v="0"/>
    <s v="No"/>
    <s v="None"/>
    <s v="Auto &amp; Transport|Auto Lease Payment"/>
  </r>
  <r>
    <s v="First Tech - Checking (5544)"/>
    <d v="2014-06-23T00:00:00"/>
    <n v="-492.75"/>
    <s v="X"/>
    <s v="Caesar's Gardens"/>
    <s v="ACH Debit--CATHLEEN CAESAR  - ONLINE PMT"/>
    <s v="Projects:Landscaping"/>
    <m/>
    <m/>
    <m/>
    <x v="39"/>
    <s v="Landscaping"/>
    <x v="0"/>
    <m/>
    <x v="0"/>
    <m/>
    <s v="Jun"/>
    <n v="2014"/>
    <s v="Unplanned"/>
    <n v="0"/>
    <s v="No"/>
    <s v="None"/>
    <s v="Projects|Landscaping"/>
  </r>
  <r>
    <s v="Schwab - Checking (9784)"/>
    <d v="2014-06-23T00:00:00"/>
    <n v="-63"/>
    <s v="X"/>
    <s v="Bank Of America"/>
    <s v="#Scottsdale 2014#"/>
    <s v="Vacation:Food"/>
    <m/>
    <m/>
    <m/>
    <x v="23"/>
    <s v="Food"/>
    <x v="0"/>
    <m/>
    <x v="19"/>
    <m/>
    <s v="Jun"/>
    <n v="2014"/>
    <s v="Irregular"/>
    <n v="0"/>
    <s v="No"/>
    <s v="None"/>
    <s v="Vacation|Food"/>
  </r>
  <r>
    <s v="Chase Freedom XX9381"/>
    <d v="2014-06-23T00:00:00"/>
    <n v="-18.399999999999999"/>
    <s v="X"/>
    <s v="Target"/>
    <s v="#Scottsdale 2014# Sunglasses"/>
    <s v="Shopping:Clothing:Accessories/From Receipt"/>
    <m/>
    <m/>
    <s v="From Receipt"/>
    <x v="13"/>
    <s v="Clothing"/>
    <x v="1"/>
    <m/>
    <x v="19"/>
    <m/>
    <s v="Jun"/>
    <n v="2014"/>
    <s v="Annual"/>
    <n v="0"/>
    <s v="No"/>
    <s v="None"/>
    <s v="Shopping|Clothing"/>
  </r>
  <r>
    <s v="Koolikai Credit Card"/>
    <d v="2014-06-23T00:00:00"/>
    <n v="343.98"/>
    <s v="X"/>
    <s v="Chase - Koolikai (Autopay)"/>
    <m/>
    <s v="[Koolikai - Checking XX2129]"/>
    <m/>
    <m/>
    <m/>
    <x v="25"/>
    <m/>
    <x v="0"/>
    <m/>
    <x v="0"/>
    <m/>
    <s v="Jun"/>
    <n v="2014"/>
    <s v="Account"/>
    <n v="0"/>
    <s v="No"/>
    <s v="None"/>
    <s v="[Koolikai - Checking XX2129]"/>
  </r>
  <r>
    <s v="MasterCard (Capital One)"/>
    <d v="2014-06-23T00:00:00"/>
    <n v="-19.940000000000001"/>
    <s v="X"/>
    <s v="Play Factory"/>
    <s v="#Scottsdale 2014#  Play factory (climbing wall, play area)"/>
    <s v="Vacation:Activities"/>
    <m/>
    <m/>
    <m/>
    <x v="23"/>
    <s v="Activities"/>
    <x v="0"/>
    <m/>
    <x v="19"/>
    <m/>
    <s v="Jun"/>
    <n v="2014"/>
    <s v="Irregular"/>
    <n v="0"/>
    <s v="No"/>
    <s v="None"/>
    <s v="Vacation|Activities"/>
  </r>
  <r>
    <s v="Chase Freedom XX9381"/>
    <d v="2014-06-22T00:00:00"/>
    <n v="-11.71"/>
    <s v="X"/>
    <s v="Gabb N Sat"/>
    <m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22T00:00:00"/>
    <n v="-32"/>
    <s v="X"/>
    <s v="Act City Mesaactnet"/>
    <s v="#Scottsdale 2014# Dinosaur museum"/>
    <s v="Vacation:Activities"/>
    <m/>
    <m/>
    <m/>
    <x v="23"/>
    <s v="Activities"/>
    <x v="0"/>
    <m/>
    <x v="19"/>
    <m/>
    <s v="Jun"/>
    <n v="2014"/>
    <s v="Irregular"/>
    <n v="0"/>
    <s v="No"/>
    <s v="None"/>
    <s v="Vacation|Activities"/>
  </r>
  <r>
    <s v="American Express (Costco)"/>
    <d v="2014-06-21T00:00:00"/>
    <n v="-43.16"/>
    <s v="X"/>
    <s v="Costco"/>
    <s v="Life vests for boys, recat as"/>
    <s v="Food &amp; Dining:Groceries"/>
    <m/>
    <s v="Split"/>
    <m/>
    <x v="15"/>
    <s v="Groceries"/>
    <x v="0"/>
    <m/>
    <x v="0"/>
    <m/>
    <s v="Jun"/>
    <n v="2014"/>
    <s v="Monthly"/>
    <n v="0"/>
    <s v="No"/>
    <s v="None"/>
    <s v="Food &amp; Dining|Groceries"/>
  </r>
  <r>
    <s v="American Express (Costco)"/>
    <d v="2014-06-21T00:00:00"/>
    <n v="-32.03"/>
    <s v="X"/>
    <s v="Costco"/>
    <s v="#Scottsdale 2014#Groceries at"/>
    <s v="Vacation:Food"/>
    <m/>
    <s v="Split"/>
    <m/>
    <x v="23"/>
    <s v="Food"/>
    <x v="0"/>
    <m/>
    <x v="19"/>
    <m/>
    <s v="Jun"/>
    <n v="2014"/>
    <s v="Irregular"/>
    <n v="0"/>
    <s v="No"/>
    <s v="None"/>
    <s v="Vacation|Food"/>
  </r>
  <r>
    <s v="MasterCard (Capital One)"/>
    <d v="2014-06-21T00:00:00"/>
    <n v="25"/>
    <s v="X"/>
    <s v="Capital One (Cash Back)"/>
    <s v="2011: CREDIT-CASH BACK REWARD"/>
    <s v="Other Inc"/>
    <m/>
    <m/>
    <m/>
    <x v="29"/>
    <m/>
    <x v="0"/>
    <m/>
    <x v="0"/>
    <m/>
    <s v="Jun"/>
    <n v="2014"/>
    <s v="Monthly"/>
    <n v="0"/>
    <s v="No"/>
    <s v="None"/>
    <s v="Other Inc"/>
  </r>
  <r>
    <s v="Target Red Card"/>
    <d v="2014-06-21T00:00:00"/>
    <n v="61.51"/>
    <s v="X"/>
    <s v="Target"/>
    <s v="Return of pool vests #Scottsdale 2014#"/>
    <s v="Vacation:Activities/From Receipt"/>
    <n v="799999941721"/>
    <m/>
    <s v="From Receipt"/>
    <x v="23"/>
    <s v="Activities"/>
    <x v="0"/>
    <m/>
    <x v="19"/>
    <m/>
    <s v="Jun"/>
    <n v="2014"/>
    <s v="Irregular"/>
    <n v="0"/>
    <s v="No"/>
    <s v="None"/>
    <s v="Vacation|Activities"/>
  </r>
  <r>
    <s v="MasterCard (Capital One)"/>
    <d v="2014-06-20T00:00:00"/>
    <n v="-20"/>
    <s v="X"/>
    <s v="Mc Cormick-stillman Railroad"/>
    <s v="#Scottsdale 2014#"/>
    <s v="Kids:Kids Activities"/>
    <m/>
    <m/>
    <m/>
    <x v="27"/>
    <s v="Kids Activities"/>
    <x v="0"/>
    <m/>
    <x v="19"/>
    <m/>
    <s v="Jun"/>
    <n v="2014"/>
    <s v="Monthly"/>
    <n v="0"/>
    <s v="No"/>
    <s v="None"/>
    <s v="Kids|Kids Activities"/>
  </r>
  <r>
    <s v="Target Red Card"/>
    <d v="2014-06-20T00:00:00"/>
    <n v="-2.85"/>
    <s v="X"/>
    <s v="Food Avenue"/>
    <m/>
    <s v="Food &amp; Dining:Restaurants"/>
    <n v="799999941710"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Target Red Card"/>
    <d v="2014-06-20T00:00:00"/>
    <n v="-4.8"/>
    <s v="X"/>
    <s v="Food Avenue"/>
    <m/>
    <s v="Food &amp; Dining:Restaurants"/>
    <n v="799999941710"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Target Red Card"/>
    <d v="2014-06-20T00:00:00"/>
    <n v="-1.1000000000000001"/>
    <s v="X"/>
    <s v="Target"/>
    <s v="#Scottsdale 2014#"/>
    <s v="Vacation:Food/From Receipt"/>
    <n v="799999941710"/>
    <s v="Split"/>
    <s v="From Receipt"/>
    <x v="23"/>
    <s v="Food"/>
    <x v="0"/>
    <m/>
    <x v="19"/>
    <m/>
    <s v="Jun"/>
    <n v="2014"/>
    <s v="Irregular"/>
    <n v="0"/>
    <s v="No"/>
    <s v="None"/>
    <s v="Vacation|Food"/>
  </r>
  <r>
    <s v="Target Red Card"/>
    <d v="2014-06-20T00:00:00"/>
    <n v="-77.88"/>
    <s v="X"/>
    <s v="Target"/>
    <s v="#Scottsdale 2014#Pool floats,"/>
    <s v="Vacation:Activities/From Receipt"/>
    <n v="799999941710"/>
    <s v="Split"/>
    <s v="From Receipt"/>
    <x v="23"/>
    <s v="Activities"/>
    <x v="0"/>
    <m/>
    <x v="19"/>
    <m/>
    <s v="Jun"/>
    <n v="2014"/>
    <s v="Irregular"/>
    <n v="0"/>
    <s v="No"/>
    <s v="None"/>
    <s v="Vacation|Activities"/>
  </r>
  <r>
    <s v="Target Red Card"/>
    <d v="2014-06-20T00:00:00"/>
    <n v="-13.48"/>
    <s v="X"/>
    <s v="Target"/>
    <s v="#Scottsdale 2014#Glasses and p"/>
    <s v="Vacation:Other/From Receipt"/>
    <n v="799999941710"/>
    <s v="Split"/>
    <s v="From Receipt"/>
    <x v="23"/>
    <s v="Other"/>
    <x v="0"/>
    <m/>
    <x v="19"/>
    <m/>
    <s v="Jun"/>
    <n v="2014"/>
    <s v="Irregular"/>
    <n v="0"/>
    <s v="No"/>
    <s v="None"/>
    <s v="Vacation|Other"/>
  </r>
  <r>
    <s v="First Tech - Checking (5544)"/>
    <d v="2014-06-19T00:00:00"/>
    <n v="100000"/>
    <s v="X"/>
    <s v="Fid Bkg Svc Llc  - Moneyline"/>
    <s v="Fidelity brokerage services"/>
    <s v="[Fideity ESPP and Stock Awards]"/>
    <m/>
    <m/>
    <m/>
    <x v="43"/>
    <m/>
    <x v="0"/>
    <m/>
    <x v="0"/>
    <m/>
    <s v="Jun"/>
    <n v="2014"/>
    <e v="#N/A"/>
    <e v="#N/A"/>
    <e v="#N/A"/>
    <e v="#N/A"/>
    <s v="[Fideity ESPP and Stock Awards]"/>
  </r>
  <r>
    <s v="Koolikai Credit Card"/>
    <d v="2014-06-19T00:00:00"/>
    <n v="-12.81"/>
    <s v="X"/>
    <s v="Godaddy.Com"/>
    <m/>
    <s v="Business Expenses (Koolikai):Office Expenses (Business)"/>
    <m/>
    <m/>
    <m/>
    <x v="36"/>
    <s v="Office Expenses (Business)"/>
    <x v="0"/>
    <m/>
    <x v="0"/>
    <m/>
    <s v="Jun"/>
    <n v="2014"/>
    <s v="Monthly"/>
    <n v="0"/>
    <s v="No"/>
    <s v="None"/>
    <s v="Business Expenses (Koolikai)|Office Expenses (Business)"/>
  </r>
  <r>
    <s v="MasterCard (Capital One)"/>
    <d v="2014-06-19T00:00:00"/>
    <n v="-13"/>
    <s v="X"/>
    <s v="Alaska Air"/>
    <s v="#Scottsdale 2014#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MasterCard (Capital One)"/>
    <d v="2014-06-19T00:00:00"/>
    <n v="-25"/>
    <s v="X"/>
    <s v="Alaska Air"/>
    <s v="#Scottsdale 2014#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Fideity ESPP and Stock Awards"/>
    <d v="2014-06-19T00:00:00"/>
    <n v="100000"/>
    <m/>
    <s v="Fid Bkg Svc Llc  - Moneyline"/>
    <s v="Fidelity brokerage services"/>
    <s v="[First Tech - Checking (5544)]"/>
    <s v="XOut"/>
    <s v="Split"/>
    <m/>
    <x v="21"/>
    <m/>
    <x v="0"/>
    <m/>
    <x v="0"/>
    <m/>
    <s v="Jun"/>
    <n v="2014"/>
    <s v="Account"/>
    <n v="0"/>
    <s v="No"/>
    <s v="None"/>
    <s v="[First Tech - Checking (5544)]"/>
  </r>
  <r>
    <s v="Koolikai Credit Card"/>
    <d v="2014-06-18T00:00:00"/>
    <n v="-71.88"/>
    <s v="X"/>
    <s v="Godaddy.Com"/>
    <m/>
    <s v="Business Expenses (Koolikai):Office Expenses (Business)"/>
    <m/>
    <m/>
    <m/>
    <x v="36"/>
    <s v="Office Expenses (Business)"/>
    <x v="0"/>
    <m/>
    <x v="0"/>
    <m/>
    <s v="Jun"/>
    <n v="2014"/>
    <s v="Monthly"/>
    <n v="0"/>
    <s v="No"/>
    <s v="None"/>
    <s v="Business Expenses (Koolikai)|Office Expenses (Business)"/>
  </r>
  <r>
    <s v="MasterCard (Capital One)"/>
    <d v="2014-06-18T00:00:00"/>
    <n v="-10"/>
    <s v="X"/>
    <s v="Shuttlepark 2"/>
    <s v="#Scottsdale 2014#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MasterCard (Capital One)"/>
    <d v="2014-06-18T00:00:00"/>
    <n v="-15.86"/>
    <s v="X"/>
    <s v="Diamond Parking"/>
    <s v="#Scottsdale 2014#"/>
    <s v="Vacation:Transportation"/>
    <m/>
    <m/>
    <m/>
    <x v="23"/>
    <s v="Transportation"/>
    <x v="0"/>
    <m/>
    <x v="19"/>
    <m/>
    <s v="Jun"/>
    <n v="2014"/>
    <s v="Irregular"/>
    <n v="0"/>
    <s v="No"/>
    <s v="None"/>
    <s v="Vacation|Transportation"/>
  </r>
  <r>
    <s v="MasterCard (Capital One)"/>
    <d v="2014-06-18T00:00:00"/>
    <n v="-18.63"/>
    <s v="X"/>
    <s v="Highlights"/>
    <s v="2011: HIGHLIGHTS FOR CHILDRE 800-255-9517 OH 43215 USA"/>
    <s v="Kids:Toys"/>
    <m/>
    <m/>
    <m/>
    <x v="27"/>
    <s v="Toys"/>
    <x v="0"/>
    <m/>
    <x v="0"/>
    <m/>
    <s v="Jun"/>
    <n v="2014"/>
    <s v="Monthly"/>
    <n v="0"/>
    <s v="No"/>
    <s v="None"/>
    <s v="Kids|Toys"/>
  </r>
  <r>
    <s v="MasterCard (Capital One)"/>
    <d v="2014-06-18T00:00:00"/>
    <n v="-903.11"/>
    <s v="X"/>
    <s v="K 1 Speed"/>
    <s v="#Go Cart Racing# with team"/>
    <s v="Work Expense:Reimbursable expense"/>
    <m/>
    <m/>
    <m/>
    <x v="19"/>
    <s v="Reimbursable expense"/>
    <x v="0"/>
    <m/>
    <x v="18"/>
    <m/>
    <s v="Jun"/>
    <n v="2014"/>
    <s v="Irregular"/>
    <n v="0"/>
    <s v="No"/>
    <s v="None"/>
    <s v="Work Expense|Reimbursable expense"/>
  </r>
  <r>
    <s v="First Tech - Checking (5544)"/>
    <d v="2014-06-17T00:00:00"/>
    <n v="38832"/>
    <s v="X"/>
    <s v="Transfer From 5562129, Reducing"/>
    <s v="Consolidating cash"/>
    <s v="[Koolikai - Checking XX2129]"/>
    <m/>
    <m/>
    <m/>
    <x v="25"/>
    <m/>
    <x v="0"/>
    <m/>
    <x v="0"/>
    <m/>
    <s v="Jun"/>
    <n v="2014"/>
    <s v="Account"/>
    <n v="0"/>
    <s v="No"/>
    <s v="None"/>
    <s v="[Koolikai - Checking XX2129]"/>
  </r>
  <r>
    <s v="First Tech - Checking (5544)"/>
    <d v="2014-06-17T00:00:00"/>
    <n v="71426"/>
    <s v="X"/>
    <s v="Transfer From 47755400, Reducin"/>
    <s v="Consolidating cash"/>
    <s v="[First Tech - Short Term Emergency (5400)]"/>
    <m/>
    <m/>
    <m/>
    <x v="4"/>
    <m/>
    <x v="0"/>
    <m/>
    <x v="0"/>
    <m/>
    <s v="Jun"/>
    <n v="2014"/>
    <s v="Account"/>
    <n v="0"/>
    <s v="No"/>
    <s v="None"/>
    <s v="[First Tech - Short Term Emergency (5400)]"/>
  </r>
  <r>
    <s v="First Tech - Short Term Emergency (5400)"/>
    <d v="2014-06-17T00:00:00"/>
    <n v="-71426"/>
    <s v="X"/>
    <s v="Transfer To 914775544, Reducing"/>
    <s v="Withdrawal-- Transfer to 914775544, reducing cash holdings"/>
    <s v="[First Tech - Checking (5544)]"/>
    <m/>
    <m/>
    <m/>
    <x v="21"/>
    <m/>
    <x v="0"/>
    <m/>
    <x v="0"/>
    <m/>
    <s v="Jun"/>
    <n v="2014"/>
    <s v="Account"/>
    <n v="0"/>
    <s v="No"/>
    <s v="None"/>
    <s v="[First Tech - Checking (5544)]"/>
  </r>
  <r>
    <s v="Koolikai - Checking XX2129"/>
    <d v="2014-06-17T00:00:00"/>
    <n v="-38832"/>
    <s v="X"/>
    <s v="Transfer"/>
    <s v="Withdrawal-- Transfer to 914775544, reducing cash holdings"/>
    <s v="[First Tech - Checking (5544)]"/>
    <m/>
    <m/>
    <m/>
    <x v="21"/>
    <m/>
    <x v="0"/>
    <m/>
    <x v="0"/>
    <m/>
    <s v="Jun"/>
    <n v="2014"/>
    <s v="Account"/>
    <n v="0"/>
    <s v="No"/>
    <s v="None"/>
    <s v="[First Tech - Checking (5544)]"/>
  </r>
  <r>
    <s v="Chase Freedom XX9381"/>
    <d v="2014-06-17T00:00:00"/>
    <n v="-8.1999999999999993"/>
    <s v="X"/>
    <s v="Fresh Table Cafe"/>
    <s v="2011: FRESH TABLE CAFE MET SEATTLE WA 98101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17T00:00:00"/>
    <n v="-250.75"/>
    <s v="X"/>
    <s v="Vehicle Licensing"/>
    <s v="Leaf"/>
    <s v="Auto &amp; Transport:Registration"/>
    <m/>
    <m/>
    <m/>
    <x v="17"/>
    <s v="Registration"/>
    <x v="0"/>
    <m/>
    <x v="0"/>
    <m/>
    <s v="Jun"/>
    <n v="2014"/>
    <s v="Annual"/>
    <n v="0"/>
    <s v="No"/>
    <s v="None"/>
    <s v="Auto &amp; Transport|Registration"/>
  </r>
  <r>
    <s v="Chase Freedom XX9381"/>
    <d v="2014-06-16T00:00:00"/>
    <n v="-6.5"/>
    <s v="X"/>
    <s v="Bluebird Ice Cream"/>
    <m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16T00:00:00"/>
    <n v="-7.83"/>
    <s v="X"/>
    <s v="Amazon"/>
    <s v="Mickey and Friends play set"/>
    <s v="Kids:Toys/From Receipt"/>
    <m/>
    <m/>
    <s v="From Receipt"/>
    <x v="27"/>
    <s v="Toys"/>
    <x v="0"/>
    <m/>
    <x v="0"/>
    <m/>
    <s v="Jun"/>
    <n v="2014"/>
    <s v="Monthly"/>
    <n v="0"/>
    <s v="No"/>
    <s v="None"/>
    <s v="Kids|Toys"/>
  </r>
  <r>
    <s v="First Tech - Checking (5544)"/>
    <d v="2014-06-15T00:00:00"/>
    <n v="43"/>
    <s v="X"/>
    <s v="Seattle Children's Hospital"/>
    <s v="Reimbursement -- Don't know why"/>
    <s v="[Premera Health Care Payment]"/>
    <m/>
    <m/>
    <m/>
    <x v="42"/>
    <m/>
    <x v="0"/>
    <m/>
    <x v="0"/>
    <m/>
    <s v="Jun"/>
    <n v="2014"/>
    <s v="Account"/>
    <n v="0"/>
    <s v="No"/>
    <s v="None"/>
    <s v="[Premera Health Care Payment]"/>
  </r>
  <r>
    <s v="Schwab - Checking (9784)"/>
    <d v="2014-06-15T00:00:00"/>
    <n v="-20"/>
    <s v="X"/>
    <s v="P N 9201 Holman Road"/>
    <s v="Dicks drive in"/>
    <s v="Food &amp; Dining:Restaurants"/>
    <m/>
    <s v="Split"/>
    <m/>
    <x v="15"/>
    <s v="Restaurants"/>
    <x v="0"/>
    <m/>
    <x v="0"/>
    <m/>
    <s v="Jun"/>
    <n v="2014"/>
    <s v="Monthly"/>
    <n v="0"/>
    <s v="No"/>
    <s v="None"/>
    <s v="Food &amp; Dining|Restaurants"/>
  </r>
  <r>
    <s v="Schwab - Checking (9784)"/>
    <d v="2014-06-15T00:00:00"/>
    <n v="-2.25"/>
    <s v="X"/>
    <s v="P N 9201 Holman Road"/>
    <m/>
    <s v="Bank Fees &amp; Charges:ATM Fee"/>
    <m/>
    <s v="Split"/>
    <m/>
    <x v="32"/>
    <s v="ATM Fee"/>
    <x v="0"/>
    <m/>
    <x v="0"/>
    <m/>
    <s v="Jun"/>
    <n v="2014"/>
    <s v="Monthly"/>
    <n v="0"/>
    <s v="No"/>
    <s v="None"/>
    <s v="Bank Fees &amp; Charges|ATM Fee"/>
  </r>
  <r>
    <s v="MasterCard (Capital One)"/>
    <d v="2014-06-15T00:00:00"/>
    <n v="-1.1100000000000001"/>
    <s v="X"/>
    <s v="Barnes &amp; Noble"/>
    <s v="2011: BARNES &amp; NOBLE #2280 SEATTLE WA 98125 USA"/>
    <s v="Shopping:Books"/>
    <m/>
    <m/>
    <m/>
    <x v="13"/>
    <s v="Books"/>
    <x v="0"/>
    <m/>
    <x v="0"/>
    <m/>
    <s v="Jun"/>
    <n v="2014"/>
    <s v="Unplanned"/>
    <n v="0"/>
    <s v="No"/>
    <s v="None"/>
    <s v="Shopping|Books"/>
  </r>
  <r>
    <s v="MasterCard (Capital One)"/>
    <d v="2014-06-15T00:00:00"/>
    <n v="-106.22"/>
    <s v="X"/>
    <s v="Playdate Sea"/>
    <s v="Punchcard"/>
    <s v="Kids:Kids Activities"/>
    <m/>
    <m/>
    <m/>
    <x v="27"/>
    <s v="Kids Activities"/>
    <x v="0"/>
    <m/>
    <x v="0"/>
    <m/>
    <s v="Jun"/>
    <n v="2014"/>
    <s v="Monthly"/>
    <n v="0"/>
    <s v="No"/>
    <s v="None"/>
    <s v="Kids|Kids Activities"/>
  </r>
  <r>
    <s v="Premera Health Care Payment"/>
    <d v="2014-06-15T00:00:00"/>
    <n v="-43"/>
    <s v="X"/>
    <s v="Seattle Children's Hospital"/>
    <s v="Reimbursement -- Don't know why"/>
    <s v="[First Tech - Checking (5544)]"/>
    <m/>
    <m/>
    <m/>
    <x v="21"/>
    <m/>
    <x v="0"/>
    <m/>
    <x v="0"/>
    <m/>
    <s v="Jun"/>
    <n v="2014"/>
    <s v="Account"/>
    <n v="0"/>
    <s v="No"/>
    <s v="None"/>
    <s v="[First Tech - Checking (5544)]"/>
  </r>
  <r>
    <s v="MasterCard (Capital One)"/>
    <d v="2014-06-14T00:00:00"/>
    <n v="-10"/>
    <s v="X"/>
    <s v="Walgreens"/>
    <s v="Prescription #0834713"/>
    <s v="Health &amp; Fitness:Pharmacy/From Receipt"/>
    <m/>
    <s v="Split"/>
    <s v="From Receipt"/>
    <x v="18"/>
    <s v="Pharmacy"/>
    <x v="0"/>
    <m/>
    <x v="0"/>
    <m/>
    <s v="Jun"/>
    <n v="2014"/>
    <s v="Irregular"/>
    <n v="0"/>
    <s v="No"/>
    <s v="None"/>
    <s v="Health &amp; Fitness|Pharmacy"/>
  </r>
  <r>
    <s v="MasterCard (Capital One)"/>
    <d v="2014-06-14T00:00:00"/>
    <n v="-6.56"/>
    <s v="X"/>
    <s v="Walgreens"/>
    <s v="Baby shampoo"/>
    <s v="Food &amp; Dining:Groceries/From Receipt"/>
    <m/>
    <s v="Split"/>
    <s v="From Receipt"/>
    <x v="15"/>
    <s v="Groceries"/>
    <x v="0"/>
    <m/>
    <x v="0"/>
    <m/>
    <s v="Jun"/>
    <n v="2014"/>
    <s v="Monthly"/>
    <n v="0"/>
    <s v="No"/>
    <s v="None"/>
    <s v="Food &amp; Dining|Groceries"/>
  </r>
  <r>
    <s v="MasterCard (Capital One)"/>
    <d v="2014-06-14T00:00:00"/>
    <n v="-19.05"/>
    <s v="X"/>
    <s v="Top Ten Toys"/>
    <s v="Bulk miniatures, pirate ship stickers, beach stickers"/>
    <s v="Kids:Toys/From Receipt"/>
    <m/>
    <m/>
    <s v="From Receipt"/>
    <x v="27"/>
    <s v="Toys"/>
    <x v="0"/>
    <m/>
    <x v="0"/>
    <m/>
    <s v="Jun"/>
    <n v="2014"/>
    <s v="Monthly"/>
    <n v="0"/>
    <s v="No"/>
    <s v="None"/>
    <s v="Kids|Toys"/>
  </r>
  <r>
    <s v="MasterCard (Capital One)"/>
    <d v="2014-06-14T00:00:00"/>
    <n v="-32.83"/>
    <s v="X"/>
    <s v="Childish Things"/>
    <s v="#Scottsdale 2014# Sun hats"/>
    <s v="Kids:Clothing/From Receipt"/>
    <m/>
    <m/>
    <s v="From Receipt"/>
    <x v="27"/>
    <s v="Clothing"/>
    <x v="0"/>
    <m/>
    <x v="19"/>
    <m/>
    <s v="Jun"/>
    <n v="2014"/>
    <s v="Monthly"/>
    <n v="0"/>
    <s v="No"/>
    <s v="None"/>
    <s v="Kids|Clothing"/>
  </r>
  <r>
    <s v="MasterCard (Capital One)"/>
    <d v="2014-06-14T00:00:00"/>
    <n v="-72.23"/>
    <s v="X"/>
    <s v="Phinney Market"/>
    <s v="2011: PHINNEY MARKET PUB &amp; E SEATTLE WA 98103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14T00:00:00"/>
    <n v="-21.89"/>
    <s v="X"/>
    <s v="Fred Meyer"/>
    <s v="DVD"/>
    <s v="Kids:Toys/From Receipt"/>
    <m/>
    <s v="Split"/>
    <s v="From Receipt"/>
    <x v="27"/>
    <s v="Toys"/>
    <x v="0"/>
    <m/>
    <x v="0"/>
    <m/>
    <s v="Jun"/>
    <n v="2014"/>
    <s v="Monthly"/>
    <n v="0"/>
    <s v="No"/>
    <s v="None"/>
    <s v="Kids|Toys"/>
  </r>
  <r>
    <s v="MasterCard (Capital One)"/>
    <d v="2014-06-14T00:00:00"/>
    <n v="-122.95"/>
    <s v="X"/>
    <s v="Fred Meyer"/>
    <m/>
    <s v="Food &amp; Dining:Groceries/From Receipt"/>
    <m/>
    <s v="Split"/>
    <s v="From Receipt"/>
    <x v="15"/>
    <s v="Groceries"/>
    <x v="0"/>
    <m/>
    <x v="0"/>
    <m/>
    <s v="Jun"/>
    <n v="2014"/>
    <s v="Monthly"/>
    <n v="0"/>
    <s v="No"/>
    <s v="None"/>
    <s v="Food &amp; Dining|Groceries"/>
  </r>
  <r>
    <s v="First Tech - Checking (5544)"/>
    <d v="2014-06-13T00:00:00"/>
    <n v="-60.1"/>
    <s v="X"/>
    <s v="Puget Sound Energy"/>
    <s v="ACH Debit--PUGET SOUND ENER DIRECT DEBITING - PSE BILL  30000387"/>
    <s v="Bills &amp; Utilities:Utilities"/>
    <m/>
    <m/>
    <m/>
    <x v="34"/>
    <s v="Utilities"/>
    <x v="0"/>
    <m/>
    <x v="0"/>
    <m/>
    <s v="Jun"/>
    <n v="2014"/>
    <s v="Monthly"/>
    <n v="0"/>
    <s v="No"/>
    <s v="None"/>
    <s v="Bills &amp; Utilities|Utilities"/>
  </r>
  <r>
    <s v="Chase Freedom XX9381"/>
    <d v="2014-06-13T00:00:00"/>
    <n v="-25"/>
    <s v="X"/>
    <s v="Oliver Twist"/>
    <m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13T00:00:00"/>
    <n v="-21.16"/>
    <s v="X"/>
    <s v="Hales Ales Ltd"/>
    <s v="2011: HALES ALES LTD SEATTLE WA 981074538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13T00:00:00"/>
    <n v="-65"/>
    <s v="X"/>
    <s v="Beach Comber Kids Cuts"/>
    <s v="2011: BEACHCOMBER KIDS CUT SEATTLE WA 981030000 USA"/>
    <s v="Personal Care:Hair"/>
    <m/>
    <m/>
    <m/>
    <x v="31"/>
    <s v="Hair"/>
    <x v="0"/>
    <m/>
    <x v="0"/>
    <m/>
    <s v="Jun"/>
    <n v="2014"/>
    <s v="Monthly"/>
    <n v="0"/>
    <s v="No"/>
    <s v="None"/>
    <s v="Personal Care|Hair"/>
  </r>
  <r>
    <s v="First Tech - Checking (5544)"/>
    <d v="2014-06-12T00:00:00"/>
    <n v="3165.19"/>
    <s v="X"/>
    <s v="Microsoft (Paystub)"/>
    <s v="ACH Deposit--MICROSOFT  - EDIPAYMENT"/>
    <s v="Net Salary"/>
    <m/>
    <m/>
    <m/>
    <x v="35"/>
    <m/>
    <x v="0"/>
    <m/>
    <x v="0"/>
    <m/>
    <s v="Jun"/>
    <n v="2014"/>
    <s v="Monthly"/>
    <n v="0"/>
    <s v="No"/>
    <s v="None"/>
    <s v="Net Salary"/>
  </r>
  <r>
    <s v="First Tech - Checking (5544)"/>
    <d v="2014-06-12T00:00:00"/>
    <n v="-1149.6199999999999"/>
    <s v="X"/>
    <s v="Premera Funding  - Hsa-fund  682"/>
    <s v="ACH Debit--PREMERA FUNDING  - HSA-FUND  6823"/>
    <s v="[Premera Health Care Payment]"/>
    <m/>
    <m/>
    <m/>
    <x v="42"/>
    <m/>
    <x v="0"/>
    <m/>
    <x v="0"/>
    <m/>
    <s v="Jun"/>
    <n v="2014"/>
    <s v="Account"/>
    <n v="0"/>
    <s v="No"/>
    <s v="None"/>
    <s v="[Premera Health Care Payment]"/>
  </r>
  <r>
    <s v="Koolikai Credit Card"/>
    <d v="2014-06-12T00:00:00"/>
    <n v="-146.97999999999999"/>
    <s v="X"/>
    <s v="Verizon Wireless"/>
    <m/>
    <s v="Business Expenses (Koolikai):Cell Phone"/>
    <m/>
    <m/>
    <m/>
    <x v="36"/>
    <s v="Cell Phone"/>
    <x v="0"/>
    <m/>
    <x v="0"/>
    <m/>
    <s v="Jun"/>
    <n v="2014"/>
    <s v="Monthly"/>
    <n v="0"/>
    <s v="No"/>
    <s v="None"/>
    <s v="Business Expenses (Koolikai)|Cell Phone"/>
  </r>
  <r>
    <s v="Premera Health Care Payment"/>
    <d v="2014-06-12T00:00:00"/>
    <n v="1149.6199999999999"/>
    <m/>
    <s v="Premera Funding  - Hsa-fund  682"/>
    <s v="ACH Debit--PREMERA FUNDING  - HSA-FUND  6823"/>
    <s v="[First Tech - Checking (5544)]"/>
    <m/>
    <m/>
    <m/>
    <x v="21"/>
    <m/>
    <x v="0"/>
    <m/>
    <x v="0"/>
    <m/>
    <s v="Jun"/>
    <n v="2014"/>
    <s v="Account"/>
    <n v="0"/>
    <s v="No"/>
    <s v="None"/>
    <s v="[First Tech - Checking (5544)]"/>
  </r>
  <r>
    <s v="REI Mastercard (xx1787)"/>
    <d v="2014-06-12T00:00:00"/>
    <n v="62"/>
    <s v="X"/>
    <s v="Recreation.Gov Ballston Spa Ny"/>
    <s v="#Kalaloch 2014#"/>
    <s v="Vacation:Lodging"/>
    <m/>
    <m/>
    <m/>
    <x v="23"/>
    <s v="Lodging"/>
    <x v="0"/>
    <m/>
    <x v="13"/>
    <m/>
    <s v="Jun"/>
    <n v="2014"/>
    <s v="Irregular"/>
    <n v="0"/>
    <s v="No"/>
    <s v="None"/>
    <s v="Vacation|Lodging"/>
  </r>
  <r>
    <s v="First Tech - Checking (5544)"/>
    <d v="2014-06-11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Jun"/>
    <n v="2014"/>
    <s v="Monthly"/>
    <n v="0"/>
    <s v="No"/>
    <s v="None"/>
    <s v="Home|Home Services"/>
  </r>
  <r>
    <s v="MasterCard (Capital One)"/>
    <d v="2014-06-11T00:00:00"/>
    <n v="25"/>
    <s v="X"/>
    <s v="Capital One (Cash Back)"/>
    <m/>
    <s v="Other Inc"/>
    <m/>
    <m/>
    <m/>
    <x v="29"/>
    <m/>
    <x v="0"/>
    <m/>
    <x v="0"/>
    <m/>
    <s v="Jun"/>
    <n v="2014"/>
    <s v="Monthly"/>
    <n v="0"/>
    <s v="No"/>
    <s v="None"/>
    <s v="Other Inc"/>
  </r>
  <r>
    <s v="MasterCard (Capital One)"/>
    <d v="2014-06-11T00:00:00"/>
    <n v="-50"/>
    <s v="X"/>
    <s v="Good Go Replenishment"/>
    <s v="2011: GOOD2GO REPLENISHMENT 08669368246 WA 98105 USA"/>
    <s v="Auto &amp; Transport:Tolls"/>
    <m/>
    <m/>
    <m/>
    <x v="17"/>
    <s v="Tolls"/>
    <x v="0"/>
    <m/>
    <x v="0"/>
    <m/>
    <s v="Jun"/>
    <n v="2014"/>
    <s v="Irregular"/>
    <n v="0"/>
    <s v="No"/>
    <s v="None"/>
    <s v="Auto &amp; Transport|Tolls"/>
  </r>
  <r>
    <s v="MasterCard (Capital One)"/>
    <d v="2014-06-11T00:00:00"/>
    <n v="-43"/>
    <s v="X"/>
    <s v="Runners World"/>
    <m/>
    <s v="Subscriptions &amp; Dues"/>
    <m/>
    <m/>
    <m/>
    <x v="33"/>
    <m/>
    <x v="0"/>
    <m/>
    <x v="0"/>
    <m/>
    <s v="Jun"/>
    <n v="2014"/>
    <s v="Annual"/>
    <n v="0"/>
    <s v="No"/>
    <s v="None"/>
    <s v="Subscriptions &amp; Dues"/>
  </r>
  <r>
    <s v="Chase Freedom XX9381"/>
    <d v="2014-06-09T00:00:00"/>
    <n v="-72.73"/>
    <s v="X"/>
    <s v="Twigs"/>
    <m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Schwab - Checking (9784)"/>
    <d v="2014-06-08T00:00:00"/>
    <n v="-45"/>
    <s v="X"/>
    <s v="Ken's Market"/>
    <m/>
    <s v="Kids:Babysitter/From Receipt"/>
    <m/>
    <s v="Split"/>
    <s v="From Receipt"/>
    <x v="27"/>
    <s v="Babysitter"/>
    <x v="0"/>
    <m/>
    <x v="0"/>
    <m/>
    <s v="Jun"/>
    <n v="2014"/>
    <s v="Monthly"/>
    <n v="0"/>
    <s v="No"/>
    <s v="None"/>
    <s v="Kids|Babysitter"/>
  </r>
  <r>
    <s v="Schwab - Checking (9784)"/>
    <d v="2014-06-08T00:00:00"/>
    <n v="-15"/>
    <s v="X"/>
    <s v="Ken's Market"/>
    <m/>
    <s v="Food &amp; Dining:Restaurants/From Receipt"/>
    <m/>
    <s v="Split"/>
    <s v="From Receipt"/>
    <x v="15"/>
    <s v="Restaurants"/>
    <x v="0"/>
    <m/>
    <x v="0"/>
    <m/>
    <s v="Jun"/>
    <n v="2014"/>
    <s v="Monthly"/>
    <n v="0"/>
    <s v="No"/>
    <s v="None"/>
    <s v="Food &amp; Dining|Restaurants"/>
  </r>
  <r>
    <s v="Schwab - Checking (9784)"/>
    <d v="2014-06-08T00:00:00"/>
    <n v="-2"/>
    <s v="X"/>
    <s v="Ken's Market"/>
    <m/>
    <s v="Bank Fees &amp; Charges:ATM Fee/From Receipt"/>
    <m/>
    <s v="Split"/>
    <s v="From Receipt"/>
    <x v="32"/>
    <s v="ATM Fee"/>
    <x v="0"/>
    <m/>
    <x v="0"/>
    <m/>
    <s v="Jun"/>
    <n v="2014"/>
    <s v="Monthly"/>
    <n v="0"/>
    <s v="No"/>
    <s v="None"/>
    <s v="Bank Fees &amp; Charges|ATM Fee"/>
  </r>
  <r>
    <s v="MasterCard (Capital One)"/>
    <d v="2014-06-08T00:00:00"/>
    <n v="-13.13"/>
    <s v="X"/>
    <s v="Bartell Drug"/>
    <s v="Sunscreen #Scottsdale 2014#"/>
    <s v="Vacation:Other/From Receipt"/>
    <m/>
    <m/>
    <s v="From Receipt"/>
    <x v="23"/>
    <s v="Other"/>
    <x v="0"/>
    <m/>
    <x v="19"/>
    <m/>
    <s v="Jun"/>
    <n v="2014"/>
    <s v="Irregular"/>
    <n v="0"/>
    <s v="No"/>
    <s v="None"/>
    <s v="Vacation|Other"/>
  </r>
  <r>
    <s v="MasterCard (Capital One)"/>
    <d v="2014-06-08T00:00:00"/>
    <n v="-70.16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un"/>
    <n v="2014"/>
    <s v="Monthly"/>
    <n v="0"/>
    <s v="No"/>
    <s v="None"/>
    <s v="Food &amp; Dining|Groceries"/>
  </r>
  <r>
    <s v="MasterCard (Capital One)"/>
    <d v="2014-06-08T00:00:00"/>
    <n v="-132"/>
    <s v="X"/>
    <s v="Woodland Park Zoo"/>
    <s v="Zoo membership"/>
    <s v="Kids:Kids Activities/From Receipt"/>
    <m/>
    <m/>
    <s v="From Receipt"/>
    <x v="27"/>
    <s v="Kids Activities"/>
    <x v="0"/>
    <m/>
    <x v="0"/>
    <m/>
    <s v="Jun"/>
    <n v="2014"/>
    <s v="Monthly"/>
    <n v="0"/>
    <s v="No"/>
    <s v="None"/>
    <s v="Kids|Kids Activities"/>
  </r>
  <r>
    <s v="Target Red Card"/>
    <d v="2014-06-08T00:00:00"/>
    <n v="-48.83"/>
    <s v="X"/>
    <s v="Target"/>
    <s v="Shorts and clothes for Scottsd"/>
    <s v="Kids:Clothing/From Receipt"/>
    <n v="799999941591"/>
    <s v="Split"/>
    <s v="From Receipt"/>
    <x v="27"/>
    <s v="Clothing"/>
    <x v="0"/>
    <m/>
    <x v="0"/>
    <m/>
    <s v="Jun"/>
    <n v="2014"/>
    <s v="Monthly"/>
    <n v="0"/>
    <s v="No"/>
    <s v="None"/>
    <s v="Kids|Clothing"/>
  </r>
  <r>
    <s v="Target Red Card"/>
    <d v="2014-06-08T00:00:00"/>
    <n v="-20.67"/>
    <s v="X"/>
    <s v="Target"/>
    <s v="Sunscreen #Scottsdale 2014#"/>
    <s v="Vacation:Other/From Receipt"/>
    <n v="799999941591"/>
    <s v="Split"/>
    <s v="From Receipt"/>
    <x v="23"/>
    <s v="Other"/>
    <x v="0"/>
    <m/>
    <x v="19"/>
    <m/>
    <s v="Jun"/>
    <n v="2014"/>
    <s v="Irregular"/>
    <n v="0"/>
    <s v="No"/>
    <s v="None"/>
    <s v="Vacation|Other"/>
  </r>
  <r>
    <s v="Target Red Card"/>
    <d v="2014-06-08T00:00:00"/>
    <n v="-16.18"/>
    <s v="X"/>
    <s v="Target"/>
    <s v="Father's day cards"/>
    <s v="Gifts/From Receipt"/>
    <n v="799999941591"/>
    <s v="Split"/>
    <s v="From Receipt"/>
    <x v="28"/>
    <m/>
    <x v="0"/>
    <m/>
    <x v="0"/>
    <m/>
    <s v="Jun"/>
    <n v="2014"/>
    <s v="Monthly"/>
    <n v="0"/>
    <s v="No"/>
    <s v="None"/>
    <s v="Gifts"/>
  </r>
  <r>
    <s v="Target Red Card"/>
    <d v="2014-06-08T00:00:00"/>
    <n v="-1.56"/>
    <s v="X"/>
    <s v="Target"/>
    <s v="Water guns"/>
    <s v="Kids:Toys/From Receipt"/>
    <n v="799999941591"/>
    <s v="Split"/>
    <s v="From Receipt"/>
    <x v="27"/>
    <s v="Toys"/>
    <x v="0"/>
    <m/>
    <x v="0"/>
    <m/>
    <s v="Jun"/>
    <n v="2014"/>
    <s v="Monthly"/>
    <n v="0"/>
    <s v="No"/>
    <s v="None"/>
    <s v="Kids|Toys"/>
  </r>
  <r>
    <s v="MasterCard (Capital One)"/>
    <d v="2014-06-07T00:00:00"/>
    <n v="-6.03"/>
    <s v="X"/>
    <s v="Home Depot"/>
    <s v="Paint roller covers"/>
    <s v="Business Expenses (Koolikai):Repairs"/>
    <m/>
    <m/>
    <m/>
    <x v="36"/>
    <s v="Repairs"/>
    <x v="0"/>
    <m/>
    <x v="0"/>
    <m/>
    <s v="Jun"/>
    <n v="2014"/>
    <s v="Irregular"/>
    <n v="0"/>
    <s v="No"/>
    <s v="None"/>
    <s v="Business Expenses (Koolikai)|Repairs"/>
  </r>
  <r>
    <s v="MasterCard (Capital One)"/>
    <d v="2014-06-07T00:00:00"/>
    <n v="-12.02"/>
    <s v="X"/>
    <s v="Greenwood Hardware"/>
    <s v="Painting roller covers"/>
    <s v="Business Expenses (Koolikai):Repairs"/>
    <m/>
    <m/>
    <m/>
    <x v="36"/>
    <s v="Repairs"/>
    <x v="0"/>
    <m/>
    <x v="0"/>
    <m/>
    <s v="Jun"/>
    <n v="2014"/>
    <s v="Irregular"/>
    <n v="0"/>
    <s v="No"/>
    <s v="None"/>
    <s v="Business Expenses (Koolikai)|Repairs"/>
  </r>
  <r>
    <s v="MasterCard (Capital One)"/>
    <d v="2014-06-06T00:00:00"/>
    <n v="-5.45"/>
    <s v="X"/>
    <s v="Fresh Table Cafe"/>
    <s v="2011: FRESH TABLE CAFE MET SEATTLE WA 98101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06T00:00:00"/>
    <n v="-9.5299999999999994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un"/>
    <n v="2014"/>
    <s v="Monthly"/>
    <n v="0"/>
    <s v="No"/>
    <s v="None"/>
    <s v="Food &amp; Dining|Groceries"/>
  </r>
  <r>
    <s v="First Tech - Checking (5544)"/>
    <d v="2014-06-05T00:00:00"/>
    <n v="-3748.69"/>
    <s v="X"/>
    <s v="Wells Fargo Home Mortgage"/>
    <s v="ACH Debit--WF HOME MTG ACH - AUTO PAY"/>
    <s v="Home:Mortgage"/>
    <m/>
    <m/>
    <m/>
    <x v="14"/>
    <s v="Mortgage"/>
    <x v="0"/>
    <m/>
    <x v="0"/>
    <m/>
    <s v="Jun"/>
    <n v="2014"/>
    <s v="Monthly"/>
    <n v="0"/>
    <s v="No"/>
    <s v="None"/>
    <s v="Home|Mortgage"/>
  </r>
  <r>
    <s v="First Tech - Checking (5544)"/>
    <d v="2014-06-03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Jun"/>
    <n v="2014"/>
    <s v="Monthly"/>
    <n v="0"/>
    <s v="No"/>
    <s v="None"/>
    <s v="Kids|American Funds 529A"/>
  </r>
  <r>
    <s v="First Tech - Checking (5544)"/>
    <d v="2014-06-03T00:00:00"/>
    <n v="-2358.33"/>
    <s v="X"/>
    <s v="Capital One  - Crcardpmt"/>
    <s v="ACH Debit--CAPITAL ONE  - CRCARDPMT"/>
    <s v="[MasterCard (Capital One)]"/>
    <m/>
    <m/>
    <m/>
    <x v="38"/>
    <m/>
    <x v="0"/>
    <m/>
    <x v="0"/>
    <m/>
    <s v="Jun"/>
    <n v="2014"/>
    <s v="Account"/>
    <n v="0"/>
    <s v="No"/>
    <s v="None"/>
    <s v="[MasterCard (Capital One)]"/>
  </r>
  <r>
    <s v="Koolikai - Checking XX2129"/>
    <d v="2014-06-03T00:00:00"/>
    <n v="2295"/>
    <s v="X"/>
    <s v="Aaron Ausland"/>
    <s v="Deposit--Shared Branch Mobile Deposit          First Tech FC CA"/>
    <s v="Business Income (Koolikai):Rent/7231"/>
    <m/>
    <m/>
    <n v="7231"/>
    <x v="37"/>
    <s v="Rent"/>
    <x v="0"/>
    <m/>
    <x v="0"/>
    <m/>
    <s v="Jun"/>
    <n v="2014"/>
    <s v="Monthly"/>
    <n v="0"/>
    <s v="No"/>
    <s v="None"/>
    <s v="Business Income (Koolikai)|Rent"/>
  </r>
  <r>
    <s v="MasterCard (Capital One)"/>
    <d v="2014-06-03T00:00:00"/>
    <n v="-8.75"/>
    <s v="X"/>
    <s v="Netflix"/>
    <s v="2011: NETFLIX.COM NETFLIX.COM CA 95032 USA"/>
    <s v="Entertainment:Movies &amp; DVDs"/>
    <m/>
    <m/>
    <m/>
    <x v="30"/>
    <s v="Movies &amp; DVDs"/>
    <x v="0"/>
    <m/>
    <x v="0"/>
    <m/>
    <s v="Jun"/>
    <n v="2014"/>
    <s v="Unplanned"/>
    <n v="0"/>
    <s v="No"/>
    <s v="None"/>
    <s v="Entertainment|Movies &amp; DVDs"/>
  </r>
  <r>
    <s v="MasterCard (Capital One)"/>
    <d v="2014-06-03T00:00:00"/>
    <n v="-14.27"/>
    <s v="X"/>
    <s v="University Of Washington Medical Center"/>
    <s v="@BAL:$4284.17@ UWMC ONLINE BILL PAY 206-5981950 WA 98195 USA"/>
    <s v="Health &amp; Fitness:Doctor"/>
    <m/>
    <m/>
    <m/>
    <x v="18"/>
    <s v="Doctor"/>
    <x v="0"/>
    <m/>
    <x v="0"/>
    <m/>
    <s v="Jun"/>
    <n v="2014"/>
    <s v="Irregular"/>
    <n v="0"/>
    <s v="No"/>
    <s v="None"/>
    <s v="Health &amp; Fitness|Doctor"/>
  </r>
  <r>
    <s v="First Tech - Checking (5544)"/>
    <d v="2014-06-02T00:00:00"/>
    <n v="2100"/>
    <s v="X"/>
    <s v="Pierre Kwan"/>
    <s v="Refund of rent and security deposit"/>
    <s v="Business Expenses (Koolikai):Rent"/>
    <m/>
    <s v="Split"/>
    <m/>
    <x v="36"/>
    <s v="Rent"/>
    <x v="0"/>
    <m/>
    <x v="0"/>
    <m/>
    <s v="Jun"/>
    <n v="2014"/>
    <e v="#N/A"/>
    <e v="#N/A"/>
    <e v="#N/A"/>
    <e v="#N/A"/>
    <s v="Business Expenses (Koolikai)|Rent"/>
  </r>
  <r>
    <s v="First Tech - Checking (5544)"/>
    <d v="2014-06-02T00:00:00"/>
    <n v="1000"/>
    <s v="X"/>
    <s v="Pierre Kwan"/>
    <m/>
    <s v="Business Expenses (Koolikai):Security Deposit"/>
    <m/>
    <s v="Split"/>
    <m/>
    <x v="36"/>
    <s v="Security Deposit"/>
    <x v="0"/>
    <m/>
    <x v="0"/>
    <m/>
    <s v="Jun"/>
    <n v="2014"/>
    <s v="Irregular"/>
    <n v="0"/>
    <s v="No"/>
    <s v="None"/>
    <s v="Business Expenses (Koolikai)|Security Deposit"/>
  </r>
  <r>
    <s v="First Tech - Checking (5544)"/>
    <d v="2014-06-02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Jun"/>
    <n v="2014"/>
    <s v="Monthly"/>
    <n v="0"/>
    <s v="No"/>
    <s v="None"/>
    <s v="Kids|Daycare"/>
  </r>
  <r>
    <s v="First Tech - Checking (5544)"/>
    <d v="2014-06-02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Jun"/>
    <n v="2014"/>
    <s v="Monthly"/>
    <n v="0"/>
    <s v="No"/>
    <s v="None"/>
    <s v="Business Expenses (Koolikai)|Mortgage (Business)"/>
  </r>
  <r>
    <s v="First Tech - Checking (5544)"/>
    <d v="2014-06-02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Jun"/>
    <n v="2014"/>
    <s v="Monthly"/>
    <n v="0"/>
    <s v="No"/>
    <s v="None"/>
    <s v="Business Expenses (Koolikai)|Mortgage (Business)"/>
  </r>
  <r>
    <s v="First Tech - Checking (5544)"/>
    <d v="2014-06-02T00:00:00"/>
    <n v="-60"/>
    <s v="X"/>
    <s v="Patricia Anderson"/>
    <s v="Check--"/>
    <s v="Kids:Babysitter"/>
    <n v="2131"/>
    <m/>
    <m/>
    <x v="27"/>
    <s v="Babysitter"/>
    <x v="0"/>
    <m/>
    <x v="0"/>
    <m/>
    <s v="Jun"/>
    <n v="2014"/>
    <s v="Monthly"/>
    <n v="0"/>
    <s v="No"/>
    <s v="None"/>
    <s v="Kids|Babysitter"/>
  </r>
  <r>
    <s v="Chase Freedom XX9381"/>
    <d v="2014-06-02T00:00:00"/>
    <n v="-62.85"/>
    <s v="X"/>
    <s v="Razzis Pizzeria"/>
    <m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02T00:00:00"/>
    <n v="-22.03"/>
    <s v="X"/>
    <s v="Comcast"/>
    <s v="2011: COMCAST CABLE COMM 800-COMCAST WA 98103 USA"/>
    <s v="Bills &amp; Utilities:Television"/>
    <m/>
    <s v="Split"/>
    <m/>
    <x v="34"/>
    <s v="Television"/>
    <x v="0"/>
    <m/>
    <x v="0"/>
    <m/>
    <s v="Jun"/>
    <n v="2014"/>
    <s v="Monthly"/>
    <n v="0"/>
    <s v="No"/>
    <s v="None"/>
    <s v="Bills &amp; Utilities|Television"/>
  </r>
  <r>
    <s v="MasterCard (Capital One)"/>
    <d v="2014-06-02T00:00:00"/>
    <n v="-64.08"/>
    <s v="X"/>
    <s v="Comcast"/>
    <m/>
    <s v="Business Expenses (Koolikai):Internet"/>
    <m/>
    <s v="Split"/>
    <m/>
    <x v="36"/>
    <s v="Internet"/>
    <x v="0"/>
    <m/>
    <x v="0"/>
    <m/>
    <s v="Jun"/>
    <n v="2014"/>
    <s v="Monthly"/>
    <n v="0"/>
    <s v="No"/>
    <s v="None"/>
    <s v="Business Expenses (Koolikai)|Internet"/>
  </r>
  <r>
    <s v="MasterCard (Capital One)"/>
    <d v="2014-06-02T00:00:00"/>
    <n v="-44.08"/>
    <s v="X"/>
    <s v="Comcast"/>
    <m/>
    <s v="Bills &amp; Utilities:Home Phone"/>
    <m/>
    <s v="Split"/>
    <m/>
    <x v="34"/>
    <s v="Home Phone"/>
    <x v="0"/>
    <m/>
    <x v="0"/>
    <m/>
    <s v="Jun"/>
    <n v="2014"/>
    <s v="Monthly"/>
    <n v="0"/>
    <s v="No"/>
    <s v="None"/>
    <s v="Bills &amp; Utilities|Home Phone"/>
  </r>
  <r>
    <s v="Chase Freedom XX9381"/>
    <d v="2014-06-01T00:00:00"/>
    <n v="-3.95"/>
    <s v="X"/>
    <s v="Cafe"/>
    <s v="2011: CAFE 86 11171386 REDMOND WA 98052 USA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Chase Freedom XX9381"/>
    <d v="2014-06-01T00:00:00"/>
    <n v="-100"/>
    <s v="X"/>
    <s v="Cafe"/>
    <s v="2011: CAFE 86 11171386 REDMOND WA 98052 USA @BAL:-954.76@"/>
    <s v="Food &amp; Dining:Restaurants"/>
    <m/>
    <m/>
    <m/>
    <x v="15"/>
    <s v="Restaurants"/>
    <x v="0"/>
    <m/>
    <x v="0"/>
    <m/>
    <s v="Jun"/>
    <n v="2014"/>
    <s v="Monthly"/>
    <n v="0"/>
    <s v="No"/>
    <s v="None"/>
    <s v="Food &amp; Dining|Restaurants"/>
  </r>
  <r>
    <s v="MasterCard (Capital One)"/>
    <d v="2014-06-01T00:00:00"/>
    <n v="2358.33"/>
    <s v="X"/>
    <s v="Capital One (Autopay)"/>
    <s v="2011: CAPITAL ONE AUTOPAY PYMT AuthDate 05-MAY"/>
    <s v="[First Tech - Checking (5544)]"/>
    <m/>
    <m/>
    <m/>
    <x v="21"/>
    <m/>
    <x v="0"/>
    <m/>
    <x v="0"/>
    <m/>
    <s v="Jun"/>
    <n v="2014"/>
    <s v="Account"/>
    <n v="0"/>
    <s v="No"/>
    <s v="None"/>
    <s v="[First Tech - Checking (5544)]"/>
  </r>
  <r>
    <s v="MasterCard (Capital One)"/>
    <d v="2014-06-01T00:00:00"/>
    <n v="-40.98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un"/>
    <n v="2014"/>
    <s v="Monthly"/>
    <n v="0"/>
    <s v="No"/>
    <s v="None"/>
    <s v="Food &amp; Dining|Groceries"/>
  </r>
  <r>
    <s v="First Tech - Short Term Emergency (5400)"/>
    <d v="2014-05-31T00:00:00"/>
    <n v="1.57"/>
    <s v="X"/>
    <s v="First Tech (Dividend)"/>
    <s v="Credit Dividend--"/>
    <s v="Interest Income"/>
    <m/>
    <m/>
    <m/>
    <x v="40"/>
    <m/>
    <x v="0"/>
    <m/>
    <x v="0"/>
    <m/>
    <s v="May"/>
    <n v="2014"/>
    <s v="Monthly"/>
    <n v="0"/>
    <s v="No"/>
    <s v="None"/>
    <s v="Interest Income"/>
  </r>
  <r>
    <s v="Koolikai - Sec Dep XX1200"/>
    <d v="2014-05-31T00:00:00"/>
    <n v="0.19"/>
    <s v="X"/>
    <s v="First Tech (Dividend)"/>
    <s v="Credit Dividend--"/>
    <s v="Interest Income"/>
    <m/>
    <m/>
    <m/>
    <x v="40"/>
    <m/>
    <x v="0"/>
    <m/>
    <x v="0"/>
    <m/>
    <s v="May"/>
    <n v="2014"/>
    <s v="Monthly"/>
    <n v="0"/>
    <s v="No"/>
    <s v="None"/>
    <s v="Interest Income"/>
  </r>
  <r>
    <s v="MasterCard (Capital One)"/>
    <d v="2014-05-31T00:00:00"/>
    <n v="-49.17"/>
    <s v="X"/>
    <s v="Dsw Designer Shoe Warehouse"/>
    <s v="2011: DSW SEATTLE WA 98125 USA"/>
    <s v="Shopping:Clothing/From Receipt"/>
    <m/>
    <m/>
    <s v="From Receipt"/>
    <x v="13"/>
    <s v="Clothing"/>
    <x v="0"/>
    <m/>
    <x v="0"/>
    <m/>
    <s v="May"/>
    <n v="2014"/>
    <s v="Annual"/>
    <n v="0"/>
    <s v="No"/>
    <s v="None"/>
    <s v="Shopping|Clothing"/>
  </r>
  <r>
    <s v="MasterCard (Capital One)"/>
    <d v="2014-05-31T00:00:00"/>
    <n v="-167.19"/>
    <s v="X"/>
    <s v="Fred Meyer"/>
    <s v="2011: FRED-MEYER #0608 SEATTLE WA 98107 USA"/>
    <s v="Food &amp; Dining:Groceries/From Receipt"/>
    <m/>
    <s v="Split"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31T00:00:00"/>
    <n v="-17.5"/>
    <s v="X"/>
    <s v="Fred Meyer"/>
    <s v="Sunglasses"/>
    <s v="Kids:Clothing/From Receipt"/>
    <m/>
    <s v="Split"/>
    <s v="From Receipt"/>
    <x v="27"/>
    <s v="Clothing"/>
    <x v="0"/>
    <m/>
    <x v="0"/>
    <m/>
    <s v="May"/>
    <n v="2014"/>
    <s v="Monthly"/>
    <n v="0"/>
    <s v="No"/>
    <s v="None"/>
    <s v="Kids|Clothing"/>
  </r>
  <r>
    <s v="Target Red Card"/>
    <d v="2014-05-31T00:00:00"/>
    <n v="-6.23"/>
    <s v="X"/>
    <s v="Target"/>
    <s v="Socks"/>
    <s v="Kids:Clothing/From Receipt"/>
    <n v="799999941511"/>
    <s v="Split"/>
    <s v="From Receipt"/>
    <x v="27"/>
    <s v="Clothing"/>
    <x v="0"/>
    <m/>
    <x v="0"/>
    <m/>
    <s v="May"/>
    <n v="2014"/>
    <s v="Monthly"/>
    <n v="0"/>
    <s v="No"/>
    <s v="None"/>
    <s v="Kids|Clothing"/>
  </r>
  <r>
    <s v="Target Red Card"/>
    <d v="2014-05-31T00:00:00"/>
    <n v="-15.59"/>
    <s v="X"/>
    <s v="Target"/>
    <s v="#Stay Fit# Bike lock"/>
    <s v="Health &amp; Fitness:Sports/From Receipt"/>
    <n v="799999941511"/>
    <s v="Split"/>
    <s v="From Receipt"/>
    <x v="18"/>
    <s v="Sports"/>
    <x v="0"/>
    <m/>
    <x v="5"/>
    <m/>
    <s v="May"/>
    <n v="2014"/>
    <s v="Irregular"/>
    <n v="0"/>
    <s v="No"/>
    <s v="None"/>
    <s v="Health &amp; Fitness|Sports"/>
  </r>
  <r>
    <s v="Capital One - Investment (6759)"/>
    <d v="2014-05-30T00:00:00"/>
    <n v="20.02"/>
    <s v="X"/>
    <s v="Capital One (Interest Income)"/>
    <s v="@CAT:@"/>
    <s v="Interest Income"/>
    <s v="INT"/>
    <m/>
    <m/>
    <x v="40"/>
    <m/>
    <x v="0"/>
    <m/>
    <x v="0"/>
    <m/>
    <s v="May"/>
    <n v="2014"/>
    <s v="Monthly"/>
    <n v="0"/>
    <s v="No"/>
    <s v="None"/>
    <s v="Interest Income"/>
  </r>
  <r>
    <s v="Capital One - Long Term Emergency (1201)"/>
    <d v="2014-05-30T00:00:00"/>
    <n v="50.26"/>
    <s v="X"/>
    <s v="Capital One (Interest Income)"/>
    <s v="@CAT:@"/>
    <s v="Interest Income"/>
    <s v="INT"/>
    <m/>
    <m/>
    <x v="40"/>
    <m/>
    <x v="0"/>
    <m/>
    <x v="0"/>
    <m/>
    <s v="May"/>
    <n v="2014"/>
    <s v="Monthly"/>
    <n v="0"/>
    <s v="No"/>
    <s v="None"/>
    <s v="Interest Income"/>
  </r>
  <r>
    <s v="Capital One - Secondary Savings (3126)"/>
    <d v="2014-05-30T00:00:00"/>
    <n v="0.02"/>
    <s v="X"/>
    <s v="Capital One (Interest Income)"/>
    <s v="@CAT:@"/>
    <s v="Interest Income"/>
    <s v="INT"/>
    <m/>
    <m/>
    <x v="40"/>
    <m/>
    <x v="0"/>
    <m/>
    <x v="0"/>
    <m/>
    <s v="May"/>
    <n v="2014"/>
    <s v="Monthly"/>
    <n v="0"/>
    <s v="No"/>
    <s v="None"/>
    <s v="Interest Income"/>
  </r>
  <r>
    <s v="Capital One - Vacation (4959)"/>
    <d v="2014-05-30T00:00:00"/>
    <n v="2.13"/>
    <s v="X"/>
    <s v="Capital One (Interest Income)"/>
    <s v="@CAT:@"/>
    <s v="Interest Income"/>
    <s v="INT"/>
    <m/>
    <m/>
    <x v="40"/>
    <m/>
    <x v="0"/>
    <m/>
    <x v="0"/>
    <m/>
    <s v="May"/>
    <n v="2014"/>
    <s v="Monthly"/>
    <n v="0"/>
    <s v="No"/>
    <s v="None"/>
    <s v="Interest Income"/>
  </r>
  <r>
    <s v="Schwab - Checking (9784)"/>
    <d v="2014-05-30T00:00:00"/>
    <n v="0.09"/>
    <s v="X"/>
    <s v="Interest Paid"/>
    <m/>
    <s v="Interest Income"/>
    <m/>
    <m/>
    <m/>
    <x v="40"/>
    <m/>
    <x v="0"/>
    <m/>
    <x v="0"/>
    <m/>
    <s v="May"/>
    <n v="2014"/>
    <s v="Monthly"/>
    <n v="0"/>
    <s v="No"/>
    <s v="None"/>
    <s v="Interest Income"/>
  </r>
  <r>
    <s v="Schwab - Checking (9784)"/>
    <d v="2014-05-30T00:00:00"/>
    <n v="2"/>
    <s v="X"/>
    <s v="ATM Fee Refund"/>
    <m/>
    <s v="Bank Fees &amp; Charges:ATM Fee"/>
    <m/>
    <m/>
    <m/>
    <x v="32"/>
    <s v="ATM Fee"/>
    <x v="0"/>
    <m/>
    <x v="0"/>
    <m/>
    <s v="May"/>
    <n v="2014"/>
    <s v="Monthly"/>
    <n v="0"/>
    <s v="No"/>
    <s v="None"/>
    <s v="Bank Fees &amp; Charges|ATM Fee"/>
  </r>
  <r>
    <s v="First Tech - Checking (5544)"/>
    <d v="2014-05-29T00:00:00"/>
    <n v="3030.02"/>
    <s v="X"/>
    <s v="Microsoft (Paystub)"/>
    <s v="ACH Deposit--MICROSOFT  - EDIPAYMENT"/>
    <s v="Net Salary"/>
    <m/>
    <m/>
    <m/>
    <x v="35"/>
    <m/>
    <x v="0"/>
    <m/>
    <x v="0"/>
    <m/>
    <s v="May"/>
    <n v="2014"/>
    <s v="Monthly"/>
    <n v="0"/>
    <s v="No"/>
    <s v="None"/>
    <s v="Net Salary"/>
  </r>
  <r>
    <s v="First Tech - Checking (5544)"/>
    <d v="2014-05-29T00:00:00"/>
    <n v="6195.6"/>
    <s v="X"/>
    <s v="CRAB (Paystub)"/>
    <s v="@BAL:33,047.10@;@CAT:@"/>
    <s v="Net Salary"/>
    <m/>
    <m/>
    <m/>
    <x v="35"/>
    <m/>
    <x v="0"/>
    <m/>
    <x v="0"/>
    <m/>
    <s v="May"/>
    <n v="2014"/>
    <s v="Monthly"/>
    <n v="0"/>
    <s v="No"/>
    <s v="None"/>
    <s v="Net Salary"/>
  </r>
  <r>
    <s v="MasterCard (Capital One)"/>
    <d v="2014-05-28T00:00:00"/>
    <n v="25"/>
    <s v="X"/>
    <s v="Capital One (Cash Back)"/>
    <m/>
    <s v="Other Inc"/>
    <m/>
    <m/>
    <m/>
    <x v="29"/>
    <m/>
    <x v="0"/>
    <m/>
    <x v="0"/>
    <m/>
    <s v="May"/>
    <n v="2014"/>
    <s v="Monthly"/>
    <n v="0"/>
    <s v="No"/>
    <s v="None"/>
    <s v="Other Inc"/>
  </r>
  <r>
    <s v="MasterCard (Capital One)"/>
    <d v="2014-05-28T00:00:00"/>
    <n v="-76.599999999999994"/>
    <s v="X"/>
    <s v="Dsw Designer Shoe Warehouse"/>
    <s v="2011: DSW 00999953 COLUMBUS OH 43219 USA"/>
    <s v="Shopping:Clothing/From Receipt"/>
    <m/>
    <m/>
    <s v="From Receipt"/>
    <x v="13"/>
    <s v="Clothing"/>
    <x v="0"/>
    <m/>
    <x v="0"/>
    <m/>
    <s v="May"/>
    <n v="2014"/>
    <s v="Annual"/>
    <n v="0"/>
    <s v="No"/>
    <s v="None"/>
    <s v="Shopping|Clothing"/>
  </r>
  <r>
    <s v="MasterCard (Capital One)"/>
    <d v="2014-05-28T00:00:00"/>
    <n v="-163.16"/>
    <s v="X"/>
    <s v="Amazon"/>
    <s v="Bed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First Tech - Checking (5544)"/>
    <d v="2014-05-27T00:00:00"/>
    <n v="-523.65"/>
    <s v="X"/>
    <s v="Chase  - Autopay"/>
    <s v="ACH Debit--CHASE  - AUTOPAY"/>
    <s v="[Chase Freedom XX9381]"/>
    <m/>
    <m/>
    <m/>
    <x v="7"/>
    <m/>
    <x v="0"/>
    <m/>
    <x v="0"/>
    <m/>
    <s v="May"/>
    <n v="2014"/>
    <e v="#N/A"/>
    <e v="#N/A"/>
    <e v="#N/A"/>
    <e v="#N/A"/>
    <s v="[Chase Freedom XX9381]"/>
  </r>
  <r>
    <s v="Koolikai - Checking XX2129"/>
    <d v="2014-05-27T00:00:00"/>
    <n v="-130.86000000000001"/>
    <s v="X"/>
    <s v="Chase - Koolikai (Autopay)"/>
    <s v="@CAT:@BAL:38537.44@"/>
    <s v="[Koolikai Credit Card]"/>
    <m/>
    <m/>
    <m/>
    <x v="9"/>
    <m/>
    <x v="0"/>
    <m/>
    <x v="0"/>
    <m/>
    <s v="May"/>
    <n v="2014"/>
    <s v="Account"/>
    <n v="0"/>
    <s v="No"/>
    <s v="None"/>
    <s v="[Koolikai Credit Card]"/>
  </r>
  <r>
    <s v="Chase Freedom XX9381"/>
    <d v="2014-05-27T00:00:00"/>
    <n v="-8"/>
    <s v="X"/>
    <s v="George Bakery"/>
    <s v="North bend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Chase Freedom XX9381"/>
    <d v="2014-05-27T00:00:00"/>
    <n v="-43.84"/>
    <s v="X"/>
    <s v="Euro Lounge Cafe"/>
    <s v="North bend"/>
    <s v="Food &amp; Dining:Restaurants/From Receipt"/>
    <m/>
    <m/>
    <s v="From Receipt"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27T00:00:00"/>
    <n v="-72.150000000000006"/>
    <s v="X"/>
    <s v="Amazon"/>
    <s v="Night stand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72.150000000000006"/>
    <s v="X"/>
    <s v="Amazon"/>
    <s v="Night stand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6.99"/>
    <s v="X"/>
    <s v="Amazon"/>
    <s v="Train track adaptors"/>
    <s v="Kids:Toys/From Receipt"/>
    <m/>
    <s v="Split"/>
    <s v="From Receipt"/>
    <x v="27"/>
    <s v="Toys"/>
    <x v="0"/>
    <m/>
    <x v="0"/>
    <m/>
    <s v="May"/>
    <n v="2014"/>
    <s v="Monthly"/>
    <n v="0"/>
    <s v="No"/>
    <s v="None"/>
    <s v="Kids|Toys"/>
  </r>
  <r>
    <s v="MasterCard (Capital One)"/>
    <d v="2014-05-27T00:00:00"/>
    <n v="-39.9"/>
    <s v="X"/>
    <s v="Amazon"/>
    <s v="Mattress protectors"/>
    <s v="Home:Furnishings/From Receipt"/>
    <m/>
    <s v="Split"/>
    <s v="From Receipt"/>
    <x v="14"/>
    <s v="Furnishings"/>
    <x v="0"/>
    <m/>
    <x v="0"/>
    <m/>
    <s v="May"/>
    <n v="2014"/>
    <s v="Monthly"/>
    <n v="0"/>
    <s v="No"/>
    <s v="None"/>
    <s v="Home|Furnishings"/>
  </r>
  <r>
    <s v="MasterCard (Capital One)"/>
    <d v="2014-05-27T00:00:00"/>
    <n v="-15.83"/>
    <s v="X"/>
    <s v="Amazon"/>
    <s v="Take a walk, 3rd ed"/>
    <s v="Shopping:Books/From Receipt"/>
    <m/>
    <s v="Split"/>
    <s v="From Receipt"/>
    <x v="13"/>
    <s v="Books"/>
    <x v="0"/>
    <m/>
    <x v="0"/>
    <m/>
    <s v="May"/>
    <n v="2014"/>
    <s v="Unplanned"/>
    <n v="0"/>
    <s v="No"/>
    <s v="None"/>
    <s v="Shopping|Books"/>
  </r>
  <r>
    <s v="MasterCard (Capital One)"/>
    <d v="2014-05-27T00:00:00"/>
    <n v="-15.75"/>
    <s v="X"/>
    <s v="Amazon"/>
    <s v="Cars Magic Ink book"/>
    <s v="Kids:Toys/From Receipt"/>
    <m/>
    <s v="Split"/>
    <s v="From Receipt"/>
    <x v="27"/>
    <s v="Toys"/>
    <x v="0"/>
    <m/>
    <x v="0"/>
    <m/>
    <s v="May"/>
    <n v="2014"/>
    <s v="Monthly"/>
    <n v="0"/>
    <s v="No"/>
    <s v="None"/>
    <s v="Kids|Toys"/>
  </r>
  <r>
    <s v="MasterCard (Capital One)"/>
    <d v="2014-05-27T00:00:00"/>
    <n v="-22.09"/>
    <s v="X"/>
    <s v="Amazon"/>
    <s v="Train track pack"/>
    <s v="Kids:Toys/From Receipt"/>
    <m/>
    <s v="Split"/>
    <s v="From Receipt"/>
    <x v="27"/>
    <s v="Toys"/>
    <x v="0"/>
    <m/>
    <x v="0"/>
    <m/>
    <s v="May"/>
    <n v="2014"/>
    <s v="Monthly"/>
    <n v="0"/>
    <s v="No"/>
    <s v="None"/>
    <s v="Kids|Toys"/>
  </r>
  <r>
    <s v="MasterCard (Capital One)"/>
    <d v="2014-05-27T00:00:00"/>
    <n v="-12.98"/>
    <s v="X"/>
    <s v="Amazon"/>
    <s v="Soccer ball pillow"/>
    <s v="Projects:Boy's Room/From Receipt"/>
    <m/>
    <s v="Split"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14.96"/>
    <s v="X"/>
    <s v="Amazon"/>
    <s v="240Gb SSD"/>
    <s v="Shopping:Electronics &amp; Software/From Receipt"/>
    <m/>
    <m/>
    <s v="From Receipt"/>
    <x v="13"/>
    <s v="Electronics &amp; Software"/>
    <x v="0"/>
    <m/>
    <x v="0"/>
    <m/>
    <s v="May"/>
    <n v="2014"/>
    <s v="Annual"/>
    <n v="0"/>
    <s v="No"/>
    <s v="None"/>
    <s v="Shopping|Electronics &amp; Software"/>
  </r>
  <r>
    <s v="MasterCard (Capital One)"/>
    <d v="2014-05-27T00:00:00"/>
    <n v="-136.88"/>
    <s v="X"/>
    <s v="Amazon"/>
    <s v="Headboard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36.88"/>
    <s v="X"/>
    <s v="Amazon"/>
    <s v="Headboard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63.16"/>
    <s v="X"/>
    <s v="Amazon"/>
    <s v="Bed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67.52"/>
    <s v="X"/>
    <s v="Amazon"/>
    <s v="Mattress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67.52"/>
    <s v="X"/>
    <s v="Amazon"/>
    <s v="Mattress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Chase Freedom XX9381"/>
    <d v="2014-05-26T00:00:00"/>
    <n v="523.65"/>
    <s v="X"/>
    <s v="Chase Autopay (Freedom)"/>
    <m/>
    <s v="[First Tech - Checking (5544)]"/>
    <m/>
    <m/>
    <m/>
    <x v="21"/>
    <m/>
    <x v="0"/>
    <m/>
    <x v="0"/>
    <m/>
    <s v="May"/>
    <n v="2014"/>
    <s v="Account"/>
    <n v="0"/>
    <s v="No"/>
    <s v="None"/>
    <s v="[First Tech - Checking (5544)]"/>
  </r>
  <r>
    <s v="Chase Freedom XX9381"/>
    <d v="2014-05-26T00:00:00"/>
    <n v="-23.11"/>
    <s v="X"/>
    <s v="Lunchbox Laboratory"/>
    <m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Chase Freedom XX9381"/>
    <d v="2014-05-26T00:00:00"/>
    <n v="-23.81"/>
    <s v="X"/>
    <s v="Lowe's"/>
    <s v="Paint"/>
    <s v="Home:Home Improvement/From Receipt"/>
    <m/>
    <m/>
    <s v="From Receipt"/>
    <x v="14"/>
    <s v="Home Improvement"/>
    <x v="0"/>
    <m/>
    <x v="0"/>
    <m/>
    <s v="May"/>
    <n v="2014"/>
    <s v="Irregular"/>
    <n v="0"/>
    <s v="No"/>
    <s v="None"/>
    <s v="Home|Home Improvement"/>
  </r>
  <r>
    <s v="Chase Freedom XX9381"/>
    <d v="2014-05-26T00:00:00"/>
    <n v="-4.92"/>
    <s v="X"/>
    <s v="Fred Meyer"/>
    <s v="#Stay Fit# Safety mirror"/>
    <s v="Health &amp; Fitness:Sports/From Receipt"/>
    <m/>
    <s v="Split"/>
    <s v="From Receipt"/>
    <x v="18"/>
    <s v="Sports"/>
    <x v="0"/>
    <m/>
    <x v="5"/>
    <m/>
    <s v="May"/>
    <n v="2014"/>
    <s v="Irregular"/>
    <n v="0"/>
    <s v="No"/>
    <s v="None"/>
    <s v="Health &amp; Fitness|Sports"/>
  </r>
  <r>
    <s v="Chase Freedom XX9381"/>
    <d v="2014-05-26T00:00:00"/>
    <n v="-6.89"/>
    <s v="X"/>
    <s v="Fred Meyer"/>
    <s v="Kick stand"/>
    <s v="Health &amp; Fitness:Sports/From Receipt"/>
    <m/>
    <s v="Split"/>
    <s v="From Receipt"/>
    <x v="18"/>
    <s v="Sports"/>
    <x v="0"/>
    <m/>
    <x v="0"/>
    <m/>
    <s v="May"/>
    <n v="2014"/>
    <s v="Irregular"/>
    <n v="0"/>
    <s v="No"/>
    <s v="None"/>
    <s v="Health &amp; Fitness|Sports"/>
  </r>
  <r>
    <s v="Chase Freedom XX9381"/>
    <d v="2014-05-26T00:00:00"/>
    <n v="-19.7"/>
    <s v="X"/>
    <s v="Fred Meyer"/>
    <s v="#Stay Fit# Bike lock"/>
    <s v="Health &amp; Fitness:Sports/From Receipt"/>
    <m/>
    <s v="Split"/>
    <s v="From Receipt"/>
    <x v="18"/>
    <s v="Sports"/>
    <x v="0"/>
    <m/>
    <x v="5"/>
    <m/>
    <s v="May"/>
    <n v="2014"/>
    <s v="Irregular"/>
    <n v="0"/>
    <s v="No"/>
    <s v="None"/>
    <s v="Health &amp; Fitness|Sports"/>
  </r>
  <r>
    <s v="Chase Freedom XX9381"/>
    <d v="2014-05-26T00:00:00"/>
    <n v="-81.81"/>
    <s v="X"/>
    <s v="Fred Meyer"/>
    <m/>
    <s v="Food &amp; Dining:Groceries/From Receipt"/>
    <m/>
    <s v="Split"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Chase Freedom XX9381"/>
    <d v="2014-05-26T00:00:00"/>
    <n v="-290"/>
    <s v="X"/>
    <s v="Canlis"/>
    <m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26T00:00:00"/>
    <n v="-56"/>
    <s v="X"/>
    <s v="Nw Railway Museum"/>
    <s v="Snoqualamie Train Ride"/>
    <s v="Kids:Kids Activities"/>
    <m/>
    <m/>
    <m/>
    <x v="27"/>
    <s v="Kids Activities"/>
    <x v="0"/>
    <m/>
    <x v="0"/>
    <m/>
    <s v="May"/>
    <n v="2014"/>
    <s v="Monthly"/>
    <n v="0"/>
    <s v="No"/>
    <s v="None"/>
    <s v="Kids|Kids Activities"/>
  </r>
  <r>
    <s v="MasterCard (Capital One)"/>
    <d v="2014-05-26T00:00:00"/>
    <n v="-155.47999999999999"/>
    <s v="X"/>
    <s v="Amazon"/>
    <s v="Chest of drawers"/>
    <s v="Projects:Boy's Room/From Receipt"/>
    <m/>
    <m/>
    <s v="From Receipt"/>
    <x v="39"/>
    <s v="Boy's Room"/>
    <x v="0"/>
    <m/>
    <x v="0"/>
    <m/>
    <s v="May"/>
    <n v="2014"/>
    <s v="Unplanned"/>
    <n v="0"/>
    <s v="No"/>
    <s v="None"/>
    <s v="Projects|Boy's Room"/>
  </r>
  <r>
    <s v="MasterCard (Capital One)"/>
    <d v="2014-05-25T00:00:00"/>
    <n v="-3"/>
    <s v="X"/>
    <s v="Diamond Parking"/>
    <m/>
    <s v="Auto &amp; Transport:Parking"/>
    <m/>
    <m/>
    <m/>
    <x v="17"/>
    <s v="Parking"/>
    <x v="0"/>
    <m/>
    <x v="0"/>
    <m/>
    <s v="May"/>
    <n v="2014"/>
    <s v="Monthly"/>
    <n v="0"/>
    <s v="No"/>
    <s v="None"/>
    <s v="Auto &amp; Transport|Parking"/>
  </r>
  <r>
    <s v="MasterCard (Capital One)"/>
    <d v="2014-05-25T00:00:00"/>
    <n v="-31.73"/>
    <s v="X"/>
    <s v="Stacias"/>
    <s v="@CAT:@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25T00:00:00"/>
    <n v="-34"/>
    <s v="X"/>
    <s v="Mount Rainier Scenic"/>
    <s v="#Mt. Rainier 2014# scenic railroad"/>
    <s v="Vacation:Activities"/>
    <m/>
    <m/>
    <m/>
    <x v="23"/>
    <s v="Activities"/>
    <x v="0"/>
    <m/>
    <x v="12"/>
    <m/>
    <s v="May"/>
    <n v="2014"/>
    <s v="Irregular"/>
    <n v="0"/>
    <s v="No"/>
    <s v="None"/>
    <s v="Vacation|Activities"/>
  </r>
  <r>
    <s v="Edward Jones - Roth IRA"/>
    <d v="2014-05-25T00:00:00"/>
    <m/>
    <m/>
    <m/>
    <s v="25.262 shares added to account"/>
    <m/>
    <s v="ShrsIn"/>
    <m/>
    <m/>
    <x v="26"/>
    <m/>
    <x v="0"/>
    <m/>
    <x v="0"/>
    <m/>
    <s v="May"/>
    <n v="2014"/>
    <e v="#N/A"/>
    <e v="#N/A"/>
    <e v="#N/A"/>
    <e v="#N/A"/>
    <n v="0"/>
  </r>
  <r>
    <s v="Edward Jones - Roth IRA"/>
    <d v="2014-05-25T00:00:00"/>
    <m/>
    <m/>
    <m/>
    <s v="108.118 shares added to account"/>
    <m/>
    <s v="ShrsIn"/>
    <m/>
    <m/>
    <x v="26"/>
    <m/>
    <x v="0"/>
    <m/>
    <x v="0"/>
    <m/>
    <s v="May"/>
    <n v="2014"/>
    <e v="#N/A"/>
    <e v="#N/A"/>
    <e v="#N/A"/>
    <e v="#N/A"/>
    <n v="0"/>
  </r>
  <r>
    <s v="MasterCard (Capital One)"/>
    <d v="2014-05-24T00:00:00"/>
    <n v="-31"/>
    <s v="X"/>
    <s v="Groupon"/>
    <s v="#Mt. Rainier 2014# Scenic railroad"/>
    <s v="Vacation:Activities"/>
    <m/>
    <m/>
    <m/>
    <x v="23"/>
    <s v="Activities"/>
    <x v="0"/>
    <m/>
    <x v="12"/>
    <m/>
    <s v="May"/>
    <n v="2014"/>
    <s v="Irregular"/>
    <n v="0"/>
    <s v="No"/>
    <s v="None"/>
    <s v="Vacation|Activities"/>
  </r>
  <r>
    <s v="MasterCard (Capital One)"/>
    <d v="2014-05-24T00:00:00"/>
    <n v="-43.75"/>
    <s v="X"/>
    <s v="Dsw Designer Shoe Warehouse"/>
    <m/>
    <s v="Shopping:Clothing/From Receipt"/>
    <m/>
    <m/>
    <s v="From Receipt"/>
    <x v="13"/>
    <s v="Clothing"/>
    <x v="0"/>
    <m/>
    <x v="0"/>
    <m/>
    <s v="May"/>
    <n v="2014"/>
    <s v="Annual"/>
    <n v="0"/>
    <s v="No"/>
    <s v="None"/>
    <s v="Shopping|Clothing"/>
  </r>
  <r>
    <s v="Edward Jones - Roth IRA"/>
    <d v="2014-05-24T00:00:00"/>
    <m/>
    <m/>
    <m/>
    <m/>
    <s v="[Edward Jones - Roth IRA]"/>
    <s v="Cash"/>
    <m/>
    <m/>
    <x v="48"/>
    <m/>
    <x v="0"/>
    <m/>
    <x v="0"/>
    <m/>
    <s v="May"/>
    <n v="2014"/>
    <e v="#N/A"/>
    <e v="#N/A"/>
    <e v="#N/A"/>
    <e v="#N/A"/>
    <s v="[Edward Jones - Roth IRA]"/>
  </r>
  <r>
    <s v="First Tech - Checking (5544)"/>
    <d v="2014-05-23T00:00:00"/>
    <n v="765.59"/>
    <s v="X"/>
    <s v="CRAB (Reimbursement)"/>
    <s v="#Group meeting Spring# Reimbursement for group meeting"/>
    <s v="Work Expense:Reimbursement"/>
    <m/>
    <m/>
    <m/>
    <x v="19"/>
    <s v="Reimbursement"/>
    <x v="0"/>
    <m/>
    <x v="20"/>
    <m/>
    <s v="May"/>
    <n v="2014"/>
    <s v="Irregular"/>
    <n v="0"/>
    <s v="No"/>
    <s v="None"/>
    <s v="Work Expense|Reimbursement"/>
  </r>
  <r>
    <s v="Koolikai - Checking XX2129"/>
    <d v="2014-05-23T00:00:00"/>
    <n v="2195"/>
    <s v="X"/>
    <s v="John Shaibley"/>
    <s v="June rent@CAT:@@BAL:38668.30@"/>
    <s v="Business Income (Koolikai):Rent/7231"/>
    <m/>
    <m/>
    <n v="7231"/>
    <x v="37"/>
    <s v="Rent"/>
    <x v="0"/>
    <m/>
    <x v="0"/>
    <m/>
    <s v="May"/>
    <n v="2014"/>
    <s v="Monthly"/>
    <n v="0"/>
    <s v="No"/>
    <s v="None"/>
    <s v="Business Income (Koolikai)|Rent"/>
  </r>
  <r>
    <s v="Chase Freedom XX9381"/>
    <d v="2014-05-23T00:00:00"/>
    <n v="-15.69"/>
    <s v="X"/>
    <s v="Paddy Coynes Irish"/>
    <m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Koolikai Credit Card"/>
    <d v="2014-05-23T00:00:00"/>
    <n v="130.86000000000001"/>
    <s v="X"/>
    <s v="Chase - Koolikai (Autopay)"/>
    <m/>
    <s v="[Koolikai - Checking XX2129]"/>
    <m/>
    <m/>
    <m/>
    <x v="25"/>
    <m/>
    <x v="0"/>
    <m/>
    <x v="0"/>
    <m/>
    <s v="May"/>
    <n v="2014"/>
    <s v="Account"/>
    <n v="0"/>
    <s v="No"/>
    <s v="None"/>
    <s v="[Koolikai - Checking XX2129]"/>
  </r>
  <r>
    <s v="First Tech - Checking (5544)"/>
    <d v="2014-05-22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May"/>
    <n v="2014"/>
    <s v="Monthly"/>
    <n v="0"/>
    <s v="No"/>
    <s v="None"/>
    <s v="Auto &amp; Transport|Auto Lease Payment"/>
  </r>
  <r>
    <s v="First Tech - Checking (5544)"/>
    <d v="2014-05-22T00:00:00"/>
    <n v="-30"/>
    <s v="X"/>
    <s v="Celina Glassburn"/>
    <s v="Teacher Appreciation Week"/>
    <s v="Kids:Daycare"/>
    <n v="2127"/>
    <m/>
    <m/>
    <x v="27"/>
    <s v="Daycare"/>
    <x v="0"/>
    <m/>
    <x v="0"/>
    <m/>
    <s v="May"/>
    <n v="2014"/>
    <s v="Monthly"/>
    <n v="0"/>
    <s v="No"/>
    <s v="None"/>
    <s v="Kids|Daycare"/>
  </r>
  <r>
    <s v="MasterCard (Capital One)"/>
    <d v="2014-05-21T00:00:00"/>
    <n v="-7.94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Chase Freedom XX9381"/>
    <d v="2014-05-19T00:00:00"/>
    <n v="-38.299999999999997"/>
    <s v="X"/>
    <s v="Lowe's"/>
    <s v="Sink fixture"/>
    <s v="Business Expenses (Koolikai):Repairs/7231:From Receipt"/>
    <m/>
    <m/>
    <s v="7231:From Receipt"/>
    <x v="36"/>
    <s v="Repairs"/>
    <x v="0"/>
    <m/>
    <x v="0"/>
    <m/>
    <s v="May"/>
    <n v="2014"/>
    <s v="Irregular"/>
    <n v="0"/>
    <s v="No"/>
    <s v="None"/>
    <s v="Business Expenses (Koolikai)|Repairs"/>
  </r>
  <r>
    <s v="Chase Freedom XX9381"/>
    <d v="2014-05-19T00:00:00"/>
    <n v="-53.99"/>
    <s v="X"/>
    <s v="Serendipity Cafe"/>
    <s v="@CAT:@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19T00:00:00"/>
    <n v="-6.15"/>
    <s v="X"/>
    <s v="Amazon"/>
    <s v="Coldplay Ghost Stories"/>
    <s v="Entertainment:Music"/>
    <m/>
    <m/>
    <m/>
    <x v="30"/>
    <s v="Music"/>
    <x v="0"/>
    <m/>
    <x v="0"/>
    <m/>
    <s v="May"/>
    <n v="2014"/>
    <s v="Unplanned"/>
    <n v="0"/>
    <s v="No"/>
    <s v="None"/>
    <s v="Entertainment|Music"/>
  </r>
  <r>
    <s v="MasterCard (Capital One)"/>
    <d v="2014-05-19T00:00:00"/>
    <n v="-46.58"/>
    <s v="X"/>
    <s v="Swedish Cent Bus"/>
    <s v="2011: SWEDISH CENT BUS SVCS 206-3204476 WA 981011176 USA"/>
    <s v="Health &amp; Fitness:Doctor"/>
    <m/>
    <m/>
    <m/>
    <x v="18"/>
    <s v="Doctor"/>
    <x v="0"/>
    <m/>
    <x v="0"/>
    <m/>
    <s v="May"/>
    <n v="2014"/>
    <s v="Irregular"/>
    <n v="0"/>
    <s v="No"/>
    <s v="None"/>
    <s v="Health &amp; Fitness|Doctor"/>
  </r>
  <r>
    <s v="MasterCard (Capital One)"/>
    <d v="2014-05-19T00:00:00"/>
    <n v="-84.5"/>
    <s v="X"/>
    <s v="Wa Parksreservationswe Olympia"/>
    <s v="#Seaquest#"/>
    <s v="Vacation:Lodging"/>
    <m/>
    <m/>
    <m/>
    <x v="23"/>
    <s v="Lodging"/>
    <x v="0"/>
    <m/>
    <x v="21"/>
    <m/>
    <s v="May"/>
    <n v="2014"/>
    <s v="Irregular"/>
    <n v="0"/>
    <s v="No"/>
    <s v="None"/>
    <s v="Vacation|Lodging"/>
  </r>
  <r>
    <s v="Schwab - Checking (9784)"/>
    <d v="2014-05-18T00:00:00"/>
    <n v="-116"/>
    <s v="X"/>
    <s v="Costco"/>
    <s v="@CAT:@@BAL:$1020.21@"/>
    <s v="Food &amp; Dining:Groceries/From Receipt"/>
    <m/>
    <s v="Split"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Schwab - Checking (9784)"/>
    <d v="2014-05-18T00:00:00"/>
    <n v="-43.78"/>
    <s v="X"/>
    <s v="Costco"/>
    <s v="Life vests for Arizona"/>
    <s v="Health &amp; Fitness:Sports/From Receipt"/>
    <m/>
    <s v="Split"/>
    <s v="From Receipt"/>
    <x v="18"/>
    <s v="Sports"/>
    <x v="0"/>
    <m/>
    <x v="0"/>
    <m/>
    <s v="May"/>
    <n v="2014"/>
    <s v="Irregular"/>
    <n v="0"/>
    <s v="No"/>
    <s v="None"/>
    <s v="Health &amp; Fitness|Sports"/>
  </r>
  <r>
    <s v="MasterCard (Capital One)"/>
    <d v="2014-05-17T00:00:00"/>
    <n v="-21.79"/>
    <s v="X"/>
    <s v="Top Ten Toys"/>
    <s v="2011: TOP TEN TOYS SEATTLE WA 98103 USA"/>
    <s v="Kids:Toys/From Receipt"/>
    <m/>
    <m/>
    <s v="From Receipt"/>
    <x v="27"/>
    <s v="Toys"/>
    <x v="0"/>
    <m/>
    <x v="0"/>
    <m/>
    <s v="May"/>
    <n v="2014"/>
    <s v="Monthly"/>
    <n v="0"/>
    <s v="No"/>
    <s v="None"/>
    <s v="Kids|Toys"/>
  </r>
  <r>
    <s v="MasterCard (Capital One)"/>
    <d v="2014-05-17T00:00:00"/>
    <n v="-26.28"/>
    <s v="X"/>
    <s v="Sq Sustudio Jewelry"/>
    <s v="Earings at the street fair"/>
    <s v="Shopping:Clothing/From Receipt"/>
    <m/>
    <m/>
    <s v="From Receipt"/>
    <x v="13"/>
    <s v="Clothing"/>
    <x v="0"/>
    <m/>
    <x v="0"/>
    <m/>
    <s v="May"/>
    <n v="2014"/>
    <s v="Annual"/>
    <n v="0"/>
    <s v="No"/>
    <s v="None"/>
    <s v="Shopping|Clothing"/>
  </r>
  <r>
    <s v="MasterCard (Capital One)"/>
    <d v="2014-05-17T00:00:00"/>
    <n v="-34"/>
    <s v="X"/>
    <s v="Rudys Barber Shop"/>
    <s v="2011: RUDYS BARBER SHOP - PH SEATTLE WA 98103 USA"/>
    <s v="Personal Care:Hair"/>
    <m/>
    <m/>
    <m/>
    <x v="31"/>
    <s v="Hair"/>
    <x v="0"/>
    <m/>
    <x v="0"/>
    <m/>
    <s v="May"/>
    <n v="2014"/>
    <s v="Monthly"/>
    <n v="0"/>
    <s v="No"/>
    <s v="None"/>
    <s v="Personal Care|Hair"/>
  </r>
  <r>
    <s v="MasterCard (Capital One)"/>
    <d v="2014-05-17T00:00:00"/>
    <n v="-84.79"/>
    <s v="X"/>
    <s v="Fred Meyer"/>
    <s v="2011: FRED-MEYER #0122 SEATTLE WA 98117 USA"/>
    <s v="Food &amp; Dining:Groceries/From Receipt"/>
    <m/>
    <s v="Split"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17T00:00:00"/>
    <n v="-7.64"/>
    <s v="X"/>
    <s v="Fred Meyer"/>
    <s v="Bubble guns"/>
    <s v="Kids:Toys/From Receipt"/>
    <m/>
    <s v="Split"/>
    <s v="From Receipt"/>
    <x v="27"/>
    <s v="Toys"/>
    <x v="0"/>
    <m/>
    <x v="0"/>
    <m/>
    <s v="May"/>
    <n v="2014"/>
    <s v="Monthly"/>
    <n v="0"/>
    <s v="No"/>
    <s v="None"/>
    <s v="Kids|Toys"/>
  </r>
  <r>
    <s v="First Tech - Checking (5544)"/>
    <d v="2014-05-16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May"/>
    <n v="2014"/>
    <s v="Monthly"/>
    <n v="0"/>
    <s v="No"/>
    <s v="None"/>
    <s v="Home|Home Services"/>
  </r>
  <r>
    <s v="First Tech - Short Term Emergency (5400)"/>
    <d v="2014-05-16T00:00:00"/>
    <n v="71250.350000000006"/>
    <s v="X"/>
    <s v="Edward Jones"/>
    <s v="CHECK NUMBER: 133471432"/>
    <s v="[Edward Jones - Investment Account]"/>
    <m/>
    <m/>
    <m/>
    <x v="49"/>
    <m/>
    <x v="0"/>
    <m/>
    <x v="0"/>
    <m/>
    <s v="May"/>
    <n v="2014"/>
    <e v="#N/A"/>
    <e v="#N/A"/>
    <e v="#N/A"/>
    <e v="#N/A"/>
    <s v="[Edward Jones - Investment Account]"/>
  </r>
  <r>
    <s v="MasterCard (Capital One)"/>
    <d v="2014-05-16T00:00:00"/>
    <n v="-8.1999999999999993"/>
    <s v="X"/>
    <s v="Fresh Table Cafe"/>
    <s v="2011: FRESH TABLE CAFE MET SEATTLE WA 98101 USA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16T00:00:00"/>
    <n v="-60"/>
    <s v="X"/>
    <s v="Starbucks"/>
    <s v="Teacher appreciation gifts"/>
    <s v="Gifts/From Receipt"/>
    <m/>
    <m/>
    <s v="From Receipt"/>
    <x v="28"/>
    <m/>
    <x v="0"/>
    <m/>
    <x v="0"/>
    <m/>
    <s v="May"/>
    <n v="2014"/>
    <s v="Monthly"/>
    <n v="0"/>
    <s v="No"/>
    <s v="None"/>
    <s v="Gifts"/>
  </r>
  <r>
    <s v="Edward Jones - Investment Account"/>
    <d v="2014-05-16T00:00:00"/>
    <n v="71250.350000000006"/>
    <m/>
    <s v="Edward Jones"/>
    <s v="CHECK NUMBER: 133471432"/>
    <s v="[First Tech - Short Term Emergency (5400)]"/>
    <s v="XOut"/>
    <s v="Split"/>
    <m/>
    <x v="4"/>
    <m/>
    <x v="0"/>
    <m/>
    <x v="0"/>
    <m/>
    <s v="May"/>
    <n v="2014"/>
    <s v="Account"/>
    <n v="0"/>
    <s v="No"/>
    <s v="None"/>
    <s v="[First Tech - Short Term Emergency (5400)]"/>
  </r>
  <r>
    <s v="First Tech - Checking (5544)"/>
    <d v="2014-05-15T00:00:00"/>
    <n v="-110.13"/>
    <s v="X"/>
    <s v="Seattle City Light"/>
    <s v="ACH Debit--CITY OF SEATTLE  - 1 - SCL De"/>
    <s v="Bills &amp; Utilities:Utilities"/>
    <m/>
    <m/>
    <m/>
    <x v="34"/>
    <s v="Utilities"/>
    <x v="0"/>
    <m/>
    <x v="0"/>
    <m/>
    <s v="May"/>
    <n v="2014"/>
    <s v="Monthly"/>
    <n v="0"/>
    <s v="No"/>
    <s v="None"/>
    <s v="Bills &amp; Utilities|Utilities"/>
  </r>
  <r>
    <s v="MasterCard (Capital One)"/>
    <d v="2014-05-15T00:00:00"/>
    <n v="-6.56"/>
    <s v="X"/>
    <s v="Fred Meyer"/>
    <s v="Seasonal VLM... no idea what this is"/>
    <s v="Kids:Clothing/From Receipt"/>
    <m/>
    <m/>
    <s v="From Receipt"/>
    <x v="27"/>
    <s v="Clothing"/>
    <x v="0"/>
    <m/>
    <x v="0"/>
    <m/>
    <s v="May"/>
    <n v="2014"/>
    <s v="Monthly"/>
    <n v="0"/>
    <s v="No"/>
    <s v="None"/>
    <s v="Kids|Clothing"/>
  </r>
  <r>
    <s v="First Tech - Checking (5544)"/>
    <d v="2014-05-14T00:00:00"/>
    <n v="3165.21"/>
    <s v="X"/>
    <s v="Microsoft (Paystub)"/>
    <s v="ACH Deposit--MICROSOFT  - EDIPAYMENT"/>
    <s v="Net Salary"/>
    <m/>
    <m/>
    <m/>
    <x v="35"/>
    <m/>
    <x v="0"/>
    <m/>
    <x v="0"/>
    <m/>
    <s v="May"/>
    <n v="2014"/>
    <s v="Monthly"/>
    <n v="0"/>
    <s v="No"/>
    <s v="None"/>
    <s v="Net Salary"/>
  </r>
  <r>
    <s v="MasterCard (Capital One)"/>
    <d v="2014-05-14T00:00:00"/>
    <n v="-2.89"/>
    <s v="X"/>
    <s v="Fred Meyer"/>
    <s v="2011: FRED-MEYER #0122 SEATTLE WA 98117 USA"/>
    <s v="Food &amp; Dining:Groceries/From Receipt"/>
    <m/>
    <s v="Split"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14T00:00:00"/>
    <n v="-6.56"/>
    <s v="X"/>
    <s v="Fred Meyer"/>
    <s v="Seasonal VLM... no idea what t"/>
    <s v="Kids:Toys/From Receipt"/>
    <m/>
    <s v="Split"/>
    <s v="From Receipt"/>
    <x v="27"/>
    <s v="Toys"/>
    <x v="0"/>
    <m/>
    <x v="0"/>
    <m/>
    <s v="May"/>
    <n v="2014"/>
    <s v="Monthly"/>
    <n v="0"/>
    <s v="No"/>
    <s v="None"/>
    <s v="Kids|Toys"/>
  </r>
  <r>
    <s v="First Tech - Checking (5544)"/>
    <d v="2014-05-13T00:00:00"/>
    <n v="-81.430000000000007"/>
    <s v="X"/>
    <s v="Puget Sound Energy"/>
    <s v="ACH Debit--PUGET SOUND ENER DIRECT DEBITING - PSE BILL  12500371"/>
    <s v="Bills &amp; Utilities:Utilities"/>
    <m/>
    <m/>
    <m/>
    <x v="34"/>
    <s v="Utilities"/>
    <x v="0"/>
    <m/>
    <x v="0"/>
    <m/>
    <s v="May"/>
    <n v="2014"/>
    <s v="Monthly"/>
    <n v="0"/>
    <s v="No"/>
    <s v="None"/>
    <s v="Bills &amp; Utilities|Utilities"/>
  </r>
  <r>
    <s v="MasterCard (Capital One)"/>
    <d v="2014-05-13T00:00:00"/>
    <n v="-7.97"/>
    <s v="X"/>
    <s v="Ken's Market"/>
    <s v="2011: KEN'S MARKET #75-116 SEATTLE WA 98103 USA"/>
    <s v="Food &amp; Dining:Groceries"/>
    <m/>
    <m/>
    <m/>
    <x v="15"/>
    <s v="Groceries"/>
    <x v="0"/>
    <m/>
    <x v="0"/>
    <m/>
    <s v="May"/>
    <n v="2014"/>
    <s v="Monthly"/>
    <n v="0"/>
    <s v="No"/>
    <s v="None"/>
    <s v="Food &amp; Dining|Groceries"/>
  </r>
  <r>
    <s v="First Tech - Checking (5544)"/>
    <d v="2014-05-12T00:00:00"/>
    <n v="12"/>
    <s v="X"/>
    <s v="Old Republic Title"/>
    <s v="Deposit--Shared Branch Mobile Deposit          First Tech FC CA"/>
    <s v="Other Inc"/>
    <m/>
    <m/>
    <m/>
    <x v="29"/>
    <m/>
    <x v="0"/>
    <m/>
    <x v="0"/>
    <m/>
    <s v="May"/>
    <n v="2014"/>
    <s v="Monthly"/>
    <n v="0"/>
    <s v="No"/>
    <s v="None"/>
    <s v="Other Inc"/>
  </r>
  <r>
    <s v="Koolikai - Checking XX2129"/>
    <d v="2014-05-12T00:00:00"/>
    <n v="-19.57"/>
    <s v="X"/>
    <s v="John Shaibley"/>
    <s v="Hinges for door"/>
    <s v="Business Expenses (Koolikai):Repairs"/>
    <n v="1092"/>
    <m/>
    <m/>
    <x v="36"/>
    <s v="Repairs"/>
    <x v="0"/>
    <m/>
    <x v="0"/>
    <m/>
    <s v="May"/>
    <n v="2014"/>
    <s v="Irregular"/>
    <n v="0"/>
    <s v="No"/>
    <s v="None"/>
    <s v="Business Expenses (Koolikai)|Repairs"/>
  </r>
  <r>
    <s v="Koolikai - Checking XX2129"/>
    <d v="2014-05-12T00:00:00"/>
    <n v="-49.1"/>
    <s v="X"/>
    <s v="John Shaibley"/>
    <s v="Parts for washing machine"/>
    <s v="Business Expenses (Koolikai):Repairs"/>
    <n v="1093"/>
    <m/>
    <m/>
    <x v="36"/>
    <s v="Repairs"/>
    <x v="0"/>
    <m/>
    <x v="0"/>
    <m/>
    <s v="May"/>
    <n v="2014"/>
    <s v="Irregular"/>
    <n v="0"/>
    <s v="No"/>
    <s v="None"/>
    <s v="Business Expenses (Koolikai)|Repairs"/>
  </r>
  <r>
    <s v="Chase Freedom XX9381"/>
    <d v="2014-05-12T00:00:00"/>
    <n v="-178.3"/>
    <s v="X"/>
    <s v="Vios Cafe 3rd"/>
    <m/>
    <s v="Food &amp; Dining:Restaurants/From Receipt"/>
    <m/>
    <m/>
    <s v="From Receipt"/>
    <x v="15"/>
    <s v="Restaurants"/>
    <x v="0"/>
    <m/>
    <x v="0"/>
    <m/>
    <s v="May"/>
    <n v="2014"/>
    <s v="Monthly"/>
    <n v="0"/>
    <s v="No"/>
    <s v="None"/>
    <s v="Food &amp; Dining|Restaurants"/>
  </r>
  <r>
    <s v="Koolikai Credit Card"/>
    <d v="2014-05-12T00:00:00"/>
    <n v="-146.97999999999999"/>
    <s v="X"/>
    <s v="Verizon Wireless"/>
    <m/>
    <s v="Business Expenses (Koolikai):Cell Phone"/>
    <m/>
    <m/>
    <m/>
    <x v="36"/>
    <s v="Cell Phone"/>
    <x v="0"/>
    <m/>
    <x v="0"/>
    <m/>
    <s v="May"/>
    <n v="2014"/>
    <s v="Monthly"/>
    <n v="0"/>
    <s v="No"/>
    <s v="None"/>
    <s v="Business Expenses (Koolikai)|Cell Phone"/>
  </r>
  <r>
    <s v="MasterCard (Capital One)"/>
    <d v="2014-05-12T00:00:00"/>
    <n v="-94.61"/>
    <s v="X"/>
    <s v="Trader Joe's"/>
    <s v="2011: TRADER JOE'S #147 QPS SEATTLE WA 98107 USA"/>
    <s v="Food &amp; Dining:Groceries/From Receipt"/>
    <m/>
    <m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11T00:00:00"/>
    <n v="-4.2300000000000004"/>
    <s v="X"/>
    <s v="Amazon"/>
    <s v="Coldplay Ghost Stories"/>
    <s v="Entertainment:Music"/>
    <m/>
    <m/>
    <m/>
    <x v="30"/>
    <s v="Music"/>
    <x v="0"/>
    <m/>
    <x v="0"/>
    <m/>
    <s v="May"/>
    <n v="2014"/>
    <s v="Unplanned"/>
    <n v="0"/>
    <s v="No"/>
    <s v="None"/>
    <s v="Entertainment|Music"/>
  </r>
  <r>
    <s v="MasterCard (Capital One)"/>
    <d v="2014-05-11T00:00:00"/>
    <n v="-13.69"/>
    <s v="X"/>
    <s v="Recycled Cycles"/>
    <s v="#Stay Fit# Bike tune up on Angela's bike"/>
    <s v="Health &amp; Fitness:Sports"/>
    <m/>
    <m/>
    <m/>
    <x v="18"/>
    <s v="Sports"/>
    <x v="0"/>
    <m/>
    <x v="5"/>
    <m/>
    <s v="May"/>
    <n v="2014"/>
    <s v="Irregular"/>
    <n v="0"/>
    <s v="No"/>
    <s v="None"/>
    <s v="Health &amp; Fitness|Sports"/>
  </r>
  <r>
    <s v="MasterCard (Capital One)"/>
    <d v="2014-05-11T00:00:00"/>
    <n v="-16.41"/>
    <s v="X"/>
    <s v="Gregg's Greenlake Cycle"/>
    <s v="#Stay Fit# Bike mirror"/>
    <s v="Health &amp; Fitness:Sports/From Receipt"/>
    <m/>
    <m/>
    <s v="From Receipt"/>
    <x v="18"/>
    <s v="Sports"/>
    <x v="0"/>
    <m/>
    <x v="5"/>
    <m/>
    <s v="May"/>
    <n v="2014"/>
    <s v="Irregular"/>
    <n v="0"/>
    <s v="No"/>
    <s v="None"/>
    <s v="Health &amp; Fitness|Sports"/>
  </r>
  <r>
    <s v="MasterCard (Capital One)"/>
    <d v="2014-05-11T00:00:00"/>
    <n v="-142.9"/>
    <s v="X"/>
    <s v="Super Jock n Jill"/>
    <s v="#Stay Fit# Shoes and Inserts"/>
    <s v="Health &amp; Fitness:Sports"/>
    <m/>
    <m/>
    <m/>
    <x v="18"/>
    <s v="Sports"/>
    <x v="0"/>
    <m/>
    <x v="5"/>
    <m/>
    <s v="May"/>
    <n v="2014"/>
    <s v="Irregular"/>
    <n v="0"/>
    <s v="No"/>
    <s v="None"/>
    <s v="Health &amp; Fitness|Sports"/>
  </r>
  <r>
    <s v="MasterCard (Capital One)"/>
    <d v="2014-05-10T00:00:00"/>
    <n v="-17.5"/>
    <s v="X"/>
    <s v="Third Place Books"/>
    <s v="2011: THIRD PLACE BOOKS SEATTLE WA 98115 USA"/>
    <s v="Shopping:Books"/>
    <m/>
    <m/>
    <m/>
    <x v="13"/>
    <s v="Books"/>
    <x v="0"/>
    <m/>
    <x v="0"/>
    <m/>
    <s v="May"/>
    <n v="2014"/>
    <s v="Unplanned"/>
    <n v="0"/>
    <s v="No"/>
    <s v="None"/>
    <s v="Shopping|Books"/>
  </r>
  <r>
    <s v="MasterCard (Capital One)"/>
    <d v="2014-05-10T00:00:00"/>
    <n v="-72.349999999999994"/>
    <s v="X"/>
    <s v="Fred Meyer"/>
    <s v="2011: FRED-MEYER #0122 SEATTLE WA 98117 USA"/>
    <s v="Food &amp; Dining:Groceries/From Receipt"/>
    <m/>
    <s v="Split"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10T00:00:00"/>
    <n v="-6.01"/>
    <s v="X"/>
    <s v="Fred Meyer"/>
    <s v="Mother's Day Card"/>
    <s v="Gifts/From Receipt"/>
    <m/>
    <s v="Split"/>
    <s v="From Receipt"/>
    <x v="28"/>
    <m/>
    <x v="0"/>
    <m/>
    <x v="0"/>
    <m/>
    <s v="May"/>
    <n v="2014"/>
    <s v="Monthly"/>
    <n v="0"/>
    <s v="No"/>
    <s v="None"/>
    <s v="Gifts"/>
  </r>
  <r>
    <s v="MasterCard (Capital One)"/>
    <d v="2014-05-10T00:00:00"/>
    <n v="-21.89"/>
    <s v="X"/>
    <s v="Fred Meyer"/>
    <s v="Sunglasses"/>
    <s v="Shopping:Clothing:Accessories/From Receipt"/>
    <m/>
    <s v="Split"/>
    <s v="From Receipt"/>
    <x v="13"/>
    <s v="Clothing"/>
    <x v="1"/>
    <m/>
    <x v="0"/>
    <m/>
    <s v="May"/>
    <n v="2014"/>
    <s v="Annual"/>
    <n v="0"/>
    <s v="No"/>
    <s v="None"/>
    <s v="Shopping|Clothing"/>
  </r>
  <r>
    <s v="Schwab - Checking (9784)"/>
    <d v="2014-05-09T00:00:00"/>
    <n v="-2"/>
    <s v="X"/>
    <s v="Ken's Market"/>
    <m/>
    <s v="Bank Fees &amp; Charges:ATM Fee"/>
    <m/>
    <s v="Split"/>
    <m/>
    <x v="32"/>
    <s v="ATM Fee"/>
    <x v="0"/>
    <m/>
    <x v="0"/>
    <m/>
    <s v="May"/>
    <n v="2014"/>
    <s v="Monthly"/>
    <n v="0"/>
    <s v="No"/>
    <s v="None"/>
    <s v="Bank Fees &amp; Charges|ATM Fee"/>
  </r>
  <r>
    <s v="Schwab - Checking (9784)"/>
    <d v="2014-05-09T00:00:00"/>
    <n v="-30"/>
    <s v="X"/>
    <s v="Ken's Market"/>
    <m/>
    <s v="Kids:Babysitter"/>
    <m/>
    <s v="Split"/>
    <m/>
    <x v="27"/>
    <s v="Babysitter"/>
    <x v="0"/>
    <m/>
    <x v="0"/>
    <m/>
    <s v="May"/>
    <n v="2014"/>
    <s v="Monthly"/>
    <n v="0"/>
    <s v="No"/>
    <s v="None"/>
    <s v="Kids|Babysitter"/>
  </r>
  <r>
    <s v="Schwab - Checking (9784)"/>
    <d v="2014-05-09T00:00:00"/>
    <n v="-10"/>
    <s v="X"/>
    <s v="Ken's Market"/>
    <m/>
    <s v="Food &amp; Dining:Restaurants"/>
    <m/>
    <s v="Split"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09T00:00:00"/>
    <n v="25"/>
    <s v="X"/>
    <s v="Capital One (Cash Back)"/>
    <s v="2011: CREDIT-CASH BACK REWARD"/>
    <s v="Other Inc"/>
    <m/>
    <m/>
    <m/>
    <x v="29"/>
    <m/>
    <x v="0"/>
    <m/>
    <x v="0"/>
    <m/>
    <s v="May"/>
    <n v="2014"/>
    <s v="Monthly"/>
    <n v="0"/>
    <s v="No"/>
    <s v="None"/>
    <s v="Other Inc"/>
  </r>
  <r>
    <s v="Koolikai Credit Card"/>
    <d v="2014-05-08T00:00:00"/>
    <n v="-42"/>
    <s v="X"/>
    <s v="Bob Oates Sewer &amp; Rooter"/>
    <m/>
    <s v="Business Expenses (Koolikai):Repairs/7231"/>
    <m/>
    <m/>
    <n v="7231"/>
    <x v="36"/>
    <s v="Repairs"/>
    <x v="0"/>
    <m/>
    <x v="0"/>
    <m/>
    <s v="May"/>
    <n v="2014"/>
    <s v="Irregular"/>
    <n v="0"/>
    <s v="No"/>
    <s v="None"/>
    <s v="Business Expenses (Koolikai)|Repairs"/>
  </r>
  <r>
    <s v="MasterCard (Capital One)"/>
    <d v="2014-05-08T00:00:00"/>
    <n v="-5.78"/>
    <s v="X"/>
    <s v="Ken's Market"/>
    <s v="2011: KEN'S MARKET #75-116 SEATTLE WA 98103 USA"/>
    <s v="Food &amp; Dining:Groceries/From Receipt"/>
    <m/>
    <m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08T00:00:00"/>
    <n v="-13.51"/>
    <s v="X"/>
    <s v="Taco Del Mar"/>
    <s v="2011: TACO DEL MAR GREENWOOD SEATTLE WA 98103 USA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07T00:00:00"/>
    <n v="-585"/>
    <s v="X"/>
    <s v="Stockwell Associat Lynnwood"/>
    <s v="2011: STOCKWELL AND ASSOCIAT LYNNWOOD WA 98036 USA"/>
    <s v="Business Expenses (Koolikai):Prof and Legal Fees"/>
    <m/>
    <m/>
    <m/>
    <x v="36"/>
    <s v="Prof and Legal Fees"/>
    <x v="0"/>
    <m/>
    <x v="0"/>
    <m/>
    <s v="May"/>
    <n v="2014"/>
    <s v="Annual"/>
    <n v="0"/>
    <s v="No"/>
    <s v="None"/>
    <s v="Business Expenses (Koolikai)|Prof and Legal Fees"/>
  </r>
  <r>
    <s v="First Tech - Checking (5544)"/>
    <d v="2014-05-06T00:00:00"/>
    <n v="-3748.69"/>
    <s v="X"/>
    <s v="Wells Fargo Home Mortgage"/>
    <s v="ACH Debit--WF HOME MTG ACH - AUTO PAY"/>
    <s v="Home:Mortgage"/>
    <m/>
    <m/>
    <m/>
    <x v="14"/>
    <s v="Mortgage"/>
    <x v="0"/>
    <m/>
    <x v="0"/>
    <m/>
    <s v="May"/>
    <n v="2014"/>
    <s v="Monthly"/>
    <n v="0"/>
    <s v="No"/>
    <s v="None"/>
    <s v="Home|Mortgage"/>
  </r>
  <r>
    <s v="First Tech - Checking (5544)"/>
    <d v="2014-05-06T00:00:00"/>
    <n v="-15487.26"/>
    <s v="X"/>
    <s v="Lincoln Mutual Insurance"/>
    <s v="Life insurance policy"/>
    <s v="Financial:Life Insurance"/>
    <m/>
    <m/>
    <m/>
    <x v="50"/>
    <s v="Life Insurance"/>
    <x v="0"/>
    <m/>
    <x v="0"/>
    <m/>
    <s v="May"/>
    <n v="2014"/>
    <s v="Monthly"/>
    <n v="0"/>
    <s v="No"/>
    <s v="None"/>
    <s v="Financial|Life Insurance"/>
  </r>
  <r>
    <s v="Koolikai Credit Card"/>
    <d v="2014-05-06T00:00:00"/>
    <n v="15.84"/>
    <s v="X"/>
    <s v="Lowes #00252*"/>
    <s v="Sink fixture repair parts"/>
    <s v="Business Expenses (Koolikai):Repairs/9602:From Receipt"/>
    <m/>
    <m/>
    <s v="9602:From Receipt"/>
    <x v="36"/>
    <s v="Repairs"/>
    <x v="0"/>
    <m/>
    <x v="0"/>
    <m/>
    <s v="May"/>
    <n v="2014"/>
    <s v="Irregular"/>
    <n v="0"/>
    <s v="No"/>
    <s v="None"/>
    <s v="Business Expenses (Koolikai)|Repairs"/>
  </r>
  <r>
    <s v="MasterCard (Capital One)"/>
    <d v="2014-05-06T00:00:00"/>
    <n v="-3.89"/>
    <s v="X"/>
    <s v="Ken's Market"/>
    <s v="2011: KEN'S MARKET #75-116 SEATTLE WA 98103 USA"/>
    <s v="Food &amp; Dining:Groceries"/>
    <m/>
    <m/>
    <m/>
    <x v="15"/>
    <s v="Groceries"/>
    <x v="0"/>
    <m/>
    <x v="0"/>
    <m/>
    <s v="May"/>
    <n v="2014"/>
    <s v="Monthly"/>
    <n v="0"/>
    <s v="No"/>
    <s v="None"/>
    <s v="Food &amp; Dining|Groceries"/>
  </r>
  <r>
    <s v="First Tech - Checking (5544)"/>
    <d v="2014-05-05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May"/>
    <n v="2014"/>
    <s v="Monthly"/>
    <n v="0"/>
    <s v="No"/>
    <s v="None"/>
    <s v="Kids|American Funds 529A"/>
  </r>
  <r>
    <s v="Chase Freedom XX9381"/>
    <d v="2014-05-05T00:00:00"/>
    <n v="-62.45"/>
    <s v="X"/>
    <s v="Barking Dog Alehouse"/>
    <m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Koolikai Credit Card"/>
    <d v="2014-05-04T00:00:00"/>
    <n v="-155"/>
    <s v="X"/>
    <s v="Groupon"/>
    <s v="Bob Oates $200 for $155 deal"/>
    <s v="Business Expenses (Koolikai):Repairs/7231"/>
    <m/>
    <m/>
    <n v="7231"/>
    <x v="36"/>
    <s v="Repairs"/>
    <x v="0"/>
    <m/>
    <x v="0"/>
    <m/>
    <s v="May"/>
    <n v="2014"/>
    <s v="Irregular"/>
    <n v="0"/>
    <s v="No"/>
    <s v="None"/>
    <s v="Business Expenses (Koolikai)|Repairs"/>
  </r>
  <r>
    <s v="MasterCard (Capital One)"/>
    <d v="2014-05-04T00:00:00"/>
    <n v="-2.4900000000000002"/>
    <s v="X"/>
    <s v="Ken's Market"/>
    <s v="2011: KEN'S MARKET #75-116 SEATTLE WA 98103 USA"/>
    <s v="Food &amp; Dining:Groceries/From Receipt"/>
    <m/>
    <m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04T00:00:00"/>
    <n v="-6.3"/>
    <s v="X"/>
    <s v="Playdate Cafe"/>
    <s v="2011: SQ *PLAYDATE CAFE Lynnwood WA 98036 USA"/>
    <s v="Kids:Kids Activities"/>
    <m/>
    <m/>
    <m/>
    <x v="27"/>
    <s v="Kids Activities"/>
    <x v="0"/>
    <m/>
    <x v="0"/>
    <m/>
    <s v="May"/>
    <n v="2014"/>
    <s v="Monthly"/>
    <n v="0"/>
    <s v="No"/>
    <s v="None"/>
    <s v="Kids|Kids Activities"/>
  </r>
  <r>
    <s v="MasterCard (Capital One)"/>
    <d v="2014-05-04T00:00:00"/>
    <n v="-7.66"/>
    <s v="X"/>
    <s v="Playdate Cafe"/>
    <s v="2011: SQ *PLAYDATE CAFE Lynnwood WA 98036 USA"/>
    <s v="Kids:Kids Activities"/>
    <m/>
    <m/>
    <m/>
    <x v="27"/>
    <s v="Kids Activities"/>
    <x v="0"/>
    <m/>
    <x v="0"/>
    <m/>
    <s v="May"/>
    <n v="2014"/>
    <s v="Monthly"/>
    <n v="0"/>
    <s v="No"/>
    <s v="None"/>
    <s v="Kids|Kids Activities"/>
  </r>
  <r>
    <s v="MasterCard (Capital One)"/>
    <d v="2014-05-04T00:00:00"/>
    <n v="-8.75"/>
    <s v="X"/>
    <s v="Netflix"/>
    <s v="2011: NETFLIX.COM NETFLIX.COM CA 95032 USA"/>
    <s v="Entertainment:Movies &amp; DVDs"/>
    <m/>
    <m/>
    <m/>
    <x v="30"/>
    <s v="Movies &amp; DVDs"/>
    <x v="0"/>
    <m/>
    <x v="0"/>
    <m/>
    <s v="May"/>
    <n v="2014"/>
    <s v="Unplanned"/>
    <n v="0"/>
    <s v="No"/>
    <s v="None"/>
    <s v="Entertainment|Movies &amp; DVDs"/>
  </r>
  <r>
    <s v="MasterCard (Capital One)"/>
    <d v="2014-05-04T00:00:00"/>
    <n v="-9.31"/>
    <s v="X"/>
    <s v="Playdate Cafe"/>
    <s v="2011: SQ *PLAYDATE CAFE Lynnwood WA 98036 USA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04T00:00:00"/>
    <n v="-38"/>
    <s v="X"/>
    <s v="Paypal"/>
    <s v="2011: PAYPAL *THISTLETHEA @BAL:3115.35@"/>
    <s v="Kids:Kids Activities"/>
    <m/>
    <m/>
    <m/>
    <x v="27"/>
    <s v="Kids Activities"/>
    <x v="0"/>
    <m/>
    <x v="0"/>
    <m/>
    <s v="May"/>
    <n v="2014"/>
    <s v="Monthly"/>
    <n v="0"/>
    <s v="No"/>
    <s v="None"/>
    <s v="Kids|Kids Activities"/>
  </r>
  <r>
    <s v="Koolikai - Checking XX2129"/>
    <d v="2014-05-03T00:00:00"/>
    <n v="2295"/>
    <s v="X"/>
    <s v="Aaron Ausland"/>
    <s v="Deposit--Shared Branch Mobile Deposit          First Tech FC CA"/>
    <s v="Business Income (Koolikai):Rent"/>
    <m/>
    <s v="Split"/>
    <m/>
    <x v="37"/>
    <s v="Rent"/>
    <x v="0"/>
    <m/>
    <x v="0"/>
    <m/>
    <s v="May"/>
    <n v="2014"/>
    <s v="Monthly"/>
    <n v="0"/>
    <s v="No"/>
    <s v="None"/>
    <s v="Business Income (Koolikai)|Rent"/>
  </r>
  <r>
    <s v="Koolikai - Checking XX2129"/>
    <d v="2014-05-03T00:00:00"/>
    <n v="88.66"/>
    <s v="X"/>
    <s v="Aaron Ausland"/>
    <m/>
    <s v="Business Expenses (Koolikai):Utilities (Business)"/>
    <m/>
    <s v="Split"/>
    <m/>
    <x v="36"/>
    <s v="Utilities (Business)"/>
    <x v="0"/>
    <m/>
    <x v="0"/>
    <m/>
    <s v="May"/>
    <n v="2014"/>
    <s v="Monthly"/>
    <n v="0"/>
    <s v="No"/>
    <s v="None"/>
    <s v="Business Expenses (Koolikai)|Utilities (Business)"/>
  </r>
  <r>
    <s v="MasterCard (Capital One)"/>
    <d v="2014-05-03T00:00:00"/>
    <n v="-103.39"/>
    <s v="X"/>
    <s v="Fred Meyer"/>
    <s v="2011: FRED-MEYER #0608 SEATTLE WA 98107 USA"/>
    <s v="Food &amp; Dining:Groceries/From Receipt"/>
    <m/>
    <m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First Tech - Checking (5544)"/>
    <d v="2014-05-02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May"/>
    <n v="2014"/>
    <s v="Monthly"/>
    <n v="0"/>
    <s v="No"/>
    <s v="None"/>
    <s v="Business Expenses (Koolikai)|Mortgage (Business)"/>
  </r>
  <r>
    <s v="First Tech - Checking (5544)"/>
    <d v="2014-05-02T00:00:00"/>
    <n v="-2480.02"/>
    <s v="X"/>
    <s v="Capital One (Autopay)"/>
    <s v="ACH Debit--CAPITAL ONE  - CRCARDPMT"/>
    <s v="[MasterCard (Capital One)]"/>
    <m/>
    <m/>
    <m/>
    <x v="38"/>
    <m/>
    <x v="0"/>
    <m/>
    <x v="0"/>
    <m/>
    <s v="May"/>
    <n v="2014"/>
    <s v="Account"/>
    <n v="0"/>
    <s v="No"/>
    <s v="None"/>
    <s v="[MasterCard (Capital One)]"/>
  </r>
  <r>
    <s v="First Tech - Checking (5544)"/>
    <d v="2014-05-02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May"/>
    <n v="2014"/>
    <s v="Monthly"/>
    <n v="0"/>
    <s v="No"/>
    <s v="None"/>
    <s v="Business Expenses (Koolikai)|Mortgage (Business)"/>
  </r>
  <r>
    <s v="MasterCard (Capital One)"/>
    <d v="2014-05-02T00:00:00"/>
    <n v="2480.02"/>
    <s v="X"/>
    <s v="Capital One (Autopay)"/>
    <s v="ACH Debit--CAPITAL ONE  - CRCARDPMT"/>
    <s v="[First Tech - Checking (5544)]"/>
    <m/>
    <m/>
    <m/>
    <x v="21"/>
    <m/>
    <x v="0"/>
    <m/>
    <x v="0"/>
    <m/>
    <s v="May"/>
    <n v="2014"/>
    <s v="Account"/>
    <n v="0"/>
    <s v="No"/>
    <s v="None"/>
    <s v="[First Tech - Checking (5544)]"/>
  </r>
  <r>
    <s v="MasterCard (Capital One)"/>
    <d v="2014-05-02T00:00:00"/>
    <n v="-11.24"/>
    <s v="X"/>
    <s v="Ken's Market"/>
    <s v="@CAT:@"/>
    <s v="Food &amp; Dining:Groceries"/>
    <m/>
    <m/>
    <m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02T00:00:00"/>
    <n v="-21.89"/>
    <s v="X"/>
    <s v="Fred Meyer"/>
    <s v="2011: FRED-MEYER #0023 BELLEVUE WA 98007 USA"/>
    <s v="Food &amp; Dining:Groceries/From Receipt"/>
    <m/>
    <m/>
    <s v="From Receipt"/>
    <x v="15"/>
    <s v="Groceries"/>
    <x v="0"/>
    <m/>
    <x v="0"/>
    <m/>
    <s v="May"/>
    <n v="2014"/>
    <s v="Monthly"/>
    <n v="0"/>
    <s v="No"/>
    <s v="None"/>
    <s v="Food &amp; Dining|Groceries"/>
  </r>
  <r>
    <s v="MasterCard (Capital One)"/>
    <d v="2014-05-02T00:00:00"/>
    <n v="-22.03"/>
    <s v="X"/>
    <s v="Comcast"/>
    <s v="2011: COMCAST CABLE COMM 800-COMCAST WA 98103 USA"/>
    <s v="Bills &amp; Utilities:Television"/>
    <m/>
    <s v="Split"/>
    <m/>
    <x v="34"/>
    <s v="Television"/>
    <x v="0"/>
    <m/>
    <x v="0"/>
    <m/>
    <s v="May"/>
    <n v="2014"/>
    <s v="Monthly"/>
    <n v="0"/>
    <s v="No"/>
    <s v="None"/>
    <s v="Bills &amp; Utilities|Television"/>
  </r>
  <r>
    <s v="MasterCard (Capital One)"/>
    <d v="2014-05-02T00:00:00"/>
    <n v="-64.08"/>
    <s v="X"/>
    <s v="Comcast"/>
    <m/>
    <s v="Business Expenses (Koolikai):Internet"/>
    <m/>
    <s v="Split"/>
    <m/>
    <x v="36"/>
    <s v="Internet"/>
    <x v="0"/>
    <m/>
    <x v="0"/>
    <m/>
    <s v="May"/>
    <n v="2014"/>
    <s v="Monthly"/>
    <n v="0"/>
    <s v="No"/>
    <s v="None"/>
    <s v="Business Expenses (Koolikai)|Internet"/>
  </r>
  <r>
    <s v="MasterCard (Capital One)"/>
    <d v="2014-05-02T00:00:00"/>
    <n v="-44.08"/>
    <s v="X"/>
    <s v="Comcast"/>
    <m/>
    <s v="Bills &amp; Utilities:Home Phone"/>
    <m/>
    <s v="Split"/>
    <m/>
    <x v="34"/>
    <s v="Home Phone"/>
    <x v="0"/>
    <m/>
    <x v="0"/>
    <m/>
    <s v="May"/>
    <n v="2014"/>
    <s v="Monthly"/>
    <n v="0"/>
    <s v="No"/>
    <s v="None"/>
    <s v="Bills &amp; Utilities|Home Phone"/>
  </r>
  <r>
    <s v="MasterCard (Capital One)"/>
    <d v="2014-05-02T00:00:00"/>
    <n v="-569.88"/>
    <s v="X"/>
    <s v="Hyatt"/>
    <s v="#Group meeting Spring#"/>
    <s v="Work Expense:Reimbursable expense"/>
    <m/>
    <m/>
    <m/>
    <x v="19"/>
    <s v="Reimbursable expense"/>
    <x v="0"/>
    <m/>
    <x v="20"/>
    <m/>
    <s v="May"/>
    <n v="2014"/>
    <s v="Irregular"/>
    <n v="0"/>
    <s v="No"/>
    <s v="None"/>
    <s v="Work Expense|Reimbursable expense"/>
  </r>
  <r>
    <s v="First Tech - Checking (5544)"/>
    <d v="2014-05-01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May"/>
    <n v="2014"/>
    <s v="Monthly"/>
    <n v="0"/>
    <s v="No"/>
    <s v="None"/>
    <s v="Kids|Daycare"/>
  </r>
  <r>
    <s v="Schwab - Checking (9784)"/>
    <d v="2014-05-01T00:00:00"/>
    <n v="-8.65"/>
    <s v="X"/>
    <s v="Bartell Drugs"/>
    <s v="2011: 09 BARTELL DRUGS SEATTLE WA 98103 USA"/>
    <s v="Food &amp; Dining:Groceries"/>
    <m/>
    <m/>
    <m/>
    <x v="15"/>
    <s v="Groceries"/>
    <x v="0"/>
    <m/>
    <x v="0"/>
    <m/>
    <s v="May"/>
    <n v="2014"/>
    <s v="Monthly"/>
    <n v="0"/>
    <s v="No"/>
    <s v="None"/>
    <s v="Food &amp; Dining|Groceries"/>
  </r>
  <r>
    <s v="Chase Freedom XX9381"/>
    <d v="2014-05-01T00:00:00"/>
    <n v="-2.4500000000000002"/>
    <s v="X"/>
    <s v="Breaking Bread"/>
    <s v="#Group meeting Spring#"/>
    <s v="Work Expense:Reimbursable expense"/>
    <m/>
    <m/>
    <m/>
    <x v="19"/>
    <s v="Reimbursable expense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4.12"/>
    <s v="X"/>
    <s v="Taco Del Mar"/>
    <s v="2011: TACO DEL MAR GREENWOOD SEATTLE WA 98103 USA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Chase Freedom XX9381"/>
    <d v="2014-05-01T00:00:00"/>
    <n v="-10.95"/>
    <s v="X"/>
    <s v="Breaking Bread"/>
    <s v="#Group meeting Spring#"/>
    <s v="Work Expense:Reimbursable expense/From Receipt"/>
    <m/>
    <m/>
    <s v="From Receipt"/>
    <x v="19"/>
    <s v="Reimbursable expense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53.63"/>
    <s v="X"/>
    <s v="Marketbar"/>
    <s v="#Group meeting Spring#"/>
    <s v="Work Expense:Reimbursable expense"/>
    <m/>
    <m/>
    <m/>
    <x v="19"/>
    <s v="Reimbursable expense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54.93"/>
    <s v="X"/>
    <s v="Perbacco"/>
    <s v="#Group meeting Spring#"/>
    <s v="Work Expense:Reimbursable expense/From Receipt"/>
    <m/>
    <m/>
    <s v="From Receipt"/>
    <x v="19"/>
    <s v="Reimbursable expense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100"/>
    <s v="X"/>
    <s v="Cafe"/>
    <s v="2011: CAFE 86 11171386 REDMOND WA 98052 USA"/>
    <s v="Food &amp; Dining:Restaurants"/>
    <m/>
    <m/>
    <m/>
    <x v="15"/>
    <s v="Restaurants"/>
    <x v="0"/>
    <m/>
    <x v="0"/>
    <m/>
    <s v="May"/>
    <n v="2014"/>
    <s v="Monthly"/>
    <n v="0"/>
    <s v="No"/>
    <s v="None"/>
    <s v="Food &amp; Dining|Restaurants"/>
  </r>
  <r>
    <s v="MasterCard (Capital One)"/>
    <d v="2014-05-01T00:00:00"/>
    <n v="-21.36"/>
    <s v="X"/>
    <s v="Napa Farms"/>
    <s v="#Group meeting Spring# Meal at airport"/>
    <s v="Work Expense:Reimbursable expense/From Receipt"/>
    <m/>
    <m/>
    <s v="From Receipt"/>
    <x v="19"/>
    <s v="Reimbursable expense"/>
    <x v="0"/>
    <m/>
    <x v="20"/>
    <m/>
    <s v="May"/>
    <n v="2014"/>
    <s v="Irregular"/>
    <n v="0"/>
    <s v="No"/>
    <s v="None"/>
    <s v="Work Expense|Reimbursable expense"/>
  </r>
  <r>
    <s v="MasterCard (Capital One)"/>
    <d v="2014-05-01T00:00:00"/>
    <n v="-30.89"/>
    <s v="X"/>
    <s v="Shuttlepark 2"/>
    <s v="#Group meeting Spring# Parking for group meeting"/>
    <s v="Work Expense:Reimbursable expense"/>
    <m/>
    <m/>
    <m/>
    <x v="19"/>
    <s v="Reimbursable expense"/>
    <x v="0"/>
    <m/>
    <x v="20"/>
    <m/>
    <s v="May"/>
    <n v="2014"/>
    <s v="Irregular"/>
    <n v="0"/>
    <s v="No"/>
    <s v="None"/>
    <s v="Work Expense|Reimbursable expense"/>
  </r>
  <r>
    <s v="MasterCard (Capital One)"/>
    <d v="2014-05-01T00:00:00"/>
    <n v="-35"/>
    <s v="X"/>
    <s v="Bigtentgroups Ma Bigtentgroups"/>
    <s v="SFOM membership fee"/>
    <s v="Subscriptions &amp; Dues"/>
    <m/>
    <m/>
    <m/>
    <x v="33"/>
    <m/>
    <x v="0"/>
    <m/>
    <x v="0"/>
    <m/>
    <s v="May"/>
    <n v="2014"/>
    <s v="Annual"/>
    <n v="0"/>
    <s v="No"/>
    <s v="None"/>
    <s v="Subscriptions &amp; Dues"/>
  </r>
  <r>
    <s v="Capital One - Investment (6759)"/>
    <d v="2014-04-30T00:00:00"/>
    <n v="19.37"/>
    <s v="X"/>
    <s v="Capital One (Interest Income)"/>
    <s v="@CAT:@"/>
    <s v="Interest Income"/>
    <s v="INT"/>
    <m/>
    <m/>
    <x v="40"/>
    <m/>
    <x v="0"/>
    <m/>
    <x v="0"/>
    <m/>
    <s v="Apr"/>
    <n v="2014"/>
    <s v="Monthly"/>
    <n v="0"/>
    <s v="No"/>
    <s v="None"/>
    <s v="Interest Income"/>
  </r>
  <r>
    <s v="Capital One - Long Term Emergency (1201)"/>
    <d v="2014-04-30T00:00:00"/>
    <n v="48.61"/>
    <s v="X"/>
    <s v="Capital One (Interest Income)"/>
    <s v="@CAT:@"/>
    <s v="Interest Income"/>
    <s v="INT"/>
    <m/>
    <m/>
    <x v="40"/>
    <m/>
    <x v="0"/>
    <m/>
    <x v="0"/>
    <m/>
    <s v="Apr"/>
    <n v="2014"/>
    <s v="Monthly"/>
    <n v="0"/>
    <s v="No"/>
    <s v="None"/>
    <s v="Interest Income"/>
  </r>
  <r>
    <s v="Capital One - Secondary Savings (3126)"/>
    <d v="2014-04-30T00:00:00"/>
    <n v="0.02"/>
    <s v="X"/>
    <s v="Capital One (Interest Income)"/>
    <s v="@CAT:@"/>
    <s v="Interest Income"/>
    <s v="INT"/>
    <m/>
    <m/>
    <x v="40"/>
    <m/>
    <x v="0"/>
    <m/>
    <x v="0"/>
    <m/>
    <s v="Apr"/>
    <n v="2014"/>
    <s v="Monthly"/>
    <n v="0"/>
    <s v="No"/>
    <s v="None"/>
    <s v="Interest Income"/>
  </r>
  <r>
    <s v="Capital One - Vacation (4959)"/>
    <d v="2014-04-30T00:00:00"/>
    <n v="2.06"/>
    <s v="X"/>
    <s v="Capital One (Interest Income)"/>
    <s v="@CAT:@"/>
    <s v="Interest Income"/>
    <s v="INT"/>
    <m/>
    <m/>
    <x v="40"/>
    <m/>
    <x v="0"/>
    <m/>
    <x v="0"/>
    <m/>
    <s v="Apr"/>
    <n v="2014"/>
    <s v="Monthly"/>
    <n v="0"/>
    <s v="No"/>
    <s v="None"/>
    <s v="Interest Income"/>
  </r>
  <r>
    <s v="First Tech - Short Term Emergency (5400)"/>
    <d v="2014-04-30T00:00:00"/>
    <n v="0.01"/>
    <s v="X"/>
    <s v="First Tech (Dividend)"/>
    <s v="Credit Dividend--"/>
    <s v="Interest Income"/>
    <m/>
    <m/>
    <m/>
    <x v="40"/>
    <m/>
    <x v="0"/>
    <m/>
    <x v="0"/>
    <m/>
    <s v="Apr"/>
    <n v="2014"/>
    <s v="Monthly"/>
    <n v="0"/>
    <s v="No"/>
    <s v="None"/>
    <s v="Interest Income"/>
  </r>
  <r>
    <s v="Koolikai - Sec Dep XX1200"/>
    <d v="2014-04-30T00:00:00"/>
    <n v="0.18"/>
    <s v="X"/>
    <s v="First Tech (Dividend)"/>
    <s v="Credit Dividend--"/>
    <s v="Interest Income"/>
    <m/>
    <m/>
    <m/>
    <x v="40"/>
    <m/>
    <x v="0"/>
    <m/>
    <x v="0"/>
    <m/>
    <s v="Apr"/>
    <n v="2014"/>
    <s v="Monthly"/>
    <n v="0"/>
    <s v="No"/>
    <s v="None"/>
    <s v="Interest Income"/>
  </r>
  <r>
    <s v="Schwab - Checking (9784)"/>
    <d v="2014-04-30T00:00:00"/>
    <n v="0.11"/>
    <s v="X"/>
    <s v="Interest Paid"/>
    <m/>
    <s v="Interest Income"/>
    <m/>
    <m/>
    <m/>
    <x v="40"/>
    <m/>
    <x v="0"/>
    <m/>
    <x v="0"/>
    <m/>
    <s v="Apr"/>
    <n v="2014"/>
    <s v="Monthly"/>
    <n v="0"/>
    <s v="No"/>
    <s v="None"/>
    <s v="Interest Income"/>
  </r>
  <r>
    <s v="Schwab - Checking (9784)"/>
    <d v="2014-04-30T00:00:00"/>
    <n v="3"/>
    <s v="X"/>
    <s v="ATM Fee Refund"/>
    <s v="@BAL:$1230.64@"/>
    <s v="Bank Fees &amp; Charges:ATM Fee"/>
    <m/>
    <m/>
    <m/>
    <x v="32"/>
    <s v="ATM Fee"/>
    <x v="0"/>
    <m/>
    <x v="0"/>
    <m/>
    <s v="Apr"/>
    <n v="2014"/>
    <s v="Monthly"/>
    <n v="0"/>
    <s v="No"/>
    <s v="None"/>
    <s v="Bank Fees &amp; Charges|ATM Fee"/>
  </r>
  <r>
    <s v="Chase Freedom XX9381"/>
    <d v="2014-04-30T00:00:00"/>
    <n v="-2.25"/>
    <s v="X"/>
    <s v="Oasis Grill"/>
    <m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Chase Freedom XX9381"/>
    <d v="2014-04-30T00:00:00"/>
    <n v="-5.95"/>
    <s v="X"/>
    <s v="Cafe"/>
    <s v="2011: CAFE 86 11171386 REDMOND WA 98052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Chase Freedom XX9381"/>
    <d v="2014-04-30T00:00:00"/>
    <n v="-10.86"/>
    <s v="X"/>
    <s v="Oasis Grill"/>
    <s v="#Group meeting Spring#"/>
    <s v="Work Expense:Reimbursable expense/From Receipt"/>
    <m/>
    <m/>
    <s v="From Receipt"/>
    <x v="19"/>
    <s v="Reimbursable expense"/>
    <x v="0"/>
    <m/>
    <x v="20"/>
    <m/>
    <s v="Apr"/>
    <n v="2014"/>
    <s v="Irregular"/>
    <n v="0"/>
    <s v="No"/>
    <s v="None"/>
    <s v="Work Expense|Reimbursable expense"/>
  </r>
  <r>
    <s v="First Tech - Checking (5544)"/>
    <d v="2014-04-29T00:00:00"/>
    <n v="3165.19"/>
    <s v="X"/>
    <s v="Microsoft (Paystub)"/>
    <s v="ACH Deposit--MICROSOFT  - EDIPAYMENT"/>
    <s v="Net Salary"/>
    <m/>
    <m/>
    <m/>
    <x v="35"/>
    <m/>
    <x v="0"/>
    <m/>
    <x v="0"/>
    <m/>
    <s v="Apr"/>
    <n v="2014"/>
    <s v="Monthly"/>
    <n v="0"/>
    <s v="No"/>
    <s v="None"/>
    <s v="Net Salary"/>
  </r>
  <r>
    <s v="First Tech - Checking (5544)"/>
    <d v="2014-04-29T00:00:00"/>
    <n v="6195.6"/>
    <s v="X"/>
    <s v="CRAB (Paystub)"/>
    <s v="ACH Deposit--Cancer Research  - Payroll"/>
    <s v="Net Salary"/>
    <m/>
    <m/>
    <m/>
    <x v="35"/>
    <m/>
    <x v="0"/>
    <m/>
    <x v="0"/>
    <m/>
    <s v="Apr"/>
    <n v="2014"/>
    <s v="Monthly"/>
    <n v="0"/>
    <s v="No"/>
    <s v="None"/>
    <s v="Net Salary"/>
  </r>
  <r>
    <s v="First Tech - Checking (5544)"/>
    <d v="2014-04-29T00:00:00"/>
    <n v="11977"/>
    <s v="X"/>
    <s v="IRS"/>
    <s v="ACH Deposit--IRS  TREAS 310  -   TAX REF"/>
    <s v="Tax:Fed"/>
    <m/>
    <m/>
    <m/>
    <x v="47"/>
    <s v="Fed"/>
    <x v="0"/>
    <m/>
    <x v="0"/>
    <m/>
    <s v="Apr"/>
    <n v="2014"/>
    <s v="Unplanned"/>
    <n v="0"/>
    <s v="No"/>
    <s v="None"/>
    <s v="Tax|Fed"/>
  </r>
  <r>
    <s v="First Tech - Checking (5544)"/>
    <d v="2014-04-29T00:00:00"/>
    <n v="-211.72"/>
    <s v="X"/>
    <s v="Seattle Public Utilities"/>
    <s v="@BAL:50666.27@;@CAT:@"/>
    <s v="Bills &amp; Utilities:Utilities"/>
    <m/>
    <m/>
    <m/>
    <x v="34"/>
    <s v="Utilities"/>
    <x v="0"/>
    <m/>
    <x v="0"/>
    <m/>
    <s v="Apr"/>
    <n v="2014"/>
    <s v="Monthly"/>
    <n v="0"/>
    <s v="No"/>
    <s v="None"/>
    <s v="Bills &amp; Utilities|Utilities"/>
  </r>
  <r>
    <s v="Schwab - Checking (9784)"/>
    <d v="2014-04-29T00:00:00"/>
    <n v="-34.83"/>
    <s v="X"/>
    <s v="US Bank"/>
    <s v="Cash for group meeting?"/>
    <s v="Food &amp; Dining:Restaurants"/>
    <m/>
    <s v="Split"/>
    <m/>
    <x v="15"/>
    <s v="Restaurants"/>
    <x v="0"/>
    <m/>
    <x v="0"/>
    <m/>
    <s v="Apr"/>
    <n v="2014"/>
    <s v="Monthly"/>
    <n v="0"/>
    <s v="No"/>
    <s v="None"/>
    <s v="Food &amp; Dining|Restaurants"/>
  </r>
  <r>
    <s v="Schwab - Checking (9784)"/>
    <d v="2014-04-29T00:00:00"/>
    <n v="-3"/>
    <s v="X"/>
    <s v="US Bank"/>
    <m/>
    <s v="Bank Fees &amp; Charges:ATM Fee"/>
    <m/>
    <s v="Split"/>
    <m/>
    <x v="32"/>
    <s v="ATM Fee"/>
    <x v="0"/>
    <m/>
    <x v="0"/>
    <m/>
    <s v="Apr"/>
    <n v="2014"/>
    <s v="Monthly"/>
    <n v="0"/>
    <s v="No"/>
    <s v="None"/>
    <s v="Bank Fees &amp; Charges|ATM Fee"/>
  </r>
  <r>
    <s v="Schwab - Checking (9784)"/>
    <d v="2014-04-29T00:00:00"/>
    <n v="-5.17"/>
    <s v="X"/>
    <s v="US Bank"/>
    <s v="Limeaide, Spinach"/>
    <s v="Food &amp; Dining:Groceries"/>
    <m/>
    <s v="Split"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29T00:00:00"/>
    <n v="-8.65"/>
    <s v="X"/>
    <s v="Bart"/>
    <s v="#Group meeting Spring#"/>
    <s v="Work Expense:Reimbursable expense"/>
    <m/>
    <m/>
    <m/>
    <x v="19"/>
    <s v="Reimbursable expense"/>
    <x v="0"/>
    <m/>
    <x v="20"/>
    <m/>
    <s v="Apr"/>
    <n v="2014"/>
    <s v="Irregular"/>
    <n v="0"/>
    <s v="No"/>
    <s v="None"/>
    <s v="Work Expense|Reimbursable expense"/>
  </r>
  <r>
    <s v="First Tech - Checking (5544)"/>
    <d v="2014-04-28T00:00:00"/>
    <n v="-100"/>
    <s v="X"/>
    <s v="Chase Freedom"/>
    <s v="ACH Debit--CHASE  - AUTOPAY"/>
    <s v="[Chase Freedom XX9381]"/>
    <m/>
    <m/>
    <m/>
    <x v="7"/>
    <m/>
    <x v="0"/>
    <m/>
    <x v="0"/>
    <m/>
    <s v="Apr"/>
    <n v="2014"/>
    <e v="#N/A"/>
    <e v="#N/A"/>
    <e v="#N/A"/>
    <e v="#N/A"/>
    <s v="[Chase Freedom XX9381]"/>
  </r>
  <r>
    <s v="First Tech - Checking (5544)"/>
    <d v="2014-04-28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Apr"/>
    <n v="2014"/>
    <s v="Monthly"/>
    <n v="0"/>
    <s v="No"/>
    <s v="None"/>
    <s v="Home|Home Services"/>
  </r>
  <r>
    <s v="Chase Freedom XX9381"/>
    <d v="2014-04-28T00:00:00"/>
    <n v="100"/>
    <s v="X"/>
    <s v="Chase Autopay (Freedom)"/>
    <s v="@BAL:$100.00@@CAT:@"/>
    <s v="[First Tech - Checking (5544)]"/>
    <m/>
    <m/>
    <m/>
    <x v="21"/>
    <m/>
    <x v="0"/>
    <m/>
    <x v="0"/>
    <m/>
    <s v="Apr"/>
    <n v="2014"/>
    <s v="Account"/>
    <n v="0"/>
    <s v="No"/>
    <s v="None"/>
    <s v="[First Tech - Checking (5544)]"/>
  </r>
  <r>
    <s v="Chase Freedom XX9381"/>
    <d v="2014-04-28T00:00:00"/>
    <n v="-32.44"/>
    <s v="X"/>
    <s v="Purple Cafe"/>
    <m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28T00:00:00"/>
    <n v="-7.05"/>
    <s v="X"/>
    <s v="Amazon"/>
    <s v="LR-44 Batteries"/>
    <s v="Kids:Toys"/>
    <m/>
    <m/>
    <m/>
    <x v="27"/>
    <s v="Toys"/>
    <x v="0"/>
    <m/>
    <x v="0"/>
    <m/>
    <s v="Apr"/>
    <n v="2014"/>
    <s v="Monthly"/>
    <n v="0"/>
    <s v="No"/>
    <s v="None"/>
    <s v="Kids|Toys"/>
  </r>
  <r>
    <s v="MasterCard (Capital One)"/>
    <d v="2014-04-27T00:00:00"/>
    <n v="-3"/>
    <s v="X"/>
    <s v="Diamond Parking"/>
    <s v="2011: DIAMOND PARKING WE09 EVERETT WA 98106 USA"/>
    <s v="Auto &amp; Transport:Parking"/>
    <m/>
    <m/>
    <m/>
    <x v="17"/>
    <s v="Parking"/>
    <x v="0"/>
    <m/>
    <x v="0"/>
    <m/>
    <s v="Apr"/>
    <n v="2014"/>
    <s v="Monthly"/>
    <n v="0"/>
    <s v="No"/>
    <s v="None"/>
    <s v="Auto &amp; Transport|Parking"/>
  </r>
  <r>
    <s v="MasterCard (Capital One)"/>
    <d v="2014-04-27T00:00:00"/>
    <n v="-19"/>
    <s v="X"/>
    <s v="Imagine Childrens Museum"/>
    <s v="Upgraded membership to get guest passes"/>
    <s v="Kids:Kids Activities"/>
    <m/>
    <m/>
    <m/>
    <x v="27"/>
    <s v="Kids Activities"/>
    <x v="0"/>
    <m/>
    <x v="0"/>
    <m/>
    <s v="Apr"/>
    <n v="2014"/>
    <s v="Monthly"/>
    <n v="0"/>
    <s v="No"/>
    <s v="None"/>
    <s v="Kids|Kids Activities"/>
  </r>
  <r>
    <s v="American Express (Costco)"/>
    <d v="2014-04-26T00:00:00"/>
    <n v="0"/>
    <s v="X"/>
    <s v="Balanced"/>
    <s v="@BAL:$0.00@"/>
    <s v="[American Express (Costco)]"/>
    <m/>
    <m/>
    <m/>
    <x v="20"/>
    <m/>
    <x v="0"/>
    <m/>
    <x v="0"/>
    <m/>
    <s v="Apr"/>
    <n v="2014"/>
    <s v="Account"/>
    <n v="0"/>
    <s v="No"/>
    <s v="None"/>
    <s v="[American Express (Costco)]"/>
  </r>
  <r>
    <s v="MasterCard (Capital One)"/>
    <d v="2014-04-26T00:00:00"/>
    <n v="-99.29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First Tech - Checking (5544)"/>
    <d v="2014-04-25T00:00:00"/>
    <n v="-90"/>
    <s v="X"/>
    <s v="Sue Shoedel"/>
    <s v="Check--"/>
    <s v="Kids:Babysitter"/>
    <n v="2130"/>
    <m/>
    <m/>
    <x v="27"/>
    <s v="Babysitter"/>
    <x v="0"/>
    <m/>
    <x v="0"/>
    <m/>
    <s v="Apr"/>
    <n v="2014"/>
    <s v="Monthly"/>
    <n v="0"/>
    <s v="No"/>
    <s v="None"/>
    <s v="Kids|Babysitter"/>
  </r>
  <r>
    <s v="MasterCard (Capital One)"/>
    <d v="2014-04-25T00:00:00"/>
    <n v="-3.69"/>
    <s v="X"/>
    <s v="Safeway"/>
    <s v="2011: SAFEWAY STORE 00018457 SEATTLE WA 98103 USA"/>
    <s v="Food &amp; Dining:Groceries"/>
    <m/>
    <m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25T00:00:00"/>
    <n v="-5.49"/>
    <s v="X"/>
    <s v="Walgreens"/>
    <s v="2011: WALGREENS #3515 SEATTLE WA 98103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Capital One - Long Term Emergency (1201)"/>
    <d v="2014-04-24T00:00:00"/>
    <n v="20.82"/>
    <s v="X"/>
    <s v="Quarterly Bonus Int"/>
    <m/>
    <s v="Interest Income"/>
    <m/>
    <m/>
    <m/>
    <x v="40"/>
    <m/>
    <x v="0"/>
    <m/>
    <x v="0"/>
    <m/>
    <s v="Apr"/>
    <n v="2014"/>
    <s v="Monthly"/>
    <n v="0"/>
    <s v="No"/>
    <s v="None"/>
    <s v="Interest Income"/>
  </r>
  <r>
    <s v="First Tech - Checking (5544)"/>
    <d v="2014-04-24T00:00:00"/>
    <n v="216.17"/>
    <s v="X"/>
    <s v="Seattle Families Of Multiples"/>
    <s v="#SFOM Spring Sale#"/>
    <s v="Work Expense:Reimbursable expense"/>
    <m/>
    <m/>
    <m/>
    <x v="19"/>
    <s v="Reimbursable expense"/>
    <x v="0"/>
    <m/>
    <x v="22"/>
    <m/>
    <s v="Apr"/>
    <n v="2014"/>
    <s v="Irregular"/>
    <n v="0"/>
    <s v="No"/>
    <s v="None"/>
    <s v="Work Expense|Reimbursable expense"/>
  </r>
  <r>
    <s v="Koolikai - Checking XX2129"/>
    <d v="2014-04-24T00:00:00"/>
    <n v="2195"/>
    <s v="X"/>
    <s v="Valerie Shaibley"/>
    <s v="Deposit--Shared Branch Mobile Deposit          First Tech FC CA"/>
    <s v="Business Income (Koolikai):Rent/9602"/>
    <m/>
    <m/>
    <n v="9602"/>
    <x v="37"/>
    <s v="Rent"/>
    <x v="0"/>
    <m/>
    <x v="0"/>
    <m/>
    <s v="Apr"/>
    <n v="2014"/>
    <s v="Monthly"/>
    <n v="0"/>
    <s v="No"/>
    <s v="None"/>
    <s v="Business Income (Koolikai)|Rent"/>
  </r>
  <r>
    <s v="Koolikai - Checking XX2129"/>
    <d v="2014-04-24T00:00:00"/>
    <n v="-146.69999999999999"/>
    <s v="X"/>
    <s v="Chase - Koolikai (Autopay)"/>
    <s v="@CAT:@"/>
    <s v="[Koolikai Credit Card]"/>
    <m/>
    <m/>
    <m/>
    <x v="9"/>
    <m/>
    <x v="0"/>
    <m/>
    <x v="0"/>
    <m/>
    <s v="Apr"/>
    <n v="2014"/>
    <s v="Account"/>
    <n v="0"/>
    <s v="No"/>
    <s v="None"/>
    <s v="[Koolikai Credit Card]"/>
  </r>
  <r>
    <s v="Koolikai Credit Card"/>
    <d v="2014-04-24T00:00:00"/>
    <n v="146.69999999999999"/>
    <s v="X"/>
    <s v="Chase - Koolikai (Autopay)"/>
    <m/>
    <s v="[Koolikai - Checking XX2129]"/>
    <m/>
    <m/>
    <m/>
    <x v="25"/>
    <m/>
    <x v="0"/>
    <m/>
    <x v="0"/>
    <m/>
    <s v="Apr"/>
    <n v="2014"/>
    <s v="Account"/>
    <n v="0"/>
    <s v="No"/>
    <s v="None"/>
    <s v="[Koolikai - Checking XX2129]"/>
  </r>
  <r>
    <s v="MasterCard (Capital One)"/>
    <d v="2014-04-24T00:00:00"/>
    <n v="-7.62"/>
    <s v="X"/>
    <s v="Subway"/>
    <s v="2011: SUBWAY 00249680 SEATTLE WA 98101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First Tech - Checking (5544)"/>
    <d v="2014-04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Apr"/>
    <n v="2014"/>
    <s v="Monthly"/>
    <n v="0"/>
    <s v="No"/>
    <s v="None"/>
    <s v="Auto &amp; Transport|Auto Lease Payment"/>
  </r>
  <r>
    <s v="First Tech - Checking (5544)"/>
    <d v="2014-04-23T00:00:00"/>
    <n v="-185.36"/>
    <s v="X"/>
    <s v="Amex Epayment Am - Ach Pmt"/>
    <s v="ACH Debit--AMEX EPayment AM - ACH PMT"/>
    <s v="[American Express (Costco)]"/>
    <m/>
    <m/>
    <m/>
    <x v="20"/>
    <m/>
    <x v="0"/>
    <m/>
    <x v="0"/>
    <m/>
    <s v="Apr"/>
    <n v="2014"/>
    <s v="Account"/>
    <n v="0"/>
    <s v="No"/>
    <s v="None"/>
    <s v="[American Express (Costco)]"/>
  </r>
  <r>
    <s v="MasterCard (Capital One)"/>
    <d v="2014-04-23T00:00:00"/>
    <n v="25"/>
    <s v="X"/>
    <s v="Capital One (Cash Back)"/>
    <s v="@CAT:@"/>
    <s v="Other Inc"/>
    <m/>
    <m/>
    <m/>
    <x v="29"/>
    <m/>
    <x v="0"/>
    <m/>
    <x v="0"/>
    <m/>
    <s v="Apr"/>
    <n v="2014"/>
    <s v="Monthly"/>
    <n v="0"/>
    <s v="No"/>
    <s v="None"/>
    <s v="Other Inc"/>
  </r>
  <r>
    <s v="American Express (Costco)"/>
    <d v="2014-04-22T00:00:00"/>
    <n v="185.36"/>
    <s v="X"/>
    <s v="Autopay Thank You"/>
    <s v="@CAT:@"/>
    <s v="[First Tech - Checking (5544)]"/>
    <m/>
    <m/>
    <m/>
    <x v="21"/>
    <m/>
    <x v="0"/>
    <m/>
    <x v="0"/>
    <m/>
    <s v="Apr"/>
    <n v="2014"/>
    <s v="Account"/>
    <n v="0"/>
    <s v="No"/>
    <s v="None"/>
    <s v="[First Tech - Checking (5544)]"/>
  </r>
  <r>
    <s v="Chase Freedom XX9381"/>
    <d v="2014-04-22T00:00:00"/>
    <n v="-45.28"/>
    <s v="X"/>
    <s v="Pesos"/>
    <m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22T00:00:00"/>
    <n v="-8.98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First Tech - Checking (5544)"/>
    <d v="2014-04-21T00:00:00"/>
    <n v="-1000"/>
    <s v="X"/>
    <s v="Pierre Kwan"/>
    <m/>
    <s v="Business Expenses (Koolikai):Security Deposit"/>
    <n v="2128"/>
    <m/>
    <m/>
    <x v="36"/>
    <s v="Security Deposit"/>
    <x v="0"/>
    <m/>
    <x v="0"/>
    <m/>
    <s v="Apr"/>
    <n v="2014"/>
    <s v="Irregular"/>
    <n v="0"/>
    <s v="No"/>
    <s v="None"/>
    <s v="Business Expenses (Koolikai)|Security Deposit"/>
  </r>
  <r>
    <s v="First Tech - Checking (5544)"/>
    <d v="2014-04-21T00:00:00"/>
    <n v="-2100"/>
    <s v="X"/>
    <s v="Pierre Kwan"/>
    <m/>
    <s v="Business Expenses (Koolikai):Rent"/>
    <n v="2129"/>
    <m/>
    <m/>
    <x v="36"/>
    <s v="Rent"/>
    <x v="0"/>
    <m/>
    <x v="0"/>
    <m/>
    <s v="Apr"/>
    <n v="2014"/>
    <e v="#N/A"/>
    <e v="#N/A"/>
    <e v="#N/A"/>
    <e v="#N/A"/>
    <s v="Business Expenses (Koolikai)|Rent"/>
  </r>
  <r>
    <s v="Chase Freedom XX9381"/>
    <d v="2014-04-21T00:00:00"/>
    <n v="-48.21"/>
    <s v="X"/>
    <s v="Arco"/>
    <m/>
    <s v="Auto &amp; Transport:Gas &amp; Fuel"/>
    <m/>
    <m/>
    <m/>
    <x v="17"/>
    <s v="Gas &amp; Fuel"/>
    <x v="0"/>
    <m/>
    <x v="0"/>
    <m/>
    <s v="Apr"/>
    <n v="2014"/>
    <s v="Monthly"/>
    <n v="0"/>
    <s v="No"/>
    <s v="None"/>
    <s v="Auto &amp; Transport|Gas &amp; Fuel"/>
  </r>
  <r>
    <s v="MasterCard (Capital One)"/>
    <d v="2014-04-20T00:00:00"/>
    <n v="-2.99"/>
    <s v="X"/>
    <s v="Ken's Market"/>
    <s v="2011: KEN'S MARKET #75-116 SEATTLE WA 98103 USA"/>
    <s v="Food &amp; Dining:Groceries"/>
    <m/>
    <m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20T00:00:00"/>
    <n v="-121.53"/>
    <s v="X"/>
    <s v="O'reilly Auto Parts"/>
    <s v="Battery for RAV"/>
    <s v="Auto &amp; Transport:Service &amp; Parts/From Receipt"/>
    <m/>
    <m/>
    <s v="From Receipt"/>
    <x v="17"/>
    <s v="Service &amp; Parts"/>
    <x v="0"/>
    <m/>
    <x v="0"/>
    <m/>
    <s v="Apr"/>
    <n v="2014"/>
    <s v="Unplanned"/>
    <n v="0"/>
    <s v="No"/>
    <s v="None"/>
    <s v="Auto &amp; Transport|Service &amp; Parts"/>
  </r>
  <r>
    <s v="First Tech - Checking (5544)"/>
    <d v="2014-04-19T00:00:00"/>
    <n v="145.35"/>
    <s v="X"/>
    <s v="Seattle Families Of Multiples"/>
    <s v="Deposit--Shared Branch Mobile Deposit          First Tech FC CA"/>
    <s v="Kids:Clothing"/>
    <m/>
    <s v="Split"/>
    <m/>
    <x v="27"/>
    <s v="Clothing"/>
    <x v="0"/>
    <m/>
    <x v="0"/>
    <m/>
    <s v="Apr"/>
    <n v="2014"/>
    <s v="Monthly"/>
    <n v="0"/>
    <s v="No"/>
    <s v="None"/>
    <s v="Kids|Clothing"/>
  </r>
  <r>
    <s v="First Tech - Checking (5544)"/>
    <d v="2014-04-19T00:00:00"/>
    <n v="145.35"/>
    <s v="X"/>
    <s v="Seattle Families Of Multiples"/>
    <m/>
    <s v="Kids:Toys"/>
    <m/>
    <s v="Split"/>
    <m/>
    <x v="27"/>
    <s v="Toys"/>
    <x v="0"/>
    <m/>
    <x v="0"/>
    <m/>
    <s v="Apr"/>
    <n v="2014"/>
    <s v="Monthly"/>
    <n v="0"/>
    <s v="No"/>
    <s v="None"/>
    <s v="Kids|Toys"/>
  </r>
  <r>
    <s v="MasterCard (Capital One)"/>
    <d v="2014-04-19T00:00:00"/>
    <n v="-3.1"/>
    <s v="X"/>
    <s v="Seattle Park Seattle"/>
    <s v="2011: SEATTLE 684-PARK SEATTLE WA 98104 USA"/>
    <s v="Auto &amp; Transport:Parking"/>
    <m/>
    <m/>
    <m/>
    <x v="17"/>
    <s v="Parking"/>
    <x v="0"/>
    <m/>
    <x v="0"/>
    <m/>
    <s v="Apr"/>
    <n v="2014"/>
    <s v="Monthly"/>
    <n v="0"/>
    <s v="No"/>
    <s v="None"/>
    <s v="Auto &amp; Transport|Parking"/>
  </r>
  <r>
    <s v="MasterCard (Capital One)"/>
    <d v="2014-04-19T00:00:00"/>
    <n v="-36"/>
    <s v="X"/>
    <s v="Bright Horizons"/>
    <s v="2011: BRIGHT HORIZONS 6176738000 MA 02472 USA"/>
    <s v="Kids:Daycare"/>
    <m/>
    <m/>
    <m/>
    <x v="27"/>
    <s v="Daycare"/>
    <x v="0"/>
    <m/>
    <x v="0"/>
    <m/>
    <s v="Apr"/>
    <n v="2014"/>
    <s v="Monthly"/>
    <n v="0"/>
    <s v="No"/>
    <s v="None"/>
    <s v="Kids|Daycare"/>
  </r>
  <r>
    <s v="MasterCard (Capital One)"/>
    <d v="2014-04-19T00:00:00"/>
    <n v="-53"/>
    <s v="X"/>
    <s v="Beehive Salon"/>
    <s v="2011: BEEHIVE SALON SEATTLE WA 981036264 USA"/>
    <s v="Personal Care:Hair"/>
    <m/>
    <m/>
    <m/>
    <x v="31"/>
    <s v="Hair"/>
    <x v="0"/>
    <m/>
    <x v="0"/>
    <m/>
    <s v="Apr"/>
    <n v="2014"/>
    <s v="Monthly"/>
    <n v="0"/>
    <s v="No"/>
    <s v="None"/>
    <s v="Personal Care|Hair"/>
  </r>
  <r>
    <s v="MasterCard (Capital One)"/>
    <d v="2014-04-19T00:00:00"/>
    <n v="-2"/>
    <s v="X"/>
    <s v="Fred Meyer"/>
    <s v="Hot wheels"/>
    <s v="Kids:Toys/From Receipt"/>
    <m/>
    <s v="Split"/>
    <s v="From Receipt"/>
    <x v="27"/>
    <s v="Toys"/>
    <x v="0"/>
    <m/>
    <x v="0"/>
    <m/>
    <s v="Apr"/>
    <n v="2014"/>
    <s v="Monthly"/>
    <n v="0"/>
    <s v="No"/>
    <s v="None"/>
    <s v="Kids|Toys"/>
  </r>
  <r>
    <s v="MasterCard (Capital One)"/>
    <d v="2014-04-19T00:00:00"/>
    <n v="-113.57"/>
    <s v="X"/>
    <s v="Fred Meyer"/>
    <m/>
    <s v="Food &amp; Dining:Groceries/From Receipt"/>
    <m/>
    <s v="Split"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Schwab - Checking (9784)"/>
    <d v="2014-04-18T00:00:00"/>
    <n v="-3.34"/>
    <s v="X"/>
    <s v="Costco"/>
    <s v="Photos"/>
    <s v="Home:Furnishings/From Receipt"/>
    <m/>
    <m/>
    <s v="From Receipt"/>
    <x v="14"/>
    <s v="Furnishings"/>
    <x v="0"/>
    <m/>
    <x v="0"/>
    <m/>
    <s v="Apr"/>
    <n v="2014"/>
    <s v="Monthly"/>
    <n v="0"/>
    <s v="No"/>
    <s v="None"/>
    <s v="Home|Furnishings"/>
  </r>
  <r>
    <s v="MasterCard (Capital One)"/>
    <d v="2014-04-18T00:00:00"/>
    <n v="-3.82"/>
    <s v="X"/>
    <s v="Officemax"/>
    <s v="Envelopes"/>
    <s v="Business Expenses (Koolikai):Office Expenses (Business)/From Receipt"/>
    <m/>
    <m/>
    <s v="From Receipt"/>
    <x v="36"/>
    <s v="Office Expenses (Business)"/>
    <x v="0"/>
    <m/>
    <x v="0"/>
    <m/>
    <s v="Apr"/>
    <n v="2014"/>
    <s v="Monthly"/>
    <n v="0"/>
    <s v="No"/>
    <s v="None"/>
    <s v="Business Expenses (Koolikai)|Office Expenses (Business)"/>
  </r>
  <r>
    <s v="MasterCard (Capital One)"/>
    <d v="2014-04-18T00:00:00"/>
    <n v="-10.26"/>
    <s v="X"/>
    <s v="Hales Ales Ltd"/>
    <s v="2011: HALES ALES LTD SEATTLE WA 981074538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18T00:00:00"/>
    <n v="-17.07"/>
    <s v="X"/>
    <s v="Fred Meyer"/>
    <s v="2011: FRED-MEYER #0608 SEATTLE WA 98107 USA"/>
    <s v="Food &amp; Dining:Groceries/From Receipt"/>
    <m/>
    <s v="Split"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18T00:00:00"/>
    <n v="-4.37"/>
    <s v="X"/>
    <s v="Fred Meyer"/>
    <m/>
    <s v="Home:Furnishings/From Receipt"/>
    <m/>
    <s v="Split"/>
    <s v="From Receipt"/>
    <x v="14"/>
    <s v="Furnishings"/>
    <x v="0"/>
    <m/>
    <x v="0"/>
    <m/>
    <s v="Apr"/>
    <n v="2014"/>
    <s v="Monthly"/>
    <n v="0"/>
    <s v="No"/>
    <s v="None"/>
    <s v="Home|Furnishings"/>
  </r>
  <r>
    <s v="MasterCard (Capital One)"/>
    <d v="2014-04-18T00:00:00"/>
    <n v="-208.8"/>
    <s v="X"/>
    <s v="Sct Box Office"/>
    <s v="2011: SCT BOX OFFICE 206-4430807 WA 981094555 USA"/>
    <s v="Kids:Kids Activities"/>
    <m/>
    <m/>
    <m/>
    <x v="27"/>
    <s v="Kids Activities"/>
    <x v="0"/>
    <m/>
    <x v="0"/>
    <m/>
    <s v="Apr"/>
    <n v="2014"/>
    <s v="Monthly"/>
    <n v="0"/>
    <s v="No"/>
    <s v="None"/>
    <s v="Kids|Kids Activities"/>
  </r>
  <r>
    <s v="MasterCard (Capital One)"/>
    <d v="2014-04-17T00:00:00"/>
    <n v="-13.42"/>
    <s v="X"/>
    <s v="Diamond Parking"/>
    <s v="2011: DIAMOND PARKING A096 SEATTLE WA 98101 USA"/>
    <s v="Auto &amp; Transport:Parking"/>
    <m/>
    <m/>
    <m/>
    <x v="17"/>
    <s v="Parking"/>
    <x v="0"/>
    <m/>
    <x v="0"/>
    <m/>
    <s v="Apr"/>
    <n v="2014"/>
    <s v="Monthly"/>
    <n v="0"/>
    <s v="No"/>
    <s v="None"/>
    <s v="Auto &amp; Transport|Parking"/>
  </r>
  <r>
    <s v="MasterCard (Capital One)"/>
    <d v="2014-04-17T00:00:00"/>
    <n v="-344"/>
    <s v="X"/>
    <s v="Seattle Repertory Theater"/>
    <s v="Season tickets"/>
    <s v="Entertainment"/>
    <m/>
    <m/>
    <m/>
    <x v="30"/>
    <m/>
    <x v="0"/>
    <m/>
    <x v="0"/>
    <m/>
    <s v="Apr"/>
    <n v="2014"/>
    <s v="Monthly"/>
    <n v="0"/>
    <s v="No"/>
    <s v="None"/>
    <s v="Entertainment"/>
  </r>
  <r>
    <s v="MasterCard (Capital One)"/>
    <d v="2014-04-15T00:00:00"/>
    <n v="-47.67"/>
    <s v="X"/>
    <s v="Esi Pharm Columbus 08002822881 O"/>
    <s v="2011: ESI PHARM COLUMBUS 08002822881 OH 43228 USA"/>
    <s v="Health &amp; Fitness:Pharmacy"/>
    <m/>
    <m/>
    <m/>
    <x v="18"/>
    <s v="Pharmacy"/>
    <x v="0"/>
    <m/>
    <x v="0"/>
    <m/>
    <s v="Apr"/>
    <n v="2014"/>
    <s v="Irregular"/>
    <n v="0"/>
    <s v="No"/>
    <s v="None"/>
    <s v="Health &amp; Fitness|Pharmacy"/>
  </r>
  <r>
    <s v="MasterCard (Capital One)"/>
    <d v="2014-04-15T00:00:00"/>
    <n v="-65"/>
    <s v="X"/>
    <s v="Beach Comber Kids Cuts"/>
    <s v="2011: BEACHCOMBER KIDS CUT SEATTLE WA 981030000 USA"/>
    <s v="Personal Care:Hair"/>
    <m/>
    <m/>
    <m/>
    <x v="31"/>
    <s v="Hair"/>
    <x v="0"/>
    <m/>
    <x v="0"/>
    <m/>
    <s v="Apr"/>
    <n v="2014"/>
    <s v="Monthly"/>
    <n v="0"/>
    <s v="No"/>
    <s v="None"/>
    <s v="Personal Care|Hair"/>
  </r>
  <r>
    <s v="First Tech - Checking (5544)"/>
    <d v="2014-04-14T00:00:00"/>
    <n v="3165.19"/>
    <s v="X"/>
    <s v="Microsoft (Paystub)"/>
    <s v="ACH Deposit--MICROSOFT  - EDIPAYMENT"/>
    <s v="Net Salary"/>
    <m/>
    <m/>
    <m/>
    <x v="35"/>
    <m/>
    <x v="0"/>
    <m/>
    <x v="0"/>
    <m/>
    <s v="Apr"/>
    <n v="2014"/>
    <s v="Monthly"/>
    <n v="0"/>
    <s v="No"/>
    <s v="None"/>
    <s v="Net Salary"/>
  </r>
  <r>
    <s v="First Tech - Checking (5544)"/>
    <d v="2014-04-14T00:00:00"/>
    <n v="-111.93"/>
    <s v="X"/>
    <s v="Puget Sound Energy"/>
    <s v="ACH Debit--PUGET SOUND ENER DIRECT DEBITING - PSE BILL  26250337"/>
    <s v="Bills &amp; Utilities:Utilities"/>
    <m/>
    <m/>
    <m/>
    <x v="34"/>
    <s v="Utilities"/>
    <x v="0"/>
    <m/>
    <x v="0"/>
    <m/>
    <s v="Apr"/>
    <n v="2014"/>
    <s v="Monthly"/>
    <n v="0"/>
    <s v="No"/>
    <s v="None"/>
    <s v="Bills &amp; Utilities|Utilities"/>
  </r>
  <r>
    <s v="Chase Freedom XX9381"/>
    <d v="2014-04-14T00:00:00"/>
    <n v="-64.180000000000007"/>
    <s v="X"/>
    <s v="Luisas Mexican Grill"/>
    <m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14T00:00:00"/>
    <n v="-4.93"/>
    <s v="X"/>
    <s v="Fresh Table Cafe"/>
    <s v="2011: FRESH TABLE CAFE MET SEATTLE WA 98101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Chase Freedom XX9381"/>
    <d v="2014-04-13T00:00:00"/>
    <n v="-12.84"/>
    <s v="X"/>
    <s v="Fogon Cocina Mexicana"/>
    <m/>
    <s v="Food &amp; Dining:Restaurants/From Receipt"/>
    <m/>
    <m/>
    <s v="From Receipt"/>
    <x v="15"/>
    <s v="Restaurants"/>
    <x v="0"/>
    <m/>
    <x v="0"/>
    <m/>
    <s v="Apr"/>
    <n v="2014"/>
    <s v="Monthly"/>
    <n v="0"/>
    <s v="No"/>
    <s v="None"/>
    <s v="Food &amp; Dining|Restaurants"/>
  </r>
  <r>
    <s v="Koolikai Credit Card"/>
    <d v="2014-04-13T00:00:00"/>
    <n v="-146.69999999999999"/>
    <s v="X"/>
    <s v="Verizon Wireless"/>
    <m/>
    <s v="Business Expenses (Koolikai):Cell Phone"/>
    <m/>
    <m/>
    <m/>
    <x v="36"/>
    <s v="Cell Phone"/>
    <x v="0"/>
    <m/>
    <x v="0"/>
    <m/>
    <s v="Apr"/>
    <n v="2014"/>
    <s v="Monthly"/>
    <n v="0"/>
    <s v="No"/>
    <s v="None"/>
    <s v="Business Expenses (Koolikai)|Cell Phone"/>
  </r>
  <r>
    <s v="MasterCard (Capital One)"/>
    <d v="2014-04-13T00:00:00"/>
    <n v="-5.98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13T00:00:00"/>
    <n v="-15"/>
    <s v="X"/>
    <s v="Clowns Unlimited"/>
    <s v="Seattle Center bouncy house exhibition"/>
    <s v="Kids:Kids Activities"/>
    <m/>
    <m/>
    <m/>
    <x v="27"/>
    <s v="Kids Activities"/>
    <x v="0"/>
    <m/>
    <x v="0"/>
    <m/>
    <s v="Apr"/>
    <n v="2014"/>
    <s v="Monthly"/>
    <n v="0"/>
    <s v="No"/>
    <s v="None"/>
    <s v="Kids|Kids Activities"/>
  </r>
  <r>
    <s v="MasterCard (Capital One)"/>
    <d v="2014-04-13T00:00:00"/>
    <n v="-128.63999999999999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11T00:00:00"/>
    <n v="-2.89"/>
    <s v="X"/>
    <s v="Safeway"/>
    <s v="2011: SAFEWAY STORE00014779 SEATTLE WA 98121 USA"/>
    <s v="Food &amp; Dining:Groceries"/>
    <m/>
    <m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10T00:00:00"/>
    <n v="-3.5"/>
    <s v="X"/>
    <s v="Ken's Market"/>
    <s v="2011: KEN'S MARKET #75-116 SEATTLE WA 98103 USA"/>
    <s v="Food &amp; Dining:Groceries"/>
    <m/>
    <m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10T00:00:00"/>
    <n v="-8.3800000000000008"/>
    <s v="X"/>
    <s v="Ken's Market"/>
    <s v="2011: KEN'S MARKET #75-116 SEATTLE WA 98103 USA"/>
    <s v="Food &amp; Dining:Groceries"/>
    <m/>
    <m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10T00:00:00"/>
    <n v="-11.95"/>
    <s v="X"/>
    <s v="T-mobile"/>
    <s v="2011: VESTA *T-MOBILE 888-278-3397 OR 97223 USA"/>
    <s v="Bills &amp; Utilities:Mobile Phone"/>
    <m/>
    <m/>
    <m/>
    <x v="34"/>
    <s v="Mobile Phone"/>
    <x v="0"/>
    <m/>
    <x v="0"/>
    <m/>
    <s v="Apr"/>
    <n v="2014"/>
    <s v="Hidden"/>
    <n v="0"/>
    <s v="No"/>
    <s v="None"/>
    <s v="Bills &amp; Utilities|Mobile Phone"/>
  </r>
  <r>
    <s v="First Tech - Checking (5544)"/>
    <d v="2014-04-09T00:00:00"/>
    <n v="-10"/>
    <s v="X"/>
    <s v="Seattle Families Of Multiples"/>
    <s v="Check--"/>
    <s v="Kids:Clothing"/>
    <n v="2125"/>
    <m/>
    <m/>
    <x v="27"/>
    <s v="Clothing"/>
    <x v="0"/>
    <m/>
    <x v="0"/>
    <m/>
    <s v="Apr"/>
    <n v="2014"/>
    <s v="Monthly"/>
    <n v="0"/>
    <s v="No"/>
    <s v="None"/>
    <s v="Kids|Clothing"/>
  </r>
  <r>
    <s v="First Tech - Checking (5544)"/>
    <d v="2014-04-09T00:00:00"/>
    <n v="-10.5"/>
    <s v="X"/>
    <s v="Seattle Families Of Multiples"/>
    <s v="Check--"/>
    <s v="Kids:Toys"/>
    <n v="2126"/>
    <m/>
    <m/>
    <x v="27"/>
    <s v="Toys"/>
    <x v="0"/>
    <m/>
    <x v="0"/>
    <m/>
    <s v="Apr"/>
    <n v="2014"/>
    <s v="Monthly"/>
    <n v="0"/>
    <s v="No"/>
    <s v="None"/>
    <s v="Kids|Toys"/>
  </r>
  <r>
    <s v="First Tech - Checking (5544)"/>
    <d v="2014-04-09T00:00:00"/>
    <n v="-91"/>
    <s v="X"/>
    <s v="Seattle Families Of Multiples"/>
    <m/>
    <s v="Kids:Toys"/>
    <n v="2299"/>
    <s v="Split"/>
    <m/>
    <x v="27"/>
    <s v="Toys"/>
    <x v="0"/>
    <m/>
    <x v="0"/>
    <m/>
    <s v="Apr"/>
    <n v="2014"/>
    <s v="Monthly"/>
    <n v="0"/>
    <s v="No"/>
    <s v="None"/>
    <s v="Kids|Toys"/>
  </r>
  <r>
    <s v="First Tech - Checking (5544)"/>
    <d v="2014-04-09T00:00:00"/>
    <n v="-91"/>
    <s v="X"/>
    <s v="Seattle Families Of Multiples"/>
    <m/>
    <s v="Food &amp; Dining:Groceries"/>
    <n v="2299"/>
    <s v="Split"/>
    <m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09T00:00:00"/>
    <n v="-36"/>
    <s v="X"/>
    <s v="Bright Horizons"/>
    <s v="2011: BRIGHT HORIZONS 6176738000 MA 02472 USA"/>
    <s v="Kids:Daycare"/>
    <m/>
    <m/>
    <m/>
    <x v="27"/>
    <s v="Daycare"/>
    <x v="0"/>
    <m/>
    <x v="0"/>
    <m/>
    <s v="Apr"/>
    <n v="2014"/>
    <s v="Monthly"/>
    <n v="0"/>
    <s v="No"/>
    <s v="None"/>
    <s v="Kids|Daycare"/>
  </r>
  <r>
    <s v="First Tech - Checking (5544)"/>
    <d v="2014-04-08T00:00:00"/>
    <n v="-352.62"/>
    <s v="X"/>
    <s v="Target"/>
    <s v="ACH Debit--TARGET CARD SRVC 001 - AUTO PYMT"/>
    <s v="[Target Red Card]"/>
    <m/>
    <m/>
    <m/>
    <x v="12"/>
    <m/>
    <x v="0"/>
    <m/>
    <x v="0"/>
    <m/>
    <s v="Apr"/>
    <n v="2014"/>
    <s v="Account"/>
    <n v="0"/>
    <s v="No"/>
    <s v="None"/>
    <s v="[Target Red Card]"/>
  </r>
  <r>
    <s v="MasterCard (Capital One)"/>
    <d v="2014-04-08T00:00:00"/>
    <n v="25"/>
    <s v="X"/>
    <s v="Capital One (Cash Back)"/>
    <s v="@CAT:@"/>
    <s v="Other Inc"/>
    <m/>
    <m/>
    <m/>
    <x v="29"/>
    <m/>
    <x v="0"/>
    <m/>
    <x v="0"/>
    <m/>
    <s v="Apr"/>
    <n v="2014"/>
    <s v="Monthly"/>
    <n v="0"/>
    <s v="No"/>
    <s v="None"/>
    <s v="Other Inc"/>
  </r>
  <r>
    <s v="MasterCard (Capital One)"/>
    <d v="2014-04-08T00:00:00"/>
    <n v="-23.26"/>
    <s v="X"/>
    <s v="Fred Meyer"/>
    <s v="Josh Shoes"/>
    <s v="Kids:Clothing/From Receipt"/>
    <m/>
    <m/>
    <s v="From Receipt"/>
    <x v="27"/>
    <s v="Clothing"/>
    <x v="0"/>
    <m/>
    <x v="0"/>
    <m/>
    <s v="Apr"/>
    <n v="2014"/>
    <s v="Monthly"/>
    <n v="0"/>
    <s v="No"/>
    <s v="None"/>
    <s v="Kids|Clothing"/>
  </r>
  <r>
    <s v="MasterCard (Capital One)"/>
    <d v="2014-04-08T00:00:00"/>
    <n v="-13.11"/>
    <s v="X"/>
    <s v="Fred Meyer"/>
    <s v="2011: FRED-MEYER #0122 SEATTLE WA 98117 USA"/>
    <s v="Gifts/From Receipt"/>
    <m/>
    <s v="Split"/>
    <s v="From Receipt"/>
    <x v="28"/>
    <m/>
    <x v="0"/>
    <m/>
    <x v="0"/>
    <m/>
    <s v="Apr"/>
    <n v="2014"/>
    <s v="Monthly"/>
    <n v="0"/>
    <s v="No"/>
    <s v="None"/>
    <s v="Gifts"/>
  </r>
  <r>
    <s v="MasterCard (Capital One)"/>
    <d v="2014-04-08T00:00:00"/>
    <n v="-13.87"/>
    <s v="X"/>
    <s v="Fred Meyer"/>
    <m/>
    <s v="Food &amp; Dining:Groceries/From Receipt"/>
    <m/>
    <s v="Split"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First Tech - Checking (5544)"/>
    <d v="2014-04-07T00:00:00"/>
    <n v="-3748.69"/>
    <s v="X"/>
    <s v="Wells Fargo Home Mortgage"/>
    <s v="ACH Debit--WF HOME MTG ACH - AUTO PAY"/>
    <s v="Home:Mortgage"/>
    <m/>
    <m/>
    <m/>
    <x v="14"/>
    <s v="Mortgage"/>
    <x v="0"/>
    <m/>
    <x v="0"/>
    <m/>
    <s v="Apr"/>
    <n v="2014"/>
    <s v="Monthly"/>
    <n v="0"/>
    <s v="No"/>
    <s v="None"/>
    <s v="Home|Mortgage"/>
  </r>
  <r>
    <s v="Chase Freedom XX9381"/>
    <d v="2014-04-07T00:00:00"/>
    <n v="-75.56"/>
    <s v="X"/>
    <s v="Razzis Pizzeria"/>
    <m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07T00:00:00"/>
    <n v="-13.42"/>
    <s v="X"/>
    <s v="Diamond Parking"/>
    <s v="2011: DIAMOND PARKING A096 SEATTLE WA 98101 USA"/>
    <s v="Auto &amp; Transport:Parking"/>
    <m/>
    <m/>
    <m/>
    <x v="17"/>
    <s v="Parking"/>
    <x v="0"/>
    <m/>
    <x v="0"/>
    <m/>
    <s v="Apr"/>
    <n v="2014"/>
    <s v="Monthly"/>
    <n v="0"/>
    <s v="No"/>
    <s v="None"/>
    <s v="Auto &amp; Transport|Parking"/>
  </r>
  <r>
    <s v="MasterCard (Capital One)"/>
    <d v="2014-04-07T00:00:00"/>
    <n v="-73.8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06T00:00:00"/>
    <n v="-18.989999999999998"/>
    <s v="X"/>
    <s v="Amazon"/>
    <s v="Blue tooth receiver"/>
    <s v="Shopping:Electronics &amp; Software"/>
    <m/>
    <m/>
    <m/>
    <x v="13"/>
    <s v="Electronics &amp; Software"/>
    <x v="0"/>
    <m/>
    <x v="0"/>
    <m/>
    <s v="Apr"/>
    <n v="2014"/>
    <s v="Annual"/>
    <n v="0"/>
    <s v="No"/>
    <s v="None"/>
    <s v="Shopping|Electronics &amp; Software"/>
  </r>
  <r>
    <s v="MasterCard (Capital One)"/>
    <d v="2014-04-06T00:00:00"/>
    <n v="-54.95"/>
    <s v="X"/>
    <s v="Time Magazine"/>
    <s v="2011: TWX*TIME MAGAZINE 800-843-TIME NY 10019 USA"/>
    <s v="Subscriptions &amp; Dues/Tax Related"/>
    <m/>
    <m/>
    <s v="Tax Related"/>
    <x v="33"/>
    <m/>
    <x v="0"/>
    <m/>
    <x v="0"/>
    <m/>
    <s v="Apr"/>
    <n v="2014"/>
    <s v="Annual"/>
    <n v="0"/>
    <s v="No"/>
    <s v="None"/>
    <s v="Subscriptions &amp; Dues"/>
  </r>
  <r>
    <s v="Target Red Card"/>
    <d v="2014-04-06T00:00:00"/>
    <n v="352.62"/>
    <s v="X"/>
    <s v="Target (Autopay)"/>
    <m/>
    <s v="[First Tech - Checking (5544)]"/>
    <m/>
    <m/>
    <m/>
    <x v="21"/>
    <m/>
    <x v="0"/>
    <m/>
    <x v="0"/>
    <m/>
    <s v="Apr"/>
    <n v="2014"/>
    <s v="Account"/>
    <n v="0"/>
    <s v="No"/>
    <s v="None"/>
    <s v="[First Tech - Checking (5544)]"/>
  </r>
  <r>
    <s v="MasterCard (Capital One)"/>
    <d v="2014-04-05T00:00:00"/>
    <n v="-21.35"/>
    <s v="X"/>
    <s v="Jersey Great Food"/>
    <s v="2011: JERSEY'S GREAT FOOD AN SHORELINE WA 98133 USA"/>
    <s v="Food &amp; Dining:Restaurants/From Receipt"/>
    <m/>
    <m/>
    <s v="From Receipt"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05T00:00:00"/>
    <n v="-63.18"/>
    <s v="X"/>
    <s v="Nissan"/>
    <s v="Programming for replacement key fob"/>
    <s v="Auto &amp; Transport:Service &amp; Parts"/>
    <m/>
    <m/>
    <m/>
    <x v="17"/>
    <s v="Service &amp; Parts"/>
    <x v="0"/>
    <m/>
    <x v="0"/>
    <m/>
    <s v="Apr"/>
    <n v="2014"/>
    <s v="Unplanned"/>
    <n v="0"/>
    <s v="No"/>
    <s v="None"/>
    <s v="Auto &amp; Transport|Service &amp; Parts"/>
  </r>
  <r>
    <s v="MasterCard (Capital One)"/>
    <d v="2014-04-05T00:00:00"/>
    <n v="-167.44"/>
    <s v="X"/>
    <s v="Nissan"/>
    <s v="Replacement key fob"/>
    <s v="Auto &amp; Transport:Service &amp; Parts"/>
    <m/>
    <m/>
    <m/>
    <x v="17"/>
    <s v="Service &amp; Parts"/>
    <x v="0"/>
    <m/>
    <x v="0"/>
    <m/>
    <s v="Apr"/>
    <n v="2014"/>
    <s v="Unplanned"/>
    <n v="0"/>
    <s v="No"/>
    <s v="None"/>
    <s v="Auto &amp; Transport|Service &amp; Parts"/>
  </r>
  <r>
    <s v="Koolikai - Checking XX2129"/>
    <d v="2014-04-04T00:00:00"/>
    <n v="2295"/>
    <s v="X"/>
    <s v="Aaron Ausland"/>
    <s v="Deposit--Shared Branch Mobile Deposit          First Tech FC CA"/>
    <s v="Business Income (Koolikai):Rent"/>
    <m/>
    <s v="Split"/>
    <m/>
    <x v="37"/>
    <s v="Rent"/>
    <x v="0"/>
    <m/>
    <x v="0"/>
    <m/>
    <s v="Apr"/>
    <n v="2014"/>
    <s v="Monthly"/>
    <n v="0"/>
    <s v="No"/>
    <s v="None"/>
    <s v="Business Income (Koolikai)|Rent"/>
  </r>
  <r>
    <s v="Koolikai - Checking XX2129"/>
    <d v="2014-04-04T00:00:00"/>
    <n v="100"/>
    <s v="X"/>
    <s v="Aaron Ausland"/>
    <m/>
    <s v="Business Expenses (Koolikai):Utilities (Business)"/>
    <m/>
    <s v="Split"/>
    <m/>
    <x v="36"/>
    <s v="Utilities (Business)"/>
    <x v="0"/>
    <m/>
    <x v="0"/>
    <m/>
    <s v="Apr"/>
    <n v="2014"/>
    <s v="Monthly"/>
    <n v="0"/>
    <s v="No"/>
    <s v="None"/>
    <s v="Business Expenses (Koolikai)|Utilities (Business)"/>
  </r>
  <r>
    <s v="MasterCard (Capital One)"/>
    <d v="2014-04-04T00:00:00"/>
    <n v="-4.92"/>
    <s v="X"/>
    <s v="Fresh Table Met"/>
    <s v="2011: FRESH TABLE-MET PARK SEATTLE WA 98101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04T00:00:00"/>
    <n v="-8.1999999999999993"/>
    <s v="X"/>
    <s v="Fresh Table Met"/>
    <s v="2011: FRESH TABLE-MET PARK SEATTLE WA 98101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04T00:00:00"/>
    <n v="-12"/>
    <s v="X"/>
    <s v="Lifetouch"/>
    <s v="School Pictures"/>
    <s v="Home:Furnishings"/>
    <m/>
    <m/>
    <m/>
    <x v="14"/>
    <s v="Furnishings"/>
    <x v="0"/>
    <m/>
    <x v="0"/>
    <m/>
    <s v="Apr"/>
    <n v="2014"/>
    <s v="Monthly"/>
    <n v="0"/>
    <s v="No"/>
    <s v="None"/>
    <s v="Home|Furnishings"/>
  </r>
  <r>
    <s v="MasterCard (Capital One)"/>
    <d v="2014-04-04T00:00:00"/>
    <n v="-12"/>
    <s v="X"/>
    <s v="Lifetouch"/>
    <s v="School Pictures"/>
    <s v="Home:Furnishings"/>
    <m/>
    <m/>
    <m/>
    <x v="14"/>
    <s v="Furnishings"/>
    <x v="0"/>
    <m/>
    <x v="0"/>
    <m/>
    <s v="Apr"/>
    <n v="2014"/>
    <s v="Monthly"/>
    <n v="0"/>
    <s v="No"/>
    <s v="None"/>
    <s v="Home|Furnishings"/>
  </r>
  <r>
    <s v="MasterCard (Capital One)"/>
    <d v="2014-04-04T00:00:00"/>
    <n v="-13.43"/>
    <s v="X"/>
    <s v="Diamond Parking"/>
    <s v="2011: DIAMOND PARKING A176 SEATTLE WA 98121 USA"/>
    <s v="Auto &amp; Transport:Parking"/>
    <m/>
    <m/>
    <m/>
    <x v="17"/>
    <s v="Parking"/>
    <x v="0"/>
    <m/>
    <x v="0"/>
    <m/>
    <s v="Apr"/>
    <n v="2014"/>
    <s v="Monthly"/>
    <n v="0"/>
    <s v="No"/>
    <s v="None"/>
    <s v="Auto &amp; Transport|Parking"/>
  </r>
  <r>
    <s v="MasterCard (Capital One)"/>
    <d v="2014-04-04T00:00:00"/>
    <n v="-25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04T00:00:00"/>
    <n v="-27.38"/>
    <s v="X"/>
    <s v="Company Store"/>
    <s v="Office for Frank"/>
    <s v="Gifts"/>
    <m/>
    <m/>
    <m/>
    <x v="28"/>
    <m/>
    <x v="0"/>
    <m/>
    <x v="0"/>
    <m/>
    <s v="Apr"/>
    <n v="2014"/>
    <s v="Monthly"/>
    <n v="0"/>
    <s v="No"/>
    <s v="None"/>
    <s v="Gifts"/>
  </r>
  <r>
    <s v="MasterCard (Capital One)"/>
    <d v="2014-04-04T00:00:00"/>
    <n v="-27.95"/>
    <s v="X"/>
    <s v="Lifetouch"/>
    <s v="School Pictures"/>
    <s v="Home:Furnishings"/>
    <m/>
    <m/>
    <m/>
    <x v="14"/>
    <s v="Furnishings"/>
    <x v="0"/>
    <m/>
    <x v="0"/>
    <m/>
    <s v="Apr"/>
    <n v="2014"/>
    <s v="Monthly"/>
    <n v="0"/>
    <s v="No"/>
    <s v="None"/>
    <s v="Home|Furnishings"/>
  </r>
  <r>
    <s v="MasterCard (Capital One)"/>
    <d v="2014-04-04T00:00:00"/>
    <n v="-34.86"/>
    <s v="X"/>
    <s v="Federal Express"/>
    <s v="#SFOM Spring Sale# Signs for SFOM @BAL:2759.01@"/>
    <s v="Work Expense:Reimbursable expense"/>
    <m/>
    <m/>
    <m/>
    <x v="19"/>
    <s v="Reimbursable expense"/>
    <x v="0"/>
    <m/>
    <x v="22"/>
    <m/>
    <s v="Apr"/>
    <n v="2014"/>
    <s v="Irregular"/>
    <n v="0"/>
    <s v="No"/>
    <s v="None"/>
    <s v="Work Expense|Reimbursable expense"/>
  </r>
  <r>
    <s v="First Tech - Checking (5544)"/>
    <d v="2014-04-03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Apr"/>
    <n v="2014"/>
    <s v="Monthly"/>
    <n v="0"/>
    <s v="No"/>
    <s v="None"/>
    <s v="Home|Home Services"/>
  </r>
  <r>
    <s v="First Tech - Checking (5544)"/>
    <d v="2014-04-03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Apr"/>
    <n v="2014"/>
    <s v="Monthly"/>
    <n v="0"/>
    <s v="No"/>
    <s v="None"/>
    <s v="Kids|American Funds 529A"/>
  </r>
  <r>
    <s v="Schwab - Checking (9784)"/>
    <d v="2014-04-03T00:00:00"/>
    <n v="-34.770000000000003"/>
    <s v="X"/>
    <s v="Costco"/>
    <m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Schwab - Checking (9784)"/>
    <d v="2014-04-03T00:00:00"/>
    <n v="-181.31"/>
    <s v="X"/>
    <s v="Costco"/>
    <s v="#SFOM Spring Sale# SFOM Sale"/>
    <s v="Work Expense:Reimbursable expense"/>
    <m/>
    <m/>
    <m/>
    <x v="19"/>
    <s v="Reimbursable expense"/>
    <x v="0"/>
    <m/>
    <x v="22"/>
    <m/>
    <s v="Apr"/>
    <n v="2014"/>
    <s v="Irregular"/>
    <n v="0"/>
    <s v="No"/>
    <s v="None"/>
    <s v="Work Expense|Reimbursable expense"/>
  </r>
  <r>
    <s v="MasterCard (Capital One)"/>
    <d v="2014-04-03T00:00:00"/>
    <n v="-3.25"/>
    <s v="X"/>
    <s v="Cafe Redmond Wa"/>
    <s v="2011: CAFE 86 11171386 REDMOND WA 98052 USA"/>
    <s v="Food &amp; Dining:Restaurants"/>
    <m/>
    <m/>
    <m/>
    <x v="15"/>
    <s v="Restaurants"/>
    <x v="0"/>
    <m/>
    <x v="0"/>
    <m/>
    <s v="Apr"/>
    <n v="2014"/>
    <s v="Monthly"/>
    <n v="0"/>
    <s v="No"/>
    <s v="None"/>
    <s v="Food &amp; Dining|Restaurants"/>
  </r>
  <r>
    <s v="MasterCard (Capital One)"/>
    <d v="2014-04-03T00:00:00"/>
    <n v="-10"/>
    <s v="X"/>
    <s v="Walgreens"/>
    <s v="2011: WALGREENS #3515 SEATTLE WA 98103 USA"/>
    <s v="Health &amp; Fitness:Pharmacy/From Receipt"/>
    <m/>
    <m/>
    <s v="From Receipt"/>
    <x v="18"/>
    <s v="Pharmacy"/>
    <x v="0"/>
    <m/>
    <x v="0"/>
    <m/>
    <s v="Apr"/>
    <n v="2014"/>
    <s v="Irregular"/>
    <n v="0"/>
    <s v="No"/>
    <s v="None"/>
    <s v="Health &amp; Fitness|Pharmacy"/>
  </r>
  <r>
    <s v="MasterCard (Capital One)"/>
    <d v="2014-04-03T00:00:00"/>
    <n v="-10.95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Apr"/>
    <n v="2014"/>
    <s v="Monthly"/>
    <n v="0"/>
    <s v="No"/>
    <s v="None"/>
    <s v="Food &amp; Dining|Groceries"/>
  </r>
  <r>
    <s v="MasterCard (Capital One)"/>
    <d v="2014-04-03T00:00:00"/>
    <n v="-100"/>
    <s v="X"/>
    <s v="Eurest"/>
    <s v="2011: CAFE 86 11171386 REDMOND WA 98052 USA"/>
    <s v="Food &amp; Dining:Restaurants/From Receipt"/>
    <m/>
    <m/>
    <s v="From Receipt"/>
    <x v="15"/>
    <s v="Restaurants"/>
    <x v="0"/>
    <m/>
    <x v="0"/>
    <m/>
    <s v="Apr"/>
    <n v="2014"/>
    <s v="Monthly"/>
    <n v="0"/>
    <s v="No"/>
    <s v="None"/>
    <s v="Food &amp; Dining|Restaurants"/>
  </r>
  <r>
    <s v="First Tech - Checking (5544)"/>
    <d v="2014-04-02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Apr"/>
    <n v="2014"/>
    <s v="Monthly"/>
    <n v="0"/>
    <s v="No"/>
    <s v="None"/>
    <s v="Business Expenses (Koolikai)|Mortgage (Business)"/>
  </r>
  <r>
    <s v="First Tech - Checking (5544)"/>
    <d v="2014-04-02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Apr"/>
    <n v="2014"/>
    <s v="Monthly"/>
    <n v="0"/>
    <s v="No"/>
    <s v="None"/>
    <s v="Business Expenses (Koolikai)|Mortgage (Business)"/>
  </r>
  <r>
    <s v="First Tech - Checking (5544)"/>
    <d v="2014-04-02T00:00:00"/>
    <n v="-6892.04"/>
    <s v="X"/>
    <s v="Capital One (Autopay)"/>
    <s v="@CAT:@"/>
    <s v="[MasterCard (Capital One)]"/>
    <m/>
    <m/>
    <m/>
    <x v="38"/>
    <m/>
    <x v="0"/>
    <m/>
    <x v="0"/>
    <m/>
    <s v="Apr"/>
    <n v="2014"/>
    <s v="Account"/>
    <n v="0"/>
    <s v="No"/>
    <s v="None"/>
    <s v="[MasterCard (Capital One)]"/>
  </r>
  <r>
    <s v="MasterCard (Capital One)"/>
    <d v="2014-04-02T00:00:00"/>
    <n v="6892.04"/>
    <s v="X"/>
    <s v="Capital One (Autopay)"/>
    <s v="@CAT:@"/>
    <s v="[First Tech - Checking (5544)]"/>
    <m/>
    <m/>
    <m/>
    <x v="21"/>
    <m/>
    <x v="0"/>
    <m/>
    <x v="0"/>
    <m/>
    <s v="Apr"/>
    <n v="2014"/>
    <s v="Account"/>
    <n v="0"/>
    <s v="No"/>
    <s v="None"/>
    <s v="[First Tech - Checking (5544)]"/>
  </r>
  <r>
    <s v="MasterCard (Capital One)"/>
    <d v="2014-04-02T00:00:00"/>
    <n v="-22.03"/>
    <s v="X"/>
    <s v="Comcast"/>
    <s v="2011: COMCAST CABLE COMM 800-COMCAST WA 98103 USA"/>
    <s v="Bills &amp; Utilities:Television"/>
    <m/>
    <s v="Split"/>
    <m/>
    <x v="34"/>
    <s v="Television"/>
    <x v="0"/>
    <m/>
    <x v="0"/>
    <m/>
    <s v="Apr"/>
    <n v="2014"/>
    <s v="Monthly"/>
    <n v="0"/>
    <s v="No"/>
    <s v="None"/>
    <s v="Bills &amp; Utilities|Television"/>
  </r>
  <r>
    <s v="MasterCard (Capital One)"/>
    <d v="2014-04-02T00:00:00"/>
    <n v="-64.08"/>
    <s v="X"/>
    <s v="Comcast"/>
    <m/>
    <s v="Business Expenses (Koolikai):Internet"/>
    <m/>
    <s v="Split"/>
    <m/>
    <x v="36"/>
    <s v="Internet"/>
    <x v="0"/>
    <m/>
    <x v="0"/>
    <m/>
    <s v="Apr"/>
    <n v="2014"/>
    <s v="Monthly"/>
    <n v="0"/>
    <s v="No"/>
    <s v="None"/>
    <s v="Business Expenses (Koolikai)|Internet"/>
  </r>
  <r>
    <s v="MasterCard (Capital One)"/>
    <d v="2014-04-02T00:00:00"/>
    <n v="-44.05"/>
    <s v="X"/>
    <s v="Comcast"/>
    <m/>
    <s v="Bills &amp; Utilities:Home Phone"/>
    <m/>
    <s v="Split"/>
    <m/>
    <x v="34"/>
    <s v="Home Phone"/>
    <x v="0"/>
    <m/>
    <x v="0"/>
    <m/>
    <s v="Apr"/>
    <n v="2014"/>
    <s v="Monthly"/>
    <n v="0"/>
    <s v="No"/>
    <s v="None"/>
    <s v="Bills &amp; Utilities|Home Phone"/>
  </r>
  <r>
    <s v="First Tech - Checking (5544)"/>
    <d v="2014-04-01T00:00:00"/>
    <n v="46.58"/>
    <s v="X"/>
    <s v="Premera Funding  - Cyc-claims"/>
    <s v="ACH Deposit--PREMERA FUNDING  - CYC-CLAIMS"/>
    <s v="[Premera Health Care Payment]"/>
    <m/>
    <m/>
    <m/>
    <x v="42"/>
    <m/>
    <x v="0"/>
    <m/>
    <x v="0"/>
    <m/>
    <s v="Apr"/>
    <n v="2014"/>
    <s v="Account"/>
    <n v="0"/>
    <s v="No"/>
    <s v="None"/>
    <s v="[Premera Health Care Payment]"/>
  </r>
  <r>
    <s v="First Tech - Checking (5544)"/>
    <d v="2014-04-01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Apr"/>
    <n v="2014"/>
    <s v="Monthly"/>
    <n v="0"/>
    <s v="No"/>
    <s v="None"/>
    <s v="Kids|Daycare"/>
  </r>
  <r>
    <s v="Koolikai - Checking XX2129"/>
    <d v="2014-04-01T00:00:00"/>
    <n v="2195"/>
    <s v="X"/>
    <s v="Valerie Shaibley"/>
    <m/>
    <s v="Business Income (Koolikai):Rent/9602"/>
    <m/>
    <m/>
    <n v="9602"/>
    <x v="37"/>
    <s v="Rent"/>
    <x v="0"/>
    <m/>
    <x v="0"/>
    <m/>
    <s v="Apr"/>
    <n v="2014"/>
    <s v="Monthly"/>
    <n v="0"/>
    <s v="No"/>
    <s v="None"/>
    <s v="Business Income (Koolikai)|Rent"/>
  </r>
  <r>
    <s v="MasterCard (Capital One)"/>
    <d v="2014-04-01T00:00:00"/>
    <n v="-18.66"/>
    <s v="X"/>
    <s v="Scholastic"/>
    <s v="2011: SCHOLASTIC BOOK FAIRS LAKE MARY FL 32746 USA"/>
    <s v="Shopping:Books"/>
    <m/>
    <m/>
    <m/>
    <x v="13"/>
    <s v="Books"/>
    <x v="0"/>
    <m/>
    <x v="0"/>
    <m/>
    <s v="Apr"/>
    <n v="2014"/>
    <s v="Unplanned"/>
    <n v="0"/>
    <s v="No"/>
    <s v="None"/>
    <s v="Shopping|Books"/>
  </r>
  <r>
    <s v="Premera Health Care Payment"/>
    <d v="2014-04-01T00:00:00"/>
    <n v="-46.58"/>
    <m/>
    <s v="Premera Funding  - Cyc-claims"/>
    <s v="ACH Deposit--PREMERA FUNDING  - CYC-CLAIMS"/>
    <s v="[First Tech - Checking (5544)]"/>
    <m/>
    <m/>
    <m/>
    <x v="21"/>
    <m/>
    <x v="0"/>
    <m/>
    <x v="0"/>
    <m/>
    <s v="Apr"/>
    <n v="2014"/>
    <s v="Account"/>
    <n v="0"/>
    <s v="No"/>
    <s v="None"/>
    <s v="[First Tech - Checking (5544)]"/>
  </r>
  <r>
    <s v="Capital One - Investment (6759)"/>
    <d v="2014-03-31T00:00:00"/>
    <n v="20"/>
    <s v="X"/>
    <s v="Capital One (Interest Income)"/>
    <s v="@CAT:@"/>
    <s v="Interest Income"/>
    <s v="INT"/>
    <m/>
    <m/>
    <x v="40"/>
    <m/>
    <x v="0"/>
    <m/>
    <x v="0"/>
    <m/>
    <s v="Mar"/>
    <n v="2014"/>
    <s v="Monthly"/>
    <n v="0"/>
    <s v="No"/>
    <s v="None"/>
    <s v="Interest Income"/>
  </r>
  <r>
    <s v="Capital One - Long Term Emergency (1201)"/>
    <d v="2014-03-31T00:00:00"/>
    <n v="50.2"/>
    <s v="X"/>
    <s v="Capital One (Interest Income)"/>
    <s v="@CAT:@"/>
    <s v="Interest Income"/>
    <s v="INT"/>
    <m/>
    <m/>
    <x v="40"/>
    <m/>
    <x v="0"/>
    <m/>
    <x v="0"/>
    <m/>
    <s v="Mar"/>
    <n v="2014"/>
    <s v="Monthly"/>
    <n v="0"/>
    <s v="No"/>
    <s v="None"/>
    <s v="Interest Income"/>
  </r>
  <r>
    <s v="Capital One - Secondary Savings (3126)"/>
    <d v="2014-03-31T00:00:00"/>
    <n v="0.02"/>
    <s v="X"/>
    <s v="Capital One (Interest Income)"/>
    <s v="@CAT:@"/>
    <s v="Interest Income"/>
    <s v="INT"/>
    <m/>
    <m/>
    <x v="40"/>
    <m/>
    <x v="0"/>
    <m/>
    <x v="0"/>
    <m/>
    <s v="Mar"/>
    <n v="2014"/>
    <s v="Monthly"/>
    <n v="0"/>
    <s v="No"/>
    <s v="None"/>
    <s v="Interest Income"/>
  </r>
  <r>
    <s v="Capital One - Vacation (4959)"/>
    <d v="2014-03-31T00:00:00"/>
    <n v="2.13"/>
    <s v="X"/>
    <s v="Capital One (Interest Income)"/>
    <s v="@CAT:@"/>
    <s v="Interest Income"/>
    <s v="INT"/>
    <m/>
    <m/>
    <x v="40"/>
    <m/>
    <x v="0"/>
    <m/>
    <x v="0"/>
    <m/>
    <s v="Mar"/>
    <n v="2014"/>
    <s v="Monthly"/>
    <n v="0"/>
    <s v="No"/>
    <s v="None"/>
    <s v="Interest Income"/>
  </r>
  <r>
    <s v="First Tech - Short Term Emergency (5400)"/>
    <d v="2014-03-31T00:00:00"/>
    <n v="0.01"/>
    <s v="X"/>
    <s v="First Tech (Dividend)"/>
    <s v="@CAT:@"/>
    <s v="Interest Income"/>
    <m/>
    <m/>
    <m/>
    <x v="40"/>
    <m/>
    <x v="0"/>
    <m/>
    <x v="0"/>
    <m/>
    <s v="Mar"/>
    <n v="2014"/>
    <s v="Monthly"/>
    <n v="0"/>
    <s v="No"/>
    <s v="None"/>
    <s v="Interest Income"/>
  </r>
  <r>
    <s v="Koolikai - Sec Dep XX1200"/>
    <d v="2014-03-31T00:00:00"/>
    <n v="0.19"/>
    <s v="X"/>
    <s v="First Tech (Dividend)"/>
    <s v="@CAT:@"/>
    <s v="Interest Income"/>
    <m/>
    <m/>
    <m/>
    <x v="40"/>
    <m/>
    <x v="0"/>
    <m/>
    <x v="0"/>
    <m/>
    <s v="Mar"/>
    <n v="2014"/>
    <s v="Monthly"/>
    <n v="0"/>
    <s v="No"/>
    <s v="None"/>
    <s v="Interest Income"/>
  </r>
  <r>
    <s v="Schwab - Checking (9784)"/>
    <d v="2014-03-31T00:00:00"/>
    <n v="0.13"/>
    <s v="X"/>
    <s v="Interest Paid"/>
    <m/>
    <s v="Interest Income"/>
    <m/>
    <m/>
    <m/>
    <x v="40"/>
    <m/>
    <x v="0"/>
    <m/>
    <x v="0"/>
    <m/>
    <s v="Mar"/>
    <n v="2014"/>
    <s v="Monthly"/>
    <n v="0"/>
    <s v="No"/>
    <s v="None"/>
    <s v="Interest Income"/>
  </r>
  <r>
    <s v="Schwab - Checking (9784)"/>
    <d v="2014-03-31T00:00:00"/>
    <n v="2"/>
    <s v="X"/>
    <s v="ATM Fee Refund"/>
    <s v="@CAT:@@BAL:$1489.95@"/>
    <s v="Bank Fees &amp; Charges:ATM Fee"/>
    <m/>
    <m/>
    <m/>
    <x v="32"/>
    <s v="ATM Fee"/>
    <x v="0"/>
    <m/>
    <x v="0"/>
    <m/>
    <s v="Mar"/>
    <n v="2014"/>
    <s v="Monthly"/>
    <n v="0"/>
    <s v="No"/>
    <s v="None"/>
    <s v="Bank Fees &amp; Charges|ATM Fee"/>
  </r>
  <r>
    <s v="First Tech - Checking (5544)"/>
    <d v="2014-03-30T00:00:00"/>
    <n v="3165.2"/>
    <s v="X"/>
    <s v="Microsoft (Paystub)"/>
    <s v="ACH Deposit--MICROSOFT  - EDIPAYMENT"/>
    <s v="Net Salary"/>
    <m/>
    <m/>
    <m/>
    <x v="35"/>
    <m/>
    <x v="0"/>
    <m/>
    <x v="0"/>
    <m/>
    <s v="Mar"/>
    <n v="2014"/>
    <s v="Monthly"/>
    <n v="0"/>
    <s v="No"/>
    <s v="None"/>
    <s v="Net Salary"/>
  </r>
  <r>
    <s v="First Tech - Checking (5544)"/>
    <d v="2014-03-30T00:00:00"/>
    <n v="6195.6"/>
    <s v="X"/>
    <s v="CRAB (Paystub)"/>
    <s v="ACH Deposit--Cancer Research  - Payroll"/>
    <s v="Net Salary"/>
    <m/>
    <m/>
    <m/>
    <x v="35"/>
    <m/>
    <x v="0"/>
    <m/>
    <x v="0"/>
    <m/>
    <s v="Mar"/>
    <n v="2014"/>
    <s v="Monthly"/>
    <n v="0"/>
    <s v="No"/>
    <s v="None"/>
    <s v="Net Salary"/>
  </r>
  <r>
    <s v="MasterCard (Capital One)"/>
    <d v="2014-03-30T00:00:00"/>
    <n v="-34"/>
    <s v="X"/>
    <s v="Rudys Barber Shop"/>
    <s v="2011: RUDYS BARBER SHOP - PH SEATTLE WA 98103 USA"/>
    <s v="Personal Care:Hair"/>
    <m/>
    <m/>
    <m/>
    <x v="31"/>
    <s v="Hair"/>
    <x v="0"/>
    <m/>
    <x v="0"/>
    <m/>
    <s v="Mar"/>
    <n v="2014"/>
    <s v="Monthly"/>
    <n v="0"/>
    <s v="No"/>
    <s v="None"/>
    <s v="Personal Care|Hair"/>
  </r>
  <r>
    <s v="MasterCard (Capital One)"/>
    <d v="2014-03-29T00:00:00"/>
    <n v="-54.5"/>
    <s v="X"/>
    <s v="Wa Parksreservationswe Olympia"/>
    <s v="#Moran State Park#"/>
    <s v="Vacation:Lodging"/>
    <m/>
    <m/>
    <m/>
    <x v="23"/>
    <s v="Lodging"/>
    <x v="0"/>
    <m/>
    <x v="23"/>
    <m/>
    <s v="Mar"/>
    <n v="2014"/>
    <s v="Irregular"/>
    <n v="0"/>
    <s v="No"/>
    <s v="None"/>
    <s v="Vacation|Lodging"/>
  </r>
  <r>
    <s v="MasterCard (Capital One)"/>
    <d v="2014-03-29T00:00:00"/>
    <n v="-63.93"/>
    <s v="X"/>
    <s v="Hecho Seattle Wa"/>
    <s v="2011: HECHO SEATTLE WA 98103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29T00:00:00"/>
    <n v="-19.260000000000002"/>
    <s v="X"/>
    <s v="Fred Meyer"/>
    <s v="2011: FRED-MEYER #0122 SEATTLE WA 98117 USA"/>
    <s v="Gifts/From Receipt"/>
    <m/>
    <s v="Split"/>
    <s v="From Receipt"/>
    <x v="28"/>
    <m/>
    <x v="0"/>
    <m/>
    <x v="0"/>
    <m/>
    <s v="Mar"/>
    <n v="2014"/>
    <s v="Monthly"/>
    <n v="0"/>
    <s v="No"/>
    <s v="None"/>
    <s v="Gifts"/>
  </r>
  <r>
    <s v="MasterCard (Capital One)"/>
    <d v="2014-03-29T00:00:00"/>
    <n v="-104.07"/>
    <s v="X"/>
    <s v="Fred Meyer"/>
    <m/>
    <s v="Food &amp; Dining:Groceries/From Receipt"/>
    <m/>
    <s v="Split"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First Tech - Checking (5544)"/>
    <d v="2014-03-28T00:00:00"/>
    <n v="-60"/>
    <s v="X"/>
    <s v="Sue Shoedel"/>
    <s v="Check--"/>
    <s v="Kids:Babysitter"/>
    <n v="2298"/>
    <m/>
    <m/>
    <x v="27"/>
    <s v="Babysitter"/>
    <x v="0"/>
    <m/>
    <x v="0"/>
    <m/>
    <s v="Mar"/>
    <n v="2014"/>
    <s v="Monthly"/>
    <n v="0"/>
    <s v="No"/>
    <s v="None"/>
    <s v="Kids|Babysitter"/>
  </r>
  <r>
    <s v="MasterCard (Capital One)"/>
    <d v="2014-03-28T00:00:00"/>
    <n v="-13.43"/>
    <s v="X"/>
    <s v="Diamond Parking"/>
    <s v="2011: DIAMOND PARKING A176 SEATTLE WA 98121 USA"/>
    <s v="Auto &amp; Transport:Parking"/>
    <m/>
    <m/>
    <m/>
    <x v="17"/>
    <s v="Parking"/>
    <x v="0"/>
    <m/>
    <x v="0"/>
    <m/>
    <s v="Mar"/>
    <n v="2014"/>
    <s v="Monthly"/>
    <n v="0"/>
    <s v="No"/>
    <s v="None"/>
    <s v="Auto &amp; Transport|Parking"/>
  </r>
  <r>
    <s v="MasterCard (Capital One)"/>
    <d v="2014-03-27T00:00:00"/>
    <n v="-4"/>
    <s v="X"/>
    <s v="Premier Parking"/>
    <s v="2011: PREMIER PARKING MARION NASHVILLE TN 372093602 USA"/>
    <s v="Auto &amp; Transport:Parking/From Receipt"/>
    <m/>
    <m/>
    <s v="From Receipt"/>
    <x v="17"/>
    <s v="Parking"/>
    <x v="0"/>
    <m/>
    <x v="0"/>
    <m/>
    <s v="Mar"/>
    <n v="2014"/>
    <s v="Monthly"/>
    <n v="0"/>
    <s v="No"/>
    <s v="None"/>
    <s v="Auto &amp; Transport|Parking"/>
  </r>
  <r>
    <s v="MasterCard (Capital One)"/>
    <d v="2014-03-27T00:00:00"/>
    <n v="-50"/>
    <s v="X"/>
    <s v="Good Go Replenishment"/>
    <s v="2011: GOOD2GO REPLENISHMENT 08669368246 WA 98105 USA"/>
    <s v="Auto &amp; Transport:Tolls"/>
    <m/>
    <m/>
    <m/>
    <x v="17"/>
    <s v="Tolls"/>
    <x v="0"/>
    <m/>
    <x v="0"/>
    <m/>
    <s v="Mar"/>
    <n v="2014"/>
    <s v="Irregular"/>
    <n v="0"/>
    <s v="No"/>
    <s v="None"/>
    <s v="Auto &amp; Transport|Tolls"/>
  </r>
  <r>
    <s v="MasterCard (Capital One)"/>
    <d v="2014-03-26T00:00:00"/>
    <n v="-163.13"/>
    <s v="X"/>
    <s v="Esi Pharm Columbus 08002822881 O"/>
    <s v="2011: ESI PHARM COLUMBUS 08002822881 OH 43228 USA"/>
    <s v="Health &amp; Fitness:Pharmacy"/>
    <m/>
    <m/>
    <m/>
    <x v="18"/>
    <s v="Pharmacy"/>
    <x v="0"/>
    <m/>
    <x v="0"/>
    <m/>
    <s v="Mar"/>
    <n v="2014"/>
    <s v="Irregular"/>
    <n v="0"/>
    <s v="No"/>
    <s v="None"/>
    <s v="Health &amp; Fitness|Pharmacy"/>
  </r>
  <r>
    <s v="MasterCard (Capital One)"/>
    <d v="2014-03-26T00:00:00"/>
    <n v="-3.5"/>
    <s v="X"/>
    <s v="Seattle Park Seattle"/>
    <s v="2011: SEATTLE 684-PARK SEATTLE WA 98104 USA"/>
    <s v="Auto &amp; Transport:Parking"/>
    <m/>
    <m/>
    <m/>
    <x v="17"/>
    <s v="Parking"/>
    <x v="0"/>
    <m/>
    <x v="0"/>
    <m/>
    <s v="Mar"/>
    <n v="2014"/>
    <s v="Monthly"/>
    <n v="0"/>
    <s v="No"/>
    <s v="None"/>
    <s v="Auto &amp; Transport|Parking"/>
  </r>
  <r>
    <s v="MasterCard (Capital One)"/>
    <d v="2014-03-25T00:00:00"/>
    <n v="-10.029999999999999"/>
    <s v="X"/>
    <s v="Taco Del Mar Greenwood Seattle W"/>
    <s v="2011: TACO DEL MAR GREENWOOD SEATTLE WA 98103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First Tech - Checking (5544)"/>
    <d v="2014-03-24T00:00:00"/>
    <n v="-7.65"/>
    <s v="X"/>
    <s v="Discover Dc Pymnts"/>
    <s v="ACH Debit--DISCOVER DC PYMNTS DCIDPIINT - E-PAYMENT"/>
    <s v="[Discover Card]"/>
    <m/>
    <m/>
    <m/>
    <x v="24"/>
    <m/>
    <x v="0"/>
    <m/>
    <x v="0"/>
    <m/>
    <s v="Mar"/>
    <n v="2014"/>
    <s v="Account"/>
    <n v="0"/>
    <s v="No"/>
    <s v="None"/>
    <s v="[Discover Card]"/>
  </r>
  <r>
    <s v="First Tech - Checking (5544)"/>
    <d v="2014-03-24T00:00:00"/>
    <n v="-40"/>
    <s v="X"/>
    <s v="Edward Jones"/>
    <s v="ACH Debit--EDWARD JONES  - INVESTMENT"/>
    <s v="Financial:Financial Advisor"/>
    <m/>
    <m/>
    <m/>
    <x v="50"/>
    <s v="Financial Advisor"/>
    <x v="0"/>
    <m/>
    <x v="0"/>
    <m/>
    <s v="Mar"/>
    <n v="2014"/>
    <s v="Irregular"/>
    <n v="0"/>
    <s v="No"/>
    <s v="None"/>
    <s v="Financial|Financial Advisor"/>
  </r>
  <r>
    <s v="Koolikai - Checking XX2129"/>
    <d v="2014-03-24T00:00:00"/>
    <n v="-321.12"/>
    <s v="X"/>
    <s v="Chase - Koolikai (Autopay)"/>
    <s v="ACH Debit--CHASE  - AUTOPAYBUS"/>
    <s v="[Koolikai Credit Card]"/>
    <m/>
    <m/>
    <m/>
    <x v="9"/>
    <m/>
    <x v="0"/>
    <m/>
    <x v="0"/>
    <m/>
    <s v="Mar"/>
    <n v="2014"/>
    <s v="Account"/>
    <n v="0"/>
    <s v="No"/>
    <s v="None"/>
    <s v="[Koolikai Credit Card]"/>
  </r>
  <r>
    <s v="Koolikai Credit Card"/>
    <d v="2014-03-24T00:00:00"/>
    <n v="321.12"/>
    <s v="X"/>
    <s v="Chase - Koolikai (Autopay)"/>
    <s v="ACH Debit--CHASE  - AUTOPAYBUS"/>
    <s v="[Koolikai - Checking XX2129]"/>
    <m/>
    <m/>
    <m/>
    <x v="25"/>
    <m/>
    <x v="0"/>
    <m/>
    <x v="0"/>
    <m/>
    <s v="Mar"/>
    <n v="2014"/>
    <s v="Account"/>
    <n v="0"/>
    <s v="No"/>
    <s v="None"/>
    <s v="[Koolikai - Checking XX2129]"/>
  </r>
  <r>
    <s v="MasterCard (Capital One)"/>
    <d v="2014-03-24T00:00:00"/>
    <n v="-116.5"/>
    <s v="X"/>
    <s v="Raceit Beat Blerc"/>
    <s v="#Stay Fit# Beat the Blerch Run"/>
    <s v="Health &amp; Fitness:Sports"/>
    <m/>
    <m/>
    <m/>
    <x v="18"/>
    <s v="Sports"/>
    <x v="0"/>
    <m/>
    <x v="5"/>
    <m/>
    <s v="Mar"/>
    <n v="2014"/>
    <s v="Irregular"/>
    <n v="0"/>
    <s v="No"/>
    <s v="None"/>
    <s v="Health &amp; Fitness|Sports"/>
  </r>
  <r>
    <s v="Discover Card"/>
    <d v="2014-03-23T00:00:00"/>
    <n v="7.65"/>
    <s v="X"/>
    <s v="Directpay Full Balance"/>
    <m/>
    <s v="[First Tech - Checking (5544)]"/>
    <m/>
    <m/>
    <m/>
    <x v="21"/>
    <m/>
    <x v="0"/>
    <m/>
    <x v="0"/>
    <m/>
    <s v="Mar"/>
    <n v="2014"/>
    <s v="Account"/>
    <n v="0"/>
    <s v="No"/>
    <s v="None"/>
    <s v="[First Tech - Checking (5544)]"/>
  </r>
  <r>
    <s v="MasterCard (Capital One)"/>
    <d v="2014-03-23T00:00:00"/>
    <n v="25"/>
    <s v="X"/>
    <s v="Capital One (Cash Back)"/>
    <s v="Cash back credit entered manually"/>
    <s v="Other Inc"/>
    <m/>
    <m/>
    <m/>
    <x v="29"/>
    <m/>
    <x v="0"/>
    <m/>
    <x v="0"/>
    <m/>
    <s v="Mar"/>
    <n v="2014"/>
    <s v="Monthly"/>
    <n v="0"/>
    <s v="No"/>
    <s v="None"/>
    <s v="Other Inc"/>
  </r>
  <r>
    <s v="MasterCard (Capital One)"/>
    <d v="2014-03-23T00:00:00"/>
    <n v="-11.45"/>
    <s v="X"/>
    <s v="Bluebird Ice Cream"/>
    <m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22T00:00:00"/>
    <n v="-3.14"/>
    <s v="X"/>
    <s v="Seattle Park Seattle"/>
    <s v="2011: SEATTLE 684-PARK SEATTLE WA 98104 USA"/>
    <s v="Auto &amp; Transport:Parking"/>
    <m/>
    <m/>
    <m/>
    <x v="17"/>
    <s v="Parking"/>
    <x v="0"/>
    <m/>
    <x v="0"/>
    <m/>
    <s v="Mar"/>
    <n v="2014"/>
    <s v="Monthly"/>
    <n v="0"/>
    <s v="No"/>
    <s v="None"/>
    <s v="Auto &amp; Transport|Parking"/>
  </r>
  <r>
    <s v="MasterCard (Capital One)"/>
    <d v="2014-03-22T00:00:00"/>
    <n v="-60.35"/>
    <s v="X"/>
    <s v="Pesos Seattle Wa"/>
    <m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22T00:00:00"/>
    <n v="-79.819999999999993"/>
    <s v="X"/>
    <s v="Fred Meyer"/>
    <m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First Tech - Checking (5544)"/>
    <d v="2014-03-21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Mar"/>
    <n v="2014"/>
    <s v="Monthly"/>
    <n v="0"/>
    <s v="No"/>
    <s v="None"/>
    <s v="Auto &amp; Transport|Auto Lease Payment"/>
  </r>
  <r>
    <s v="MasterCard (Capital One)"/>
    <d v="2014-03-21T00:00:00"/>
    <n v="-455"/>
    <s v="X"/>
    <s v="Seattle Gymnastic Academy"/>
    <s v="2011: SEATTLE GYMNASTIC COLU 02067087497 WA 98118 USA"/>
    <s v="Kids:Kids Activities"/>
    <m/>
    <m/>
    <m/>
    <x v="27"/>
    <s v="Kids Activities"/>
    <x v="0"/>
    <m/>
    <x v="0"/>
    <m/>
    <s v="Mar"/>
    <n v="2014"/>
    <s v="Monthly"/>
    <n v="0"/>
    <s v="No"/>
    <s v="None"/>
    <s v="Kids|Kids Activities"/>
  </r>
  <r>
    <s v="MasterCard (Capital One)"/>
    <d v="2014-03-21T00:00:00"/>
    <n v="-16.41"/>
    <s v="X"/>
    <s v="Fred Meyer"/>
    <m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21T00:00:00"/>
    <n v="-72.28"/>
    <s v="X"/>
    <s v="Barking Dog Alehouse"/>
    <m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20T00:00:00"/>
    <n v="-12.71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20T00:00:00"/>
    <n v="-10.93"/>
    <s v="X"/>
    <s v="Walgreens"/>
    <s v="2011: WALGREENS #3515 SEATTLE WA 98103 USA"/>
    <s v="Business Expenses (Koolikai):Supplies (Business)/From Receipt"/>
    <m/>
    <s v="Split"/>
    <s v="From Receipt"/>
    <x v="36"/>
    <s v="Supplies (Business)"/>
    <x v="0"/>
    <m/>
    <x v="0"/>
    <m/>
    <s v="Mar"/>
    <n v="2014"/>
    <s v="Irregular"/>
    <n v="0"/>
    <s v="No"/>
    <s v="None"/>
    <s v="Business Expenses (Koolikai)|Supplies (Business)"/>
  </r>
  <r>
    <s v="MasterCard (Capital One)"/>
    <d v="2014-03-20T00:00:00"/>
    <n v="-10"/>
    <s v="X"/>
    <s v="Walgreens"/>
    <m/>
    <s v="Health &amp; Fitness:Pharmacy/From Receipt"/>
    <m/>
    <s v="Split"/>
    <s v="From Receipt"/>
    <x v="18"/>
    <s v="Pharmacy"/>
    <x v="0"/>
    <m/>
    <x v="0"/>
    <m/>
    <s v="Mar"/>
    <n v="2014"/>
    <s v="Irregular"/>
    <n v="0"/>
    <s v="No"/>
    <s v="None"/>
    <s v="Health &amp; Fitness|Pharmacy"/>
  </r>
  <r>
    <s v="First Tech - Checking (5544)"/>
    <d v="2014-03-19T00:00:00"/>
    <n v="0"/>
    <s v="X"/>
    <s v="Balanced"/>
    <s v="@CAT:@"/>
    <s v="[First Tech - Checking (5544)]"/>
    <m/>
    <m/>
    <m/>
    <x v="21"/>
    <m/>
    <x v="0"/>
    <m/>
    <x v="0"/>
    <m/>
    <s v="Mar"/>
    <n v="2014"/>
    <s v="Account"/>
    <n v="0"/>
    <s v="No"/>
    <s v="None"/>
    <s v="[First Tech - Checking (5544)]"/>
  </r>
  <r>
    <s v="MasterCard (Capital One)"/>
    <d v="2014-03-19T00:00:00"/>
    <n v="-18.96"/>
    <s v="X"/>
    <s v="Fred Meyer"/>
    <s v="2011: FRED-MEYER #0122 SEATTLE WA 98117 USA"/>
    <s v="Business Expenses (Koolikai):Supplies (Business)/From Receipt"/>
    <m/>
    <s v="Split"/>
    <s v="From Receipt"/>
    <x v="36"/>
    <s v="Supplies (Business)"/>
    <x v="0"/>
    <m/>
    <x v="0"/>
    <m/>
    <s v="Mar"/>
    <n v="2014"/>
    <s v="Irregular"/>
    <n v="0"/>
    <s v="No"/>
    <s v="None"/>
    <s v="Business Expenses (Koolikai)|Supplies (Business)"/>
  </r>
  <r>
    <s v="MasterCard (Capital One)"/>
    <d v="2014-03-19T00:00:00"/>
    <n v="-48.16"/>
    <s v="X"/>
    <s v="Fred Meyer"/>
    <m/>
    <s v="Food &amp; Dining:Groceries/From Receipt"/>
    <m/>
    <s v="Split"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First Tech - Checking (5544)"/>
    <d v="2014-03-18T00:00:00"/>
    <n v="-177.29"/>
    <s v="X"/>
    <s v="Seattle City Light"/>
    <s v="ACH Debit--CITY OF SEATTLE  - 1 - SCL De"/>
    <s v="Bills &amp; Utilities:Utilities"/>
    <m/>
    <m/>
    <m/>
    <x v="34"/>
    <s v="Utilities"/>
    <x v="0"/>
    <m/>
    <x v="0"/>
    <m/>
    <s v="Mar"/>
    <n v="2014"/>
    <s v="Monthly"/>
    <n v="0"/>
    <s v="No"/>
    <s v="None"/>
    <s v="Bills &amp; Utilities|Utilities"/>
  </r>
  <r>
    <s v="First Tech - Checking (5544)"/>
    <d v="2014-03-17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Mar"/>
    <n v="2014"/>
    <s v="Monthly"/>
    <n v="0"/>
    <s v="No"/>
    <s v="None"/>
    <s v="Home|Home Services"/>
  </r>
  <r>
    <s v="MasterCard (Capital One)"/>
    <d v="2014-03-17T00:00:00"/>
    <n v="-6.23"/>
    <s v="X"/>
    <s v="Ken's Market"/>
    <s v="2011: KEN'S MARKET #75-116 SEATTLE WA 98103 USA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Chase Freedom XX9381"/>
    <d v="2014-03-16T00:00:00"/>
    <n v="-100"/>
    <s v="X"/>
    <s v="Starbucks"/>
    <s v="2011: STARBUCKS #00104 SEATT Seattle WA 981011448 USA"/>
    <s v="Food &amp; Dining:Restaurants/From Receipt"/>
    <m/>
    <m/>
    <s v="From Receipt"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6T00:00:00"/>
    <n v="-15.75"/>
    <s v="X"/>
    <s v="Haggen"/>
    <s v="2011: HAGGEN FOOD #43 BELLINGHAM WA 98225 USA"/>
    <s v="Food &amp; Dining:Restaurants/From Receipt"/>
    <m/>
    <m/>
    <s v="From Receipt"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5T00:00:00"/>
    <n v="-14.08"/>
    <s v="X"/>
    <s v="Carter's"/>
    <s v="2011: CARTER'S #663 BURLINGTON WA 98233 USA"/>
    <s v="Kids:Clothing/From Receipt"/>
    <m/>
    <m/>
    <s v="From Receipt"/>
    <x v="27"/>
    <s v="Clothing"/>
    <x v="0"/>
    <m/>
    <x v="0"/>
    <m/>
    <s v="Mar"/>
    <n v="2014"/>
    <s v="Monthly"/>
    <n v="0"/>
    <s v="No"/>
    <s v="None"/>
    <s v="Kids|Clothing"/>
  </r>
  <r>
    <s v="MasterCard (Capital One)"/>
    <d v="2014-03-15T00:00:00"/>
    <n v="-17.22"/>
    <s v="X"/>
    <s v="Taco Time"/>
    <s v="2011: TACO TIME LYNDEN LYNDEN WA 98264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5T00:00:00"/>
    <n v="-22.52"/>
    <s v="X"/>
    <s v="Osh Kosh"/>
    <s v="2011: OSH KOSH #198 BURLINGTON WA 98233 USA"/>
    <s v="Kids:Clothing/From Receipt"/>
    <m/>
    <m/>
    <s v="From Receipt"/>
    <x v="27"/>
    <s v="Clothing"/>
    <x v="0"/>
    <m/>
    <x v="0"/>
    <m/>
    <s v="Mar"/>
    <n v="2014"/>
    <s v="Monthly"/>
    <n v="0"/>
    <s v="No"/>
    <s v="None"/>
    <s v="Kids|Clothing"/>
  </r>
  <r>
    <s v="First Tech - Checking (5544)"/>
    <d v="2014-03-14T00:00:00"/>
    <n v="-150.02000000000001"/>
    <s v="X"/>
    <s v="Puget Sound Energy"/>
    <s v="ACH Debit--PUGET SOUND ENER DIRECT DEBITING - PSE BILL  10000317"/>
    <s v="Bills &amp; Utilities:Utilities"/>
    <m/>
    <m/>
    <m/>
    <x v="34"/>
    <s v="Utilities"/>
    <x v="0"/>
    <m/>
    <x v="0"/>
    <m/>
    <s v="Mar"/>
    <n v="2014"/>
    <s v="Monthly"/>
    <n v="0"/>
    <s v="No"/>
    <s v="None"/>
    <s v="Bills &amp; Utilities|Utilities"/>
  </r>
  <r>
    <s v="Chase Freedom XX9381"/>
    <d v="2014-03-14T00:00:00"/>
    <n v="0"/>
    <s v="X"/>
    <s v="Opening Balance"/>
    <m/>
    <s v="[Chase Freedom XX9381]"/>
    <m/>
    <m/>
    <m/>
    <x v="7"/>
    <m/>
    <x v="0"/>
    <m/>
    <x v="0"/>
    <m/>
    <s v="Mar"/>
    <n v="2014"/>
    <e v="#N/A"/>
    <e v="#N/A"/>
    <e v="#N/A"/>
    <e v="#N/A"/>
    <s v="[Chase Freedom XX9381]"/>
  </r>
  <r>
    <s v="MasterCard (Capital One)"/>
    <d v="2014-03-14T00:00:00"/>
    <n v="-5.42"/>
    <s v="X"/>
    <s v="Twirl Play Cafe"/>
    <s v="2011: TWIRL PLAY CAFE SEATTLE WA 98119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4T00:00:00"/>
    <n v="-30.28"/>
    <s v="X"/>
    <s v="Twirl Play Cafe"/>
    <s v="2011: TWIRL PLAY CAFE SEATTLE WA 98119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4T00:00:00"/>
    <n v="-31.83"/>
    <s v="X"/>
    <s v="The Hi-life Restaurant"/>
    <s v="2011: THEHILIFE SEATTLE WA 98107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4T00:00:00"/>
    <n v="-71.88"/>
    <s v="X"/>
    <s v="Top Ten Toys"/>
    <s v="2011: TOP TEN TOYS SEATTLE WA 98103 USA"/>
    <s v="Kids:Toys"/>
    <m/>
    <m/>
    <m/>
    <x v="27"/>
    <s v="Toys"/>
    <x v="0"/>
    <m/>
    <x v="0"/>
    <m/>
    <s v="Mar"/>
    <n v="2014"/>
    <s v="Monthly"/>
    <n v="0"/>
    <s v="No"/>
    <s v="None"/>
    <s v="Kids|Toys"/>
  </r>
  <r>
    <s v="First Tech - Checking (5544)"/>
    <d v="2014-03-13T00:00:00"/>
    <n v="3165.19"/>
    <s v="X"/>
    <s v="Microsoft (Paystub)"/>
    <s v="ACH Deposit--MICROSOFT  - EDIPAYMENT"/>
    <s v="Net Salary"/>
    <m/>
    <m/>
    <m/>
    <x v="35"/>
    <m/>
    <x v="0"/>
    <m/>
    <x v="0"/>
    <m/>
    <s v="Mar"/>
    <n v="2014"/>
    <s v="Monthly"/>
    <n v="0"/>
    <s v="No"/>
    <s v="None"/>
    <s v="Net Salary"/>
  </r>
  <r>
    <s v="MasterCard (Capital One)"/>
    <d v="2014-03-13T00:00:00"/>
    <n v="-3.99"/>
    <s v="X"/>
    <s v="Ken's Market"/>
    <s v="2011: KEN'S MARKET #75-116 SEATTLE WA 98103 USA"/>
    <s v="Food &amp; Dining:Groceries"/>
    <m/>
    <m/>
    <m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13T00:00:00"/>
    <n v="-10.84"/>
    <s v="X"/>
    <s v="D Ambrosio Gelato"/>
    <s v="2011: D AMBROSIO GELATO SEATTLE WA 98107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3T00:00:00"/>
    <n v="-18.329999999999998"/>
    <s v="X"/>
    <s v="Skillet Diner Seattle"/>
    <s v="2011: SKILLET DINER SEATTLE WA 98107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Koolikai Credit Card"/>
    <d v="2014-03-12T00:00:00"/>
    <n v="-146.69999999999999"/>
    <s v="X"/>
    <s v="Verizon Wireless"/>
    <m/>
    <s v="Business Expenses (Koolikai):Cell Phone"/>
    <m/>
    <m/>
    <m/>
    <x v="36"/>
    <s v="Cell Phone"/>
    <x v="0"/>
    <m/>
    <x v="0"/>
    <m/>
    <s v="Mar"/>
    <n v="2014"/>
    <s v="Monthly"/>
    <n v="0"/>
    <s v="No"/>
    <s v="None"/>
    <s v="Business Expenses (Koolikai)|Cell Phone"/>
  </r>
  <r>
    <s v="MasterCard (Capital One)"/>
    <d v="2014-03-12T00:00:00"/>
    <n v="-10.94"/>
    <s v="X"/>
    <s v="Fresh Table Met"/>
    <s v="2011: FRESH TABLE-MET PARK SEATTLE WA 98101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12T00:00:00"/>
    <n v="-20"/>
    <s v="X"/>
    <s v="Starbucks"/>
    <s v="2011: STARBUCKS #00104 SEATT Seattle WA 981011448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American Express (Costco)"/>
    <d v="2014-03-10T00:00:00"/>
    <n v="-75.36"/>
    <s v="X"/>
    <s v="Costco"/>
    <s v="Confirmed as groceries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10T00:00:00"/>
    <n v="-74.42"/>
    <s v="X"/>
    <s v="Phinney Market"/>
    <s v="2011: PHINNEY MARKET PUB &amp; E SEATTLE WA 98103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Schwab - Checking (9784)"/>
    <d v="2014-03-09T00:00:00"/>
    <n v="-40"/>
    <s v="X"/>
    <s v="Ken's Market"/>
    <s v="Babysitter money for date night"/>
    <s v="Kids:Babysitter"/>
    <m/>
    <s v="Split"/>
    <m/>
    <x v="27"/>
    <s v="Babysitter"/>
    <x v="0"/>
    <m/>
    <x v="0"/>
    <m/>
    <s v="Mar"/>
    <n v="2014"/>
    <s v="Monthly"/>
    <n v="0"/>
    <s v="No"/>
    <s v="None"/>
    <s v="Kids|Babysitter"/>
  </r>
  <r>
    <s v="Schwab - Checking (9784)"/>
    <d v="2014-03-09T00:00:00"/>
    <n v="-2"/>
    <s v="X"/>
    <s v="Ken's Market"/>
    <m/>
    <s v="Bank Fees &amp; Charges:ATM Fee"/>
    <m/>
    <s v="Split"/>
    <m/>
    <x v="32"/>
    <s v="ATM Fee"/>
    <x v="0"/>
    <m/>
    <x v="0"/>
    <m/>
    <s v="Mar"/>
    <n v="2014"/>
    <s v="Monthly"/>
    <n v="0"/>
    <s v="No"/>
    <s v="None"/>
    <s v="Bank Fees &amp; Charges|ATM Fee"/>
  </r>
  <r>
    <s v="American Express (Costco)"/>
    <d v="2014-03-09T00:00:00"/>
    <n v="-55"/>
    <s v="X"/>
    <s v="Costco"/>
    <s v="Cash refund appli"/>
    <s v="Food &amp; Dining:Groceries"/>
    <m/>
    <s v="Split"/>
    <m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09T00:00:00"/>
    <n v="-5.25"/>
    <s v="X"/>
    <s v="Bartell Drug"/>
    <s v="2011: 09 BARTELL DRUGS SEATTLE WA 98103 USA"/>
    <s v="Food &amp; Dining:Groceries"/>
    <m/>
    <m/>
    <m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09T00:00:00"/>
    <n v="-7.61"/>
    <s v="X"/>
    <s v="Fred Meyer"/>
    <s v="Gift for Madison"/>
    <s v="Gifts/From Receipt"/>
    <m/>
    <m/>
    <s v="From Receipt"/>
    <x v="28"/>
    <m/>
    <x v="0"/>
    <m/>
    <x v="0"/>
    <m/>
    <s v="Mar"/>
    <n v="2014"/>
    <s v="Monthly"/>
    <n v="0"/>
    <s v="No"/>
    <s v="None"/>
    <s v="Gifts"/>
  </r>
  <r>
    <s v="MasterCard (Capital One)"/>
    <d v="2014-03-09T00:00:00"/>
    <n v="-10.49"/>
    <s v="X"/>
    <s v="Kidd Valley"/>
    <s v="2011: 808 AURORA KIDD VA SEATTLE WA 98133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09T00:00:00"/>
    <n v="-16.91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Target Red Card"/>
    <d v="2014-03-09T00:00:00"/>
    <n v="-3.12"/>
    <s v="X"/>
    <s v="Target"/>
    <s v="fans"/>
    <s v="Kids:Toys/From Receipt"/>
    <n v="799999940681"/>
    <m/>
    <s v="From Receipt"/>
    <x v="27"/>
    <s v="Toys"/>
    <x v="0"/>
    <m/>
    <x v="0"/>
    <m/>
    <s v="Mar"/>
    <n v="2014"/>
    <s v="Monthly"/>
    <n v="0"/>
    <s v="No"/>
    <s v="None"/>
    <s v="Kids|Toys"/>
  </r>
  <r>
    <s v="Target Red Card"/>
    <d v="2014-03-09T00:00:00"/>
    <n v="-12.53"/>
    <s v="X"/>
    <s v="Target"/>
    <s v="Grammy CD"/>
    <s v="Entertainment/From Receipt"/>
    <n v="799999940681"/>
    <s v="Split"/>
    <s v="From Receipt"/>
    <x v="30"/>
    <m/>
    <x v="0"/>
    <m/>
    <x v="0"/>
    <m/>
    <s v="Mar"/>
    <n v="2014"/>
    <s v="Monthly"/>
    <n v="0"/>
    <s v="No"/>
    <s v="None"/>
    <s v="Entertainment"/>
  </r>
  <r>
    <s v="Target Red Card"/>
    <d v="2014-03-09T00:00:00"/>
    <n v="-26.07"/>
    <s v="X"/>
    <s v="Target"/>
    <m/>
    <s v="Kids:Toys/From Receipt"/>
    <n v="799999940681"/>
    <s v="Split"/>
    <s v="From Receipt"/>
    <x v="27"/>
    <s v="Toys"/>
    <x v="0"/>
    <m/>
    <x v="0"/>
    <m/>
    <s v="Mar"/>
    <n v="2014"/>
    <s v="Monthly"/>
    <n v="0"/>
    <s v="No"/>
    <s v="None"/>
    <s v="Kids|Toys"/>
  </r>
  <r>
    <s v="Target Red Card"/>
    <d v="2014-03-09T00:00:00"/>
    <n v="-102.76"/>
    <s v="X"/>
    <s v="Target"/>
    <s v="vacuum cleaner"/>
    <s v="Business Expenses (Koolikai):Tools/From Receipt:Tax Related"/>
    <n v="799999940681"/>
    <s v="Split"/>
    <s v="From Receipt:Tax Related"/>
    <x v="36"/>
    <s v="Tools"/>
    <x v="0"/>
    <m/>
    <x v="0"/>
    <m/>
    <s v="Mar"/>
    <n v="2014"/>
    <s v="Irregular"/>
    <n v="0"/>
    <s v="No"/>
    <s v="None"/>
    <s v="Business Expenses (Koolikai)|Tools"/>
  </r>
  <r>
    <s v="MasterCard (Capital One)"/>
    <d v="2014-03-08T00:00:00"/>
    <n v="-15.64"/>
    <s v="X"/>
    <s v="Twigs"/>
    <s v="2011: TWIGS NORTHGATE, L SEATTLE WA 98125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08T00:00:00"/>
    <n v="-76.319999999999993"/>
    <s v="X"/>
    <s v="Crepe Cafe &amp; Wine Bar"/>
    <s v="2011: THE CREPE CAFE AND WIN SEATTLE WA 98115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08T00:00:00"/>
    <n v="-303.58999999999997"/>
    <s v="X"/>
    <s v="Playdate Cafe"/>
    <s v="2011: SQ *PLAYDATE CAFE Lynnwood WA 98036 USA"/>
    <s v="Parties/From Receipt"/>
    <m/>
    <m/>
    <s v="From Receipt"/>
    <x v="16"/>
    <m/>
    <x v="0"/>
    <m/>
    <x v="0"/>
    <m/>
    <s v="Mar"/>
    <n v="2014"/>
    <s v="Annual"/>
    <n v="0"/>
    <s v="No"/>
    <s v="None"/>
    <s v="Parties"/>
  </r>
  <r>
    <s v="MasterCard (Capital One)"/>
    <d v="2014-03-07T00:00:00"/>
    <n v="-6.12"/>
    <s v="X"/>
    <s v="Fresh Table Met"/>
    <s v="2011: FRESH TABLE-MET PARK SEATTLE WA 98101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07T00:00:00"/>
    <n v="-7.11"/>
    <s v="X"/>
    <s v="Fresh Table Met"/>
    <s v="2011: FRESH TABLE-MET PARK SEATTLE WA 98101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MasterCard (Capital One)"/>
    <d v="2014-03-07T00:00:00"/>
    <n v="-26.35"/>
    <s v="X"/>
    <s v="Fred Meyer"/>
    <s v="@CAT:@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First Tech - Checking (5544)"/>
    <d v="2014-03-06T00:00:00"/>
    <n v="-58.28"/>
    <s v="X"/>
    <s v="Target (Autopay)"/>
    <s v="ACH Debit--TARGET CARD SRVC 001 - AUTO PYMT"/>
    <s v="[Target Red Card]"/>
    <m/>
    <m/>
    <m/>
    <x v="12"/>
    <m/>
    <x v="0"/>
    <m/>
    <x v="0"/>
    <m/>
    <s v="Mar"/>
    <n v="2014"/>
    <s v="Account"/>
    <n v="0"/>
    <s v="No"/>
    <s v="None"/>
    <s v="[Target Red Card]"/>
  </r>
  <r>
    <s v="First Tech - Short Term Emergency (5400)"/>
    <d v="2014-03-06T00:00:00"/>
    <n v="180"/>
    <s v="X"/>
    <s v="Taylor &amp; Francis Group"/>
    <s v="Angela's book royalty"/>
    <s v="Morale Money"/>
    <m/>
    <m/>
    <m/>
    <x v="46"/>
    <m/>
    <x v="0"/>
    <m/>
    <x v="0"/>
    <m/>
    <s v="Mar"/>
    <n v="2014"/>
    <e v="#N/A"/>
    <e v="#N/A"/>
    <e v="#N/A"/>
    <e v="#N/A"/>
    <s v="Morale Money"/>
  </r>
  <r>
    <s v="MasterCard (Capital One)"/>
    <d v="2014-03-06T00:00:00"/>
    <n v="-3.68"/>
    <s v="X"/>
    <s v="Safeway"/>
    <s v="2011: SAFEWAY STORE 00018457 SEATTLE WA 98103 USA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Target Red Card"/>
    <d v="2014-03-06T00:00:00"/>
    <n v="58.28"/>
    <s v="X"/>
    <s v="Target (Autopay)"/>
    <m/>
    <s v="[First Tech - Checking (5544)]"/>
    <m/>
    <m/>
    <m/>
    <x v="21"/>
    <m/>
    <x v="0"/>
    <m/>
    <x v="0"/>
    <m/>
    <s v="Mar"/>
    <n v="2014"/>
    <s v="Account"/>
    <n v="0"/>
    <s v="No"/>
    <s v="None"/>
    <s v="[First Tech - Checking (5544)]"/>
  </r>
  <r>
    <s v="First Tech - Checking (5544)"/>
    <d v="2014-03-05T00:00:00"/>
    <n v="14.27"/>
    <s v="X"/>
    <s v="Premera Funding Cyc"/>
    <s v="ACH Deposit--PREMERA FUNDING  - CYC-CLAIMS"/>
    <s v="[Premera Health Care Payment]"/>
    <m/>
    <m/>
    <m/>
    <x v="42"/>
    <m/>
    <x v="0"/>
    <m/>
    <x v="0"/>
    <m/>
    <s v="Mar"/>
    <n v="2014"/>
    <s v="Account"/>
    <n v="0"/>
    <s v="No"/>
    <s v="None"/>
    <s v="[Premera Health Care Payment]"/>
  </r>
  <r>
    <s v="First Tech - Checking (5544)"/>
    <d v="2014-03-05T00:00:00"/>
    <n v="-3748.69"/>
    <s v="X"/>
    <s v="Wells Fargo Home Mortgage"/>
    <s v="ACH Debit--WF HOME MTG ACH - AUTO PAY"/>
    <s v="Home:Mortgage"/>
    <m/>
    <m/>
    <m/>
    <x v="14"/>
    <s v="Mortgage"/>
    <x v="0"/>
    <m/>
    <x v="0"/>
    <m/>
    <s v="Mar"/>
    <n v="2014"/>
    <s v="Monthly"/>
    <n v="0"/>
    <s v="No"/>
    <s v="None"/>
    <s v="Home|Mortgage"/>
  </r>
  <r>
    <s v="Koolikai - Checking XX2129"/>
    <d v="2014-03-05T00:00:00"/>
    <n v="2295"/>
    <s v="X"/>
    <s v="Aaron Ausland"/>
    <s v="Deposit--Shared Branch Mobile Deposit          First Tech FC CA"/>
    <s v="Business Income (Koolikai):Rent/7231"/>
    <m/>
    <s v="Split"/>
    <n v="7231"/>
    <x v="37"/>
    <s v="Rent"/>
    <x v="0"/>
    <m/>
    <x v="0"/>
    <m/>
    <s v="Mar"/>
    <n v="2014"/>
    <s v="Monthly"/>
    <n v="0"/>
    <s v="No"/>
    <s v="None"/>
    <s v="Business Income (Koolikai)|Rent"/>
  </r>
  <r>
    <s v="Koolikai - Checking XX2129"/>
    <d v="2014-03-05T00:00:00"/>
    <n v="100"/>
    <s v="X"/>
    <s v="Aaron Ausland"/>
    <m/>
    <s v="Business Expenses (Koolikai):Utilities (Business)/7231"/>
    <m/>
    <s v="Split"/>
    <n v="7231"/>
    <x v="36"/>
    <s v="Utilities (Business)"/>
    <x v="0"/>
    <m/>
    <x v="0"/>
    <m/>
    <s v="Mar"/>
    <n v="2014"/>
    <s v="Monthly"/>
    <n v="0"/>
    <s v="No"/>
    <s v="None"/>
    <s v="Business Expenses (Koolikai)|Utilities (Business)"/>
  </r>
  <r>
    <s v="MasterCard (Capital One)"/>
    <d v="2014-03-05T00:00:00"/>
    <n v="-9.33"/>
    <s v="X"/>
    <s v="Amazon"/>
    <s v="Itty Bitty"/>
    <s v="Kids:Toys"/>
    <m/>
    <s v="Split"/>
    <m/>
    <x v="27"/>
    <s v="Toys"/>
    <x v="0"/>
    <m/>
    <x v="0"/>
    <m/>
    <s v="Mar"/>
    <n v="2014"/>
    <s v="Monthly"/>
    <n v="0"/>
    <s v="No"/>
    <s v="None"/>
    <s v="Kids|Toys"/>
  </r>
  <r>
    <s v="MasterCard (Capital One)"/>
    <d v="2014-03-05T00:00:00"/>
    <n v="-21.77"/>
    <s v="X"/>
    <s v="Amazon"/>
    <s v="Hot air popper"/>
    <s v="Home:Furnishings"/>
    <m/>
    <s v="Split"/>
    <m/>
    <x v="14"/>
    <s v="Furnishings"/>
    <x v="0"/>
    <m/>
    <x v="0"/>
    <m/>
    <s v="Mar"/>
    <n v="2014"/>
    <s v="Monthly"/>
    <n v="0"/>
    <s v="No"/>
    <s v="None"/>
    <s v="Home|Furnishings"/>
  </r>
  <r>
    <s v="MasterCard (Capital One)"/>
    <d v="2014-03-05T00:00:00"/>
    <n v="-19.190000000000001"/>
    <s v="X"/>
    <s v="Fred Meyer"/>
    <s v="2011: FRED-MEYER #0122 SEATTLE WA 98117 USA"/>
    <s v="Parties/From Receipt"/>
    <m/>
    <s v="Split"/>
    <s v="From Receipt"/>
    <x v="16"/>
    <m/>
    <x v="0"/>
    <m/>
    <x v="0"/>
    <m/>
    <s v="Mar"/>
    <n v="2014"/>
    <s v="Annual"/>
    <n v="0"/>
    <s v="No"/>
    <s v="None"/>
    <s v="Parties"/>
  </r>
  <r>
    <s v="MasterCard (Capital One)"/>
    <d v="2014-03-05T00:00:00"/>
    <n v="-18.399999999999999"/>
    <s v="X"/>
    <s v="Fred Meyer"/>
    <m/>
    <s v="Food &amp; Dining:Groceries/From Receipt"/>
    <m/>
    <s v="Split"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Premera Health Care Payment"/>
    <d v="2014-03-05T00:00:00"/>
    <n v="-14.27"/>
    <m/>
    <s v="Premera Funding Cyc"/>
    <s v="ACH Deposit--PREMERA FUNDING  - CYC-CLAIMS"/>
    <s v="[First Tech - Checking (5544)]"/>
    <m/>
    <m/>
    <m/>
    <x v="21"/>
    <m/>
    <x v="0"/>
    <m/>
    <x v="0"/>
    <m/>
    <s v="Mar"/>
    <n v="2014"/>
    <s v="Account"/>
    <n v="0"/>
    <s v="No"/>
    <s v="None"/>
    <s v="[First Tech - Checking (5544)]"/>
  </r>
  <r>
    <s v="First Tech - Checking (5544)"/>
    <d v="2014-03-04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Mar"/>
    <n v="2014"/>
    <s v="Monthly"/>
    <n v="0"/>
    <s v="No"/>
    <s v="None"/>
    <s v="Kids|American Funds 529A"/>
  </r>
  <r>
    <s v="First Tech - Checking (5544)"/>
    <d v="2014-03-03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Mar"/>
    <n v="2014"/>
    <s v="Monthly"/>
    <n v="0"/>
    <s v="No"/>
    <s v="None"/>
    <s v="Kids|Daycare"/>
  </r>
  <r>
    <s v="First Tech - Checking (5544)"/>
    <d v="2014-03-03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Mar"/>
    <n v="2014"/>
    <s v="Monthly"/>
    <n v="0"/>
    <s v="No"/>
    <s v="None"/>
    <s v="Business Expenses (Koolikai)|Mortgage (Business)"/>
  </r>
  <r>
    <s v="First Tech - Checking (5544)"/>
    <d v="2014-03-03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Mar"/>
    <n v="2014"/>
    <s v="Monthly"/>
    <n v="0"/>
    <s v="No"/>
    <s v="None"/>
    <s v="Business Expenses (Koolikai)|Mortgage (Business)"/>
  </r>
  <r>
    <s v="First Tech - Checking (5544)"/>
    <d v="2014-03-03T00:00:00"/>
    <n v="-126"/>
    <m/>
    <s v="Rei (Autopay)"/>
    <s v="@CAT:@@BAL:$0.00@"/>
    <s v="[REI Mastercard (xx1787)]"/>
    <m/>
    <m/>
    <m/>
    <x v="11"/>
    <m/>
    <x v="0"/>
    <m/>
    <x v="0"/>
    <m/>
    <s v="Mar"/>
    <n v="2014"/>
    <e v="#N/A"/>
    <e v="#N/A"/>
    <e v="#N/A"/>
    <e v="#N/A"/>
    <s v="[REI Mastercard (xx1787)]"/>
  </r>
  <r>
    <s v="MasterCard (Capital One)"/>
    <d v="2014-03-03T00:00:00"/>
    <n v="-8.1999999999999993"/>
    <s v="X"/>
    <s v="Fresh Table Met"/>
    <s v="2011: FRESH TABLE-MET PARK SEATTLE WA 98101 USA"/>
    <s v="Food &amp; Dining:Restaurants"/>
    <m/>
    <m/>
    <m/>
    <x v="15"/>
    <s v="Restaurants"/>
    <x v="0"/>
    <m/>
    <x v="0"/>
    <m/>
    <s v="Mar"/>
    <n v="2014"/>
    <s v="Monthly"/>
    <n v="0"/>
    <s v="No"/>
    <s v="None"/>
    <s v="Food &amp; Dining|Restaurants"/>
  </r>
  <r>
    <s v="REI Mastercard (xx1787)"/>
    <d v="2014-03-03T00:00:00"/>
    <n v="126"/>
    <s v="X"/>
    <s v="Rei (Autopay)"/>
    <s v="@CAT:@@BAL:$0.00@"/>
    <s v="[First Tech - Checking (5544)]"/>
    <s v="TXFR"/>
    <m/>
    <m/>
    <x v="21"/>
    <m/>
    <x v="0"/>
    <m/>
    <x v="0"/>
    <m/>
    <s v="Mar"/>
    <n v="2014"/>
    <s v="Account"/>
    <n v="0"/>
    <s v="No"/>
    <s v="None"/>
    <s v="[First Tech - Checking (5544)]"/>
  </r>
  <r>
    <s v="Capital One - Long Term Emergency (1201)"/>
    <d v="2014-03-02T00:00:00"/>
    <n v="0"/>
    <s v="X"/>
    <s v="Balanced"/>
    <s v="@BAL:118199.00@@CAT:@"/>
    <s v="[Capital One - Long Term Emergency (1201)]"/>
    <m/>
    <m/>
    <m/>
    <x v="1"/>
    <m/>
    <x v="0"/>
    <m/>
    <x v="0"/>
    <m/>
    <s v="Mar"/>
    <n v="2014"/>
    <s v="Account"/>
    <n v="0"/>
    <s v="No"/>
    <s v="None"/>
    <s v="[Capital One - Long Term Emergency (1201)]"/>
  </r>
  <r>
    <s v="Capital One - Long Term Emergency (1201)"/>
    <d v="2014-03-02T00:00:00"/>
    <n v="0"/>
    <s v="X"/>
    <s v="Balanced"/>
    <s v="@BAL:-6591.33@@CAT:@"/>
    <s v="[MasterCard (Capital One)]"/>
    <m/>
    <m/>
    <m/>
    <x v="38"/>
    <m/>
    <x v="0"/>
    <m/>
    <x v="0"/>
    <m/>
    <s v="Mar"/>
    <n v="2014"/>
    <s v="Account"/>
    <n v="0"/>
    <s v="No"/>
    <s v="None"/>
    <s v="[MasterCard (Capital One)]"/>
  </r>
  <r>
    <s v="Capital One - Secondary Savings (3126)"/>
    <d v="2014-03-02T00:00:00"/>
    <n v="0"/>
    <s v="X"/>
    <s v="Balanced"/>
    <s v="@BAL:123.04@@CAT:@"/>
    <s v="[Capital One - Secondary Savings (3126)]"/>
    <m/>
    <m/>
    <m/>
    <x v="2"/>
    <m/>
    <x v="0"/>
    <m/>
    <x v="0"/>
    <m/>
    <s v="Mar"/>
    <n v="2014"/>
    <s v="Account"/>
    <n v="0"/>
    <s v="No"/>
    <s v="None"/>
    <s v="[Capital One - Secondary Savings (3126)]"/>
  </r>
  <r>
    <s v="Capital One - Vacation (4959)"/>
    <d v="2014-03-02T00:00:00"/>
    <n v="0"/>
    <s v="X"/>
    <s v="Balanced"/>
    <s v="@BAL:5010.40@@CAT:@"/>
    <s v="[Capital One - Vacation (4959)]"/>
    <m/>
    <m/>
    <m/>
    <x v="3"/>
    <m/>
    <x v="0"/>
    <m/>
    <x v="0"/>
    <m/>
    <s v="Mar"/>
    <n v="2014"/>
    <s v="Account"/>
    <n v="0"/>
    <s v="No"/>
    <s v="None"/>
    <s v="[Capital One - Vacation (4959)]"/>
  </r>
  <r>
    <s v="First Tech - Checking (5544)"/>
    <d v="2014-03-02T00:00:00"/>
    <n v="0"/>
    <s v="X"/>
    <s v="Balanced"/>
    <s v="@CAT:@;@BAL:53225.77"/>
    <s v="[First Tech - Checking (5544)]"/>
    <m/>
    <m/>
    <m/>
    <x v="21"/>
    <m/>
    <x v="0"/>
    <m/>
    <x v="0"/>
    <m/>
    <s v="Mar"/>
    <n v="2014"/>
    <s v="Account"/>
    <n v="0"/>
    <s v="No"/>
    <s v="None"/>
    <s v="[First Tech - Checking (5544)]"/>
  </r>
  <r>
    <s v="First Tech - Short Term Emergency (5400)"/>
    <d v="2014-03-02T00:00:00"/>
    <n v="0"/>
    <s v="X"/>
    <s v="Balanced"/>
    <s v="@CAT:@@BAL:5.00@"/>
    <s v="[First Tech - Short Term Emergency (5400)]"/>
    <m/>
    <m/>
    <m/>
    <x v="4"/>
    <m/>
    <x v="0"/>
    <m/>
    <x v="0"/>
    <m/>
    <s v="Mar"/>
    <n v="2014"/>
    <s v="Account"/>
    <n v="0"/>
    <s v="No"/>
    <s v="None"/>
    <s v="[First Tech - Short Term Emergency (5400)]"/>
  </r>
  <r>
    <s v="Schwab - Checking (9784)"/>
    <d v="2014-03-02T00:00:00"/>
    <n v="0"/>
    <s v="X"/>
    <s v="Balanced"/>
    <s v="@BAL:$1529.82@@CAT:@"/>
    <s v="[Schwab - Checking (9784)]"/>
    <m/>
    <m/>
    <m/>
    <x v="5"/>
    <m/>
    <x v="0"/>
    <m/>
    <x v="0"/>
    <m/>
    <s v="Mar"/>
    <n v="2014"/>
    <s v="Account"/>
    <n v="0"/>
    <s v="No"/>
    <s v="None"/>
    <s v="[Schwab - Checking (9784)]"/>
  </r>
  <r>
    <s v="American Express (Costco)"/>
    <d v="2014-03-02T00:00:00"/>
    <n v="0"/>
    <s v="X"/>
    <s v="Balanced"/>
    <s v="@BAL:-110.00@@CAT:@"/>
    <s v="[American Express (Costco)]"/>
    <m/>
    <m/>
    <m/>
    <x v="20"/>
    <m/>
    <x v="0"/>
    <m/>
    <x v="0"/>
    <m/>
    <s v="Mar"/>
    <n v="2014"/>
    <s v="Account"/>
    <n v="0"/>
    <s v="No"/>
    <s v="None"/>
    <s v="[American Express (Costco)]"/>
  </r>
  <r>
    <s v="Discover Card"/>
    <d v="2014-03-02T00:00:00"/>
    <n v="0"/>
    <s v="X"/>
    <s v="Balanced"/>
    <s v="@BAL:-7.65@@CAT:@"/>
    <s v="[Discover Card]"/>
    <m/>
    <m/>
    <m/>
    <x v="24"/>
    <m/>
    <x v="0"/>
    <m/>
    <x v="0"/>
    <m/>
    <s v="Mar"/>
    <n v="2014"/>
    <s v="Account"/>
    <n v="0"/>
    <s v="No"/>
    <s v="None"/>
    <s v="[Discover Card]"/>
  </r>
  <r>
    <s v="MasterCard (Capital One)"/>
    <d v="2014-03-02T00:00:00"/>
    <n v="0"/>
    <s v="X"/>
    <s v="Balanced"/>
    <s v="@BAL:-6591.33@@CAT:@"/>
    <s v="[Capital One - Long Term Emergency (1201)]"/>
    <m/>
    <m/>
    <m/>
    <x v="1"/>
    <m/>
    <x v="0"/>
    <m/>
    <x v="0"/>
    <m/>
    <s v="Mar"/>
    <n v="2014"/>
    <s v="Account"/>
    <n v="0"/>
    <s v="No"/>
    <s v="None"/>
    <s v="[Capital One - Long Term Emergency (1201)]"/>
  </r>
  <r>
    <s v="MasterCard (Capital One)"/>
    <d v="2014-03-02T00:00:00"/>
    <n v="-9.64"/>
    <s v="X"/>
    <s v="Kleins Deli San"/>
    <s v="#Sheryl's wedding#"/>
    <s v="Vacation:Food"/>
    <m/>
    <m/>
    <m/>
    <x v="23"/>
    <s v="Food"/>
    <x v="0"/>
    <m/>
    <x v="24"/>
    <m/>
    <s v="Mar"/>
    <n v="2014"/>
    <s v="Irregular"/>
    <n v="0"/>
    <s v="No"/>
    <s v="None"/>
    <s v="Vacation|Food"/>
  </r>
  <r>
    <s v="MasterCard (Capital One)"/>
    <d v="2014-03-02T00:00:00"/>
    <n v="-100.76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Mar"/>
    <n v="2014"/>
    <s v="Monthly"/>
    <n v="0"/>
    <s v="No"/>
    <s v="None"/>
    <s v="Food &amp; Dining|Groceries"/>
  </r>
  <r>
    <s v="MasterCard (Capital One)"/>
    <d v="2014-03-02T00:00:00"/>
    <n v="-20.39"/>
    <s v="X"/>
    <s v="Comcast"/>
    <s v="@BAL:-6892.04@@CAT:@"/>
    <s v="Bills &amp; Utilities:Television"/>
    <m/>
    <s v="Split"/>
    <m/>
    <x v="34"/>
    <s v="Television"/>
    <x v="0"/>
    <m/>
    <x v="0"/>
    <m/>
    <s v="Mar"/>
    <n v="2014"/>
    <s v="Monthly"/>
    <n v="0"/>
    <s v="No"/>
    <s v="None"/>
    <s v="Bills &amp; Utilities|Television"/>
  </r>
  <r>
    <s v="MasterCard (Capital One)"/>
    <d v="2014-03-02T00:00:00"/>
    <n v="-62.48"/>
    <s v="X"/>
    <s v="Comcast"/>
    <m/>
    <s v="Business Expenses (Koolikai):Internet"/>
    <m/>
    <s v="Split"/>
    <m/>
    <x v="36"/>
    <s v="Internet"/>
    <x v="0"/>
    <m/>
    <x v="0"/>
    <m/>
    <s v="Mar"/>
    <n v="2014"/>
    <s v="Monthly"/>
    <n v="0"/>
    <s v="No"/>
    <s v="None"/>
    <s v="Business Expenses (Koolikai)|Internet"/>
  </r>
  <r>
    <s v="MasterCard (Capital One)"/>
    <d v="2014-03-02T00:00:00"/>
    <n v="-42.4"/>
    <s v="X"/>
    <s v="Comcast"/>
    <m/>
    <s v="Bills &amp; Utilities:Home Phone"/>
    <m/>
    <s v="Split"/>
    <m/>
    <x v="34"/>
    <s v="Home Phone"/>
    <x v="0"/>
    <m/>
    <x v="0"/>
    <m/>
    <s v="Mar"/>
    <n v="2014"/>
    <s v="Monthly"/>
    <n v="0"/>
    <s v="No"/>
    <s v="None"/>
    <s v="Bills &amp; Utilities|Home Phone"/>
  </r>
  <r>
    <s v="REI Mastercard (xx1787)"/>
    <d v="2014-03-02T00:00:00"/>
    <n v="0"/>
    <s v="X"/>
    <s v="Balanced"/>
    <s v="@BAL:-126.00@CAT:@"/>
    <s v="[REI Mastercard (xx1787)]"/>
    <m/>
    <m/>
    <m/>
    <x v="11"/>
    <m/>
    <x v="0"/>
    <m/>
    <x v="0"/>
    <m/>
    <s v="Mar"/>
    <n v="2014"/>
    <e v="#N/A"/>
    <e v="#N/A"/>
    <e v="#N/A"/>
    <e v="#N/A"/>
    <s v="[REI Mastercard (xx1787)]"/>
  </r>
  <r>
    <s v="Target Red Card"/>
    <d v="2014-03-02T00:00:00"/>
    <n v="0"/>
    <s v="X"/>
    <s v="Balanced"/>
    <s v="@BAL:-$266.42@@CAT:@"/>
    <s v="[Target Red Card]"/>
    <m/>
    <m/>
    <m/>
    <x v="12"/>
    <m/>
    <x v="0"/>
    <m/>
    <x v="0"/>
    <m/>
    <s v="Mar"/>
    <n v="2014"/>
    <s v="Account"/>
    <n v="0"/>
    <s v="No"/>
    <s v="None"/>
    <s v="[Target Red Card]"/>
  </r>
  <r>
    <s v="First Tech - Checking (5544)"/>
    <d v="2014-03-01T00:00:00"/>
    <n v="-4025.58"/>
    <s v="X"/>
    <s v="Capital One (Autopay)"/>
    <s v="ACH Debit--CAPITAL ONE  - CRCARDPMT"/>
    <s v="[MasterCard (Capital One)]"/>
    <m/>
    <m/>
    <m/>
    <x v="38"/>
    <m/>
    <x v="0"/>
    <m/>
    <x v="0"/>
    <m/>
    <s v="Mar"/>
    <n v="2014"/>
    <s v="Account"/>
    <n v="0"/>
    <s v="No"/>
    <s v="None"/>
    <s v="[MasterCard (Capital One)]"/>
  </r>
  <r>
    <s v="Koolikai - Checking XX2129"/>
    <d v="2014-03-01T00:00:00"/>
    <n v="2195"/>
    <s v="X"/>
    <s v="Valerie Shaibley"/>
    <m/>
    <s v="Business Income (Koolikai):Rent/9602"/>
    <m/>
    <m/>
    <n v="9602"/>
    <x v="37"/>
    <s v="Rent"/>
    <x v="0"/>
    <m/>
    <x v="0"/>
    <m/>
    <s v="Mar"/>
    <n v="2014"/>
    <s v="Monthly"/>
    <n v="0"/>
    <s v="No"/>
    <s v="None"/>
    <s v="Business Income (Koolikai)|Rent"/>
  </r>
  <r>
    <s v="American Express (Costco)"/>
    <d v="2014-03-01T00:00:00"/>
    <n v="-110"/>
    <s v="X"/>
    <s v="Costco"/>
    <s v="COSTCO MEMBER RENEWAL"/>
    <s v="Subscriptions &amp; Dues"/>
    <m/>
    <m/>
    <m/>
    <x v="33"/>
    <m/>
    <x v="0"/>
    <m/>
    <x v="0"/>
    <m/>
    <s v="Mar"/>
    <n v="2014"/>
    <s v="Annual"/>
    <n v="0"/>
    <s v="No"/>
    <s v="None"/>
    <s v="Subscriptions &amp; Dues"/>
  </r>
  <r>
    <s v="Mastercard (Angela)"/>
    <d v="2014-03-01T00:00:00"/>
    <n v="0"/>
    <s v="X"/>
    <s v="Balanced"/>
    <s v="@BAL:$0.00@"/>
    <s v="[Mastercard (Angela)]"/>
    <m/>
    <m/>
    <m/>
    <x v="10"/>
    <m/>
    <x v="0"/>
    <m/>
    <x v="0"/>
    <m/>
    <s v="Mar"/>
    <n v="2014"/>
    <s v="Account"/>
    <n v="0"/>
    <s v="No"/>
    <s v="None"/>
    <s v="[Mastercard (Angela)]"/>
  </r>
  <r>
    <s v="MasterCard (Capital One)"/>
    <d v="2014-03-01T00:00:00"/>
    <n v="4025.58"/>
    <s v="X"/>
    <s v="Capital One (Autopay)"/>
    <s v="ACH Debit--CAPITAL ONE  - CRCARDPMT"/>
    <s v="[First Tech - Checking (5544)]"/>
    <m/>
    <m/>
    <m/>
    <x v="21"/>
    <m/>
    <x v="0"/>
    <m/>
    <x v="0"/>
    <m/>
    <s v="Mar"/>
    <n v="2014"/>
    <s v="Account"/>
    <n v="0"/>
    <s v="No"/>
    <s v="None"/>
    <s v="[First Tech - Checking (5544)]"/>
  </r>
  <r>
    <s v="MasterCard (Capital One)"/>
    <d v="2014-03-01T00:00:00"/>
    <n v="-10.5"/>
    <s v="X"/>
    <s v="Union 76 (San Bruno)"/>
    <s v="#Sheryl's wedding#"/>
    <s v="Vacation:Transportation/From Receipt"/>
    <m/>
    <m/>
    <s v="From Receipt"/>
    <x v="23"/>
    <s v="Transportation"/>
    <x v="0"/>
    <m/>
    <x v="24"/>
    <m/>
    <s v="Mar"/>
    <n v="2014"/>
    <s v="Irregular"/>
    <n v="0"/>
    <s v="No"/>
    <s v="None"/>
    <s v="Vacation|Transportation"/>
  </r>
  <r>
    <s v="MasterCard (Capital One)"/>
    <d v="2014-03-01T00:00:00"/>
    <n v="-38.79"/>
    <s v="X"/>
    <s v="Budget Rent"/>
    <s v="#Sheryl's wedding#"/>
    <s v="Vacation:Transportation/From Receipt"/>
    <m/>
    <m/>
    <s v="From Receipt"/>
    <x v="23"/>
    <s v="Transportation"/>
    <x v="0"/>
    <m/>
    <x v="24"/>
    <m/>
    <s v="Mar"/>
    <n v="2014"/>
    <s v="Irregular"/>
    <n v="0"/>
    <s v="No"/>
    <s v="None"/>
    <s v="Vacation|Transportation"/>
  </r>
  <r>
    <s v="Capital One - Investment (6759)"/>
    <d v="2014-02-28T00:00:00"/>
    <n v="18.059999999999999"/>
    <s v="X"/>
    <s v="Capital One (Interest Income)"/>
    <s v="@BAL:47097.33@@CAT:@"/>
    <s v="Interest Income"/>
    <s v="INT"/>
    <m/>
    <m/>
    <x v="40"/>
    <m/>
    <x v="0"/>
    <m/>
    <x v="0"/>
    <m/>
    <s v="Feb"/>
    <n v="2014"/>
    <s v="Monthly"/>
    <n v="0"/>
    <s v="No"/>
    <s v="None"/>
    <s v="Interest Income"/>
  </r>
  <r>
    <s v="Capital One - Long Term Emergency (1201)"/>
    <d v="2014-02-28T00:00:00"/>
    <n v="72.61"/>
    <s v="X"/>
    <s v="Capital One (Interest Income)"/>
    <m/>
    <s v="Interest Income"/>
    <s v="INT"/>
    <m/>
    <m/>
    <x v="40"/>
    <m/>
    <x v="0"/>
    <m/>
    <x v="0"/>
    <m/>
    <s v="Feb"/>
    <n v="2014"/>
    <s v="Monthly"/>
    <n v="0"/>
    <s v="No"/>
    <s v="None"/>
    <s v="Interest Income"/>
  </r>
  <r>
    <s v="Capital One - Secondary Savings (3126)"/>
    <d v="2014-02-28T00:00:00"/>
    <n v="34.65"/>
    <s v="X"/>
    <s v="Capital One (Interest Income)"/>
    <m/>
    <s v="Interest Income"/>
    <s v="INT"/>
    <m/>
    <m/>
    <x v="40"/>
    <m/>
    <x v="0"/>
    <m/>
    <x v="0"/>
    <m/>
    <s v="Feb"/>
    <n v="2014"/>
    <s v="Monthly"/>
    <n v="0"/>
    <s v="No"/>
    <s v="None"/>
    <s v="Interest Income"/>
  </r>
  <r>
    <s v="Capital One - Vacation (4959)"/>
    <d v="2014-02-28T00:00:00"/>
    <n v="1.92"/>
    <s v="X"/>
    <s v="Capital One (Interest Income)"/>
    <m/>
    <s v="Interest Income"/>
    <s v="INT"/>
    <m/>
    <m/>
    <x v="40"/>
    <m/>
    <x v="0"/>
    <m/>
    <x v="0"/>
    <m/>
    <s v="Feb"/>
    <n v="2014"/>
    <s v="Monthly"/>
    <n v="0"/>
    <s v="No"/>
    <s v="None"/>
    <s v="Interest Income"/>
  </r>
  <r>
    <s v="First Tech - Checking (5544)"/>
    <d v="2014-02-28T00:00:00"/>
    <n v="-223.3"/>
    <s v="X"/>
    <s v="Seattle Public Utilities"/>
    <s v="ACH Debit--CITY OF SEATTLE  - 2 - SPU De"/>
    <s v="Bills &amp; Utilities:Utilities"/>
    <m/>
    <m/>
    <m/>
    <x v="34"/>
    <s v="Utilities"/>
    <x v="0"/>
    <m/>
    <x v="0"/>
    <m/>
    <s v="Feb"/>
    <n v="2014"/>
    <s v="Monthly"/>
    <n v="0"/>
    <s v="No"/>
    <s v="None"/>
    <s v="Bills &amp; Utilities|Utilities"/>
  </r>
  <r>
    <s v="First Tech - Checking (5544)"/>
    <d v="2014-02-28T00:00:00"/>
    <n v="-200000"/>
    <s v="X"/>
    <s v="LPL"/>
    <s v="Transfer to LPL account for mutual fund and managed account"/>
    <s v="Not Sure"/>
    <m/>
    <m/>
    <m/>
    <x v="51"/>
    <m/>
    <x v="0"/>
    <m/>
    <x v="0"/>
    <m/>
    <s v="Feb"/>
    <n v="2014"/>
    <s v="Unplanned"/>
    <n v="0"/>
    <s v="No"/>
    <s v="None"/>
    <s v="Not Sure"/>
  </r>
  <r>
    <s v="Koolikai - Sec Dep XX1200"/>
    <d v="2014-02-28T00:00:00"/>
    <n v="0.17"/>
    <s v="X"/>
    <s v="First Tech (Dividend)"/>
    <s v="Credit Dividend--"/>
    <s v="Interest Income"/>
    <m/>
    <m/>
    <m/>
    <x v="40"/>
    <m/>
    <x v="0"/>
    <m/>
    <x v="0"/>
    <m/>
    <s v="Feb"/>
    <n v="2014"/>
    <s v="Monthly"/>
    <n v="0"/>
    <s v="No"/>
    <s v="None"/>
    <s v="Interest Income"/>
  </r>
  <r>
    <s v="Schwab - Checking (9784)"/>
    <d v="2014-02-28T00:00:00"/>
    <n v="0.12"/>
    <s v="X"/>
    <s v="Schwab (Interest Income)"/>
    <m/>
    <s v="Interest Income"/>
    <m/>
    <m/>
    <m/>
    <x v="40"/>
    <m/>
    <x v="0"/>
    <m/>
    <x v="0"/>
    <m/>
    <s v="Feb"/>
    <n v="2014"/>
    <s v="Monthly"/>
    <n v="0"/>
    <s v="No"/>
    <s v="None"/>
    <s v="Interest Income"/>
  </r>
  <r>
    <s v="Schwab - Checking (9784)"/>
    <d v="2014-02-28T00:00:00"/>
    <n v="4.75"/>
    <s v="X"/>
    <s v="Schwab (ATM Fee Refund)"/>
    <m/>
    <s v="Bank Fees &amp; Charges:ATM Fee"/>
    <m/>
    <m/>
    <m/>
    <x v="32"/>
    <s v="ATM Fee"/>
    <x v="0"/>
    <m/>
    <x v="0"/>
    <m/>
    <s v="Feb"/>
    <n v="2014"/>
    <s v="Monthly"/>
    <n v="0"/>
    <s v="No"/>
    <s v="None"/>
    <s v="Bank Fees &amp; Charges|ATM Fee"/>
  </r>
  <r>
    <s v="MasterCard (Capital One)"/>
    <d v="2014-02-28T00:00:00"/>
    <n v="25"/>
    <s v="X"/>
    <s v="Capital One (Cash Back)"/>
    <s v="2011: CREDIT-CASH BACK REWARD"/>
    <s v="Other Inc"/>
    <m/>
    <m/>
    <m/>
    <x v="29"/>
    <m/>
    <x v="0"/>
    <m/>
    <x v="0"/>
    <m/>
    <s v="Feb"/>
    <n v="2014"/>
    <s v="Monthly"/>
    <n v="0"/>
    <s v="No"/>
    <s v="None"/>
    <s v="Other Inc"/>
  </r>
  <r>
    <s v="MasterCard (Capital One)"/>
    <d v="2014-02-28T00:00:00"/>
    <n v="-1"/>
    <s v="X"/>
    <s v="Blink Network Llc"/>
    <s v="2011: BLINK NETWORK, LLC 06023459015 AZ 85003 USA"/>
    <s v="Auto &amp; Transport:Gas &amp; Fuel"/>
    <m/>
    <m/>
    <m/>
    <x v="17"/>
    <s v="Gas &amp; Fuel"/>
    <x v="0"/>
    <m/>
    <x v="0"/>
    <m/>
    <s v="Feb"/>
    <n v="2014"/>
    <s v="Monthly"/>
    <n v="0"/>
    <s v="No"/>
    <s v="None"/>
    <s v="Auto &amp; Transport|Gas &amp; Fuel"/>
  </r>
  <r>
    <s v="MasterCard (Capital One)"/>
    <d v="2014-02-28T00:00:00"/>
    <n v="-11.94"/>
    <s v="X"/>
    <s v="High Tide"/>
    <s v="Dinner at #Sheryl's wedding#"/>
    <s v="Vacation:Food/From Receipt"/>
    <m/>
    <m/>
    <s v="From Receipt"/>
    <x v="23"/>
    <s v="Food"/>
    <x v="0"/>
    <m/>
    <x v="24"/>
    <m/>
    <s v="Feb"/>
    <n v="2014"/>
    <s v="Irregular"/>
    <n v="0"/>
    <s v="No"/>
    <s v="None"/>
    <s v="Vacation|Food"/>
  </r>
  <r>
    <s v="MasterCard (Capital One)"/>
    <d v="2014-02-28T00:00:00"/>
    <n v="-15.75"/>
    <s v="X"/>
    <s v="Blue Bird"/>
    <s v="2011: BLUEBIRD ICE CREAM GRE SEATTLE WA 98103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First Tech - Checking (5544)"/>
    <d v="2014-02-27T00:00:00"/>
    <n v="3165.19"/>
    <s v="X"/>
    <s v="Microsoft (Paystub)"/>
    <s v="ACH Deposit--MICROSOFT  - EDIPAYMENT"/>
    <s v="Net Salary"/>
    <m/>
    <m/>
    <m/>
    <x v="35"/>
    <m/>
    <x v="0"/>
    <m/>
    <x v="0"/>
    <m/>
    <s v="Feb"/>
    <n v="2014"/>
    <s v="Monthly"/>
    <n v="0"/>
    <s v="No"/>
    <s v="None"/>
    <s v="Net Salary"/>
  </r>
  <r>
    <s v="First Tech - Checking (5544)"/>
    <d v="2014-02-27T00:00:00"/>
    <n v="6195.6"/>
    <s v="X"/>
    <s v="CRAB (Paystub)"/>
    <s v="ACH Deposit--Cancer Research  - Payroll"/>
    <s v="Net Salary"/>
    <m/>
    <m/>
    <m/>
    <x v="35"/>
    <m/>
    <x v="0"/>
    <m/>
    <x v="0"/>
    <m/>
    <s v="Feb"/>
    <n v="2014"/>
    <s v="Monthly"/>
    <n v="0"/>
    <s v="No"/>
    <s v="None"/>
    <s v="Net Salary"/>
  </r>
  <r>
    <s v="Capital One - Long Term Emergency (1201)"/>
    <d v="2014-02-26T00:00:00"/>
    <n v="-83000"/>
    <s v="X"/>
    <s v="Capital One (Transfer)"/>
    <s v="ACH Deposit--CAPITAL1 00000000000301749963 - TRANSFER"/>
    <s v="[First Tech - Checking (5544)]"/>
    <m/>
    <m/>
    <m/>
    <x v="21"/>
    <m/>
    <x v="0"/>
    <m/>
    <x v="0"/>
    <m/>
    <s v="Feb"/>
    <n v="2014"/>
    <s v="Account"/>
    <n v="0"/>
    <s v="No"/>
    <s v="None"/>
    <s v="[First Tech - Checking (5544)]"/>
  </r>
  <r>
    <s v="Capital One - Secondary Savings (3126)"/>
    <d v="2014-02-26T00:00:00"/>
    <n v="-117000"/>
    <s v="X"/>
    <s v="Capital One (Transfer)"/>
    <s v="ACH Deposit--CAPITAL1 00000000000301749025 - TRANSFER"/>
    <s v="[First Tech - Checking (5544)]"/>
    <m/>
    <m/>
    <m/>
    <x v="21"/>
    <m/>
    <x v="0"/>
    <m/>
    <x v="0"/>
    <m/>
    <s v="Feb"/>
    <n v="2014"/>
    <s v="Account"/>
    <n v="0"/>
    <s v="No"/>
    <s v="None"/>
    <s v="[First Tech - Checking (5544)]"/>
  </r>
  <r>
    <s v="First Tech - Checking (5544)"/>
    <d v="2014-02-26T00:00:00"/>
    <n v="83000"/>
    <s v="X"/>
    <s v="Capital One (Savings)"/>
    <s v="ACH Deposit--CAPITAL1 00000000000301749963 - TRANSFER"/>
    <s v="[Capital One - Long Term Emergency (1201)]"/>
    <m/>
    <m/>
    <m/>
    <x v="1"/>
    <m/>
    <x v="0"/>
    <m/>
    <x v="0"/>
    <m/>
    <s v="Feb"/>
    <n v="2014"/>
    <s v="Account"/>
    <n v="0"/>
    <s v="No"/>
    <s v="None"/>
    <s v="[Capital One - Long Term Emergency (1201)]"/>
  </r>
  <r>
    <s v="First Tech - Checking (5544)"/>
    <d v="2014-02-26T00:00:00"/>
    <n v="117000"/>
    <s v="X"/>
    <s v="Capital One (Savings)"/>
    <s v="ACH Deposit--CAPITAL1 00000000000301749025 - TRANSFER"/>
    <s v="[Capital One - Secondary Savings (3126)]"/>
    <m/>
    <m/>
    <m/>
    <x v="2"/>
    <m/>
    <x v="0"/>
    <m/>
    <x v="0"/>
    <m/>
    <s v="Feb"/>
    <n v="2014"/>
    <s v="Account"/>
    <n v="0"/>
    <s v="No"/>
    <s v="None"/>
    <s v="[Capital One - Secondary Savings (3126)]"/>
  </r>
  <r>
    <s v="Koolikai Credit Card"/>
    <d v="2014-02-26T00:00:00"/>
    <n v="0"/>
    <s v="X"/>
    <s v="Balanced"/>
    <s v="@CAT:@"/>
    <s v="[Koolikai Credit Card]"/>
    <m/>
    <m/>
    <m/>
    <x v="9"/>
    <m/>
    <x v="0"/>
    <m/>
    <x v="0"/>
    <m/>
    <s v="Feb"/>
    <n v="2014"/>
    <s v="Account"/>
    <n v="0"/>
    <s v="No"/>
    <s v="None"/>
    <s v="[Koolikai Credit Card]"/>
  </r>
  <r>
    <s v="MasterCard (Capital One)"/>
    <d v="2014-02-26T00:00:00"/>
    <n v="0"/>
    <s v="X"/>
    <s v="Balanced"/>
    <s v="@CAT:@"/>
    <s v="[MasterCard (Capital One)]"/>
    <m/>
    <m/>
    <m/>
    <x v="38"/>
    <m/>
    <x v="0"/>
    <m/>
    <x v="0"/>
    <m/>
    <s v="Feb"/>
    <n v="2014"/>
    <s v="Account"/>
    <n v="0"/>
    <s v="No"/>
    <s v="None"/>
    <s v="[MasterCard (Capital One)]"/>
  </r>
  <r>
    <s v="MasterCard (Capital One)"/>
    <d v="2014-02-26T00:00:00"/>
    <n v="-60"/>
    <s v="X"/>
    <s v="Phinney Neighborhood Center"/>
    <s v="2011: GG *PHINNEY NEIGHBORHO SEATTLE WA 98103 USA"/>
    <s v="Charity:Charity (Cash)"/>
    <m/>
    <m/>
    <m/>
    <x v="22"/>
    <s v="Charity (Cash)"/>
    <x v="0"/>
    <m/>
    <x v="0"/>
    <m/>
    <s v="Feb"/>
    <n v="2014"/>
    <s v="Annual"/>
    <n v="0"/>
    <s v="No"/>
    <s v="None"/>
    <s v="Charity|Charity (Cash)"/>
  </r>
  <r>
    <s v="Koolikai Credit Card"/>
    <d v="2014-02-25T00:00:00"/>
    <n v="-15.84"/>
    <s v="X"/>
    <s v="Lowes #00252*"/>
    <s v="Sink fixture repair parts"/>
    <s v="Business Expenses (Koolikai):Tools/9602:From Receipt"/>
    <m/>
    <m/>
    <s v="9602:From Receipt"/>
    <x v="36"/>
    <s v="Tools"/>
    <x v="0"/>
    <m/>
    <x v="0"/>
    <m/>
    <s v="Feb"/>
    <n v="2014"/>
    <s v="Irregular"/>
    <n v="0"/>
    <s v="No"/>
    <s v="None"/>
    <s v="Business Expenses (Koolikai)|Tools"/>
  </r>
  <r>
    <s v="Koolikai Credit Card"/>
    <d v="2014-02-25T00:00:00"/>
    <n v="-16.170000000000002"/>
    <s v="X"/>
    <s v="Lowe's"/>
    <s v="10&quot; Tongue in Groove plier (channel locks?)"/>
    <s v="Business Expenses (Koolikai):Repairs/9602:From Receipt"/>
    <m/>
    <m/>
    <s v="9602:From Receipt"/>
    <x v="36"/>
    <s v="Repairs"/>
    <x v="0"/>
    <m/>
    <x v="0"/>
    <m/>
    <s v="Feb"/>
    <n v="2014"/>
    <s v="Irregular"/>
    <n v="0"/>
    <s v="No"/>
    <s v="None"/>
    <s v="Business Expenses (Koolikai)|Repairs"/>
  </r>
  <r>
    <s v="Koolikai Credit Card"/>
    <d v="2014-02-25T00:00:00"/>
    <n v="-16.399999999999999"/>
    <s v="X"/>
    <s v="Home Depot"/>
    <s v="Sink fixture repair parts"/>
    <s v="Business Expenses (Koolikai):Repairs/9602:From Receipt"/>
    <m/>
    <m/>
    <s v="9602:From Receipt"/>
    <x v="36"/>
    <s v="Repairs"/>
    <x v="0"/>
    <m/>
    <x v="0"/>
    <m/>
    <s v="Feb"/>
    <n v="2014"/>
    <s v="Irregular"/>
    <n v="0"/>
    <s v="No"/>
    <s v="None"/>
    <s v="Business Expenses (Koolikai)|Repairs"/>
  </r>
  <r>
    <s v="Koolikai Credit Card"/>
    <d v="2014-02-25T00:00:00"/>
    <n v="-125.97"/>
    <s v="X"/>
    <s v="Home Depot"/>
    <s v="Basin wrench, bucket, and inspection camera"/>
    <s v="Business Expenses (Koolikai):Tools/From Receipt"/>
    <m/>
    <m/>
    <s v="From Receipt"/>
    <x v="36"/>
    <s v="Tools"/>
    <x v="0"/>
    <m/>
    <x v="0"/>
    <m/>
    <s v="Feb"/>
    <n v="2014"/>
    <s v="Irregular"/>
    <n v="0"/>
    <s v="No"/>
    <s v="None"/>
    <s v="Business Expenses (Koolikai)|Tools"/>
  </r>
  <r>
    <s v="MasterCard (Capital One)"/>
    <d v="2014-02-25T00:00:00"/>
    <n v="-12.32"/>
    <s v="X"/>
    <s v="Stranger Tickets Wa"/>
    <s v="Play for Ang, Dave, Zach, and Josh"/>
    <s v="Kids:Kids Activities"/>
    <m/>
    <m/>
    <m/>
    <x v="27"/>
    <s v="Kids Activities"/>
    <x v="0"/>
    <m/>
    <x v="0"/>
    <m/>
    <s v="Feb"/>
    <n v="2014"/>
    <s v="Monthly"/>
    <n v="0"/>
    <s v="No"/>
    <s v="None"/>
    <s v="Kids|Kids Activities"/>
  </r>
  <r>
    <s v="MasterCard (Capital One)"/>
    <d v="2014-02-25T00:00:00"/>
    <n v="-0.39"/>
    <s v="X"/>
    <s v="Eurest"/>
    <s v="2011: CAFE 86 11171386 REDMOND WA 98052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25T00:00:00"/>
    <n v="-100"/>
    <s v="X"/>
    <s v="Eurest"/>
    <s v="2011: CAFE 86 11171386 REDMOND WA 98052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25T00:00:00"/>
    <n v="-292"/>
    <s v="X"/>
    <s v="Alaska Air"/>
    <s v="#Scottsdale 2014#"/>
    <s v="Vacation:Transportation"/>
    <m/>
    <m/>
    <m/>
    <x v="23"/>
    <s v="Transportation"/>
    <x v="0"/>
    <m/>
    <x v="19"/>
    <m/>
    <s v="Feb"/>
    <n v="2014"/>
    <s v="Irregular"/>
    <n v="0"/>
    <s v="No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s v="Transportation"/>
    <x v="0"/>
    <m/>
    <x v="19"/>
    <m/>
    <s v="Feb"/>
    <n v="2014"/>
    <s v="Irregular"/>
    <n v="0"/>
    <s v="No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s v="Transportation"/>
    <x v="0"/>
    <m/>
    <x v="19"/>
    <m/>
    <s v="Feb"/>
    <n v="2014"/>
    <s v="Irregular"/>
    <n v="0"/>
    <s v="No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s v="Transportation"/>
    <x v="0"/>
    <m/>
    <x v="19"/>
    <m/>
    <s v="Feb"/>
    <n v="2014"/>
    <s v="Irregular"/>
    <n v="0"/>
    <s v="No"/>
    <s v="None"/>
    <s v="Vacation|Transportation"/>
  </r>
  <r>
    <s v="First Tech - Checking (5544)"/>
    <d v="2014-02-24T00:00:00"/>
    <n v="-90"/>
    <s v="X"/>
    <s v="Discover Card (Autopay)"/>
    <s v="ACH Debit--DISCOVER DC PYMNTS DCIDPIINT - E-PAYMENT"/>
    <s v="[Discover Card]"/>
    <m/>
    <m/>
    <m/>
    <x v="24"/>
    <m/>
    <x v="0"/>
    <m/>
    <x v="0"/>
    <m/>
    <s v="Feb"/>
    <n v="2014"/>
    <s v="Account"/>
    <n v="0"/>
    <s v="No"/>
    <s v="None"/>
    <s v="[Discover Card]"/>
  </r>
  <r>
    <s v="First Tech - Checking (5544)"/>
    <d v="2014-02-24T00:00:00"/>
    <n v="-250.3"/>
    <s v="X"/>
    <s v="American Express (Autopay)"/>
    <s v="ACH Debit--AMEX EPayment AM - ACH PMT"/>
    <s v="[American Express (Costco)]"/>
    <m/>
    <m/>
    <m/>
    <x v="20"/>
    <m/>
    <x v="0"/>
    <m/>
    <x v="0"/>
    <m/>
    <s v="Feb"/>
    <n v="2014"/>
    <s v="Account"/>
    <n v="0"/>
    <s v="No"/>
    <s v="None"/>
    <s v="[American Express (Costco)]"/>
  </r>
  <r>
    <s v="First Tech - Checking (5544)"/>
    <d v="2014-02-24T00:00:00"/>
    <n v="-65"/>
    <s v="X"/>
    <s v="Patricia Anderson"/>
    <s v="Check--"/>
    <s v="Kids:Babysitter"/>
    <n v="2295"/>
    <m/>
    <m/>
    <x v="27"/>
    <s v="Babysitter"/>
    <x v="0"/>
    <m/>
    <x v="0"/>
    <m/>
    <s v="Feb"/>
    <n v="2014"/>
    <s v="Monthly"/>
    <n v="0"/>
    <s v="No"/>
    <s v="None"/>
    <s v="Kids|Babysitter"/>
  </r>
  <r>
    <s v="Koolikai - Checking XX2129"/>
    <d v="2014-02-24T00:00:00"/>
    <n v="-146.54"/>
    <s v="X"/>
    <s v="Chase - Koolikai (Autopay)"/>
    <s v="ACH Debit--CHASE  - AUTOPAYBUS"/>
    <s v="[Koolikai Credit Card]"/>
    <m/>
    <m/>
    <m/>
    <x v="9"/>
    <m/>
    <x v="0"/>
    <m/>
    <x v="0"/>
    <m/>
    <s v="Feb"/>
    <n v="2014"/>
    <s v="Account"/>
    <n v="0"/>
    <s v="No"/>
    <s v="None"/>
    <s v="[Koolikai Credit Card]"/>
  </r>
  <r>
    <s v="American Express (Costco)"/>
    <d v="2014-02-24T00:00:00"/>
    <n v="250.3"/>
    <s v="X"/>
    <s v="American Express (Autopay)"/>
    <s v="ACH Debit--AMEX EPayment AM - ACH PMT"/>
    <s v="[First Tech - Checking (5544)]"/>
    <m/>
    <m/>
    <m/>
    <x v="21"/>
    <m/>
    <x v="0"/>
    <m/>
    <x v="0"/>
    <m/>
    <s v="Feb"/>
    <n v="2014"/>
    <s v="Account"/>
    <n v="0"/>
    <s v="No"/>
    <s v="None"/>
    <s v="[First Tech - Checking (5544)]"/>
  </r>
  <r>
    <s v="Discover Card"/>
    <d v="2014-02-24T00:00:00"/>
    <n v="90"/>
    <s v="X"/>
    <s v="Discover Card (Autopay)"/>
    <s v="ACH Debit--DISCOVER DC PYMNTS DCIDPIINT - E-PAYMENT"/>
    <s v="[First Tech - Checking (5544)]"/>
    <m/>
    <m/>
    <m/>
    <x v="21"/>
    <m/>
    <x v="0"/>
    <m/>
    <x v="0"/>
    <m/>
    <s v="Feb"/>
    <n v="2014"/>
    <s v="Account"/>
    <n v="0"/>
    <s v="No"/>
    <s v="None"/>
    <s v="[First Tech - Checking (5544)]"/>
  </r>
  <r>
    <s v="Koolikai Credit Card"/>
    <d v="2014-02-24T00:00:00"/>
    <n v="146.54"/>
    <s v="X"/>
    <s v="Chase - Koolikai (Autopay)"/>
    <s v="ACH Debit--CHASE  - AUTOPAYBUS"/>
    <s v="[Koolikai - Checking XX2129]"/>
    <m/>
    <m/>
    <m/>
    <x v="25"/>
    <m/>
    <x v="0"/>
    <m/>
    <x v="0"/>
    <m/>
    <s v="Feb"/>
    <n v="2014"/>
    <s v="Account"/>
    <n v="0"/>
    <s v="No"/>
    <s v="None"/>
    <s v="[Koolikai - Checking XX2129]"/>
  </r>
  <r>
    <s v="MasterCard (Capital One)"/>
    <d v="2014-02-24T00:00:00"/>
    <n v="-13.73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23T00:00:00"/>
    <n v="-47.07"/>
    <s v="X"/>
    <s v="Jiffy Lube"/>
    <s v="Oil change for the RAV"/>
    <s v="Auto &amp; Transport:Service &amp; Parts/From Receipt"/>
    <m/>
    <m/>
    <s v="From Receipt"/>
    <x v="17"/>
    <s v="Service &amp; Parts"/>
    <x v="0"/>
    <m/>
    <x v="0"/>
    <m/>
    <s v="Feb"/>
    <n v="2014"/>
    <s v="Unplanned"/>
    <n v="0"/>
    <s v="No"/>
    <s v="None"/>
    <s v="Auto &amp; Transport|Service &amp; Parts"/>
  </r>
  <r>
    <s v="MasterCard (Capital One)"/>
    <d v="2014-02-23T00:00:00"/>
    <n v="-6.17"/>
    <s v="X"/>
    <s v="Ken's Market"/>
    <s v="2011: KEN'S MARKET #75-116 SEATTLE WA 98103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22T00:00:00"/>
    <n v="-8.1"/>
    <s v="X"/>
    <s v="Wsferries Cl Seattle"/>
    <s v="#Family Reunion#"/>
    <s v="Vacation:Transportation"/>
    <m/>
    <m/>
    <m/>
    <x v="23"/>
    <s v="Transportation"/>
    <x v="0"/>
    <m/>
    <x v="25"/>
    <m/>
    <s v="Feb"/>
    <n v="2014"/>
    <s v="Irregular"/>
    <n v="0"/>
    <s v="No"/>
    <s v="None"/>
    <s v="Vacation|Transportation"/>
  </r>
  <r>
    <s v="MasterCard (Capital One)"/>
    <d v="2014-02-22T00:00:00"/>
    <n v="-12.85"/>
    <s v="X"/>
    <s v="Wsferries Mu Seattle"/>
    <s v="#Family Reunion#"/>
    <s v="Vacation:Transportation"/>
    <m/>
    <m/>
    <m/>
    <x v="23"/>
    <s v="Transportation"/>
    <x v="0"/>
    <m/>
    <x v="25"/>
    <m/>
    <s v="Feb"/>
    <n v="2014"/>
    <s v="Irregular"/>
    <n v="0"/>
    <s v="No"/>
    <s v="None"/>
    <s v="Vacation|Transportation"/>
  </r>
  <r>
    <s v="MasterCard (Capital One)"/>
    <d v="2014-02-22T00:00:00"/>
    <n v="-21.48"/>
    <s v="X"/>
    <s v="Goose Community Clinton"/>
    <s v="Wne for the Owen birthday party"/>
    <s v="Gifts"/>
    <m/>
    <m/>
    <m/>
    <x v="28"/>
    <m/>
    <x v="0"/>
    <m/>
    <x v="0"/>
    <m/>
    <s v="Feb"/>
    <n v="2014"/>
    <s v="Monthly"/>
    <n v="0"/>
    <s v="No"/>
    <s v="None"/>
    <s v="Gifts"/>
  </r>
  <r>
    <s v="MasterCard (Capital One)"/>
    <d v="2014-02-22T00:00:00"/>
    <n v="-30.16"/>
    <s v="X"/>
    <s v="Trader Joe's"/>
    <s v="2011: TRADER JOE'S #147 QPS SEATTLE WA 98107 USA"/>
    <s v="Food &amp; Dining:Groceries"/>
    <m/>
    <m/>
    <m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22T00:00:00"/>
    <n v="-123.85"/>
    <s v="X"/>
    <s v="Fred Meyer"/>
    <s v="2011: FRED-MEYER #0608 SEATTLE WA 98107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Target Red Card"/>
    <d v="2014-02-22T00:00:00"/>
    <n v="-204.82"/>
    <s v="X"/>
    <s v="Target"/>
    <s v="Bedding, lamps, etc. for kids new bedroom"/>
    <s v="Projects:Boy's Room/From Receipt"/>
    <n v="799999940531"/>
    <m/>
    <s v="From Receipt"/>
    <x v="39"/>
    <s v="Boy's Room"/>
    <x v="0"/>
    <m/>
    <x v="0"/>
    <m/>
    <s v="Feb"/>
    <n v="2014"/>
    <s v="Unplanned"/>
    <n v="0"/>
    <s v="No"/>
    <s v="None"/>
    <s v="Projects|Boy's Room"/>
  </r>
  <r>
    <s v="First Tech - Checking (5544)"/>
    <d v="2014-02-21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Feb"/>
    <n v="2014"/>
    <s v="Monthly"/>
    <n v="0"/>
    <s v="No"/>
    <s v="None"/>
    <s v="Home|Home Services"/>
  </r>
  <r>
    <s v="First Tech - Checking (5544)"/>
    <d v="2014-02-21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Feb"/>
    <n v="2014"/>
    <s v="Monthly"/>
    <n v="0"/>
    <s v="No"/>
    <s v="None"/>
    <s v="Auto &amp; Transport|Auto Lease Payment"/>
  </r>
  <r>
    <s v="MasterCard (Capital One)"/>
    <d v="2014-02-21T00:00:00"/>
    <n v="-20"/>
    <s v="X"/>
    <s v="Starbucks"/>
    <s v="2011: SQ *STARBUCKS #00104 S Seattle WA 981011448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20T00:00:00"/>
    <n v="-6.56"/>
    <s v="X"/>
    <s v="Fresh Table Met"/>
    <s v="2011: FRESH TABLE-MET PARK SEATTLE WA 98101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20T00:00:00"/>
    <n v="-4.59"/>
    <s v="X"/>
    <s v="Ken's Market"/>
    <s v="2011: KEN'S MARKET #75-116 SEATTLE WA 98103 USA"/>
    <s v="Food &amp; Dining:Groceries"/>
    <m/>
    <m/>
    <m/>
    <x v="15"/>
    <s v="Groceries"/>
    <x v="0"/>
    <m/>
    <x v="0"/>
    <m/>
    <s v="Feb"/>
    <n v="2014"/>
    <s v="Monthly"/>
    <n v="0"/>
    <s v="No"/>
    <s v="None"/>
    <s v="Food &amp; Dining|Groceries"/>
  </r>
  <r>
    <s v="First Tech - Checking (5544)"/>
    <d v="2014-02-19T00:00:00"/>
    <n v="30"/>
    <s v="X"/>
    <s v="Liberty Mutual"/>
    <s v="Refund of insurance over payment"/>
    <s v="Business Expenses (Koolikai):Mortgage (Business)"/>
    <m/>
    <m/>
    <m/>
    <x v="36"/>
    <s v="Mortgage (Business)"/>
    <x v="0"/>
    <m/>
    <x v="0"/>
    <m/>
    <s v="Feb"/>
    <n v="2014"/>
    <s v="Monthly"/>
    <n v="0"/>
    <s v="No"/>
    <s v="None"/>
    <s v="Business Expenses (Koolikai)|Mortgage (Business)"/>
  </r>
  <r>
    <s v="MasterCard (Capital One)"/>
    <d v="2014-02-19T00:00:00"/>
    <n v="25"/>
    <s v="X"/>
    <s v="Capital One (Cash Back)"/>
    <s v="2011: CREDIT-CASH BACK REWARD"/>
    <s v="Other Inc"/>
    <m/>
    <m/>
    <m/>
    <x v="29"/>
    <m/>
    <x v="0"/>
    <m/>
    <x v="0"/>
    <m/>
    <s v="Feb"/>
    <n v="2014"/>
    <s v="Monthly"/>
    <n v="0"/>
    <s v="No"/>
    <s v="None"/>
    <s v="Other Inc"/>
  </r>
  <r>
    <s v="First Tech - Checking (5544)"/>
    <d v="2014-02-18T00:00:00"/>
    <n v="-100"/>
    <s v="X"/>
    <s v="Phinney Ridge CDC"/>
    <s v="ACH Debit--PHINNEY RIDGE LU 504759859 - CONTRIBUTN"/>
    <s v="Kids:Daycare"/>
    <m/>
    <m/>
    <m/>
    <x v="27"/>
    <s v="Daycare"/>
    <x v="0"/>
    <m/>
    <x v="0"/>
    <m/>
    <s v="Feb"/>
    <n v="2014"/>
    <s v="Monthly"/>
    <n v="0"/>
    <s v="No"/>
    <s v="None"/>
    <s v="Kids|Daycare"/>
  </r>
  <r>
    <s v="First Tech - Short Term Emergency (5400)"/>
    <d v="2014-02-18T00:00:00"/>
    <n v="0"/>
    <s v="X"/>
    <s v="Balanced"/>
    <s v="@CAT:@;@BAL:$5.00@"/>
    <s v="[First Tech - Short Term Emergency (5400)]"/>
    <m/>
    <m/>
    <m/>
    <x v="4"/>
    <m/>
    <x v="0"/>
    <m/>
    <x v="0"/>
    <m/>
    <s v="Feb"/>
    <n v="2014"/>
    <s v="Account"/>
    <n v="0"/>
    <s v="No"/>
    <s v="None"/>
    <s v="[First Tech - Short Term Emergency (5400)]"/>
  </r>
  <r>
    <s v="Schwab - Checking (9784)"/>
    <d v="2014-02-18T00:00:00"/>
    <n v="0"/>
    <s v="X"/>
    <s v="Balanced"/>
    <s v="@BAL:1524.95@;@CAT:@"/>
    <s v="[Schwab - Checking (9784)]"/>
    <m/>
    <m/>
    <m/>
    <x v="5"/>
    <m/>
    <x v="0"/>
    <m/>
    <x v="0"/>
    <m/>
    <s v="Feb"/>
    <n v="2014"/>
    <s v="Account"/>
    <n v="0"/>
    <s v="No"/>
    <s v="None"/>
    <s v="[Schwab - Checking (9784)]"/>
  </r>
  <r>
    <s v="Discover Card"/>
    <d v="2014-02-18T00:00:00"/>
    <n v="0"/>
    <s v="X"/>
    <s v="Balanced"/>
    <s v="@CAT:@"/>
    <s v="[Discover Card]"/>
    <m/>
    <m/>
    <m/>
    <x v="24"/>
    <m/>
    <x v="0"/>
    <m/>
    <x v="0"/>
    <m/>
    <s v="Feb"/>
    <n v="2014"/>
    <s v="Account"/>
    <n v="0"/>
    <s v="No"/>
    <s v="None"/>
    <s v="[Discover Card]"/>
  </r>
  <r>
    <s v="AmericanWest (1186)"/>
    <d v="2014-02-17T00:00:00"/>
    <n v="0"/>
    <m/>
    <s v="Balanced"/>
    <s v="@BAL:100.00@"/>
    <s v="[AmericanWest (1186)]"/>
    <m/>
    <m/>
    <m/>
    <x v="52"/>
    <m/>
    <x v="0"/>
    <m/>
    <x v="0"/>
    <m/>
    <s v="Feb"/>
    <n v="2014"/>
    <s v="Account"/>
    <n v="0"/>
    <s v="No"/>
    <s v="None"/>
    <s v="[AmericanWest (1186)]"/>
  </r>
  <r>
    <s v="MasterCard (Capital One)"/>
    <d v="2014-02-17T00:00:00"/>
    <n v="-41.4"/>
    <s v="X"/>
    <s v="Stardust Salon"/>
    <s v="2011: SQ *LISA AT STARDUST S Seattle WA 98103 USA"/>
    <s v="Personal Care:Hair"/>
    <m/>
    <m/>
    <m/>
    <x v="31"/>
    <s v="Hair"/>
    <x v="0"/>
    <m/>
    <x v="0"/>
    <m/>
    <s v="Feb"/>
    <n v="2014"/>
    <s v="Monthly"/>
    <n v="0"/>
    <s v="No"/>
    <s v="None"/>
    <s v="Personal Care|Hair"/>
  </r>
  <r>
    <s v="MasterCard (Capital One)"/>
    <d v="2014-02-17T00:00:00"/>
    <n v="-982.57"/>
    <s v="X"/>
    <s v="Columbus 004"/>
    <s v="2011: ESI PHARM COLUMBUS 08002822881 OH 43228 USA"/>
    <s v="Health &amp; Fitness:Pharmacy"/>
    <m/>
    <m/>
    <m/>
    <x v="18"/>
    <s v="Pharmacy"/>
    <x v="0"/>
    <m/>
    <x v="0"/>
    <m/>
    <s v="Feb"/>
    <n v="2014"/>
    <s v="Irregular"/>
    <n v="0"/>
    <s v="No"/>
    <s v="None"/>
    <s v="Health &amp; Fitness|Pharmacy"/>
  </r>
  <r>
    <s v="MasterCard (Capital One)"/>
    <d v="2014-02-17T00:00:00"/>
    <n v="-4.4400000000000004"/>
    <s v="X"/>
    <s v="Ken's Market"/>
    <m/>
    <s v="Food &amp; Dining:Groceries"/>
    <m/>
    <m/>
    <m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17T00:00:00"/>
    <n v="-18.29"/>
    <s v="X"/>
    <s v="Twirl Play Cafe"/>
    <m/>
    <s v="Kids:Kids Activities"/>
    <m/>
    <m/>
    <m/>
    <x v="27"/>
    <s v="Kids Activities"/>
    <x v="0"/>
    <m/>
    <x v="0"/>
    <m/>
    <s v="Feb"/>
    <n v="2014"/>
    <s v="Monthly"/>
    <n v="0"/>
    <s v="No"/>
    <s v="None"/>
    <s v="Kids|Kids Activities"/>
  </r>
  <r>
    <s v="REI Mastercard (xx1787)"/>
    <d v="2014-02-17T00:00:00"/>
    <n v="0"/>
    <s v="X"/>
    <s v="Balanced"/>
    <s v="@BAL:$126.00@;@CAT:@"/>
    <s v="[REI Mastercard (xx1787)]"/>
    <m/>
    <m/>
    <m/>
    <x v="11"/>
    <m/>
    <x v="0"/>
    <m/>
    <x v="0"/>
    <m/>
    <s v="Feb"/>
    <n v="2014"/>
    <e v="#N/A"/>
    <e v="#N/A"/>
    <e v="#N/A"/>
    <e v="#N/A"/>
    <s v="[REI Mastercard (xx1787)]"/>
  </r>
  <r>
    <s v="Target Red Card"/>
    <d v="2014-02-17T00:00:00"/>
    <n v="0"/>
    <s v="X"/>
    <s v="Balanced"/>
    <s v="@CAT:@"/>
    <s v="[Target Red Card]"/>
    <m/>
    <m/>
    <m/>
    <x v="12"/>
    <m/>
    <x v="0"/>
    <m/>
    <x v="0"/>
    <m/>
    <s v="Feb"/>
    <n v="2014"/>
    <s v="Account"/>
    <n v="0"/>
    <s v="No"/>
    <s v="None"/>
    <s v="[Target Red Card]"/>
  </r>
  <r>
    <s v="MasterCard (Capital One)"/>
    <d v="2014-02-16T00:00:00"/>
    <n v="-93.55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16T00:00:00"/>
    <n v="-12.72"/>
    <s v="X"/>
    <s v="Pie Seattle Center"/>
    <s v="2011: PIE - SEATTLE CENTER SEATTLE WA 98109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16T00:00:00"/>
    <n v="-20.260000000000002"/>
    <s v="X"/>
    <s v="Skillet Counter Seattle"/>
    <s v="2011: SKILLET COUNTER SEATTLE WA 98109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15T00:00:00"/>
    <n v="-1.35"/>
    <s v="X"/>
    <s v="Seattle City Light"/>
    <s v="2011: SEATTLE CITY LIGHT 02066843000 WA 98124 USA"/>
    <s v="Business Expenses (Koolikai):Utilities (Business)/9602"/>
    <m/>
    <m/>
    <n v="9602"/>
    <x v="36"/>
    <s v="Utilities (Business)"/>
    <x v="0"/>
    <m/>
    <x v="0"/>
    <m/>
    <s v="Feb"/>
    <n v="2014"/>
    <s v="Monthly"/>
    <n v="0"/>
    <s v="No"/>
    <s v="None"/>
    <s v="Business Expenses (Koolikai)|Utilities (Business)"/>
  </r>
  <r>
    <s v="MasterCard (Capital One)"/>
    <d v="2014-02-15T00:00:00"/>
    <n v="-3"/>
    <s v="X"/>
    <s v="Diamond Parking"/>
    <s v="2011: DIAMOND PARKING WE09 EVERETT WA 98106 USA"/>
    <s v="Auto &amp; Transport:Parking"/>
    <m/>
    <m/>
    <m/>
    <x v="17"/>
    <s v="Parking"/>
    <x v="0"/>
    <m/>
    <x v="0"/>
    <m/>
    <s v="Feb"/>
    <n v="2014"/>
    <s v="Monthly"/>
    <n v="0"/>
    <s v="No"/>
    <s v="None"/>
    <s v="Auto &amp; Transport|Parking"/>
  </r>
  <r>
    <s v="MasterCard (Capital One)"/>
    <d v="2014-02-15T00:00:00"/>
    <n v="-62.39"/>
    <s v="X"/>
    <s v="Gainsbourg"/>
    <s v="2011: GAINSBOURG SEATTLE WA 98103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15T00:00:00"/>
    <n v="-95"/>
    <s v="X"/>
    <s v="Imagine Childrens Museum"/>
    <s v="2011: IMAGINE CHILDREN'S MUS EVERETT WA 98201 USA"/>
    <s v="Kids:Kids Activities/From Receipt"/>
    <m/>
    <m/>
    <s v="From Receipt"/>
    <x v="27"/>
    <s v="Kids Activities"/>
    <x v="0"/>
    <m/>
    <x v="0"/>
    <m/>
    <s v="Feb"/>
    <n v="2014"/>
    <s v="Monthly"/>
    <n v="0"/>
    <s v="No"/>
    <s v="None"/>
    <s v="Kids|Kids Activities"/>
  </r>
  <r>
    <s v="First Tech - Checking (5544)"/>
    <d v="2014-02-13T00:00:00"/>
    <n v="3165.2"/>
    <s v="X"/>
    <s v="Microsoft (Paystub)"/>
    <s v="@BAL:$44,862.43@;@CAT:@"/>
    <s v="Net Salary"/>
    <m/>
    <m/>
    <m/>
    <x v="35"/>
    <m/>
    <x v="0"/>
    <m/>
    <x v="0"/>
    <m/>
    <s v="Feb"/>
    <n v="2014"/>
    <s v="Monthly"/>
    <n v="0"/>
    <s v="No"/>
    <s v="None"/>
    <s v="Net Salary"/>
  </r>
  <r>
    <s v="First Tech - Checking (5544)"/>
    <d v="2014-02-12T00:00:00"/>
    <n v="-148.06"/>
    <s v="X"/>
    <s v="Puget Sound Energy"/>
    <s v="ACH Debit--PUGET SOUND ENER DIRECT DEBITING - PSE BILL  35000281"/>
    <s v="Bills &amp; Utilities:Utilities"/>
    <m/>
    <m/>
    <m/>
    <x v="34"/>
    <s v="Utilities"/>
    <x v="0"/>
    <m/>
    <x v="0"/>
    <m/>
    <s v="Feb"/>
    <n v="2014"/>
    <s v="Monthly"/>
    <n v="0"/>
    <s v="No"/>
    <s v="None"/>
    <s v="Bills &amp; Utilities|Utilities"/>
  </r>
  <r>
    <s v="Koolikai Credit Card"/>
    <d v="2014-02-12T00:00:00"/>
    <n v="-146.74"/>
    <s v="X"/>
    <s v="Verizon Wireless"/>
    <s v="@CAT:@"/>
    <s v="Business Expenses (Koolikai):Cell Phone"/>
    <m/>
    <m/>
    <m/>
    <x v="36"/>
    <s v="Cell Phone"/>
    <x v="0"/>
    <m/>
    <x v="0"/>
    <m/>
    <s v="Feb"/>
    <n v="2014"/>
    <s v="Monthly"/>
    <n v="0"/>
    <s v="No"/>
    <s v="None"/>
    <s v="Business Expenses (Koolikai)|Cell Phone"/>
  </r>
  <r>
    <s v="MasterCard (Capital One)"/>
    <d v="2014-02-12T00:00:00"/>
    <n v="50"/>
    <s v="X"/>
    <s v="Capital One (Cash Back)"/>
    <s v="2011: CREDIT-CASH BACK REWARD;@CAT:@"/>
    <s v="Other Inc"/>
    <m/>
    <m/>
    <m/>
    <x v="29"/>
    <m/>
    <x v="0"/>
    <m/>
    <x v="0"/>
    <m/>
    <s v="Feb"/>
    <n v="2014"/>
    <s v="Monthly"/>
    <n v="0"/>
    <s v="No"/>
    <s v="None"/>
    <s v="Other Inc"/>
  </r>
  <r>
    <s v="MasterCard (Capital One)"/>
    <d v="2014-02-12T00:00:00"/>
    <n v="-54"/>
    <s v="X"/>
    <s v="Liberty Mutual"/>
    <s v="Fire insurance for 7231"/>
    <s v="Business Expenses (Koolikai):Mortgage (Business)/7231"/>
    <m/>
    <m/>
    <n v="7231"/>
    <x v="36"/>
    <s v="Mortgage (Business)"/>
    <x v="0"/>
    <m/>
    <x v="0"/>
    <m/>
    <s v="Feb"/>
    <n v="2014"/>
    <s v="Monthly"/>
    <n v="0"/>
    <s v="No"/>
    <s v="None"/>
    <s v="Business Expenses (Koolikai)|Mortgage (Business)"/>
  </r>
  <r>
    <s v="MasterCard (Capital One)"/>
    <d v="2014-02-12T00:00:00"/>
    <n v="-0.27"/>
    <s v="X"/>
    <s v="Swedish Medical First"/>
    <s v="Zach prescription pain killer"/>
    <s v="Health &amp; Fitness:Pharmacy"/>
    <m/>
    <m/>
    <m/>
    <x v="18"/>
    <s v="Pharmacy"/>
    <x v="0"/>
    <m/>
    <x v="0"/>
    <m/>
    <s v="Feb"/>
    <n v="2014"/>
    <s v="Irregular"/>
    <n v="0"/>
    <s v="No"/>
    <s v="None"/>
    <s v="Health &amp; Fitness|Pharmacy"/>
  </r>
  <r>
    <s v="MasterCard (Capital One)"/>
    <d v="2014-02-12T00:00:00"/>
    <n v="-3.14"/>
    <s v="X"/>
    <s v="Bartell Drug"/>
    <s v="Valentines"/>
    <s v="Gifts/From Receipt"/>
    <m/>
    <m/>
    <s v="From Receipt"/>
    <x v="28"/>
    <m/>
    <x v="0"/>
    <m/>
    <x v="0"/>
    <m/>
    <s v="Feb"/>
    <n v="2014"/>
    <s v="Monthly"/>
    <n v="0"/>
    <s v="No"/>
    <s v="None"/>
    <s v="Gifts"/>
  </r>
  <r>
    <s v="MasterCard (Capital One)"/>
    <d v="2014-02-12T00:00:00"/>
    <n v="-10"/>
    <s v="X"/>
    <s v="Republic Parking Seattle"/>
    <s v="Parking for Zach's surgery"/>
    <s v="Auto &amp; Transport:Parking"/>
    <m/>
    <m/>
    <m/>
    <x v="17"/>
    <s v="Parking"/>
    <x v="0"/>
    <m/>
    <x v="0"/>
    <m/>
    <s v="Feb"/>
    <n v="2014"/>
    <s v="Monthly"/>
    <n v="0"/>
    <s v="No"/>
    <s v="None"/>
    <s v="Auto &amp; Transport|Parking"/>
  </r>
  <r>
    <s v="MasterCard (Capital One)"/>
    <d v="2014-02-12T00:00:00"/>
    <n v="-33.909999999999997"/>
    <s v="X"/>
    <s v="Fred Meyer"/>
    <s v="@CAT:@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11T00:00:00"/>
    <n v="-17"/>
    <s v="X"/>
    <s v="Craft-e-family"/>
    <s v="2011: CRAFT E FAMILY LLC 317-996-2124 IN 46158 USA"/>
    <s v="Gifts"/>
    <m/>
    <m/>
    <m/>
    <x v="28"/>
    <m/>
    <x v="0"/>
    <m/>
    <x v="0"/>
    <m/>
    <s v="Feb"/>
    <n v="2014"/>
    <s v="Monthly"/>
    <n v="0"/>
    <s v="No"/>
    <s v="None"/>
    <s v="Gifts"/>
  </r>
  <r>
    <s v="MasterCard (Capital One)"/>
    <d v="2014-02-10T00:00:00"/>
    <n v="-138"/>
    <s v="X"/>
    <s v="United Airlines"/>
    <s v="#Sheryl's wedding#"/>
    <s v="Vacation:Transportation"/>
    <m/>
    <m/>
    <m/>
    <x v="23"/>
    <s v="Transportation"/>
    <x v="0"/>
    <m/>
    <x v="24"/>
    <m/>
    <s v="Feb"/>
    <n v="2014"/>
    <s v="Irregular"/>
    <n v="0"/>
    <s v="No"/>
    <s v="None"/>
    <s v="Vacation|Transportation"/>
  </r>
  <r>
    <s v="MasterCard (Capital One)"/>
    <d v="2014-02-10T00:00:00"/>
    <n v="-335"/>
    <s v="X"/>
    <s v="Liberty Mutual"/>
    <s v="2011: LIBERTY MUTUAL 888-398-8924 MA 02116 USA"/>
    <s v="Bills &amp; Utilities:Insurance (Umbrella)"/>
    <m/>
    <m/>
    <m/>
    <x v="34"/>
    <s v="Insurance (Umbrella)"/>
    <x v="0"/>
    <m/>
    <x v="0"/>
    <m/>
    <s v="Feb"/>
    <n v="2014"/>
    <s v="Monthly"/>
    <n v="0"/>
    <s v="No"/>
    <s v="None"/>
    <s v="Bills &amp; Utilities|Insurance (Umbrella)"/>
  </r>
  <r>
    <s v="MasterCard (Capital One)"/>
    <d v="2014-02-10T00:00:00"/>
    <n v="-2259.7199999999998"/>
    <s v="X"/>
    <s v="Liberty Mutual"/>
    <s v="2011: LIBERTY MUTUAL 888-398-8924 MA 02116 USA"/>
    <s v="Auto &amp; Transport:Auto Insurance"/>
    <m/>
    <m/>
    <m/>
    <x v="17"/>
    <s v="Auto Insurance"/>
    <x v="0"/>
    <m/>
    <x v="0"/>
    <m/>
    <s v="Feb"/>
    <n v="2014"/>
    <s v="Annual"/>
    <n v="0"/>
    <s v="No"/>
    <s v="None"/>
    <s v="Auto &amp; Transport|Auto Insurance"/>
  </r>
  <r>
    <s v="Target Red Card"/>
    <d v="2014-02-10T00:00:00"/>
    <n v="-3.32"/>
    <s v="X"/>
    <s v="Target"/>
    <s v="Valentines for the boys;@BAL:$61.60@"/>
    <s v="Gifts/From Receipt"/>
    <n v="799999940411"/>
    <m/>
    <s v="From Receipt"/>
    <x v="28"/>
    <m/>
    <x v="0"/>
    <m/>
    <x v="0"/>
    <m/>
    <s v="Feb"/>
    <n v="2014"/>
    <s v="Monthly"/>
    <n v="0"/>
    <s v="No"/>
    <s v="None"/>
    <s v="Gifts"/>
  </r>
  <r>
    <s v="Schwab - Checking (9784)"/>
    <d v="2014-02-09T00:00:00"/>
    <n v="-40"/>
    <s v="X"/>
    <s v="Umpqua Bank Greenw"/>
    <m/>
    <s v="Kids:Babysitter"/>
    <m/>
    <s v="Split"/>
    <m/>
    <x v="27"/>
    <s v="Babysitter"/>
    <x v="0"/>
    <m/>
    <x v="0"/>
    <m/>
    <s v="Feb"/>
    <n v="2014"/>
    <s v="Monthly"/>
    <n v="0"/>
    <s v="No"/>
    <s v="None"/>
    <s v="Kids|Babysitter"/>
  </r>
  <r>
    <s v="Schwab - Checking (9784)"/>
    <d v="2014-02-09T00:00:00"/>
    <n v="-3.5"/>
    <s v="X"/>
    <s v="Umpqua Bank Greenw"/>
    <m/>
    <s v="Bank Fees &amp; Charges:ATM Fee"/>
    <m/>
    <s v="Split"/>
    <m/>
    <x v="32"/>
    <s v="ATM Fee"/>
    <x v="0"/>
    <m/>
    <x v="0"/>
    <m/>
    <s v="Feb"/>
    <n v="2014"/>
    <s v="Monthly"/>
    <n v="0"/>
    <s v="No"/>
    <s v="None"/>
    <s v="Bank Fees &amp; Charges|ATM Fee"/>
  </r>
  <r>
    <s v="MasterCard (Capital One)"/>
    <d v="2014-02-09T00:00:00"/>
    <n v="-19.420000000000002"/>
    <s v="X"/>
    <s v="In The Red"/>
    <s v="2011: IN THE RED WINE BAR CA SEATTLE WA 98103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09T00:00:00"/>
    <n v="-25.81"/>
    <s v="X"/>
    <s v="Bed Bath &amp; Beyond"/>
    <s v="Shot glass, spatula, cake pan, etc."/>
    <s v="Home:Furnishings/From Receipt"/>
    <m/>
    <m/>
    <s v="From Receipt"/>
    <x v="14"/>
    <s v="Furnishings"/>
    <x v="0"/>
    <m/>
    <x v="0"/>
    <m/>
    <s v="Feb"/>
    <n v="2014"/>
    <s v="Monthly"/>
    <n v="0"/>
    <s v="No"/>
    <s v="None"/>
    <s v="Home|Furnishings"/>
  </r>
  <r>
    <s v="MasterCard (Capital One)"/>
    <d v="2014-02-09T00:00:00"/>
    <n v="-50"/>
    <s v="X"/>
    <s v="Good Go Replenishment"/>
    <s v="2011: GOOD2GO REPLENISHMENT 08669368246 WA 98105 USA"/>
    <s v="Auto &amp; Transport:Tolls"/>
    <m/>
    <m/>
    <m/>
    <x v="17"/>
    <s v="Tolls"/>
    <x v="0"/>
    <m/>
    <x v="0"/>
    <m/>
    <s v="Feb"/>
    <n v="2014"/>
    <s v="Irregular"/>
    <n v="0"/>
    <s v="No"/>
    <s v="None"/>
    <s v="Auto &amp; Transport|Tolls"/>
  </r>
  <r>
    <s v="MasterCard (Capital One)"/>
    <d v="2014-02-08T00:00:00"/>
    <n v="-2.73"/>
    <s v="X"/>
    <s v="Seattle Park Seattle"/>
    <s v="2011: SEATTLE 684-PARK SEATTLE WA 98104 USA"/>
    <s v="Auto &amp; Transport:Parking"/>
    <m/>
    <m/>
    <m/>
    <x v="17"/>
    <s v="Parking"/>
    <x v="0"/>
    <m/>
    <x v="0"/>
    <m/>
    <s v="Feb"/>
    <n v="2014"/>
    <s v="Monthly"/>
    <n v="0"/>
    <s v="No"/>
    <s v="None"/>
    <s v="Auto &amp; Transport|Parking"/>
  </r>
  <r>
    <s v="MasterCard (Capital One)"/>
    <d v="2014-02-08T00:00:00"/>
    <n v="-19"/>
    <s v="X"/>
    <s v="Icon Grill"/>
    <s v="2011: ICON GRILL SEATTLE WA 98101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08T00:00:00"/>
    <n v="-34"/>
    <s v="X"/>
    <s v="Rudy's Barber Shop"/>
    <s v="2011: RUDYS BARBER SHOP - LA LOS ANGELES CA 90027 USA"/>
    <s v="Personal Care:Hair"/>
    <m/>
    <m/>
    <m/>
    <x v="31"/>
    <s v="Hair"/>
    <x v="0"/>
    <m/>
    <x v="0"/>
    <m/>
    <s v="Feb"/>
    <n v="2014"/>
    <s v="Monthly"/>
    <n v="0"/>
    <s v="No"/>
    <s v="None"/>
    <s v="Personal Care|Hair"/>
  </r>
  <r>
    <s v="MasterCard (Capital One)"/>
    <d v="2014-02-08T00:00:00"/>
    <n v="-55.17"/>
    <s v="X"/>
    <s v="Fred Meyer"/>
    <s v="2011: FRED-MEYER #0608 SEATTLE WA 98107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08T00:00:00"/>
    <n v="-69.48"/>
    <s v="X"/>
    <s v="Trader Joe's"/>
    <s v="2011: TRADER JOE'S #147 QPS SEATTLE WA 98107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MasterCard (Capital One)"/>
    <d v="2014-02-07T00:00:00"/>
    <n v="-9.8000000000000007"/>
    <s v="X"/>
    <s v="Usps"/>
    <s v="Greenwood station"/>
    <s v="Business Expenses (Koolikai):Postage and Delivery (Business)/From Receipt"/>
    <m/>
    <m/>
    <s v="From Receipt"/>
    <x v="36"/>
    <s v="Postage and Delivery (Business)"/>
    <x v="0"/>
    <m/>
    <x v="0"/>
    <m/>
    <s v="Feb"/>
    <n v="2014"/>
    <s v="Annual"/>
    <n v="0"/>
    <s v="No"/>
    <s v="None"/>
    <s v="Business Expenses (Koolikai)|Postage and Delivery (Business)"/>
  </r>
  <r>
    <s v="MasterCard (Capital One)"/>
    <d v="2014-02-07T00:00:00"/>
    <n v="-31.6"/>
    <s v="X"/>
    <s v="Top Ten Toys"/>
    <s v="Brady and Jack presents"/>
    <s v="Gifts/From Receipt"/>
    <m/>
    <m/>
    <s v="From Receipt"/>
    <x v="28"/>
    <m/>
    <x v="0"/>
    <m/>
    <x v="0"/>
    <m/>
    <s v="Feb"/>
    <n v="2014"/>
    <s v="Monthly"/>
    <n v="0"/>
    <s v="No"/>
    <s v="None"/>
    <s v="Gifts"/>
  </r>
  <r>
    <s v="First Tech - Checking (5544)"/>
    <d v="2014-02-06T00:00:00"/>
    <n v="-491.36"/>
    <s v="X"/>
    <s v="Target (Autopay)"/>
    <m/>
    <s v="[Target Red Card]"/>
    <m/>
    <m/>
    <m/>
    <x v="12"/>
    <m/>
    <x v="0"/>
    <m/>
    <x v="0"/>
    <m/>
    <s v="Feb"/>
    <n v="2014"/>
    <s v="Account"/>
    <n v="0"/>
    <s v="No"/>
    <s v="None"/>
    <s v="[Target Red Card]"/>
  </r>
  <r>
    <s v="MasterCard (Capital One)"/>
    <d v="2014-02-06T00:00:00"/>
    <n v="-4.92"/>
    <s v="X"/>
    <s v="Fresh Table Met"/>
    <s v="2011: FRESH TABLE-MET PARK SEATTLE WA 98101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Target Red Card"/>
    <d v="2014-02-06T00:00:00"/>
    <n v="491.36"/>
    <s v="X"/>
    <s v="Target (Autopay)"/>
    <m/>
    <s v="[First Tech - Checking (5544)]"/>
    <m/>
    <m/>
    <m/>
    <x v="21"/>
    <m/>
    <x v="0"/>
    <m/>
    <x v="0"/>
    <m/>
    <s v="Feb"/>
    <n v="2014"/>
    <s v="Account"/>
    <n v="0"/>
    <s v="No"/>
    <s v="None"/>
    <s v="[First Tech - Checking (5544)]"/>
  </r>
  <r>
    <s v="First Tech - Checking (5544)"/>
    <d v="2014-02-05T00:00:00"/>
    <n v="-3748.69"/>
    <s v="X"/>
    <s v="Wells Fargo Home Mortgage"/>
    <s v="ACH Debit--WF HOME MTG ACH - AUTO PAY"/>
    <s v="Home:Mortgage"/>
    <m/>
    <m/>
    <m/>
    <x v="14"/>
    <s v="Mortgage"/>
    <x v="0"/>
    <m/>
    <x v="0"/>
    <m/>
    <s v="Feb"/>
    <n v="2014"/>
    <s v="Monthly"/>
    <n v="0"/>
    <s v="No"/>
    <s v="None"/>
    <s v="Home|Mortgage"/>
  </r>
  <r>
    <s v="Koolikai - Checking XX2129"/>
    <d v="2014-02-05T00:00:00"/>
    <n v="100"/>
    <s v="X"/>
    <s v="Aaron Ausland"/>
    <s v="7231 payment toward $688.66"/>
    <s v="Business Expenses (Koolikai):Utilities (Business)/7231"/>
    <m/>
    <s v="Split"/>
    <n v="7231"/>
    <x v="36"/>
    <s v="Utilities (Business)"/>
    <x v="0"/>
    <m/>
    <x v="0"/>
    <m/>
    <s v="Feb"/>
    <n v="2014"/>
    <s v="Monthly"/>
    <n v="0"/>
    <s v="No"/>
    <s v="None"/>
    <s v="Business Expenses (Koolikai)|Utilities (Business)"/>
  </r>
  <r>
    <s v="MasterCard (Capital One)"/>
    <d v="2014-02-05T00:00:00"/>
    <n v="-3.25"/>
    <s v="X"/>
    <s v="Ken's Market"/>
    <s v="2011: KEN'S MARKET #75-116 SEATTLE WA 98103 USA"/>
    <s v="Food &amp; Dining:Groceries"/>
    <m/>
    <m/>
    <m/>
    <x v="15"/>
    <s v="Groceries"/>
    <x v="0"/>
    <m/>
    <x v="0"/>
    <m/>
    <s v="Feb"/>
    <n v="2014"/>
    <s v="Monthly"/>
    <n v="0"/>
    <s v="No"/>
    <s v="None"/>
    <s v="Food &amp; Dining|Groceries"/>
  </r>
  <r>
    <s v="First Tech - Checking (5544)"/>
    <d v="2014-02-04T00:00:00"/>
    <n v="-500"/>
    <s v="X"/>
    <s v="American Funds 0001002:  Amcap-"/>
    <s v="ACH Debit-- AMERICAN FUNDS 0001002:  AMCAP-529A - INVESTMENT"/>
    <s v="Kids:American Funds 529A"/>
    <m/>
    <m/>
    <m/>
    <x v="27"/>
    <s v="American Funds 529A"/>
    <x v="0"/>
    <m/>
    <x v="0"/>
    <m/>
    <s v="Feb"/>
    <n v="2014"/>
    <s v="Monthly"/>
    <n v="0"/>
    <s v="No"/>
    <s v="None"/>
    <s v="Kids|American Funds 529A"/>
  </r>
  <r>
    <s v="Schwab - Checking (9784)"/>
    <d v="2014-02-04T00:00:00"/>
    <n v="-1.25"/>
    <s v="X"/>
    <s v="Alfi's Food &amp; Deli"/>
    <m/>
    <s v="Bank Fees &amp; Charges:ATM Fee/From Receipt"/>
    <m/>
    <s v="Split"/>
    <s v="From Receipt"/>
    <x v="32"/>
    <s v="ATM Fee"/>
    <x v="0"/>
    <m/>
    <x v="0"/>
    <m/>
    <s v="Feb"/>
    <n v="2014"/>
    <s v="Monthly"/>
    <n v="0"/>
    <s v="No"/>
    <s v="None"/>
    <s v="Bank Fees &amp; Charges|ATM Fee"/>
  </r>
  <r>
    <s v="Schwab - Checking (9784)"/>
    <d v="2014-02-04T00:00:00"/>
    <n v="-5"/>
    <s v="X"/>
    <s v="Alfi's Food &amp; Deli"/>
    <s v="Soup kitchen"/>
    <s v="Charity:Charity (Cash)/From Receipt"/>
    <m/>
    <s v="Split"/>
    <s v="From Receipt"/>
    <x v="22"/>
    <s v="Charity (Cash)"/>
    <x v="0"/>
    <m/>
    <x v="0"/>
    <m/>
    <s v="Feb"/>
    <n v="2014"/>
    <s v="Annual"/>
    <n v="0"/>
    <s v="No"/>
    <s v="None"/>
    <s v="Charity|Charity (Cash)"/>
  </r>
  <r>
    <s v="Schwab - Checking (9784)"/>
    <d v="2014-02-04T00:00:00"/>
    <n v="-15"/>
    <s v="X"/>
    <s v="Alfi's Food &amp; Deli"/>
    <m/>
    <s v="Food &amp; Dining:Restaurants/From Receipt"/>
    <m/>
    <s v="Split"/>
    <s v="From Receipt"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04T00:00:00"/>
    <n v="25"/>
    <s v="X"/>
    <s v="Capital One (Cash Back)"/>
    <s v="2011: CREDIT-CASH BACK REWARD"/>
    <s v="Other Inc"/>
    <m/>
    <m/>
    <m/>
    <x v="29"/>
    <m/>
    <x v="0"/>
    <m/>
    <x v="0"/>
    <m/>
    <s v="Feb"/>
    <n v="2014"/>
    <s v="Monthly"/>
    <n v="0"/>
    <s v="No"/>
    <s v="None"/>
    <s v="Other Inc"/>
  </r>
  <r>
    <s v="MasterCard (Capital One)"/>
    <d v="2014-02-04T00:00:00"/>
    <n v="-13.42"/>
    <s v="X"/>
    <s v="Diamond Parking"/>
    <s v="2011: DIAMOND PARKING A096 SEATTLE WA 98101 USA"/>
    <s v="Auto &amp; Transport:Parking"/>
    <m/>
    <m/>
    <m/>
    <x v="17"/>
    <s v="Parking"/>
    <x v="0"/>
    <m/>
    <x v="0"/>
    <m/>
    <s v="Feb"/>
    <n v="2014"/>
    <s v="Monthly"/>
    <n v="0"/>
    <s v="No"/>
    <s v="None"/>
    <s v="Auto &amp; Transport|Parking"/>
  </r>
  <r>
    <s v="MasterCard (Capital One)"/>
    <d v="2014-02-04T00:00:00"/>
    <n v="-505.28"/>
    <s v="X"/>
    <s v="Liberty Mutual"/>
    <s v="2011: LIBERTY MUTUAL 888-398-8924 MA 02116 USA"/>
    <s v="Auto &amp; Transport:Auto Insurance"/>
    <m/>
    <m/>
    <m/>
    <x v="17"/>
    <s v="Auto Insurance"/>
    <x v="0"/>
    <m/>
    <x v="0"/>
    <m/>
    <s v="Feb"/>
    <n v="2014"/>
    <s v="Annual"/>
    <n v="0"/>
    <s v="No"/>
    <s v="None"/>
    <s v="Auto &amp; Transport|Auto Insurance"/>
  </r>
  <r>
    <s v="REI Mastercard (xx1787)"/>
    <d v="2014-02-04T00:00:00"/>
    <n v="-126"/>
    <s v="X"/>
    <s v="Recreation.Gov"/>
    <s v="#Kalaloch 2014#"/>
    <s v="Vacation:Lodging"/>
    <m/>
    <m/>
    <m/>
    <x v="23"/>
    <s v="Lodging"/>
    <x v="0"/>
    <m/>
    <x v="13"/>
    <m/>
    <s v="Feb"/>
    <n v="2014"/>
    <s v="Irregular"/>
    <n v="0"/>
    <s v="No"/>
    <s v="None"/>
    <s v="Vacation|Lodging"/>
  </r>
  <r>
    <s v="First Tech - Checking (5544)"/>
    <d v="2014-02-03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Feb"/>
    <n v="2014"/>
    <s v="Monthly"/>
    <n v="0"/>
    <s v="No"/>
    <s v="None"/>
    <s v="Kids|Daycare"/>
  </r>
  <r>
    <s v="First Tech - Checking (5544)"/>
    <d v="2014-02-03T00:00:00"/>
    <n v="-2033.91"/>
    <s v="X"/>
    <s v="NYCB Mortgage Company"/>
    <s v="ACH Debit--NYCB MORTGAGE CO 678 - NYCB MORTG"/>
    <s v="Business Expenses (Koolikai):Mortgage (Business)/9602"/>
    <m/>
    <m/>
    <n v="9602"/>
    <x v="36"/>
    <s v="Mortgage (Business)"/>
    <x v="0"/>
    <m/>
    <x v="0"/>
    <m/>
    <s v="Feb"/>
    <n v="2014"/>
    <s v="Monthly"/>
    <n v="0"/>
    <s v="No"/>
    <s v="None"/>
    <s v="Business Expenses (Koolikai)|Mortgage (Business)"/>
  </r>
  <r>
    <s v="First Tech - Checking (5544)"/>
    <d v="2014-02-03T00:00:00"/>
    <n v="-2942.27"/>
    <s v="X"/>
    <s v="Capital One (Autopay)"/>
    <s v="ACH Debit--CAPITAL ONE  - CRCARDPMT"/>
    <s v="[MasterCard (Capital One)]"/>
    <m/>
    <m/>
    <m/>
    <x v="38"/>
    <m/>
    <x v="0"/>
    <m/>
    <x v="0"/>
    <m/>
    <s v="Feb"/>
    <n v="2014"/>
    <s v="Account"/>
    <n v="0"/>
    <s v="No"/>
    <s v="None"/>
    <s v="[MasterCard (Capital One)]"/>
  </r>
  <r>
    <s v="First Tech - Checking (5544)"/>
    <d v="2014-02-03T00:00:00"/>
    <n v="-3517.65"/>
    <s v="X"/>
    <s v="NYCB Mortgage Company"/>
    <s v="ACH Debit--NYCB MORTGAGE CO 678 - NYCB MORTG"/>
    <s v="Business Expenses (Koolikai):Mortgage (Business)/7231"/>
    <m/>
    <m/>
    <n v="7231"/>
    <x v="36"/>
    <s v="Mortgage (Business)"/>
    <x v="0"/>
    <m/>
    <x v="0"/>
    <m/>
    <s v="Feb"/>
    <n v="2014"/>
    <s v="Monthly"/>
    <n v="0"/>
    <s v="No"/>
    <s v="None"/>
    <s v="Business Expenses (Koolikai)|Mortgage (Business)"/>
  </r>
  <r>
    <s v="First Tech - Checking (5544)"/>
    <d v="2014-02-03T00:00:00"/>
    <n v="-147.22"/>
    <m/>
    <s v="Rei (Autopayment)"/>
    <m/>
    <s v="[REI Mastercard (xx1787)]"/>
    <m/>
    <m/>
    <m/>
    <x v="11"/>
    <m/>
    <x v="0"/>
    <m/>
    <x v="0"/>
    <m/>
    <s v="Feb"/>
    <n v="2014"/>
    <e v="#N/A"/>
    <e v="#N/A"/>
    <e v="#N/A"/>
    <e v="#N/A"/>
    <s v="[REI Mastercard (xx1787)]"/>
  </r>
  <r>
    <s v="Discover Card"/>
    <d v="2014-02-03T00:00:00"/>
    <n v="-7.65"/>
    <s v="X"/>
    <s v="Windows"/>
    <s v="Super Market Madness"/>
    <s v="Shopping:Electronics &amp; Software"/>
    <m/>
    <m/>
    <m/>
    <x v="13"/>
    <s v="Electronics &amp; Software"/>
    <x v="0"/>
    <m/>
    <x v="0"/>
    <m/>
    <s v="Feb"/>
    <n v="2014"/>
    <s v="Annual"/>
    <n v="0"/>
    <s v="No"/>
    <s v="None"/>
    <s v="Shopping|Electronics &amp; Software"/>
  </r>
  <r>
    <s v="MasterCard (Capital One)"/>
    <d v="2014-02-03T00:00:00"/>
    <n v="2942.27"/>
    <s v="X"/>
    <s v="Capital One (Autopay)"/>
    <s v="@BAL:$4025.58@@CAT:@"/>
    <s v="[First Tech - Checking (5544)]"/>
    <m/>
    <m/>
    <m/>
    <x v="21"/>
    <m/>
    <x v="0"/>
    <m/>
    <x v="0"/>
    <m/>
    <s v="Feb"/>
    <n v="2014"/>
    <s v="Account"/>
    <n v="0"/>
    <s v="No"/>
    <s v="None"/>
    <s v="[First Tech - Checking (5544)]"/>
  </r>
  <r>
    <s v="MasterCard (Capital One)"/>
    <d v="2014-02-03T00:00:00"/>
    <n v="-38.229999999999997"/>
    <s v="X"/>
    <s v="Safeway"/>
    <s v="2011: SAFEWAY STORE 00018457 SEATTLE WA 98103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REI Mastercard (xx1787)"/>
    <d v="2014-02-03T00:00:00"/>
    <n v="147.22"/>
    <s v="X"/>
    <s v="Rei (Autopayment)"/>
    <m/>
    <s v="[First Tech - Checking (5544)]"/>
    <s v="TXFR"/>
    <m/>
    <m/>
    <x v="21"/>
    <m/>
    <x v="0"/>
    <m/>
    <x v="0"/>
    <m/>
    <s v="Feb"/>
    <n v="2014"/>
    <s v="Account"/>
    <n v="0"/>
    <s v="No"/>
    <s v="None"/>
    <s v="[First Tech - Checking (5544)]"/>
  </r>
  <r>
    <s v="MasterCard (Capital One)"/>
    <d v="2014-02-02T00:00:00"/>
    <n v="-22.02"/>
    <s v="X"/>
    <s v="Comcast"/>
    <s v="2011: COMCAST CABLE COMM 800-COMCAST WA 98103 USA"/>
    <s v="Bills &amp; Utilities:Television"/>
    <m/>
    <s v="Split"/>
    <m/>
    <x v="34"/>
    <s v="Television"/>
    <x v="0"/>
    <m/>
    <x v="0"/>
    <m/>
    <s v="Feb"/>
    <n v="2014"/>
    <s v="Monthly"/>
    <n v="0"/>
    <s v="No"/>
    <s v="None"/>
    <s v="Bills &amp; Utilities|Television"/>
  </r>
  <r>
    <s v="MasterCard (Capital One)"/>
    <d v="2014-02-02T00:00:00"/>
    <n v="-64.069999999999993"/>
    <s v="X"/>
    <s v="Comcast"/>
    <m/>
    <s v="Business Expenses (Koolikai):Internet"/>
    <m/>
    <s v="Split"/>
    <m/>
    <x v="36"/>
    <s v="Internet"/>
    <x v="0"/>
    <m/>
    <x v="0"/>
    <m/>
    <s v="Feb"/>
    <n v="2014"/>
    <s v="Monthly"/>
    <n v="0"/>
    <s v="No"/>
    <s v="None"/>
    <s v="Business Expenses (Koolikai)|Internet"/>
  </r>
  <r>
    <s v="MasterCard (Capital One)"/>
    <d v="2014-02-02T00:00:00"/>
    <n v="-44.07"/>
    <s v="X"/>
    <s v="Comcast"/>
    <m/>
    <s v="Bills &amp; Utilities:Home Phone"/>
    <m/>
    <s v="Split"/>
    <m/>
    <x v="34"/>
    <s v="Home Phone"/>
    <x v="0"/>
    <m/>
    <x v="0"/>
    <m/>
    <s v="Feb"/>
    <n v="2014"/>
    <s v="Monthly"/>
    <n v="0"/>
    <s v="No"/>
    <s v="None"/>
    <s v="Bills &amp; Utilities|Home Phone"/>
  </r>
  <r>
    <s v="MasterCard (Capital One)"/>
    <d v="2014-02-02T00:00:00"/>
    <n v="-15.49"/>
    <s v="X"/>
    <s v="Party @ Display &amp; Costume"/>
    <s v="2011: PARTY @ DISPLAY &amp; C SEATTLE WA 98125 USA"/>
    <s v="Parties/From Receipt"/>
    <m/>
    <m/>
    <s v="From Receipt"/>
    <x v="16"/>
    <m/>
    <x v="0"/>
    <m/>
    <x v="0"/>
    <m/>
    <s v="Feb"/>
    <n v="2014"/>
    <s v="Annual"/>
    <n v="0"/>
    <s v="No"/>
    <s v="None"/>
    <s v="Parties"/>
  </r>
  <r>
    <s v="MasterCard (Capital One)"/>
    <d v="2014-02-02T00:00:00"/>
    <n v="-31.04"/>
    <s v="X"/>
    <s v="Tinyprints"/>
    <s v="2011: TINYPRINTS.COM 08773009256 CA 94085 USA"/>
    <s v="Parties"/>
    <m/>
    <m/>
    <m/>
    <x v="16"/>
    <m/>
    <x v="0"/>
    <m/>
    <x v="0"/>
    <m/>
    <s v="Feb"/>
    <n v="2014"/>
    <s v="Annual"/>
    <n v="0"/>
    <s v="No"/>
    <s v="None"/>
    <s v="Parties"/>
  </r>
  <r>
    <s v="Target Red Card"/>
    <d v="2014-02-02T00:00:00"/>
    <n v="-58.28"/>
    <s v="X"/>
    <s v="Target"/>
    <s v="Piano, guitar, and other misc toys"/>
    <s v="Kids:Toys/From Receipt"/>
    <n v="799999940331"/>
    <m/>
    <s v="From Receipt"/>
    <x v="27"/>
    <s v="Toys"/>
    <x v="0"/>
    <m/>
    <x v="0"/>
    <m/>
    <s v="Feb"/>
    <n v="2014"/>
    <s v="Monthly"/>
    <n v="0"/>
    <s v="No"/>
    <s v="None"/>
    <s v="Kids|Toys"/>
  </r>
  <r>
    <s v="Koolikai - Checking XX2129"/>
    <d v="2014-02-01T00:00:00"/>
    <n v="2195"/>
    <s v="X"/>
    <s v="Valerie Shaibley"/>
    <s v="Deposit--Shared Branch Mobile Deposit"/>
    <s v="Business Income (Koolikai):Rent/9602"/>
    <m/>
    <m/>
    <n v="9602"/>
    <x v="37"/>
    <s v="Rent"/>
    <x v="0"/>
    <m/>
    <x v="0"/>
    <m/>
    <s v="Feb"/>
    <n v="2014"/>
    <s v="Monthly"/>
    <n v="0"/>
    <s v="No"/>
    <s v="None"/>
    <s v="Business Income (Koolikai)|Rent"/>
  </r>
  <r>
    <s v="Koolikai - Checking XX2129"/>
    <d v="2014-02-01T00:00:00"/>
    <n v="2295"/>
    <s v="X"/>
    <s v="Aaron Ausland"/>
    <s v="@CAT:@"/>
    <s v="Business Income (Koolikai):Rent/7231"/>
    <m/>
    <s v="Split"/>
    <n v="7231"/>
    <x v="37"/>
    <s v="Rent"/>
    <x v="0"/>
    <m/>
    <x v="0"/>
    <m/>
    <s v="Feb"/>
    <n v="2014"/>
    <s v="Monthly"/>
    <n v="0"/>
    <s v="No"/>
    <s v="None"/>
    <s v="Business Income (Koolikai)|Rent"/>
  </r>
  <r>
    <s v="MasterCard (Capital One)"/>
    <d v="2014-02-01T00:00:00"/>
    <n v="-8.14"/>
    <s v="X"/>
    <s v="Wendy's"/>
    <s v="2011: WENDYS-SWL #0415 BELLINGHAM WA 98226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01T00:00:00"/>
    <n v="-12.04"/>
    <s v="X"/>
    <s v="Playdate Cafe"/>
    <s v="2011: SQ *PLAYDATE CAFE Lynnwood WA 98036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01T00:00:00"/>
    <n v="-14.24"/>
    <s v="X"/>
    <s v="Playdate Cafe"/>
    <s v="2011: SQ *PLAYDATE CAFE Lynnwood WA 98036 USA"/>
    <s v="Kids:Kids Activities"/>
    <m/>
    <m/>
    <m/>
    <x v="27"/>
    <s v="Kids Activities"/>
    <x v="0"/>
    <m/>
    <x v="0"/>
    <m/>
    <s v="Feb"/>
    <n v="2014"/>
    <s v="Monthly"/>
    <n v="0"/>
    <s v="No"/>
    <s v="None"/>
    <s v="Kids|Kids Activities"/>
  </r>
  <r>
    <s v="MasterCard (Capital One)"/>
    <d v="2014-02-01T00:00:00"/>
    <n v="-34.17"/>
    <s v="X"/>
    <s v="Busara Thai Cuisine"/>
    <s v="2011: BUSARA THAI CUISINE BELLINGHAM WA 98225 USA"/>
    <s v="Food &amp; Dining:Restaurants"/>
    <m/>
    <m/>
    <m/>
    <x v="15"/>
    <s v="Restaurants"/>
    <x v="0"/>
    <m/>
    <x v="0"/>
    <m/>
    <s v="Feb"/>
    <n v="2014"/>
    <s v="Monthly"/>
    <n v="0"/>
    <s v="No"/>
    <s v="None"/>
    <s v="Food &amp; Dining|Restaurants"/>
  </r>
  <r>
    <s v="MasterCard (Capital One)"/>
    <d v="2014-02-01T00:00:00"/>
    <n v="-108.66"/>
    <s v="X"/>
    <s v="Lowe's"/>
    <s v="Garbage disposal for Mom"/>
    <s v="Gifts/From Receipt"/>
    <m/>
    <m/>
    <s v="From Receipt"/>
    <x v="28"/>
    <m/>
    <x v="0"/>
    <m/>
    <x v="0"/>
    <m/>
    <s v="Feb"/>
    <n v="2014"/>
    <s v="Monthly"/>
    <n v="0"/>
    <s v="No"/>
    <s v="None"/>
    <s v="Gifts"/>
  </r>
  <r>
    <s v="MasterCard (Capital One)"/>
    <d v="2014-02-01T00:00:00"/>
    <n v="-112.51"/>
    <s v="X"/>
    <s v="Fred Meyer"/>
    <s v="2011: FRED-MEYER #0608 SEATTLE WA 98107 USA"/>
    <s v="Food &amp; Dining:Groceries/From Receipt"/>
    <m/>
    <m/>
    <s v="From Receipt"/>
    <x v="15"/>
    <s v="Groceries"/>
    <x v="0"/>
    <m/>
    <x v="0"/>
    <m/>
    <s v="Feb"/>
    <n v="2014"/>
    <s v="Monthly"/>
    <n v="0"/>
    <s v="No"/>
    <s v="None"/>
    <s v="Food &amp; Dining|Groceries"/>
  </r>
  <r>
    <s v="Capital One - Investment (6759)"/>
    <d v="2014-01-31T00:00:00"/>
    <n v="19.989999999999998"/>
    <s v="X"/>
    <s v="Capital One (Interest Income)"/>
    <s v="@BAL:47079.27@;@CAT:@"/>
    <s v="Interest Income"/>
    <s v="INT"/>
    <m/>
    <m/>
    <x v="40"/>
    <m/>
    <x v="0"/>
    <m/>
    <x v="0"/>
    <m/>
    <s v="Jan"/>
    <n v="2014"/>
    <s v="Monthly"/>
    <n v="0"/>
    <s v="No"/>
    <s v="None"/>
    <s v="Interest Income"/>
  </r>
  <r>
    <s v="Capital One - Long Term Emergency (1201)"/>
    <d v="2014-01-31T00:00:00"/>
    <n v="85.39"/>
    <s v="X"/>
    <s v="Capital One (Interest Income)"/>
    <s v="@BAL:201126.22@;@CAT:@"/>
    <s v="Interest Income"/>
    <s v="INT"/>
    <m/>
    <m/>
    <x v="40"/>
    <m/>
    <x v="0"/>
    <m/>
    <x v="0"/>
    <m/>
    <s v="Jan"/>
    <n v="2014"/>
    <s v="Monthly"/>
    <n v="0"/>
    <s v="No"/>
    <s v="None"/>
    <s v="Interest Income"/>
  </r>
  <r>
    <s v="Capital One - Secondary Savings (3126)"/>
    <d v="2014-01-31T00:00:00"/>
    <n v="44.74"/>
    <s v="X"/>
    <s v="Capital One (Interest Income)"/>
    <s v="@BAL:117088.39@;@CAT:@"/>
    <s v="Interest Income"/>
    <s v="INT"/>
    <m/>
    <m/>
    <x v="40"/>
    <m/>
    <x v="0"/>
    <m/>
    <x v="0"/>
    <m/>
    <s v="Jan"/>
    <n v="2014"/>
    <s v="Monthly"/>
    <n v="0"/>
    <s v="No"/>
    <s v="None"/>
    <s v="Interest Income"/>
  </r>
  <r>
    <s v="Capital One - Vacation (4959)"/>
    <d v="2014-01-31T00:00:00"/>
    <n v="2.13"/>
    <s v="X"/>
    <s v="Capital One (Interest Income)"/>
    <s v="@BAL:5008.48@;@CAT:@"/>
    <s v="Interest Income"/>
    <s v="INT"/>
    <m/>
    <m/>
    <x v="40"/>
    <m/>
    <x v="0"/>
    <m/>
    <x v="0"/>
    <m/>
    <s v="Jan"/>
    <n v="2014"/>
    <s v="Monthly"/>
    <n v="0"/>
    <s v="No"/>
    <s v="None"/>
    <s v="Interest Income"/>
  </r>
  <r>
    <s v="First Tech - Checking (5544)"/>
    <d v="2014-01-31T00:00:00"/>
    <n v="3052.73"/>
    <s v="X"/>
    <s v="Microsoft (Paystub)"/>
    <s v="ACH Deposit--MICROSOFT  - EDIPAYMENT"/>
    <s v="Net Salary"/>
    <m/>
    <m/>
    <m/>
    <x v="35"/>
    <m/>
    <x v="0"/>
    <m/>
    <x v="0"/>
    <m/>
    <s v="Jan"/>
    <n v="2014"/>
    <s v="Monthly"/>
    <n v="0"/>
    <s v="No"/>
    <s v="None"/>
    <s v="Net Salary"/>
  </r>
  <r>
    <s v="First Tech - Checking (5544)"/>
    <d v="2014-01-31T00:00:00"/>
    <n v="6195.6"/>
    <s v="X"/>
    <s v="CRAB (Paystub)"/>
    <s v="ACH Deposit--Cancer Research  - Payroll"/>
    <s v="Net Salary"/>
    <m/>
    <m/>
    <m/>
    <x v="35"/>
    <m/>
    <x v="0"/>
    <m/>
    <x v="0"/>
    <m/>
    <s v="Jan"/>
    <n v="2014"/>
    <s v="Monthly"/>
    <n v="0"/>
    <s v="No"/>
    <s v="None"/>
    <s v="Net Salary"/>
  </r>
  <r>
    <s v="Koolikai - Sec Dep XX1200"/>
    <d v="2014-01-31T00:00:00"/>
    <n v="0.19"/>
    <s v="X"/>
    <s v="First Tech (Dividend)"/>
    <s v="@BAL:$4500.75@;@CAT:@"/>
    <s v="Interest Income"/>
    <m/>
    <m/>
    <m/>
    <x v="40"/>
    <m/>
    <x v="0"/>
    <m/>
    <x v="0"/>
    <m/>
    <s v="Jan"/>
    <n v="2014"/>
    <s v="Monthly"/>
    <n v="0"/>
    <s v="No"/>
    <s v="None"/>
    <s v="Interest Income"/>
  </r>
  <r>
    <s v="Schwab - Checking (9784)"/>
    <d v="2014-01-31T00:00:00"/>
    <n v="0.14000000000000001"/>
    <s v="X"/>
    <s v="Interest Paid"/>
    <m/>
    <s v="Interest Income"/>
    <m/>
    <m/>
    <m/>
    <x v="40"/>
    <m/>
    <x v="0"/>
    <m/>
    <x v="0"/>
    <m/>
    <s v="Jan"/>
    <n v="2014"/>
    <s v="Monthly"/>
    <n v="0"/>
    <s v="No"/>
    <s v="None"/>
    <s v="Interest Income"/>
  </r>
  <r>
    <s v="Schwab - Checking (9784)"/>
    <d v="2014-01-31T00:00:00"/>
    <n v="5.5"/>
    <s v="X"/>
    <s v="ATM Fee Refund"/>
    <m/>
    <s v="Bank Fees &amp; Charges:ATM Fee"/>
    <m/>
    <m/>
    <m/>
    <x v="32"/>
    <s v="ATM Fee"/>
    <x v="0"/>
    <m/>
    <x v="0"/>
    <m/>
    <s v="Jan"/>
    <n v="2014"/>
    <s v="Monthly"/>
    <n v="0"/>
    <s v="No"/>
    <s v="None"/>
    <s v="Bank Fees &amp; Charges|ATM Fee"/>
  </r>
  <r>
    <s v="First Tech - Checking (5544)"/>
    <d v="2014-01-30T00:00:00"/>
    <n v="-115"/>
    <s v="X"/>
    <s v="Cleaning Authority, The"/>
    <s v="ACH Debit--THE CLEANING AUT  - ONLINE PMT"/>
    <s v="Home:Home Services"/>
    <m/>
    <m/>
    <m/>
    <x v="14"/>
    <s v="Home Services"/>
    <x v="0"/>
    <m/>
    <x v="0"/>
    <m/>
    <s v="Jan"/>
    <n v="2014"/>
    <s v="Monthly"/>
    <n v="0"/>
    <s v="No"/>
    <s v="None"/>
    <s v="Home|Home Services"/>
  </r>
  <r>
    <s v="MasterCard (Capital One)"/>
    <d v="2014-01-30T00:00:00"/>
    <n v="-52.56"/>
    <s v="X"/>
    <s v="Fred Meyer"/>
    <s v="Seahawks sweatshirt"/>
    <s v="Shopping:Clothing/From Receipt"/>
    <m/>
    <m/>
    <s v="From Receipt"/>
    <x v="13"/>
    <s v="Clothing"/>
    <x v="0"/>
    <m/>
    <x v="0"/>
    <m/>
    <s v="Jan"/>
    <n v="2014"/>
    <s v="Annual"/>
    <n v="0"/>
    <s v="No"/>
    <s v="None"/>
    <s v="Shopping|Clothing"/>
  </r>
  <r>
    <s v="MasterCard (Capital One)"/>
    <d v="2014-01-29T00:00:00"/>
    <n v="-109.5"/>
    <s v="X"/>
    <s v="Playdate Cafe"/>
    <s v="Birthday party for Josh and Zach"/>
    <s v="Parties"/>
    <m/>
    <m/>
    <m/>
    <x v="16"/>
    <m/>
    <x v="0"/>
    <m/>
    <x v="0"/>
    <m/>
    <s v="Jan"/>
    <n v="2014"/>
    <s v="Annual"/>
    <n v="0"/>
    <s v="No"/>
    <s v="None"/>
    <s v="Parties"/>
  </r>
  <r>
    <s v="Schwab - Checking (9784)"/>
    <d v="2014-01-28T00:00:00"/>
    <n v="-40"/>
    <s v="X"/>
    <s v="Ken's Market (ATM)"/>
    <s v="Babbysitter?"/>
    <s v="Kids:Babysitter/From Receipt"/>
    <m/>
    <s v="Split"/>
    <s v="From Receipt"/>
    <x v="27"/>
    <s v="Babysitter"/>
    <x v="0"/>
    <m/>
    <x v="0"/>
    <m/>
    <s v="Jan"/>
    <n v="2014"/>
    <s v="Monthly"/>
    <n v="0"/>
    <s v="No"/>
    <s v="None"/>
    <s v="Kids|Babysitter"/>
  </r>
  <r>
    <s v="Schwab - Checking (9784)"/>
    <d v="2014-01-28T00:00:00"/>
    <n v="-2"/>
    <s v="X"/>
    <s v="Ken's Market (ATM)"/>
    <m/>
    <s v="Bank Fees &amp; Charges:ATM Fee/From Receipt"/>
    <m/>
    <s v="Split"/>
    <s v="From Receipt"/>
    <x v="32"/>
    <s v="ATM Fee"/>
    <x v="0"/>
    <m/>
    <x v="0"/>
    <m/>
    <s v="Jan"/>
    <n v="2014"/>
    <s v="Monthly"/>
    <n v="0"/>
    <s v="No"/>
    <s v="None"/>
    <s v="Bank Fees &amp; Charges|ATM Fee"/>
  </r>
  <r>
    <s v="MasterCard (Capital One)"/>
    <d v="2014-01-28T00:00:00"/>
    <n v="-17.32"/>
    <s v="X"/>
    <s v="Subway"/>
    <s v="2011: SUBWAY 03042314 SEATTLE WA 98133 USA"/>
    <s v="Food &amp; Dining:Restaurants/From Receipt"/>
    <m/>
    <m/>
    <s v="From Receipt"/>
    <x v="15"/>
    <s v="Restaurants"/>
    <x v="0"/>
    <m/>
    <x v="0"/>
    <m/>
    <s v="Jan"/>
    <n v="2014"/>
    <s v="Monthly"/>
    <n v="0"/>
    <s v="No"/>
    <s v="None"/>
    <s v="Food &amp; Dining|Restaurants"/>
  </r>
  <r>
    <s v="First Tech - Checking (5544)"/>
    <d v="2014-01-27T00:00:00"/>
    <n v="-30"/>
    <s v="X"/>
    <s v="Chase  - Autopay"/>
    <s v="ConsumerReports.org (via 1151 account)"/>
    <s v="Subscriptions &amp; Dues"/>
    <m/>
    <m/>
    <m/>
    <x v="33"/>
    <m/>
    <x v="0"/>
    <m/>
    <x v="0"/>
    <m/>
    <s v="Jan"/>
    <n v="2014"/>
    <s v="Annual"/>
    <n v="0"/>
    <s v="No"/>
    <s v="None"/>
    <s v="Subscriptions &amp; Dues"/>
  </r>
  <r>
    <s v="MasterCard (Capital One)"/>
    <d v="2014-01-27T00:00:00"/>
    <n v="-4.26"/>
    <s v="X"/>
    <s v="Mcdonald's"/>
    <s v="2011: MCDONALD'S M7125 OF BELLEVUE WA 98005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26T00:00:00"/>
    <n v="-8.3800000000000008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26T00:00:00"/>
    <n v="-44.96"/>
    <s v="X"/>
    <s v="Officemax"/>
    <s v="Letter trays, planner, stacking bins ($40.49 from return)"/>
    <s v="Business Expenses (Koolikai):Office Expenses (Business)/From Receipt"/>
    <m/>
    <m/>
    <s v="From Receipt"/>
    <x v="36"/>
    <s v="Office Expenses (Business)"/>
    <x v="0"/>
    <m/>
    <x v="0"/>
    <m/>
    <s v="Jan"/>
    <n v="2014"/>
    <s v="Monthly"/>
    <n v="0"/>
    <s v="No"/>
    <s v="None"/>
    <s v="Business Expenses (Koolikai)|Office Expenses (Business)"/>
  </r>
  <r>
    <s v="Schwab - Checking (9784)"/>
    <d v="2014-01-25T00:00:00"/>
    <n v="-3.5"/>
    <s v="X"/>
    <s v="Umpqua Bank (ATM)"/>
    <m/>
    <s v="Bank Fees &amp; Charges:ATM Fee"/>
    <m/>
    <s v="Split"/>
    <m/>
    <x v="32"/>
    <s v="ATM Fee"/>
    <x v="0"/>
    <m/>
    <x v="0"/>
    <m/>
    <s v="Jan"/>
    <n v="2014"/>
    <s v="Monthly"/>
    <n v="0"/>
    <s v="No"/>
    <s v="None"/>
    <s v="Bank Fees &amp; Charges|ATM Fee"/>
  </r>
  <r>
    <s v="Schwab - Checking (9784)"/>
    <d v="2014-01-25T00:00:00"/>
    <n v="-20"/>
    <s v="X"/>
    <s v="Umpqua Bank (ATM)"/>
    <s v="Not sure about this... on a Sa"/>
    <s v="Kids:Babysitter"/>
    <m/>
    <s v="Split"/>
    <m/>
    <x v="27"/>
    <s v="Babysitter"/>
    <x v="0"/>
    <m/>
    <x v="0"/>
    <m/>
    <s v="Jan"/>
    <n v="2014"/>
    <s v="Monthly"/>
    <n v="0"/>
    <s v="No"/>
    <s v="None"/>
    <s v="Kids|Babysitter"/>
  </r>
  <r>
    <s v="MasterCard (Capital One)"/>
    <d v="2014-01-25T00:00:00"/>
    <n v="-6"/>
    <s v="X"/>
    <s v="Seattle Parks And Recreation"/>
    <s v="Toddler room at Greenlake"/>
    <s v="Kids:Kids Activities/From Receipt"/>
    <m/>
    <m/>
    <s v="From Receipt"/>
    <x v="27"/>
    <s v="Kids Activities"/>
    <x v="0"/>
    <m/>
    <x v="0"/>
    <m/>
    <s v="Jan"/>
    <n v="2014"/>
    <s v="Monthly"/>
    <n v="0"/>
    <s v="No"/>
    <s v="None"/>
    <s v="Kids|Kids Activities"/>
  </r>
  <r>
    <s v="MasterCard (Capital One)"/>
    <d v="2014-01-25T00:00:00"/>
    <n v="-44.86"/>
    <s v="X"/>
    <s v="Officemax"/>
    <s v="Receipt holder, and other supplies"/>
    <s v="Business Expenses (Koolikai):Office Expenses (Business)"/>
    <m/>
    <m/>
    <m/>
    <x v="36"/>
    <s v="Office Expenses (Business)"/>
    <x v="0"/>
    <m/>
    <x v="0"/>
    <m/>
    <s v="Jan"/>
    <n v="2014"/>
    <s v="Monthly"/>
    <n v="0"/>
    <s v="No"/>
    <s v="None"/>
    <s v="Business Expenses (Koolikai)|Office Expenses (Business)"/>
  </r>
  <r>
    <s v="MasterCard (Capital One)"/>
    <d v="2014-01-25T00:00:00"/>
    <n v="-119.88"/>
    <s v="X"/>
    <s v="Fred Meyer"/>
    <s v="2011: FRED-MEYER #0608 SEATTLE WA 98107 USA"/>
    <s v="Food &amp; Dining:Groceries/From Receipt"/>
    <m/>
    <m/>
    <s v="From Receipt"/>
    <x v="15"/>
    <s v="Groceries"/>
    <x v="0"/>
    <m/>
    <x v="0"/>
    <m/>
    <s v="Jan"/>
    <n v="2014"/>
    <s v="Monthly"/>
    <n v="0"/>
    <s v="No"/>
    <s v="None"/>
    <s v="Food &amp; Dining|Groceries"/>
  </r>
  <r>
    <s v="First Tech - Checking (5544)"/>
    <d v="2014-01-24T00:00:00"/>
    <n v="-510.46"/>
    <s v="X"/>
    <s v="Discover Card"/>
    <s v="ACH Debit--DISCOVER DC PYMNTS DCIDPIINT - E-PAYMENT"/>
    <s v="[Discover Card]"/>
    <m/>
    <m/>
    <m/>
    <x v="24"/>
    <m/>
    <x v="0"/>
    <m/>
    <x v="0"/>
    <m/>
    <s v="Jan"/>
    <n v="2014"/>
    <s v="Account"/>
    <n v="0"/>
    <s v="No"/>
    <s v="None"/>
    <s v="[Discover Card]"/>
  </r>
  <r>
    <s v="First Tech - Checking (5544)"/>
    <d v="2014-01-24T00:00:00"/>
    <n v="-60"/>
    <s v="X"/>
    <s v="Sue Shoedel"/>
    <s v="Check--"/>
    <s v="Kids:Babysitter"/>
    <n v="2293"/>
    <m/>
    <m/>
    <x v="27"/>
    <s v="Babysitter"/>
    <x v="0"/>
    <m/>
    <x v="0"/>
    <m/>
    <s v="Jan"/>
    <n v="2014"/>
    <s v="Monthly"/>
    <n v="0"/>
    <s v="No"/>
    <s v="None"/>
    <s v="Kids|Babysitter"/>
  </r>
  <r>
    <s v="Koolikai - Checking XX2129"/>
    <d v="2014-01-24T00:00:00"/>
    <n v="-146.54"/>
    <s v="X"/>
    <s v="Chase - Koolikai (Autopay)"/>
    <s v="@BAL:21002.67@"/>
    <s v="[Koolikai Credit Card]"/>
    <m/>
    <m/>
    <m/>
    <x v="9"/>
    <m/>
    <x v="0"/>
    <m/>
    <x v="0"/>
    <m/>
    <s v="Jan"/>
    <n v="2014"/>
    <s v="Account"/>
    <n v="0"/>
    <s v="No"/>
    <s v="None"/>
    <s v="[Koolikai Credit Card]"/>
  </r>
  <r>
    <s v="MasterCard (Capital One)"/>
    <d v="2014-01-24T00:00:00"/>
    <n v="-36.93"/>
    <s v="X"/>
    <s v="Las Brisas"/>
    <s v="2011: LAS BRISAS INC EDMONDS WA 98020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First Tech - Checking (5544)"/>
    <d v="2014-01-23T00:00:00"/>
    <n v="-183.85"/>
    <s v="X"/>
    <s v="Nissan Lease"/>
    <s v="ACH Debit--NMAC LEASE  - ONLINE PMT"/>
    <s v="Auto &amp; Transport:Auto Lease Payment"/>
    <m/>
    <m/>
    <m/>
    <x v="17"/>
    <s v="Auto Lease Payment"/>
    <x v="0"/>
    <m/>
    <x v="0"/>
    <m/>
    <s v="Jan"/>
    <n v="2014"/>
    <s v="Monthly"/>
    <n v="0"/>
    <s v="No"/>
    <s v="None"/>
    <s v="Auto &amp; Transport|Auto Lease Payment"/>
  </r>
  <r>
    <s v="First Tech - Checking (5544)"/>
    <d v="2014-01-23T00:00:00"/>
    <n v="-157.29"/>
    <s v="X"/>
    <s v="American Express (Autopay)"/>
    <m/>
    <s v="[American Express (Costco)]"/>
    <m/>
    <m/>
    <m/>
    <x v="20"/>
    <m/>
    <x v="0"/>
    <m/>
    <x v="0"/>
    <m/>
    <s v="Jan"/>
    <n v="2014"/>
    <s v="Account"/>
    <n v="0"/>
    <s v="No"/>
    <s v="None"/>
    <s v="[American Express (Costco)]"/>
  </r>
  <r>
    <s v="American Express (Costco)"/>
    <d v="2014-01-23T00:00:00"/>
    <n v="157.29"/>
    <s v="X"/>
    <s v="American Express (Autopay)"/>
    <m/>
    <s v="[First Tech - Checking (5544)]"/>
    <m/>
    <m/>
    <m/>
    <x v="21"/>
    <m/>
    <x v="0"/>
    <m/>
    <x v="0"/>
    <m/>
    <s v="Jan"/>
    <n v="2014"/>
    <s v="Account"/>
    <n v="0"/>
    <s v="No"/>
    <s v="None"/>
    <s v="[First Tech - Checking (5544)]"/>
  </r>
  <r>
    <s v="Discover Card"/>
    <d v="2014-01-23T00:00:00"/>
    <n v="510.46"/>
    <s v="X"/>
    <s v="Directpay Full Balance"/>
    <m/>
    <s v="[First Tech - Checking (5544)]"/>
    <m/>
    <m/>
    <m/>
    <x v="21"/>
    <m/>
    <x v="0"/>
    <m/>
    <x v="0"/>
    <m/>
    <s v="Jan"/>
    <n v="2014"/>
    <s v="Account"/>
    <n v="0"/>
    <s v="No"/>
    <s v="None"/>
    <s v="[First Tech - Checking (5544)]"/>
  </r>
  <r>
    <s v="Koolikai Credit Card"/>
    <d v="2014-01-23T00:00:00"/>
    <n v="146.54"/>
    <s v="X"/>
    <s v="Automatic Payment - Thank"/>
    <s v="@BAL:-146.54@"/>
    <s v="[Koolikai - Checking XX2129]"/>
    <m/>
    <m/>
    <m/>
    <x v="25"/>
    <m/>
    <x v="0"/>
    <m/>
    <x v="0"/>
    <m/>
    <s v="Jan"/>
    <n v="2014"/>
    <s v="Account"/>
    <n v="0"/>
    <s v="No"/>
    <s v="None"/>
    <s v="[Koolikai - Checking XX2129]"/>
  </r>
  <r>
    <s v="MasterCard (Capital One)"/>
    <d v="2014-01-23T00:00:00"/>
    <n v="-23.9"/>
    <s v="X"/>
    <s v="Portage Bay Cafe"/>
    <s v="2011: PORTAGE BAY CAFE AN SEATTLE WA 98109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First Tech - Checking (5544)"/>
    <d v="2014-01-22T00:00:00"/>
    <n v="-27.88"/>
    <s v="X"/>
    <s v="Liberty Mutual (Umbrella)"/>
    <s v="ACH Debit--LIBERTY MUTUAL  - PAYMENT"/>
    <s v="Bills &amp; Utilities:Insurance (Umbrella)"/>
    <m/>
    <m/>
    <m/>
    <x v="34"/>
    <s v="Insurance (Umbrella)"/>
    <x v="0"/>
    <m/>
    <x v="0"/>
    <m/>
    <s v="Jan"/>
    <n v="2014"/>
    <s v="Monthly"/>
    <n v="0"/>
    <s v="No"/>
    <s v="None"/>
    <s v="Bills &amp; Utilities|Insurance (Umbrella)"/>
  </r>
  <r>
    <s v="Discover Card"/>
    <d v="2014-01-22T00:00:00"/>
    <n v="-90"/>
    <s v="X"/>
    <s v="Aaa"/>
    <s v="AAA Membership"/>
    <s v="Auto &amp; Transport:Auto Insurance"/>
    <m/>
    <m/>
    <m/>
    <x v="17"/>
    <s v="Auto Insurance"/>
    <x v="0"/>
    <m/>
    <x v="0"/>
    <m/>
    <s v="Jan"/>
    <n v="2014"/>
    <s v="Annual"/>
    <n v="0"/>
    <s v="No"/>
    <s v="None"/>
    <s v="Auto &amp; Transport|Auto Insurance"/>
  </r>
  <r>
    <s v="MasterCard (Capital One)"/>
    <d v="2014-01-22T00:00:00"/>
    <n v="25"/>
    <s v="X"/>
    <s v="Capital One (Cash Back)"/>
    <s v="2011: CREDIT-CASH BACK REWARD"/>
    <s v="Other Inc"/>
    <m/>
    <m/>
    <m/>
    <x v="29"/>
    <m/>
    <x v="0"/>
    <m/>
    <x v="0"/>
    <m/>
    <s v="Jan"/>
    <n v="2014"/>
    <s v="Monthly"/>
    <n v="0"/>
    <s v="No"/>
    <s v="None"/>
    <s v="Other Inc"/>
  </r>
  <r>
    <s v="MasterCard (Capital One)"/>
    <d v="2014-01-22T00:00:00"/>
    <n v="-15.09"/>
    <s v="X"/>
    <s v="Taqueria Guaymas"/>
    <s v="2011: TAQUERIA GUAYMAS SEATTLE WA 98103 USA"/>
    <s v="Food &amp; Dining:Restaurants/From Receipt"/>
    <m/>
    <m/>
    <s v="From Receipt"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22T00:00:00"/>
    <n v="-27"/>
    <s v="X"/>
    <s v="Taproot Theatre Co"/>
    <s v="2011: TAPROOT THEATRE SEATTLE WA 98103 USA"/>
    <s v="Entertainment"/>
    <m/>
    <m/>
    <m/>
    <x v="30"/>
    <m/>
    <x v="0"/>
    <m/>
    <x v="0"/>
    <m/>
    <s v="Jan"/>
    <n v="2014"/>
    <s v="Monthly"/>
    <n v="0"/>
    <s v="No"/>
    <s v="None"/>
    <s v="Entertainment"/>
  </r>
  <r>
    <s v="First Tech - Checking (5544)"/>
    <d v="2014-01-21T00:00:00"/>
    <n v="-100"/>
    <s v="X"/>
    <s v="Eurest"/>
    <s v="ATM Withdrawal--FIRST TECH 5854 154TH PL NE       REDMOND      W"/>
    <s v="Food &amp; Dining:Restaurants/From Receipt"/>
    <m/>
    <m/>
    <s v="From Receipt"/>
    <x v="15"/>
    <s v="Restaurants"/>
    <x v="0"/>
    <m/>
    <x v="0"/>
    <m/>
    <s v="Jan"/>
    <n v="2014"/>
    <s v="Monthly"/>
    <n v="0"/>
    <s v="No"/>
    <s v="None"/>
    <s v="Food &amp; Dining|Restaurants"/>
  </r>
  <r>
    <s v="First Tech - Checking (5544)"/>
    <d v="2014-01-21T00:00:00"/>
    <n v="-105"/>
    <s v="X"/>
    <s v="Cleaning Authority, The"/>
    <s v="ACH Debit--THE CLEANING AUT  - ONLINE PMT"/>
    <s v="Home:Home Services"/>
    <m/>
    <m/>
    <m/>
    <x v="14"/>
    <s v="Home Services"/>
    <x v="0"/>
    <m/>
    <x v="0"/>
    <m/>
    <s v="Jan"/>
    <n v="2014"/>
    <s v="Monthly"/>
    <n v="0"/>
    <s v="No"/>
    <s v="None"/>
    <s v="Home|Home Services"/>
  </r>
  <r>
    <s v="MasterCard (Capital One)"/>
    <d v="2014-01-20T00:00:00"/>
    <n v="-5.37"/>
    <s v="X"/>
    <s v="Safeway"/>
    <s v="2011: SAFEWAY STORE00011437 SEATTLE WA 98117 USA"/>
    <s v="Food &amp; Dining:Groceries/From Receipt"/>
    <m/>
    <m/>
    <s v="From Receipt"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20T00:00:00"/>
    <n v="-1516.19"/>
    <s v="X"/>
    <s v="Columbus 004"/>
    <s v="Growth hormone"/>
    <s v="Health &amp; Fitness:Pharmacy"/>
    <m/>
    <m/>
    <m/>
    <x v="18"/>
    <s v="Pharmacy"/>
    <x v="0"/>
    <m/>
    <x v="0"/>
    <m/>
    <s v="Jan"/>
    <n v="2014"/>
    <s v="Irregular"/>
    <n v="0"/>
    <s v="No"/>
    <s v="None"/>
    <s v="Health &amp; Fitness|Pharmacy"/>
  </r>
  <r>
    <s v="MasterCard (Capital One)"/>
    <d v="2014-01-19T00:00:00"/>
    <n v="-18.329999999999998"/>
    <s v="X"/>
    <s v="Oliver Twist Seattle"/>
    <s v="2011: OLIVER'S TWIST SEATTLE WA 98103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19T00:00:00"/>
    <n v="-19.7"/>
    <s v="X"/>
    <s v="Pacific Science Center The"/>
    <s v="Marble Run  28pc"/>
    <s v="Gifts/From Receipt"/>
    <m/>
    <m/>
    <s v="From Receipt"/>
    <x v="28"/>
    <m/>
    <x v="0"/>
    <m/>
    <x v="0"/>
    <m/>
    <s v="Jan"/>
    <n v="2014"/>
    <s v="Monthly"/>
    <n v="0"/>
    <s v="No"/>
    <s v="None"/>
    <s v="Gifts"/>
  </r>
  <r>
    <s v="Koolikai - Checking XX2129"/>
    <d v="2014-01-18T00:00:00"/>
    <n v="1195"/>
    <s v="X"/>
    <s v="Aaron Ausland"/>
    <s v="Deposit--Shared Branch Mobile Deposit          First Tech FC CA"/>
    <s v="Business Income (Koolikai):Rent/7231"/>
    <m/>
    <m/>
    <n v="7231"/>
    <x v="37"/>
    <s v="Rent"/>
    <x v="0"/>
    <m/>
    <x v="0"/>
    <m/>
    <s v="Jan"/>
    <n v="2014"/>
    <s v="Monthly"/>
    <n v="0"/>
    <s v="No"/>
    <s v="None"/>
    <s v="Business Income (Koolikai)|Rent"/>
  </r>
  <r>
    <s v="MasterCard (Capital One)"/>
    <d v="2014-01-18T00:00:00"/>
    <n v="49.26"/>
    <s v="X"/>
    <s v="Clarks Store"/>
    <s v="2011: CLARKS STORE #542 LYNNWOOD WA 98037 USA"/>
    <s v="Shopping:Clothing/From Receipt"/>
    <m/>
    <m/>
    <s v="From Receipt"/>
    <x v="13"/>
    <s v="Clothing"/>
    <x v="0"/>
    <m/>
    <x v="0"/>
    <m/>
    <s v="Jan"/>
    <n v="2014"/>
    <s v="Annual"/>
    <n v="0"/>
    <s v="No"/>
    <s v="None"/>
    <s v="Shopping|Clothing"/>
  </r>
  <r>
    <s v="MasterCard (Capital One)"/>
    <d v="2014-01-18T00:00:00"/>
    <n v="-0.5"/>
    <s v="X"/>
    <s v="Msft Account Wa"/>
    <s v="Account validation"/>
    <s v="Shopping:Electronics &amp; Software"/>
    <m/>
    <m/>
    <m/>
    <x v="13"/>
    <s v="Electronics &amp; Software"/>
    <x v="0"/>
    <m/>
    <x v="0"/>
    <m/>
    <s v="Jan"/>
    <n v="2014"/>
    <s v="Annual"/>
    <n v="0"/>
    <s v="No"/>
    <s v="None"/>
    <s v="Shopping|Electronics &amp; Software"/>
  </r>
  <r>
    <s v="MasterCard (Capital One)"/>
    <d v="2014-01-18T00:00:00"/>
    <n v="-2.4900000000000002"/>
    <s v="X"/>
    <s v="Seattle Park Seattle"/>
    <s v="2011: SEATTLE 684-PARK SEATTLE WA 98104 USA"/>
    <s v="Auto &amp; Transport:Parking"/>
    <m/>
    <m/>
    <m/>
    <x v="17"/>
    <s v="Parking"/>
    <x v="0"/>
    <m/>
    <x v="0"/>
    <m/>
    <s v="Jan"/>
    <n v="2014"/>
    <s v="Monthly"/>
    <n v="0"/>
    <s v="No"/>
    <s v="None"/>
    <s v="Auto &amp; Transport|Parking"/>
  </r>
  <r>
    <s v="MasterCard (Capital One)"/>
    <d v="2014-01-18T00:00:00"/>
    <n v="-4.1100000000000003"/>
    <s v="X"/>
    <s v="Fred Meyer"/>
    <s v="2011: FRED-MEYER #0122 SEATTLE WA 98117 USA"/>
    <s v="Kids:Clothing/From Receipt"/>
    <m/>
    <m/>
    <s v="From Receipt"/>
    <x v="27"/>
    <s v="Clothing"/>
    <x v="0"/>
    <m/>
    <x v="0"/>
    <m/>
    <s v="Jan"/>
    <n v="2014"/>
    <s v="Monthly"/>
    <n v="0"/>
    <s v="No"/>
    <s v="None"/>
    <s v="Kids|Clothing"/>
  </r>
  <r>
    <s v="MasterCard (Capital One)"/>
    <d v="2014-01-18T00:00:00"/>
    <n v="-102.42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8T00:00:00"/>
    <n v="-244.77"/>
    <s v="X"/>
    <s v="El Gaucho"/>
    <s v="2011: EL GAUCHO SEATTLE WA 98121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First Tech - Checking (5544)"/>
    <d v="2014-01-17T00:00:00"/>
    <n v="159.56"/>
    <s v="X"/>
    <s v="Premera Funding  - Cyc-claims"/>
    <s v="ACH Deposit--PREMERA FUNDING  - CYC-CLAIMS"/>
    <s v="[Premera Health Care Payment]"/>
    <m/>
    <m/>
    <m/>
    <x v="42"/>
    <m/>
    <x v="0"/>
    <m/>
    <x v="0"/>
    <m/>
    <s v="Jan"/>
    <n v="2014"/>
    <s v="Account"/>
    <n v="0"/>
    <s v="No"/>
    <s v="None"/>
    <s v="[Premera Health Care Payment]"/>
  </r>
  <r>
    <s v="MasterCard (Capital One)"/>
    <d v="2014-01-17T00:00:00"/>
    <n v="-2.73"/>
    <s v="X"/>
    <s v="Windows"/>
    <s v="Phonos"/>
    <s v="Shopping:Electronics &amp; Software"/>
    <m/>
    <m/>
    <m/>
    <x v="13"/>
    <s v="Electronics &amp; Software"/>
    <x v="0"/>
    <m/>
    <x v="0"/>
    <m/>
    <s v="Jan"/>
    <n v="2014"/>
    <s v="Annual"/>
    <n v="0"/>
    <s v="No"/>
    <s v="None"/>
    <s v="Shopping|Electronics &amp; Software"/>
  </r>
  <r>
    <s v="MasterCard (Capital One)"/>
    <d v="2014-01-17T00:00:00"/>
    <n v="-3.99"/>
    <s v="X"/>
    <s v="Fred Meyer"/>
    <s v="Vegetable tray"/>
    <s v="Food &amp; Dining:Groceries/From Receipt"/>
    <m/>
    <m/>
    <s v="From Receipt"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7T00:00:00"/>
    <n v="-275.91000000000003"/>
    <s v="X"/>
    <s v="Sears"/>
    <s v="Refrigerator repair"/>
    <s v="Business Expenses (Koolikai):Repairs/7231"/>
    <m/>
    <m/>
    <n v="7231"/>
    <x v="36"/>
    <s v="Repairs"/>
    <x v="0"/>
    <m/>
    <x v="0"/>
    <m/>
    <s v="Jan"/>
    <n v="2014"/>
    <s v="Irregular"/>
    <n v="0"/>
    <s v="No"/>
    <s v="None"/>
    <s v="Business Expenses (Koolikai)|Repairs"/>
  </r>
  <r>
    <s v="Premera Health Care Payment"/>
    <d v="2014-01-17T00:00:00"/>
    <n v="-159.56"/>
    <m/>
    <s v="Premera Funding  - Cyc-claims"/>
    <s v="ACH Deposit--PREMERA FUNDING  - CYC-CLAIMS"/>
    <s v="[First Tech - Checking (5544)]"/>
    <m/>
    <m/>
    <m/>
    <x v="21"/>
    <m/>
    <x v="0"/>
    <m/>
    <x v="0"/>
    <m/>
    <s v="Jan"/>
    <n v="2014"/>
    <s v="Account"/>
    <n v="0"/>
    <s v="No"/>
    <s v="None"/>
    <s v="[First Tech - Checking (5544)]"/>
  </r>
  <r>
    <s v="Capital One - Long Term Emergency (1201)"/>
    <d v="2014-01-16T00:00:00"/>
    <n v="25.31"/>
    <s v="X"/>
    <s v="Quarterly Bonus"/>
    <m/>
    <s v="Interest Income"/>
    <m/>
    <m/>
    <m/>
    <x v="40"/>
    <m/>
    <x v="0"/>
    <m/>
    <x v="0"/>
    <m/>
    <s v="Jan"/>
    <n v="2014"/>
    <s v="Monthly"/>
    <n v="0"/>
    <s v="No"/>
    <s v="None"/>
    <s v="Interest Income"/>
  </r>
  <r>
    <s v="MasterCard (Capital One)"/>
    <d v="2014-01-16T00:00:00"/>
    <n v="-4.29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6T00:00:00"/>
    <n v="-9.1300000000000008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5T00:00:00"/>
    <n v="-25"/>
    <s v="X"/>
    <s v="Chargepoint"/>
    <s v="2011: CHARGEPOINT, INC 04083703802 CA 95008 USA"/>
    <s v="Auto &amp; Transport:Gas &amp; Fuel"/>
    <m/>
    <m/>
    <m/>
    <x v="17"/>
    <s v="Gas &amp; Fuel"/>
    <x v="0"/>
    <m/>
    <x v="0"/>
    <m/>
    <s v="Jan"/>
    <n v="2014"/>
    <s v="Monthly"/>
    <n v="0"/>
    <s v="No"/>
    <s v="None"/>
    <s v="Auto &amp; Transport|Gas &amp; Fuel"/>
  </r>
  <r>
    <s v="First Tech - Checking (5544)"/>
    <d v="2014-01-14T00:00:00"/>
    <n v="3165.19"/>
    <s v="X"/>
    <s v="Microsoft (Paystub)"/>
    <s v="ACH Deposit--MICROSOFT  - EDIPAYMENT"/>
    <s v="Net Salary"/>
    <m/>
    <m/>
    <m/>
    <x v="35"/>
    <m/>
    <x v="0"/>
    <m/>
    <x v="0"/>
    <m/>
    <s v="Jan"/>
    <n v="2014"/>
    <s v="Monthly"/>
    <n v="0"/>
    <s v="No"/>
    <s v="None"/>
    <s v="Net Salary"/>
  </r>
  <r>
    <s v="First Tech - Checking (5544)"/>
    <d v="2014-01-14T00:00:00"/>
    <n v="-156.19999999999999"/>
    <s v="X"/>
    <s v="Puget Sound Energy"/>
    <s v="ACH Debit--PUGET SOUND ENER DIRECT DEBITING - PSE BILL  12502672"/>
    <s v="Bills &amp; Utilities:Utilities"/>
    <m/>
    <m/>
    <m/>
    <x v="34"/>
    <s v="Utilities"/>
    <x v="0"/>
    <m/>
    <x v="0"/>
    <m/>
    <s v="Jan"/>
    <n v="2014"/>
    <s v="Monthly"/>
    <n v="0"/>
    <s v="No"/>
    <s v="None"/>
    <s v="Bills &amp; Utilities|Utilities"/>
  </r>
  <r>
    <s v="MasterCard (Capital One)"/>
    <d v="2014-01-14T00:00:00"/>
    <n v="25"/>
    <s v="X"/>
    <s v="Capital One (Cash Back)"/>
    <s v="2011: CREDIT-CASH BACK REWARD"/>
    <s v="Other Inc"/>
    <m/>
    <m/>
    <m/>
    <x v="29"/>
    <m/>
    <x v="0"/>
    <m/>
    <x v="0"/>
    <m/>
    <s v="Jan"/>
    <n v="2014"/>
    <s v="Monthly"/>
    <n v="0"/>
    <s v="No"/>
    <s v="None"/>
    <s v="Other Inc"/>
  </r>
  <r>
    <s v="MasterCard (Capital One)"/>
    <d v="2014-01-14T00:00:00"/>
    <n v="-50"/>
    <s v="X"/>
    <s v="Good To Go"/>
    <s v="2011: GOOD2GO REPLENISHMENT 08669368246 WA 98105 USA"/>
    <s v="Auto &amp; Transport:Tolls"/>
    <m/>
    <m/>
    <m/>
    <x v="17"/>
    <s v="Tolls"/>
    <x v="0"/>
    <m/>
    <x v="0"/>
    <m/>
    <s v="Jan"/>
    <n v="2014"/>
    <s v="Irregular"/>
    <n v="0"/>
    <s v="No"/>
    <s v="None"/>
    <s v="Auto &amp; Transport|Tolls"/>
  </r>
  <r>
    <s v="First Tech - Checking (5544)"/>
    <d v="2014-01-13T00:00:00"/>
    <n v="-118.52"/>
    <s v="X"/>
    <s v="Seattle City Light"/>
    <s v="ACH Debit--CITY OF SEATTLE  - 1 - SCL De"/>
    <s v="Bills &amp; Utilities:Utilities"/>
    <m/>
    <m/>
    <m/>
    <x v="34"/>
    <s v="Utilities"/>
    <x v="0"/>
    <m/>
    <x v="0"/>
    <m/>
    <s v="Jan"/>
    <n v="2014"/>
    <s v="Monthly"/>
    <n v="0"/>
    <s v="No"/>
    <s v="None"/>
    <s v="Bills &amp; Utilities|Utilities"/>
  </r>
  <r>
    <s v="American Express (Costco)"/>
    <d v="2014-01-13T00:00:00"/>
    <n v="199.99"/>
    <s v="X"/>
    <s v="Costco Whse Seattle"/>
    <s v="Returned lift tickets"/>
    <s v="Health &amp; Fitness:Sports/From Receipt"/>
    <m/>
    <m/>
    <s v="From Receipt"/>
    <x v="18"/>
    <s v="Sports"/>
    <x v="0"/>
    <m/>
    <x v="0"/>
    <m/>
    <s v="Jan"/>
    <n v="2014"/>
    <s v="Irregular"/>
    <n v="0"/>
    <s v="No"/>
    <s v="None"/>
    <s v="Health &amp; Fitness|Sports"/>
  </r>
  <r>
    <s v="American Express (Costco)"/>
    <d v="2014-01-13T00:00:00"/>
    <n v="-160"/>
    <s v="X"/>
    <s v="Costco"/>
    <s v="015317000   2065460480"/>
    <s v="Personal Care:Spa &amp; Massage/From Receipt"/>
    <m/>
    <s v="Split"/>
    <s v="From Receipt"/>
    <x v="31"/>
    <s v="Spa &amp; Massage"/>
    <x v="0"/>
    <m/>
    <x v="0"/>
    <m/>
    <s v="Jan"/>
    <n v="2014"/>
    <s v="Irregular"/>
    <n v="0"/>
    <s v="No"/>
    <s v="None"/>
    <s v="Personal Care|Spa &amp; Massage"/>
  </r>
  <r>
    <s v="American Express (Costco)"/>
    <d v="2014-01-13T00:00:00"/>
    <n v="-90.3"/>
    <s v="X"/>
    <s v="Costco"/>
    <m/>
    <s v="Food &amp; Dining:Groceries/From Receipt"/>
    <m/>
    <s v="Split"/>
    <s v="From Receipt"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3T00:00:00"/>
    <n v="-6.5"/>
    <s v="X"/>
    <s v="Amc"/>
    <s v="2011: AMC ALDERWOOD 16 #2629 LYNNWOOD WA 98037 USA"/>
    <s v="Entertainment:Movies &amp; DVDs/From Receipt"/>
    <m/>
    <m/>
    <s v="From Receipt"/>
    <x v="30"/>
    <s v="Movies &amp; DVDs"/>
    <x v="0"/>
    <m/>
    <x v="0"/>
    <m/>
    <s v="Jan"/>
    <n v="2014"/>
    <s v="Unplanned"/>
    <n v="0"/>
    <s v="No"/>
    <s v="None"/>
    <s v="Entertainment|Movies &amp; DVDs"/>
  </r>
  <r>
    <s v="MasterCard (Capital One)"/>
    <d v="2014-01-13T00:00:00"/>
    <n v="-8.42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3T00:00:00"/>
    <n v="-22.44"/>
    <s v="X"/>
    <s v="Portage Bay Cafe"/>
    <s v="2011: PORTAGE BAY CAFE &amp; SEATTLE WA 98107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13T00:00:00"/>
    <n v="-62.37"/>
    <s v="X"/>
    <s v="Clarks Store"/>
    <s v="2011: CLARKS STORE #542 LYNNWOOD WA 98037 USA"/>
    <s v="Shopping:Clothing/From Receipt"/>
    <m/>
    <m/>
    <s v="From Receipt"/>
    <x v="13"/>
    <s v="Clothing"/>
    <x v="0"/>
    <m/>
    <x v="0"/>
    <m/>
    <s v="Jan"/>
    <n v="2014"/>
    <s v="Annual"/>
    <n v="0"/>
    <s v="No"/>
    <s v="None"/>
    <s v="Shopping|Clothing"/>
  </r>
  <r>
    <s v="MasterCard (Capital One)"/>
    <d v="2014-01-13T00:00:00"/>
    <n v="-188.19"/>
    <s v="X"/>
    <s v="Dsw Designer Shoe Warehouse"/>
    <s v="2011: DSW SEATTLE WA 98125 USA"/>
    <s v="Shopping:Clothing/From Receipt"/>
    <m/>
    <m/>
    <s v="From Receipt"/>
    <x v="13"/>
    <s v="Clothing"/>
    <x v="0"/>
    <m/>
    <x v="0"/>
    <m/>
    <s v="Jan"/>
    <n v="2014"/>
    <s v="Annual"/>
    <n v="0"/>
    <s v="No"/>
    <s v="None"/>
    <s v="Shopping|Clothing"/>
  </r>
  <r>
    <s v="First Tech - Checking (5544)"/>
    <d v="2014-01-12T00:00:00"/>
    <n v="19.75"/>
    <s v="X"/>
    <s v="UW Medical Center"/>
    <s v="Duplicate charge?"/>
    <s v="Health &amp; Fitness:Doctor"/>
    <m/>
    <m/>
    <m/>
    <x v="18"/>
    <s v="Doctor"/>
    <x v="0"/>
    <m/>
    <x v="0"/>
    <m/>
    <s v="Jan"/>
    <n v="2014"/>
    <s v="Irregular"/>
    <n v="0"/>
    <s v="No"/>
    <s v="None"/>
    <s v="Health &amp; Fitness|Doctor"/>
  </r>
  <r>
    <s v="First Tech - Checking (5544)"/>
    <d v="2014-01-12T00:00:00"/>
    <n v="61.66"/>
    <s v="X"/>
    <s v="Children's University Medical Group"/>
    <s v="Duplicate opthamology charge"/>
    <s v="Health &amp; Fitness:Doctor"/>
    <m/>
    <m/>
    <m/>
    <x v="18"/>
    <s v="Doctor"/>
    <x v="0"/>
    <m/>
    <x v="0"/>
    <m/>
    <s v="Jan"/>
    <n v="2014"/>
    <s v="Irregular"/>
    <n v="0"/>
    <s v="No"/>
    <s v="None"/>
    <s v="Health &amp; Fitness|Doctor"/>
  </r>
  <r>
    <s v="Koolikai Credit Card"/>
    <d v="2014-01-12T00:00:00"/>
    <n v="-146.54"/>
    <s v="X"/>
    <s v="Verizon Wireless"/>
    <m/>
    <s v="Business Expenses (Koolikai):Cell Phone"/>
    <m/>
    <m/>
    <m/>
    <x v="36"/>
    <s v="Cell Phone"/>
    <x v="0"/>
    <m/>
    <x v="0"/>
    <m/>
    <s v="Jan"/>
    <n v="2014"/>
    <s v="Monthly"/>
    <n v="0"/>
    <s v="No"/>
    <s v="None"/>
    <s v="Business Expenses (Koolikai)|Cell Phone"/>
  </r>
  <r>
    <s v="MasterCard (Capital One)"/>
    <d v="2014-01-12T00:00:00"/>
    <n v="1.68"/>
    <s v="X"/>
    <s v="Microsoft Code Msbill"/>
    <s v="Free app?"/>
    <s v="Shopping:Electronics &amp; Software"/>
    <m/>
    <m/>
    <m/>
    <x v="13"/>
    <s v="Electronics &amp; Software"/>
    <x v="0"/>
    <m/>
    <x v="0"/>
    <m/>
    <s v="Jan"/>
    <n v="2014"/>
    <s v="Annual"/>
    <n v="0"/>
    <s v="No"/>
    <s v="None"/>
    <s v="Shopping|Electronics &amp; Software"/>
  </r>
  <r>
    <s v="MasterCard (Capital One)"/>
    <d v="2014-01-12T00:00:00"/>
    <n v="-1.55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1T00:00:00"/>
    <n v="-4.33"/>
    <s v="X"/>
    <s v="Target"/>
    <s v="Cards for Angela's birthday"/>
    <s v="Gifts/From Receipt"/>
    <m/>
    <m/>
    <s v="From Receipt"/>
    <x v="28"/>
    <m/>
    <x v="0"/>
    <m/>
    <x v="0"/>
    <m/>
    <s v="Jan"/>
    <n v="2014"/>
    <s v="Monthly"/>
    <n v="0"/>
    <s v="No"/>
    <s v="None"/>
    <s v="Gifts"/>
  </r>
  <r>
    <s v="MasterCard (Capital One)"/>
    <d v="2014-01-11T00:00:00"/>
    <n v="-6"/>
    <s v="X"/>
    <s v="Seattle Park Seattle"/>
    <s v="2011: SEATTLE 684-PARK SEATTLE WA 98104 USA"/>
    <s v="Auto &amp; Transport:Parking"/>
    <m/>
    <m/>
    <m/>
    <x v="17"/>
    <s v="Parking"/>
    <x v="0"/>
    <m/>
    <x v="0"/>
    <m/>
    <s v="Jan"/>
    <n v="2014"/>
    <s v="Monthly"/>
    <n v="0"/>
    <s v="No"/>
    <s v="None"/>
    <s v="Auto &amp; Transport|Parking"/>
  </r>
  <r>
    <s v="MasterCard (Capital One)"/>
    <d v="2014-01-11T00:00:00"/>
    <n v="-17.52"/>
    <s v="X"/>
    <s v="Barnes &amp; Noble"/>
    <s v="Nurture Shock"/>
    <s v="Shopping:Books/From Receipt"/>
    <m/>
    <m/>
    <s v="From Receipt"/>
    <x v="13"/>
    <s v="Books"/>
    <x v="0"/>
    <m/>
    <x v="0"/>
    <m/>
    <s v="Jan"/>
    <n v="2014"/>
    <s v="Unplanned"/>
    <n v="0"/>
    <s v="No"/>
    <s v="None"/>
    <s v="Shopping|Books"/>
  </r>
  <r>
    <s v="MasterCard (Capital One)"/>
    <d v="2014-01-11T00:00:00"/>
    <n v="-20.75"/>
    <s v="X"/>
    <s v="Third Place Books"/>
    <s v="Nurture Shock"/>
    <s v="Shopping:Books/From Receipt"/>
    <m/>
    <m/>
    <s v="From Receipt"/>
    <x v="13"/>
    <s v="Books"/>
    <x v="0"/>
    <m/>
    <x v="0"/>
    <m/>
    <s v="Jan"/>
    <n v="2014"/>
    <s v="Unplanned"/>
    <n v="0"/>
    <s v="No"/>
    <s v="None"/>
    <s v="Shopping|Books"/>
  </r>
  <r>
    <s v="MasterCard (Capital One)"/>
    <d v="2014-01-11T00:00:00"/>
    <n v="-79.709999999999994"/>
    <s v="X"/>
    <s v="The Hi-life Restaurant"/>
    <s v="2011: THEHILIFE SEATTLE WA 98107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11T00:00:00"/>
    <n v="-144.49"/>
    <s v="X"/>
    <s v="Fred Meyer"/>
    <s v="2011: FRED-MEYER #0122 SEATTLE WA 98117 USA"/>
    <s v="Food &amp; Dining:Groceries/From Receipt"/>
    <m/>
    <m/>
    <s v="From Receipt"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10T00:00:00"/>
    <n v="-5.95"/>
    <s v="X"/>
    <s v="Eurest"/>
    <s v="2011: CAFE 50 11097474 REMOND WA 98052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10T00:00:00"/>
    <n v="-18.07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First Tech - Checking (5544)"/>
    <d v="2014-01-08T00:00:00"/>
    <n v="-42.62"/>
    <s v="X"/>
    <s v="Target Card Srvc 001 - Auto Pymt"/>
    <s v="ACH Debit--TARGET CARD SRVC 001 - AUTO PYMT"/>
    <s v="[Target Red Card]"/>
    <m/>
    <m/>
    <m/>
    <x v="12"/>
    <m/>
    <x v="0"/>
    <m/>
    <x v="0"/>
    <m/>
    <s v="Jan"/>
    <n v="2014"/>
    <s v="Account"/>
    <n v="0"/>
    <s v="No"/>
    <s v="None"/>
    <s v="[Target Red Card]"/>
  </r>
  <r>
    <s v="First Tech - Checking (5544)"/>
    <d v="2014-01-07T00:00:00"/>
    <n v="-3574.88"/>
    <s v="X"/>
    <s v="Wells Fargo Home Mortgage"/>
    <s v="Mortgage for 7015"/>
    <s v="Home:Mortgage"/>
    <m/>
    <m/>
    <m/>
    <x v="14"/>
    <s v="Mortgage"/>
    <x v="0"/>
    <m/>
    <x v="0"/>
    <m/>
    <s v="Jan"/>
    <n v="2014"/>
    <s v="Monthly"/>
    <n v="0"/>
    <s v="No"/>
    <s v="None"/>
    <s v="Home|Mortgage"/>
  </r>
  <r>
    <s v="MasterCard (Capital One)"/>
    <d v="2014-01-07T00:00:00"/>
    <n v="-1.68"/>
    <s v="X"/>
    <s v="Msft Code Msbill"/>
    <s v="Free App?  Refunded later"/>
    <s v="Shopping:Electronics &amp; Software"/>
    <m/>
    <m/>
    <m/>
    <x v="13"/>
    <s v="Electronics &amp; Software"/>
    <x v="0"/>
    <m/>
    <x v="0"/>
    <m/>
    <s v="Jan"/>
    <n v="2014"/>
    <s v="Annual"/>
    <n v="0"/>
    <s v="No"/>
    <s v="None"/>
    <s v="Shopping|Electronics &amp; Software"/>
  </r>
  <r>
    <s v="MasterCard (Capital One)"/>
    <d v="2014-01-07T00:00:00"/>
    <n v="-6"/>
    <s v="X"/>
    <s v="Premier Parking"/>
    <s v="2011: PREMIER PARKING MARION NASHVILLE TN 372093602 USA"/>
    <s v="Auto &amp; Transport:Parking/From Receipt"/>
    <m/>
    <m/>
    <s v="From Receipt"/>
    <x v="17"/>
    <s v="Parking"/>
    <x v="0"/>
    <m/>
    <x v="0"/>
    <m/>
    <s v="Jan"/>
    <n v="2014"/>
    <s v="Monthly"/>
    <n v="0"/>
    <s v="No"/>
    <s v="None"/>
    <s v="Auto &amp; Transport|Parking"/>
  </r>
  <r>
    <s v="MasterCard (Capital One)"/>
    <d v="2014-01-07T00:00:00"/>
    <n v="-7.34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07T00:00:00"/>
    <n v="-14.64"/>
    <s v="X"/>
    <s v="Diamond Parking"/>
    <s v="2011: DIAMOND PARKING A096 SEATTLE WA 98101 USA"/>
    <s v="Auto &amp; Transport:Parking"/>
    <m/>
    <m/>
    <m/>
    <x v="17"/>
    <s v="Parking"/>
    <x v="0"/>
    <m/>
    <x v="0"/>
    <m/>
    <s v="Jan"/>
    <n v="2014"/>
    <s v="Monthly"/>
    <n v="0"/>
    <s v="No"/>
    <s v="None"/>
    <s v="Auto &amp; Transport|Parking"/>
  </r>
  <r>
    <s v="MasterCard (Capital One)"/>
    <d v="2014-01-06T00:00:00"/>
    <n v="-13.42"/>
    <s v="X"/>
    <s v="Diamond Parking"/>
    <s v="2011: DIAMOND PARKING A096 SEATTLE WA 98101 USA"/>
    <s v="Auto &amp; Transport:Parking"/>
    <m/>
    <m/>
    <m/>
    <x v="17"/>
    <s v="Parking"/>
    <x v="0"/>
    <m/>
    <x v="0"/>
    <m/>
    <s v="Jan"/>
    <n v="2014"/>
    <s v="Monthly"/>
    <n v="0"/>
    <s v="No"/>
    <s v="None"/>
    <s v="Auto &amp; Transport|Parking"/>
  </r>
  <r>
    <s v="Target Red Card"/>
    <d v="2014-01-06T00:00:00"/>
    <n v="42.62"/>
    <s v="X"/>
    <s v="Target (Autopay)"/>
    <s v="@BAL:$491.36@"/>
    <s v="[First Tech - Checking (5544)]"/>
    <m/>
    <m/>
    <m/>
    <x v="21"/>
    <m/>
    <x v="0"/>
    <m/>
    <x v="0"/>
    <m/>
    <s v="Jan"/>
    <n v="2014"/>
    <s v="Account"/>
    <n v="0"/>
    <s v="No"/>
    <s v="None"/>
    <s v="[First Tech - Checking (5544)]"/>
  </r>
  <r>
    <s v="Koolikai - Checking XX2129"/>
    <d v="2014-01-05T00:00:00"/>
    <n v="100"/>
    <s v="X"/>
    <s v="Aaron Ausland"/>
    <s v="Repayment of water/sewer"/>
    <s v="Business Expenses (Koolikai):Utilities (Business)/7231"/>
    <m/>
    <s v="Split"/>
    <n v="7231"/>
    <x v="36"/>
    <s v="Utilities (Business)"/>
    <x v="0"/>
    <m/>
    <x v="0"/>
    <m/>
    <s v="Jan"/>
    <n v="2014"/>
    <s v="Monthly"/>
    <n v="0"/>
    <s v="No"/>
    <s v="None"/>
    <s v="Business Expenses (Koolikai)|Utilities (Business)"/>
  </r>
  <r>
    <s v="MasterCard (Capital One)"/>
    <d v="2014-01-05T00:00:00"/>
    <n v="-3.01"/>
    <s v="X"/>
    <s v="Barnes &amp; Noble"/>
    <s v="Hot cocoa"/>
    <s v="Food &amp; Dining:Restaurants/From Receipt"/>
    <m/>
    <m/>
    <s v="From Receipt"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05T00:00:00"/>
    <n v="-19.66"/>
    <s v="X"/>
    <s v="Home Depot"/>
    <s v="Furnace filter, and toilet valve repair kit"/>
    <s v="Business Expenses (Koolikai):Repairs/7231:From Receipt"/>
    <m/>
    <m/>
    <s v="7231:From Receipt"/>
    <x v="36"/>
    <s v="Repairs"/>
    <x v="0"/>
    <m/>
    <x v="0"/>
    <m/>
    <s v="Jan"/>
    <n v="2014"/>
    <s v="Irregular"/>
    <n v="0"/>
    <s v="No"/>
    <s v="None"/>
    <s v="Business Expenses (Koolikai)|Repairs"/>
  </r>
  <r>
    <s v="MasterCard (Capital One)"/>
    <d v="2014-01-04T00:00:00"/>
    <n v="-16.34"/>
    <s v="X"/>
    <s v="Walgreens"/>
    <s v="No receipt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MasterCard (Capital One)"/>
    <d v="2014-01-04T00:00:00"/>
    <n v="-18"/>
    <s v="X"/>
    <s v="Arena Sports Seattle"/>
    <s v="2011: ARENA SPORTS SEATTLE WA 98115 USA"/>
    <s v="Kids:Kids Activities"/>
    <m/>
    <m/>
    <m/>
    <x v="27"/>
    <s v="Kids Activities"/>
    <x v="0"/>
    <m/>
    <x v="0"/>
    <m/>
    <s v="Jan"/>
    <n v="2014"/>
    <s v="Monthly"/>
    <n v="0"/>
    <s v="No"/>
    <s v="None"/>
    <s v="Kids|Kids Activities"/>
  </r>
  <r>
    <s v="MasterCard (Capital One)"/>
    <d v="2014-01-04T00:00:00"/>
    <n v="-77.150000000000006"/>
    <s v="X"/>
    <s v="Vios Cafe 3rd"/>
    <s v="2011: VIOS CAFE AT 3RD PLACE SEATTLE WA 98115 USA"/>
    <s v="Food &amp; Dining:Restaurants"/>
    <m/>
    <m/>
    <m/>
    <x v="15"/>
    <s v="Restaurants"/>
    <x v="0"/>
    <m/>
    <x v="0"/>
    <m/>
    <s v="Jan"/>
    <n v="2014"/>
    <s v="Monthly"/>
    <n v="0"/>
    <s v="No"/>
    <s v="None"/>
    <s v="Food &amp; Dining|Restaurants"/>
  </r>
  <r>
    <s v="MasterCard (Capital One)"/>
    <d v="2014-01-04T00:00:00"/>
    <n v="-95.46"/>
    <s v="X"/>
    <s v="Fred Meyer"/>
    <s v="No receipt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First Tech - Checking (5544)"/>
    <d v="2014-01-03T00:00:00"/>
    <n v="315.45999999999998"/>
    <s v="X"/>
    <s v="Stay Fit Credit"/>
    <s v="Stay Fit reimbursement for shoes, running pants, and ski passes."/>
    <s v="Health &amp; Fitness:Sports"/>
    <m/>
    <m/>
    <m/>
    <x v="18"/>
    <s v="Sports"/>
    <x v="0"/>
    <m/>
    <x v="0"/>
    <m/>
    <s v="Jan"/>
    <n v="2014"/>
    <s v="Irregular"/>
    <n v="0"/>
    <s v="No"/>
    <s v="None"/>
    <s v="Health &amp; Fitness|Sports"/>
  </r>
  <r>
    <s v="First Tech - Checking (5544)"/>
    <d v="2014-01-03T00:00:00"/>
    <n v="-500"/>
    <s v="X"/>
    <s v="American Funds Amcap"/>
    <s v="ACH Debit-- AMERICAN FUNDS 0001002:  AMCAP-529A - INVESTMENT"/>
    <s v="Kids:American Funds 529A"/>
    <m/>
    <m/>
    <m/>
    <x v="27"/>
    <s v="American Funds 529A"/>
    <x v="0"/>
    <m/>
    <x v="0"/>
    <m/>
    <s v="Jan"/>
    <n v="2014"/>
    <s v="Monthly"/>
    <n v="0"/>
    <s v="No"/>
    <s v="None"/>
    <s v="Kids|American Funds 529A"/>
  </r>
  <r>
    <s v="First Tech - Checking (5544)"/>
    <d v="2014-01-03T00:00:00"/>
    <n v="-2048.5100000000002"/>
    <s v="X"/>
    <s v="NYCB Mortgage Company"/>
    <s v="9602 Mortgage Payment"/>
    <s v="Business Expenses (Koolikai):Mortgage (Business)/9602"/>
    <m/>
    <m/>
    <n v="9602"/>
    <x v="36"/>
    <s v="Mortgage (Business)"/>
    <x v="0"/>
    <m/>
    <x v="0"/>
    <m/>
    <s v="Jan"/>
    <n v="2014"/>
    <s v="Monthly"/>
    <n v="0"/>
    <s v="No"/>
    <s v="None"/>
    <s v="Business Expenses (Koolikai)|Mortgage (Business)"/>
  </r>
  <r>
    <s v="First Tech - Checking (5544)"/>
    <d v="2014-01-03T00:00:00"/>
    <n v="-3513.25"/>
    <s v="X"/>
    <s v="NYCB Mortgage Company"/>
    <s v="7231 Mortgage Payment"/>
    <s v="Business Expenses (Koolikai):Mortgage (Business)/7231"/>
    <m/>
    <m/>
    <n v="7231"/>
    <x v="36"/>
    <s v="Mortgage (Business)"/>
    <x v="0"/>
    <m/>
    <x v="0"/>
    <m/>
    <s v="Jan"/>
    <n v="2014"/>
    <s v="Monthly"/>
    <n v="0"/>
    <s v="No"/>
    <s v="None"/>
    <s v="Business Expenses (Koolikai)|Mortgage (Business)"/>
  </r>
  <r>
    <s v="First Tech - Checking (5544)"/>
    <d v="2014-01-03T00:00:00"/>
    <n v="-3941.59"/>
    <s v="X"/>
    <s v="Capital One (Autopay)"/>
    <s v="@CAT:@"/>
    <s v="[MasterCard (Capital One)]"/>
    <m/>
    <m/>
    <m/>
    <x v="38"/>
    <m/>
    <x v="0"/>
    <m/>
    <x v="0"/>
    <m/>
    <s v="Jan"/>
    <n v="2014"/>
    <s v="Account"/>
    <n v="0"/>
    <s v="No"/>
    <s v="None"/>
    <s v="[MasterCard (Capital One)]"/>
  </r>
  <r>
    <s v="Koolikai - Checking XX2129"/>
    <d v="2014-01-03T00:00:00"/>
    <n v="238.75"/>
    <s v="X"/>
    <s v="NYCB Mortgage Company"/>
    <s v="Refund of escrow overage"/>
    <s v="Business Expenses (Koolikai):Mortgage (Business)/9602"/>
    <m/>
    <m/>
    <n v="9602"/>
    <x v="36"/>
    <s v="Mortgage (Business)"/>
    <x v="0"/>
    <m/>
    <x v="0"/>
    <m/>
    <s v="Jan"/>
    <n v="2014"/>
    <s v="Monthly"/>
    <n v="0"/>
    <s v="No"/>
    <s v="None"/>
    <s v="Business Expenses (Koolikai)|Mortgage (Business)"/>
  </r>
  <r>
    <s v="MasterCard (Capital One)"/>
    <d v="2014-01-03T00:00:00"/>
    <n v="3941.59"/>
    <s v="X"/>
    <s v="Capital One (Autopay)"/>
    <s v="@CAT:@"/>
    <s v="[First Tech - Checking (5544)]"/>
    <m/>
    <m/>
    <m/>
    <x v="21"/>
    <m/>
    <x v="0"/>
    <m/>
    <x v="0"/>
    <m/>
    <s v="Jan"/>
    <n v="2014"/>
    <s v="Account"/>
    <n v="0"/>
    <s v="No"/>
    <s v="None"/>
    <s v="[First Tech - Checking (5544)]"/>
  </r>
  <r>
    <s v="MasterCard (Capital One)"/>
    <d v="2014-01-03T00:00:00"/>
    <n v="-5.51"/>
    <s v="X"/>
    <s v="Menchie's"/>
    <s v="2011: MENCHIE`S FROZEN YOGUR KIRKLAND WA 98033 USA"/>
    <s v="Food &amp; Dining:Restaurants/From Receipt"/>
    <m/>
    <m/>
    <s v="From Receipt"/>
    <x v="15"/>
    <s v="Restaurants"/>
    <x v="0"/>
    <m/>
    <x v="0"/>
    <m/>
    <s v="Jan"/>
    <n v="2014"/>
    <s v="Monthly"/>
    <n v="0"/>
    <s v="No"/>
    <s v="None"/>
    <s v="Food &amp; Dining|Restaurants"/>
  </r>
  <r>
    <s v="First Tech - Checking (5544)"/>
    <d v="2014-01-02T00:00:00"/>
    <n v="112.5"/>
    <s v="X"/>
    <s v="Premera Funding  - Cyc-claims"/>
    <s v="ACH Deposit--PREMERA FUNDING  - CYC-CLAIMS"/>
    <s v="[Premera Health Care Payment]"/>
    <m/>
    <m/>
    <m/>
    <x v="42"/>
    <m/>
    <x v="0"/>
    <m/>
    <x v="0"/>
    <m/>
    <s v="Jan"/>
    <n v="2014"/>
    <s v="Account"/>
    <n v="0"/>
    <s v="No"/>
    <s v="None"/>
    <s v="[Premera Health Care Payment]"/>
  </r>
  <r>
    <s v="First Tech - Checking (5544)"/>
    <d v="2014-01-02T00:00:00"/>
    <n v="-1976"/>
    <s v="X"/>
    <s v="Phinney Ridge CDC"/>
    <s v="ACH Debit--PHINNEY RIDGE LU 504759859 - CONTRIBUTN"/>
    <s v="Kids:Daycare"/>
    <m/>
    <m/>
    <m/>
    <x v="27"/>
    <s v="Daycare"/>
    <x v="0"/>
    <m/>
    <x v="0"/>
    <m/>
    <s v="Jan"/>
    <n v="2014"/>
    <s v="Monthly"/>
    <n v="0"/>
    <s v="No"/>
    <s v="None"/>
    <s v="Kids|Daycare"/>
  </r>
  <r>
    <s v="First Tech - Checking (5544)"/>
    <d v="2014-01-02T00:00:00"/>
    <n v="-85.41"/>
    <m/>
    <s v="Rei (Autopayment)"/>
    <m/>
    <s v="[REI Mastercard (xx1787)]"/>
    <m/>
    <m/>
    <m/>
    <x v="11"/>
    <m/>
    <x v="0"/>
    <m/>
    <x v="0"/>
    <m/>
    <s v="Jan"/>
    <n v="2014"/>
    <e v="#N/A"/>
    <e v="#N/A"/>
    <e v="#N/A"/>
    <e v="#N/A"/>
    <s v="[REI Mastercard (xx1787)]"/>
  </r>
  <r>
    <s v="MasterCard (Capital One)"/>
    <d v="2014-01-02T00:00:00"/>
    <n v="-20.84"/>
    <s v="X"/>
    <s v="Comcast"/>
    <s v="2011: COMCAST CABLE COMM 800-COMCAST WA 98103 USA"/>
    <s v="Bills &amp; Utilities:Television"/>
    <m/>
    <s v="Split"/>
    <m/>
    <x v="34"/>
    <s v="Television"/>
    <x v="0"/>
    <m/>
    <x v="0"/>
    <m/>
    <s v="Jan"/>
    <n v="2014"/>
    <s v="Monthly"/>
    <n v="0"/>
    <s v="No"/>
    <s v="None"/>
    <s v="Bills &amp; Utilities|Television"/>
  </r>
  <r>
    <s v="MasterCard (Capital One)"/>
    <d v="2014-01-02T00:00:00"/>
    <n v="-61.9"/>
    <s v="X"/>
    <s v="Comcast"/>
    <m/>
    <s v="Business Expenses (Koolikai):Internet"/>
    <m/>
    <s v="Split"/>
    <m/>
    <x v="36"/>
    <s v="Internet"/>
    <x v="0"/>
    <m/>
    <x v="0"/>
    <m/>
    <s v="Jan"/>
    <n v="2014"/>
    <s v="Monthly"/>
    <n v="0"/>
    <s v="No"/>
    <s v="None"/>
    <s v="Business Expenses (Koolikai)|Internet"/>
  </r>
  <r>
    <s v="MasterCard (Capital One)"/>
    <d v="2014-01-02T00:00:00"/>
    <n v="-46.29"/>
    <s v="X"/>
    <s v="Comcast"/>
    <m/>
    <s v="Bills &amp; Utilities:Home Phone"/>
    <m/>
    <s v="Split"/>
    <m/>
    <x v="34"/>
    <s v="Home Phone"/>
    <x v="0"/>
    <m/>
    <x v="0"/>
    <m/>
    <s v="Jan"/>
    <n v="2014"/>
    <s v="Monthly"/>
    <n v="0"/>
    <s v="No"/>
    <s v="None"/>
    <s v="Bills &amp; Utilities|Home Phone"/>
  </r>
  <r>
    <s v="MasterCard (Capital One)"/>
    <d v="2014-01-02T00:00:00"/>
    <n v="-2.61"/>
    <s v="X"/>
    <s v="Amazon"/>
    <s v="Retractable audio cable"/>
    <s v="Shopping:Electronics &amp; Software"/>
    <m/>
    <m/>
    <m/>
    <x v="13"/>
    <s v="Electronics &amp; Software"/>
    <x v="0"/>
    <m/>
    <x v="0"/>
    <m/>
    <s v="Jan"/>
    <n v="2014"/>
    <s v="Annual"/>
    <n v="0"/>
    <s v="No"/>
    <s v="None"/>
    <s v="Shopping|Electronics &amp; Software"/>
  </r>
  <r>
    <s v="MasterCard (Capital One)"/>
    <d v="2014-01-02T00:00:00"/>
    <n v="-6.92"/>
    <s v="X"/>
    <s v="Ken's Market"/>
    <s v="2011: KEN'S MARKET #75-116 SEATTLE WA 98103 USA"/>
    <s v="Food &amp; Dining:Groceries"/>
    <m/>
    <m/>
    <m/>
    <x v="15"/>
    <s v="Groceries"/>
    <x v="0"/>
    <m/>
    <x v="0"/>
    <m/>
    <s v="Jan"/>
    <n v="2014"/>
    <s v="Monthly"/>
    <n v="0"/>
    <s v="No"/>
    <s v="None"/>
    <s v="Food &amp; Dining|Groceries"/>
  </r>
  <r>
    <s v="Premera Health Care Payment"/>
    <d v="2014-01-02T00:00:00"/>
    <n v="-112.5"/>
    <m/>
    <s v="Premera Funding  - Cyc-claims"/>
    <s v="ACH Deposit--PREMERA FUNDING  - CYC-CLAIMS"/>
    <s v="[First Tech - Checking (5544)]"/>
    <m/>
    <m/>
    <m/>
    <x v="21"/>
    <m/>
    <x v="0"/>
    <m/>
    <x v="0"/>
    <m/>
    <s v="Jan"/>
    <n v="2014"/>
    <s v="Account"/>
    <n v="0"/>
    <s v="No"/>
    <s v="None"/>
    <s v="[First Tech - Checking (5544)]"/>
  </r>
  <r>
    <s v="REI Mastercard (xx1787)"/>
    <d v="2014-01-02T00:00:00"/>
    <n v="85.41"/>
    <s v="X"/>
    <s v="Rei (Autopayment)"/>
    <m/>
    <s v="[First Tech - Checking (5544)]"/>
    <s v="TXFR"/>
    <m/>
    <m/>
    <x v="21"/>
    <m/>
    <x v="0"/>
    <m/>
    <x v="0"/>
    <m/>
    <s v="Jan"/>
    <n v="2014"/>
    <s v="Account"/>
    <n v="0"/>
    <s v="No"/>
    <s v="None"/>
    <s v="[First Tech - Checking (5544)]"/>
  </r>
  <r>
    <s v="Koolikai - Checking XX2129"/>
    <d v="2014-01-01T00:00:00"/>
    <n v="2195"/>
    <s v="X"/>
    <s v="Valerie Shaibley"/>
    <s v="Deposit--Shared Branch Mobile Deposit"/>
    <s v="Business Income (Koolikai):Rent/9602"/>
    <m/>
    <m/>
    <n v="9602"/>
    <x v="37"/>
    <s v="Rent"/>
    <x v="0"/>
    <m/>
    <x v="0"/>
    <m/>
    <s v="Jan"/>
    <n v="2014"/>
    <s v="Monthly"/>
    <n v="0"/>
    <s v="No"/>
    <s v="None"/>
    <s v="Business Income (Koolikai)|Rent"/>
  </r>
  <r>
    <s v="Koolikai - Checking XX2129"/>
    <d v="2014-01-01T00:00:00"/>
    <n v="1100"/>
    <s v="X"/>
    <s v="Aaron Ausland"/>
    <s v="Deposit--Shared Branch Mobile Deposit"/>
    <s v="Business Income (Koolikai):Rent/7231"/>
    <m/>
    <s v="Split"/>
    <n v="7231"/>
    <x v="37"/>
    <s v="Rent"/>
    <x v="0"/>
    <m/>
    <x v="0"/>
    <m/>
    <s v="Jan"/>
    <n v="2014"/>
    <s v="Monthly"/>
    <n v="0"/>
    <s v="No"/>
    <s v="None"/>
    <s v="Business Income (Koolikai)|Rent"/>
  </r>
  <r>
    <s v="MasterCard (Capital One)"/>
    <d v="2014-01-01T00:00:00"/>
    <n v="-27.77"/>
    <s v="X"/>
    <s v="Ivars Seafood"/>
    <s v="2011: 021 BALLARD SFB SEATTLE WA 98107 USA"/>
    <s v="Food &amp; Dining:Restaurants/From Receipt"/>
    <m/>
    <m/>
    <s v="From Receipt"/>
    <x v="15"/>
    <s v="Restaurants"/>
    <x v="0"/>
    <m/>
    <x v="0"/>
    <m/>
    <s v="Jan"/>
    <n v="2014"/>
    <s v="Monthly"/>
    <n v="0"/>
    <s v="No"/>
    <s v="None"/>
    <s v="Food &amp; Dining|Restaurants"/>
  </r>
  <r>
    <s v="Budget"/>
    <d v="2014-12-28T00:00:00"/>
    <n v="-200"/>
    <m/>
    <m/>
    <m/>
    <m/>
    <m/>
    <m/>
    <m/>
    <x v="17"/>
    <s v="Auto Insurance"/>
    <x v="3"/>
    <m/>
    <x v="0"/>
    <m/>
    <s v="Monthly"/>
    <s v="Budget"/>
    <s v="Annual"/>
    <n v="0"/>
    <s v="No"/>
    <s v="None"/>
    <s v="Auto &amp; Transport|Auto Insurance"/>
  </r>
  <r>
    <s v="Budget"/>
    <d v="2014-12-28T00:00:00"/>
    <n v="-2400"/>
    <m/>
    <m/>
    <m/>
    <m/>
    <m/>
    <m/>
    <m/>
    <x v="17"/>
    <s v="Auto Insurance"/>
    <x v="3"/>
    <m/>
    <x v="0"/>
    <m/>
    <s v="Annual"/>
    <s v="Budget"/>
    <s v="Annual"/>
    <n v="0"/>
    <s v="No"/>
    <s v="None"/>
    <s v="Auto &amp; Transport|Auto Insurance"/>
  </r>
  <r>
    <s v="Budget"/>
    <d v="2014-12-28T00:00:00"/>
    <n v="-185"/>
    <m/>
    <m/>
    <m/>
    <m/>
    <m/>
    <m/>
    <m/>
    <x v="17"/>
    <s v="Auto Lease Payment"/>
    <x v="3"/>
    <m/>
    <x v="0"/>
    <m/>
    <s v="Monthly"/>
    <s v="Budget"/>
    <s v="Monthly"/>
    <n v="0"/>
    <s v="No"/>
    <s v="None"/>
    <s v="Auto &amp; Transport|Auto Lease Payment"/>
  </r>
  <r>
    <s v="Budget"/>
    <d v="2014-12-28T00:00:00"/>
    <n v="-2220"/>
    <m/>
    <m/>
    <m/>
    <m/>
    <m/>
    <m/>
    <m/>
    <x v="17"/>
    <s v="Auto Lease Payment"/>
    <x v="3"/>
    <m/>
    <x v="0"/>
    <m/>
    <s v="Annual"/>
    <s v="Budget"/>
    <s v="Monthly"/>
    <n v="0"/>
    <s v="No"/>
    <s v="None"/>
    <s v="Auto &amp; Transport|Auto Lease Payment"/>
  </r>
  <r>
    <s v="Budget"/>
    <d v="2014-12-28T00:00:00"/>
    <n v="-2"/>
    <m/>
    <m/>
    <m/>
    <m/>
    <m/>
    <m/>
    <m/>
    <x v="17"/>
    <s v="Driver's License"/>
    <x v="3"/>
    <m/>
    <x v="0"/>
    <m/>
    <s v="Monthly"/>
    <s v="Budget"/>
    <s v="Annual"/>
    <n v="0"/>
    <s v="No"/>
    <s v="None"/>
    <s v="Auto &amp; Transport|Driver's License"/>
  </r>
  <r>
    <s v="Budget"/>
    <d v="2014-12-28T00:00:00"/>
    <n v="-24"/>
    <m/>
    <m/>
    <m/>
    <m/>
    <m/>
    <m/>
    <m/>
    <x v="17"/>
    <s v="Driver's License"/>
    <x v="3"/>
    <m/>
    <x v="0"/>
    <m/>
    <s v="Annual"/>
    <s v="Budget"/>
    <s v="Annual"/>
    <n v="0"/>
    <s v="No"/>
    <s v="None"/>
    <s v="Auto &amp; Transport|Driver's License"/>
  </r>
  <r>
    <s v="Budget"/>
    <d v="2014-12-28T00:00:00"/>
    <n v="-15"/>
    <m/>
    <m/>
    <m/>
    <m/>
    <m/>
    <m/>
    <m/>
    <x v="17"/>
    <s v="Gas &amp; Fuel"/>
    <x v="3"/>
    <m/>
    <x v="0"/>
    <m/>
    <s v="Monthly"/>
    <s v="Budget"/>
    <s v="Monthly"/>
    <n v="0"/>
    <s v="No"/>
    <s v="None"/>
    <s v="Auto &amp; Transport|Gas &amp; Fuel"/>
  </r>
  <r>
    <s v="Budget"/>
    <d v="2014-12-28T00:00:00"/>
    <n v="-180"/>
    <m/>
    <m/>
    <m/>
    <m/>
    <m/>
    <m/>
    <m/>
    <x v="17"/>
    <s v="Gas &amp; Fuel"/>
    <x v="3"/>
    <m/>
    <x v="0"/>
    <m/>
    <s v="Annual"/>
    <s v="Budget"/>
    <s v="Monthly"/>
    <n v="0"/>
    <s v="No"/>
    <s v="None"/>
    <s v="Auto &amp; Transport|Gas &amp; Fuel"/>
  </r>
  <r>
    <s v="Budget"/>
    <d v="2014-12-28T00:00:00"/>
    <n v="-30"/>
    <m/>
    <m/>
    <m/>
    <m/>
    <m/>
    <m/>
    <m/>
    <x v="17"/>
    <s v="Parking"/>
    <x v="3"/>
    <m/>
    <x v="0"/>
    <m/>
    <s v="Monthly"/>
    <s v="Budget"/>
    <s v="Monthly"/>
    <n v="0"/>
    <s v="No"/>
    <s v="None"/>
    <s v="Auto &amp; Transport|Parking"/>
  </r>
  <r>
    <s v="Budget"/>
    <d v="2014-12-28T00:00:00"/>
    <n v="-360"/>
    <m/>
    <m/>
    <m/>
    <m/>
    <m/>
    <m/>
    <m/>
    <x v="17"/>
    <s v="Parking"/>
    <x v="3"/>
    <m/>
    <x v="0"/>
    <m/>
    <s v="Annual"/>
    <s v="Budget"/>
    <s v="Monthly"/>
    <n v="0"/>
    <s v="No"/>
    <s v="None"/>
    <s v="Auto &amp; Transport|Parking"/>
  </r>
  <r>
    <s v="Budget"/>
    <d v="2014-12-28T00:00:00"/>
    <n v="-20"/>
    <m/>
    <m/>
    <m/>
    <m/>
    <m/>
    <m/>
    <m/>
    <x v="17"/>
    <s v="Registration"/>
    <x v="3"/>
    <m/>
    <x v="0"/>
    <m/>
    <s v="Monthly"/>
    <s v="Budget"/>
    <s v="Annual"/>
    <n v="0"/>
    <s v="No"/>
    <s v="None"/>
    <s v="Auto &amp; Transport|Registration"/>
  </r>
  <r>
    <s v="Budget"/>
    <d v="2014-12-28T00:00:00"/>
    <n v="-240"/>
    <m/>
    <m/>
    <m/>
    <m/>
    <m/>
    <m/>
    <m/>
    <x v="17"/>
    <s v="Registration"/>
    <x v="3"/>
    <m/>
    <x v="0"/>
    <m/>
    <s v="Annual"/>
    <s v="Budget"/>
    <s v="Annual"/>
    <n v="0"/>
    <s v="No"/>
    <s v="None"/>
    <s v="Auto &amp; Transport|Registration"/>
  </r>
  <r>
    <s v="Budget"/>
    <d v="2014-12-28T00:00:00"/>
    <n v="-20"/>
    <m/>
    <m/>
    <m/>
    <m/>
    <m/>
    <m/>
    <m/>
    <x v="17"/>
    <s v="Service &amp; Parts"/>
    <x v="3"/>
    <m/>
    <x v="0"/>
    <m/>
    <s v="Monthly"/>
    <s v="Budget"/>
    <s v="Unplanned"/>
    <n v="0"/>
    <s v="No"/>
    <s v="None"/>
    <s v="Auto &amp; Transport|Service &amp; Parts"/>
  </r>
  <r>
    <s v="Budget"/>
    <d v="2014-12-28T00:00:00"/>
    <n v="-240"/>
    <m/>
    <m/>
    <m/>
    <m/>
    <m/>
    <m/>
    <m/>
    <x v="17"/>
    <s v="Service &amp; Parts"/>
    <x v="3"/>
    <m/>
    <x v="0"/>
    <m/>
    <s v="Annual"/>
    <s v="Budget"/>
    <s v="Unplanned"/>
    <n v="0"/>
    <s v="No"/>
    <s v="None"/>
    <s v="Auto &amp; Transport|Service &amp; Parts"/>
  </r>
  <r>
    <s v="Budget"/>
    <d v="2014-12-28T00:00:00"/>
    <n v="-15"/>
    <m/>
    <m/>
    <m/>
    <m/>
    <m/>
    <m/>
    <m/>
    <x v="17"/>
    <s v="Tolls"/>
    <x v="3"/>
    <m/>
    <x v="0"/>
    <m/>
    <s v="Monthly"/>
    <s v="Budget"/>
    <s v="Irregular"/>
    <n v="0"/>
    <s v="No"/>
    <s v="None"/>
    <s v="Auto &amp; Transport|Tolls"/>
  </r>
  <r>
    <s v="Budget"/>
    <d v="2014-12-28T00:00:00"/>
    <n v="-180"/>
    <m/>
    <m/>
    <m/>
    <m/>
    <m/>
    <m/>
    <m/>
    <x v="17"/>
    <s v="Tolls"/>
    <x v="3"/>
    <m/>
    <x v="0"/>
    <m/>
    <s v="Annual"/>
    <s v="Budget"/>
    <s v="Irregular"/>
    <n v="0"/>
    <s v="No"/>
    <s v="None"/>
    <s v="Auto &amp; Transport|Tolls"/>
  </r>
  <r>
    <s v="Budget"/>
    <d v="2014-12-28T00:00:00"/>
    <n v="-48"/>
    <m/>
    <m/>
    <m/>
    <m/>
    <m/>
    <m/>
    <m/>
    <x v="34"/>
    <s v="Home Phone"/>
    <x v="3"/>
    <m/>
    <x v="0"/>
    <m/>
    <s v="Monthly"/>
    <s v="Budget"/>
    <s v="Monthly"/>
    <n v="0"/>
    <s v="No"/>
    <s v="None"/>
    <s v="Bills &amp; Utilities|Home Phone"/>
  </r>
  <r>
    <s v="Budget"/>
    <d v="2014-12-28T00:00:00"/>
    <n v="-576"/>
    <m/>
    <m/>
    <m/>
    <m/>
    <m/>
    <m/>
    <m/>
    <x v="34"/>
    <s v="Home Phone"/>
    <x v="3"/>
    <m/>
    <x v="0"/>
    <m/>
    <s v="Annual"/>
    <s v="Budget"/>
    <s v="Monthly"/>
    <n v="0"/>
    <s v="No"/>
    <s v="None"/>
    <s v="Bills &amp; Utilities|Home Phone"/>
  </r>
  <r>
    <s v="Budget"/>
    <d v="2014-12-28T00:00:00"/>
    <n v="-28"/>
    <m/>
    <m/>
    <m/>
    <m/>
    <m/>
    <m/>
    <m/>
    <x v="34"/>
    <s v="Insurance (Umbrella)"/>
    <x v="3"/>
    <m/>
    <x v="0"/>
    <m/>
    <s v="Monthly"/>
    <s v="Budget"/>
    <s v="Monthly"/>
    <n v="0"/>
    <s v="No"/>
    <s v="None"/>
    <s v="Bills &amp; Utilities|Insurance (Umbrella)"/>
  </r>
  <r>
    <s v="Budget"/>
    <d v="2014-12-28T00:00:00"/>
    <n v="-336"/>
    <m/>
    <m/>
    <m/>
    <m/>
    <m/>
    <m/>
    <m/>
    <x v="34"/>
    <s v="Insurance (Umbrella)"/>
    <x v="3"/>
    <m/>
    <x v="0"/>
    <m/>
    <s v="Annual"/>
    <s v="Budget"/>
    <s v="Monthly"/>
    <n v="0"/>
    <s v="No"/>
    <s v="None"/>
    <s v="Bills &amp; Utilities|Insurance (Umbrella)"/>
  </r>
  <r>
    <s v="Budget"/>
    <d v="2014-12-28T00:00:00"/>
    <n v="-21"/>
    <m/>
    <m/>
    <m/>
    <m/>
    <m/>
    <m/>
    <m/>
    <x v="34"/>
    <s v="Television"/>
    <x v="3"/>
    <m/>
    <x v="0"/>
    <m/>
    <s v="Monthly"/>
    <s v="Budget"/>
    <s v="Monthly"/>
    <n v="0"/>
    <s v="No"/>
    <s v="None"/>
    <s v="Bills &amp; Utilities|Television"/>
  </r>
  <r>
    <s v="Budget"/>
    <d v="2014-12-28T00:00:00"/>
    <n v="-252"/>
    <m/>
    <m/>
    <m/>
    <m/>
    <m/>
    <m/>
    <m/>
    <x v="34"/>
    <s v="Television"/>
    <x v="3"/>
    <m/>
    <x v="0"/>
    <m/>
    <s v="Annual"/>
    <s v="Budget"/>
    <s v="Monthly"/>
    <n v="0"/>
    <s v="No"/>
    <s v="None"/>
    <s v="Bills &amp; Utilities|Television"/>
  </r>
  <r>
    <s v="Budget"/>
    <d v="2014-12-28T00:00:00"/>
    <n v="-250"/>
    <m/>
    <m/>
    <m/>
    <m/>
    <m/>
    <m/>
    <m/>
    <x v="34"/>
    <s v="Utilities"/>
    <x v="3"/>
    <m/>
    <x v="0"/>
    <m/>
    <s v="Monthly"/>
    <s v="Budget"/>
    <s v="Monthly"/>
    <n v="0"/>
    <s v="No"/>
    <s v="None"/>
    <s v="Bills &amp; Utilities|Utilities"/>
  </r>
  <r>
    <s v="Budget"/>
    <d v="2014-12-28T00:00:00"/>
    <n v="-3000"/>
    <m/>
    <m/>
    <m/>
    <m/>
    <m/>
    <m/>
    <m/>
    <x v="34"/>
    <s v="Utilities"/>
    <x v="3"/>
    <m/>
    <x v="0"/>
    <m/>
    <s v="Annual"/>
    <s v="Budget"/>
    <s v="Monthly"/>
    <n v="0"/>
    <s v="No"/>
    <s v="None"/>
    <s v="Bills &amp; Utilities|Utilities"/>
  </r>
  <r>
    <s v="Budget"/>
    <d v="2014-12-28T00:00:00"/>
    <n v="-147"/>
    <m/>
    <m/>
    <m/>
    <m/>
    <m/>
    <m/>
    <m/>
    <x v="36"/>
    <s v="Cell Phone"/>
    <x v="3"/>
    <m/>
    <x v="0"/>
    <m/>
    <s v="Monthly"/>
    <s v="Budget"/>
    <s v="Monthly"/>
    <n v="0"/>
    <s v="No"/>
    <s v="None"/>
    <s v="Business Expenses (Koolikai)|Cell Phone"/>
  </r>
  <r>
    <s v="Budget"/>
    <d v="2014-12-28T00:00:00"/>
    <n v="-1764"/>
    <m/>
    <m/>
    <m/>
    <m/>
    <m/>
    <m/>
    <m/>
    <x v="36"/>
    <s v="Cell Phone"/>
    <x v="3"/>
    <m/>
    <x v="0"/>
    <m/>
    <s v="Annual"/>
    <s v="Budget"/>
    <s v="Monthly"/>
    <n v="0"/>
    <s v="No"/>
    <s v="None"/>
    <s v="Business Expenses (Koolikai)|Cell Phone"/>
  </r>
  <r>
    <s v="Budget"/>
    <d v="2014-12-28T00:00:00"/>
    <n v="-62"/>
    <m/>
    <m/>
    <m/>
    <m/>
    <m/>
    <m/>
    <m/>
    <x v="36"/>
    <s v="Internet"/>
    <x v="3"/>
    <m/>
    <x v="0"/>
    <m/>
    <s v="Monthly"/>
    <s v="Budget"/>
    <s v="Monthly"/>
    <n v="0"/>
    <s v="No"/>
    <s v="None"/>
    <s v="Business Expenses (Koolikai)|Internet"/>
  </r>
  <r>
    <s v="Budget"/>
    <d v="2014-12-28T00:00:00"/>
    <n v="-744"/>
    <m/>
    <m/>
    <m/>
    <m/>
    <m/>
    <m/>
    <m/>
    <x v="36"/>
    <s v="Internet"/>
    <x v="3"/>
    <m/>
    <x v="0"/>
    <m/>
    <s v="Annual"/>
    <s v="Budget"/>
    <s v="Monthly"/>
    <n v="0"/>
    <s v="No"/>
    <s v="None"/>
    <s v="Business Expenses (Koolikai)|Internet"/>
  </r>
  <r>
    <s v="Budget"/>
    <d v="2014-12-28T00:00:00"/>
    <n v="-5600"/>
    <m/>
    <m/>
    <m/>
    <m/>
    <m/>
    <m/>
    <m/>
    <x v="36"/>
    <s v="Mortgage (Business)"/>
    <x v="3"/>
    <m/>
    <x v="0"/>
    <m/>
    <s v="Monthly"/>
    <s v="Budget"/>
    <s v="Monthly"/>
    <n v="0"/>
    <s v="No"/>
    <s v="None"/>
    <s v="Business Expenses (Koolikai)|Mortgage (Business)"/>
  </r>
  <r>
    <s v="Budget"/>
    <d v="2014-12-28T00:00:00"/>
    <n v="-67200"/>
    <m/>
    <m/>
    <m/>
    <m/>
    <m/>
    <m/>
    <m/>
    <x v="36"/>
    <s v="Mortgage (Business)"/>
    <x v="3"/>
    <m/>
    <x v="0"/>
    <m/>
    <s v="Annual"/>
    <s v="Budget"/>
    <s v="Monthly"/>
    <n v="0"/>
    <s v="No"/>
    <s v="None"/>
    <s v="Business Expenses (Koolikai)|Mortgage (Business)"/>
  </r>
  <r>
    <s v="Budget"/>
    <d v="2014-12-28T00:00:00"/>
    <n v="-40"/>
    <m/>
    <m/>
    <m/>
    <m/>
    <m/>
    <m/>
    <m/>
    <x v="36"/>
    <s v="Office Expenses (Business)"/>
    <x v="3"/>
    <m/>
    <x v="0"/>
    <m/>
    <s v="Monthly"/>
    <s v="Budget"/>
    <s v="Monthly"/>
    <n v="0"/>
    <s v="No"/>
    <s v="None"/>
    <s v="Business Expenses (Koolikai)|Office Expenses (Business)"/>
  </r>
  <r>
    <s v="Budget"/>
    <d v="2014-12-28T00:00:00"/>
    <n v="-480"/>
    <m/>
    <m/>
    <m/>
    <m/>
    <m/>
    <m/>
    <m/>
    <x v="36"/>
    <s v="Office Expenses (Business)"/>
    <x v="3"/>
    <m/>
    <x v="0"/>
    <m/>
    <s v="Annual"/>
    <s v="Budget"/>
    <s v="Monthly"/>
    <n v="0"/>
    <s v="No"/>
    <s v="None"/>
    <s v="Business Expenses (Koolikai)|Office Expenses (Business)"/>
  </r>
  <r>
    <s v="Budget"/>
    <d v="2014-12-28T00:00:00"/>
    <n v="-2"/>
    <m/>
    <m/>
    <m/>
    <m/>
    <m/>
    <m/>
    <m/>
    <x v="36"/>
    <s v="Postage and Delivery (Business)"/>
    <x v="3"/>
    <m/>
    <x v="0"/>
    <m/>
    <s v="Monthly"/>
    <s v="Budget"/>
    <s v="Annual"/>
    <n v="0"/>
    <s v="No"/>
    <s v="None"/>
    <s v="Business Expenses (Koolikai)|Postage and Delivery (Business)"/>
  </r>
  <r>
    <s v="Budget"/>
    <d v="2014-12-28T00:00:00"/>
    <n v="-24"/>
    <m/>
    <m/>
    <m/>
    <m/>
    <m/>
    <m/>
    <m/>
    <x v="36"/>
    <s v="Postage and Delivery (Business)"/>
    <x v="3"/>
    <m/>
    <x v="0"/>
    <m/>
    <s v="Annual"/>
    <s v="Budget"/>
    <s v="Annual"/>
    <n v="0"/>
    <s v="No"/>
    <s v="None"/>
    <s v="Business Expenses (Koolikai)|Postage and Delivery (Business)"/>
  </r>
  <r>
    <s v="Budget"/>
    <d v="2014-12-28T00:00:00"/>
    <n v="-50"/>
    <m/>
    <m/>
    <m/>
    <m/>
    <m/>
    <m/>
    <m/>
    <x v="36"/>
    <s v="Prof and Legal Fees"/>
    <x v="3"/>
    <m/>
    <x v="0"/>
    <m/>
    <s v="Monthly"/>
    <s v="Budget"/>
    <s v="Annual"/>
    <n v="0"/>
    <s v="No"/>
    <s v="None"/>
    <s v="Business Expenses (Koolikai)|Prof and Legal Fees"/>
  </r>
  <r>
    <s v="Budget"/>
    <d v="2014-12-28T00:00:00"/>
    <n v="-600"/>
    <m/>
    <m/>
    <m/>
    <m/>
    <m/>
    <m/>
    <m/>
    <x v="36"/>
    <s v="Prof and Legal Fees"/>
    <x v="3"/>
    <m/>
    <x v="0"/>
    <m/>
    <s v="Annual"/>
    <s v="Budget"/>
    <s v="Annual"/>
    <n v="0"/>
    <s v="No"/>
    <s v="None"/>
    <s v="Business Expenses (Koolikai)|Prof and Legal Fees"/>
  </r>
  <r>
    <s v="Budget"/>
    <d v="2014-12-28T00:00:00"/>
    <n v="-250"/>
    <m/>
    <m/>
    <m/>
    <m/>
    <m/>
    <m/>
    <m/>
    <x v="36"/>
    <s v="Projects"/>
    <x v="3"/>
    <m/>
    <x v="0"/>
    <m/>
    <s v="Monthly"/>
    <s v="Budget"/>
    <s v="Irregular"/>
    <n v="0"/>
    <s v="No"/>
    <s v="None"/>
    <s v="Business Expenses (Koolikai)|Projects"/>
  </r>
  <r>
    <s v="Budget"/>
    <d v="2014-12-28T00:00:00"/>
    <n v="-3000"/>
    <m/>
    <m/>
    <m/>
    <m/>
    <m/>
    <m/>
    <m/>
    <x v="36"/>
    <s v="Projects"/>
    <x v="3"/>
    <m/>
    <x v="0"/>
    <m/>
    <s v="Annual"/>
    <s v="Budget"/>
    <s v="Irregular"/>
    <n v="0"/>
    <s v="No"/>
    <s v="None"/>
    <s v="Business Expenses (Koolikai)|Projects"/>
  </r>
  <r>
    <s v="Budget"/>
    <d v="2014-12-28T00:00:00"/>
    <n v="-100"/>
    <m/>
    <m/>
    <m/>
    <m/>
    <m/>
    <m/>
    <m/>
    <x v="36"/>
    <s v="Repairs"/>
    <x v="3"/>
    <m/>
    <x v="0"/>
    <m/>
    <s v="Monthly"/>
    <s v="Budget"/>
    <s v="Irregular"/>
    <n v="0"/>
    <s v="No"/>
    <s v="None"/>
    <s v="Business Expenses (Koolikai)|Repairs"/>
  </r>
  <r>
    <s v="Budget"/>
    <d v="2014-12-28T00:00:00"/>
    <n v="-1200"/>
    <m/>
    <m/>
    <m/>
    <m/>
    <m/>
    <m/>
    <m/>
    <x v="36"/>
    <s v="Repairs"/>
    <x v="3"/>
    <m/>
    <x v="0"/>
    <m/>
    <s v="Annual"/>
    <s v="Budget"/>
    <s v="Irregular"/>
    <n v="0"/>
    <s v="No"/>
    <s v="None"/>
    <s v="Business Expenses (Koolikai)|Repairs"/>
  </r>
  <r>
    <s v="Budget"/>
    <d v="2014-12-28T00:00:00"/>
    <n v="-10"/>
    <m/>
    <m/>
    <m/>
    <m/>
    <m/>
    <m/>
    <m/>
    <x v="36"/>
    <s v="Supplies (Business)"/>
    <x v="3"/>
    <m/>
    <x v="0"/>
    <m/>
    <s v="Monthly"/>
    <s v="Budget"/>
    <s v="Irregular"/>
    <n v="0"/>
    <s v="No"/>
    <s v="None"/>
    <s v="Business Expenses (Koolikai)|Supplies (Business)"/>
  </r>
  <r>
    <s v="Budget"/>
    <d v="2014-12-28T00:00:00"/>
    <n v="-120"/>
    <m/>
    <m/>
    <m/>
    <m/>
    <m/>
    <m/>
    <m/>
    <x v="36"/>
    <s v="Supplies (Business)"/>
    <x v="3"/>
    <m/>
    <x v="0"/>
    <m/>
    <s v="Annual"/>
    <s v="Budget"/>
    <s v="Irregular"/>
    <n v="0"/>
    <s v="No"/>
    <s v="None"/>
    <s v="Business Expenses (Koolikai)|Supplies (Business)"/>
  </r>
  <r>
    <s v="Budget"/>
    <d v="2014-12-28T00:00:00"/>
    <n v="-6"/>
    <m/>
    <m/>
    <m/>
    <m/>
    <m/>
    <m/>
    <m/>
    <x v="36"/>
    <s v="Taxes (Business)"/>
    <x v="3"/>
    <m/>
    <x v="0"/>
    <m/>
    <s v="Monthly"/>
    <s v="Budget"/>
    <s v="Annual"/>
    <n v="0"/>
    <s v="No"/>
    <s v="None"/>
    <s v="Business Expenses (Koolikai)|Taxes (Business)"/>
  </r>
  <r>
    <s v="Budget"/>
    <d v="2014-12-28T00:00:00"/>
    <n v="-72"/>
    <m/>
    <m/>
    <m/>
    <m/>
    <m/>
    <m/>
    <m/>
    <x v="36"/>
    <s v="Taxes (Business)"/>
    <x v="3"/>
    <m/>
    <x v="0"/>
    <m/>
    <s v="Annual"/>
    <s v="Budget"/>
    <s v="Annual"/>
    <n v="0"/>
    <s v="No"/>
    <s v="None"/>
    <s v="Business Expenses (Koolikai)|Taxes (Business)"/>
  </r>
  <r>
    <s v="Budget"/>
    <d v="2014-12-28T00:00:00"/>
    <n v="-10"/>
    <m/>
    <m/>
    <m/>
    <m/>
    <m/>
    <m/>
    <m/>
    <x v="36"/>
    <s v="Tools"/>
    <x v="3"/>
    <m/>
    <x v="0"/>
    <m/>
    <s v="Monthly"/>
    <s v="Budget"/>
    <s v="Irregular"/>
    <n v="0"/>
    <s v="No"/>
    <s v="None"/>
    <s v="Business Expenses (Koolikai)|Tools"/>
  </r>
  <r>
    <s v="Budget"/>
    <d v="2014-12-28T00:00:00"/>
    <n v="-120"/>
    <m/>
    <m/>
    <m/>
    <m/>
    <m/>
    <m/>
    <m/>
    <x v="36"/>
    <s v="Tools"/>
    <x v="3"/>
    <m/>
    <x v="0"/>
    <m/>
    <s v="Annual"/>
    <s v="Budget"/>
    <s v="Irregular"/>
    <n v="0"/>
    <s v="No"/>
    <s v="None"/>
    <s v="Business Expenses (Koolikai)|Tools"/>
  </r>
  <r>
    <s v="Budget"/>
    <d v="2014-12-28T00:00:00"/>
    <n v="4490"/>
    <m/>
    <m/>
    <m/>
    <m/>
    <m/>
    <m/>
    <m/>
    <x v="37"/>
    <s v="Rent"/>
    <x v="3"/>
    <m/>
    <x v="0"/>
    <m/>
    <s v="Monthly"/>
    <s v="Budget"/>
    <s v="Monthly"/>
    <n v="0"/>
    <s v="No"/>
    <s v="None"/>
    <s v="Business Income (Koolikai)|Rent"/>
  </r>
  <r>
    <s v="Budget"/>
    <d v="2014-12-28T00:00:00"/>
    <n v="53880"/>
    <m/>
    <m/>
    <m/>
    <m/>
    <m/>
    <m/>
    <m/>
    <x v="37"/>
    <s v="Rent"/>
    <x v="3"/>
    <m/>
    <x v="0"/>
    <m/>
    <s v="Annual"/>
    <s v="Budget"/>
    <s v="Monthly"/>
    <n v="0"/>
    <s v="No"/>
    <s v="None"/>
    <s v="Business Income (Koolikai)|Rent"/>
  </r>
  <r>
    <s v="Budget"/>
    <d v="2014-12-28T00:00:00"/>
    <n v="-2"/>
    <m/>
    <m/>
    <m/>
    <m/>
    <m/>
    <m/>
    <m/>
    <x v="53"/>
    <s v="Books &amp; Supplies"/>
    <x v="3"/>
    <m/>
    <x v="0"/>
    <m/>
    <s v="Monthly"/>
    <s v="Budget"/>
    <s v="Irregular"/>
    <n v="0"/>
    <s v="No"/>
    <s v="None"/>
    <s v="Education|Books &amp; Supplies"/>
  </r>
  <r>
    <s v="Budget"/>
    <d v="2014-12-28T00:00:00"/>
    <n v="-24"/>
    <m/>
    <m/>
    <m/>
    <m/>
    <m/>
    <m/>
    <m/>
    <x v="53"/>
    <s v="Books &amp; Supplies"/>
    <x v="3"/>
    <m/>
    <x v="0"/>
    <m/>
    <s v="Annual"/>
    <s v="Budget"/>
    <s v="Irregular"/>
    <n v="0"/>
    <s v="No"/>
    <s v="None"/>
    <s v="Education|Books &amp; Supplies"/>
  </r>
  <r>
    <s v="Budget"/>
    <d v="2014-12-28T00:00:00"/>
    <n v="-2"/>
    <m/>
    <m/>
    <m/>
    <m/>
    <m/>
    <m/>
    <m/>
    <x v="53"/>
    <s v="Community Education"/>
    <x v="3"/>
    <m/>
    <x v="0"/>
    <m/>
    <s v="Monthly"/>
    <s v="Budget"/>
    <s v="Irregular"/>
    <n v="0"/>
    <s v="No"/>
    <s v="None"/>
    <s v="Education|Community Education"/>
  </r>
  <r>
    <s v="Budget"/>
    <d v="2014-12-28T00:00:00"/>
    <n v="-24"/>
    <m/>
    <m/>
    <m/>
    <m/>
    <m/>
    <m/>
    <m/>
    <x v="53"/>
    <s v="Community Education"/>
    <x v="3"/>
    <m/>
    <x v="0"/>
    <m/>
    <s v="Annual"/>
    <s v="Budget"/>
    <s v="Irregular"/>
    <n v="0"/>
    <s v="No"/>
    <s v="None"/>
    <s v="Education|Community Education"/>
  </r>
  <r>
    <s v="Budget"/>
    <d v="2014-12-28T00:00:00"/>
    <n v="-100"/>
    <m/>
    <m/>
    <m/>
    <m/>
    <m/>
    <m/>
    <m/>
    <x v="30"/>
    <m/>
    <x v="3"/>
    <m/>
    <x v="0"/>
    <m/>
    <s v="Monthly"/>
    <s v="Budget"/>
    <s v="Monthly"/>
    <n v="0"/>
    <s v="No"/>
    <s v="None"/>
    <s v="Entertainment"/>
  </r>
  <r>
    <s v="Budget"/>
    <d v="2014-12-28T00:00:00"/>
    <n v="-1200"/>
    <m/>
    <m/>
    <m/>
    <m/>
    <m/>
    <m/>
    <m/>
    <x v="30"/>
    <m/>
    <x v="3"/>
    <m/>
    <x v="0"/>
    <m/>
    <s v="Annual"/>
    <s v="Budget"/>
    <s v="Monthly"/>
    <n v="0"/>
    <s v="No"/>
    <s v="None"/>
    <s v="Entertainment"/>
  </r>
  <r>
    <s v="Budget"/>
    <d v="2014-12-28T00:00:00"/>
    <n v="-700"/>
    <m/>
    <m/>
    <m/>
    <m/>
    <m/>
    <m/>
    <m/>
    <x v="15"/>
    <s v="Groceries"/>
    <x v="3"/>
    <m/>
    <x v="0"/>
    <m/>
    <s v="Monthly"/>
    <s v="Budget"/>
    <s v="Monthly"/>
    <n v="0"/>
    <s v="No"/>
    <s v="None"/>
    <s v="Food &amp; Dining|Groceries"/>
  </r>
  <r>
    <s v="Budget"/>
    <d v="2014-12-28T00:00:00"/>
    <n v="-8400"/>
    <m/>
    <m/>
    <m/>
    <m/>
    <m/>
    <m/>
    <m/>
    <x v="15"/>
    <s v="Groceries"/>
    <x v="3"/>
    <m/>
    <x v="0"/>
    <m/>
    <s v="Annual"/>
    <s v="Budget"/>
    <s v="Monthly"/>
    <n v="0"/>
    <s v="No"/>
    <s v="None"/>
    <s v="Food &amp; Dining|Groceries"/>
  </r>
  <r>
    <s v="Budget"/>
    <d v="2014-12-28T00:00:00"/>
    <n v="-500"/>
    <m/>
    <m/>
    <m/>
    <m/>
    <m/>
    <m/>
    <m/>
    <x v="15"/>
    <s v="Restaurants"/>
    <x v="3"/>
    <m/>
    <x v="0"/>
    <m/>
    <s v="Monthly"/>
    <s v="Budget"/>
    <s v="Monthly"/>
    <n v="0"/>
    <s v="No"/>
    <s v="None"/>
    <s v="Food &amp; Dining|Restaurants"/>
  </r>
  <r>
    <s v="Budget"/>
    <d v="2014-12-28T00:00:00"/>
    <n v="-6000"/>
    <m/>
    <m/>
    <m/>
    <m/>
    <m/>
    <m/>
    <m/>
    <x v="15"/>
    <s v="Restaurants"/>
    <x v="3"/>
    <m/>
    <x v="0"/>
    <m/>
    <s v="Annual"/>
    <s v="Budget"/>
    <s v="Monthly"/>
    <n v="0"/>
    <s v="No"/>
    <s v="None"/>
    <s v="Food &amp; Dining|Restaurants"/>
  </r>
  <r>
    <s v="Budget"/>
    <d v="2014-12-28T00:00:00"/>
    <n v="-100"/>
    <m/>
    <m/>
    <m/>
    <m/>
    <m/>
    <m/>
    <m/>
    <x v="28"/>
    <m/>
    <x v="3"/>
    <m/>
    <x v="0"/>
    <m/>
    <s v="Monthly"/>
    <s v="Budget"/>
    <s v="Monthly"/>
    <n v="0"/>
    <s v="No"/>
    <s v="None"/>
    <s v="Gifts"/>
  </r>
  <r>
    <s v="Budget"/>
    <d v="2014-12-28T00:00:00"/>
    <n v="-1200"/>
    <m/>
    <m/>
    <m/>
    <m/>
    <m/>
    <m/>
    <m/>
    <x v="28"/>
    <m/>
    <x v="3"/>
    <m/>
    <x v="0"/>
    <m/>
    <s v="Annual"/>
    <s v="Budget"/>
    <s v="Monthly"/>
    <n v="0"/>
    <s v="No"/>
    <s v="None"/>
    <s v="Gifts"/>
  </r>
  <r>
    <s v="Budget"/>
    <d v="2014-12-28T00:00:00"/>
    <n v="-325"/>
    <m/>
    <m/>
    <m/>
    <m/>
    <m/>
    <m/>
    <m/>
    <x v="18"/>
    <s v="Doctor"/>
    <x v="3"/>
    <m/>
    <x v="0"/>
    <m/>
    <s v="Monthly"/>
    <s v="Budget"/>
    <s v="Irregular"/>
    <n v="0"/>
    <s v="No"/>
    <s v="None"/>
    <s v="Health &amp; Fitness|Doctor"/>
  </r>
  <r>
    <s v="Budget"/>
    <d v="2014-12-28T00:00:00"/>
    <n v="-3900"/>
    <m/>
    <m/>
    <m/>
    <m/>
    <m/>
    <m/>
    <m/>
    <x v="18"/>
    <s v="Doctor"/>
    <x v="3"/>
    <m/>
    <x v="0"/>
    <m/>
    <s v="Annual"/>
    <s v="Budget"/>
    <s v="Irregular"/>
    <n v="0"/>
    <s v="No"/>
    <s v="None"/>
    <s v="Health &amp; Fitness|Doctor"/>
  </r>
  <r>
    <s v="Budget"/>
    <d v="2014-12-28T00:00:00"/>
    <n v="-50"/>
    <m/>
    <m/>
    <m/>
    <m/>
    <m/>
    <m/>
    <m/>
    <x v="14"/>
    <s v="Furnishings"/>
    <x v="3"/>
    <m/>
    <x v="0"/>
    <m/>
    <s v="Monthly"/>
    <s v="Budget"/>
    <s v="Monthly"/>
    <n v="0"/>
    <s v="No"/>
    <s v="None"/>
    <s v="Home|Furnishings"/>
  </r>
  <r>
    <s v="Budget"/>
    <d v="2014-12-28T00:00:00"/>
    <n v="-600"/>
    <m/>
    <m/>
    <m/>
    <m/>
    <m/>
    <m/>
    <m/>
    <x v="14"/>
    <s v="Furnishings"/>
    <x v="3"/>
    <m/>
    <x v="0"/>
    <m/>
    <s v="Annual"/>
    <s v="Budget"/>
    <s v="Monthly"/>
    <n v="0"/>
    <s v="No"/>
    <s v="None"/>
    <s v="Home|Furnishings"/>
  </r>
  <r>
    <s v="Budget"/>
    <d v="2014-12-28T00:00:00"/>
    <n v="-210"/>
    <m/>
    <m/>
    <m/>
    <m/>
    <m/>
    <m/>
    <m/>
    <x v="14"/>
    <s v="Home Services"/>
    <x v="3"/>
    <m/>
    <x v="0"/>
    <m/>
    <s v="Monthly"/>
    <s v="Budget"/>
    <s v="Monthly"/>
    <n v="0"/>
    <s v="No"/>
    <s v="None"/>
    <s v="Home|Home Services"/>
  </r>
  <r>
    <s v="Budget"/>
    <d v="2014-12-28T00:00:00"/>
    <n v="-2520"/>
    <m/>
    <m/>
    <m/>
    <m/>
    <m/>
    <m/>
    <m/>
    <x v="14"/>
    <s v="Home Services"/>
    <x v="3"/>
    <m/>
    <x v="0"/>
    <m/>
    <s v="Annual"/>
    <s v="Budget"/>
    <s v="Monthly"/>
    <n v="0"/>
    <s v="No"/>
    <s v="None"/>
    <s v="Home|Home Services"/>
  </r>
  <r>
    <s v="Budget"/>
    <d v="2014-12-28T00:00:00"/>
    <n v="-3575"/>
    <m/>
    <m/>
    <m/>
    <m/>
    <m/>
    <m/>
    <m/>
    <x v="14"/>
    <s v="Mortgage"/>
    <x v="3"/>
    <m/>
    <x v="0"/>
    <m/>
    <s v="Monthly"/>
    <s v="Budget"/>
    <s v="Monthly"/>
    <n v="0"/>
    <s v="No"/>
    <s v="None"/>
    <s v="Home|Mortgage"/>
  </r>
  <r>
    <s v="Budget"/>
    <d v="2014-12-28T00:00:00"/>
    <n v="-42900"/>
    <m/>
    <m/>
    <m/>
    <m/>
    <m/>
    <m/>
    <m/>
    <x v="14"/>
    <s v="Mortgage"/>
    <x v="3"/>
    <m/>
    <x v="0"/>
    <m/>
    <s v="Annual"/>
    <s v="Budget"/>
    <s v="Monthly"/>
    <n v="0"/>
    <s v="No"/>
    <s v="None"/>
    <s v="Home|Mortgage"/>
  </r>
  <r>
    <s v="Budget"/>
    <d v="2014-12-28T00:00:00"/>
    <n v="150"/>
    <m/>
    <m/>
    <m/>
    <m/>
    <m/>
    <m/>
    <m/>
    <x v="40"/>
    <m/>
    <x v="3"/>
    <m/>
    <x v="0"/>
    <m/>
    <s v="Monthly"/>
    <s v="Budget"/>
    <s v="Monthly"/>
    <n v="0"/>
    <s v="No"/>
    <s v="None"/>
    <s v="Interest Income"/>
  </r>
  <r>
    <s v="Budget"/>
    <d v="2014-12-28T00:00:00"/>
    <n v="1800"/>
    <m/>
    <m/>
    <m/>
    <m/>
    <m/>
    <m/>
    <m/>
    <x v="40"/>
    <m/>
    <x v="3"/>
    <m/>
    <x v="0"/>
    <m/>
    <s v="Annual"/>
    <s v="Budget"/>
    <s v="Monthly"/>
    <n v="0"/>
    <s v="No"/>
    <s v="None"/>
    <s v="Interest Income"/>
  </r>
  <r>
    <s v="Budget"/>
    <d v="2014-12-28T00:00:00"/>
    <n v="-500"/>
    <m/>
    <m/>
    <m/>
    <m/>
    <m/>
    <m/>
    <m/>
    <x v="27"/>
    <s v="American Funds 529A"/>
    <x v="3"/>
    <m/>
    <x v="0"/>
    <m/>
    <s v="Monthly"/>
    <s v="Budget"/>
    <s v="Monthly"/>
    <n v="0"/>
    <s v="No"/>
    <s v="None"/>
    <s v="Kids|American Funds 529A"/>
  </r>
  <r>
    <s v="Budget"/>
    <d v="2014-12-28T00:00:00"/>
    <n v="-6000"/>
    <m/>
    <m/>
    <m/>
    <m/>
    <m/>
    <m/>
    <m/>
    <x v="27"/>
    <s v="American Funds 529A"/>
    <x v="3"/>
    <m/>
    <x v="0"/>
    <m/>
    <s v="Annual"/>
    <s v="Budget"/>
    <s v="Monthly"/>
    <n v="0"/>
    <s v="No"/>
    <s v="None"/>
    <s v="Kids|American Funds 529A"/>
  </r>
  <r>
    <s v="Budget"/>
    <d v="2014-12-28T00:00:00"/>
    <n v="-125"/>
    <m/>
    <m/>
    <m/>
    <m/>
    <m/>
    <m/>
    <m/>
    <x v="27"/>
    <s v="Babysitter"/>
    <x v="3"/>
    <m/>
    <x v="0"/>
    <m/>
    <s v="Monthly"/>
    <s v="Budget"/>
    <s v="Monthly"/>
    <n v="0"/>
    <s v="No"/>
    <s v="None"/>
    <s v="Kids|Babysitter"/>
  </r>
  <r>
    <s v="Budget"/>
    <d v="2014-12-28T00:00:00"/>
    <n v="-1500"/>
    <m/>
    <m/>
    <m/>
    <m/>
    <m/>
    <m/>
    <m/>
    <x v="27"/>
    <s v="Babysitter"/>
    <x v="3"/>
    <m/>
    <x v="0"/>
    <m/>
    <s v="Annual"/>
    <s v="Budget"/>
    <s v="Monthly"/>
    <n v="0"/>
    <s v="No"/>
    <s v="None"/>
    <s v="Kids|Babysitter"/>
  </r>
  <r>
    <s v="Budget"/>
    <d v="2014-12-28T00:00:00"/>
    <n v="-40"/>
    <m/>
    <m/>
    <m/>
    <m/>
    <m/>
    <m/>
    <m/>
    <x v="27"/>
    <s v="Clothing"/>
    <x v="3"/>
    <m/>
    <x v="0"/>
    <m/>
    <s v="Monthly"/>
    <s v="Budget"/>
    <s v="Monthly"/>
    <n v="0"/>
    <s v="No"/>
    <s v="None"/>
    <s v="Kids|Clothing"/>
  </r>
  <r>
    <s v="Budget"/>
    <d v="2014-12-28T00:00:00"/>
    <n v="-480"/>
    <m/>
    <m/>
    <m/>
    <m/>
    <m/>
    <m/>
    <m/>
    <x v="27"/>
    <s v="Clothing"/>
    <x v="3"/>
    <m/>
    <x v="0"/>
    <m/>
    <s v="Annual"/>
    <s v="Budget"/>
    <s v="Monthly"/>
    <n v="0"/>
    <s v="No"/>
    <s v="None"/>
    <s v="Kids|Clothing"/>
  </r>
  <r>
    <s v="Budget"/>
    <d v="2014-12-28T00:00:00"/>
    <n v="-1976"/>
    <m/>
    <m/>
    <m/>
    <m/>
    <m/>
    <m/>
    <m/>
    <x v="27"/>
    <s v="Daycare"/>
    <x v="3"/>
    <m/>
    <x v="0"/>
    <m/>
    <s v="Monthly"/>
    <s v="Budget"/>
    <s v="Monthly"/>
    <n v="0"/>
    <s v="No"/>
    <s v="None"/>
    <s v="Kids|Daycare"/>
  </r>
  <r>
    <s v="Budget"/>
    <d v="2014-12-28T00:00:00"/>
    <n v="-23712"/>
    <m/>
    <m/>
    <m/>
    <m/>
    <m/>
    <m/>
    <m/>
    <x v="27"/>
    <s v="Daycare"/>
    <x v="3"/>
    <m/>
    <x v="0"/>
    <m/>
    <s v="Annual"/>
    <s v="Budget"/>
    <s v="Monthly"/>
    <n v="0"/>
    <s v="No"/>
    <s v="None"/>
    <s v="Kids|Daycare"/>
  </r>
  <r>
    <s v="Budget"/>
    <d v="2014-12-28T00:00:00"/>
    <n v="-65"/>
    <m/>
    <m/>
    <m/>
    <m/>
    <m/>
    <m/>
    <m/>
    <x v="27"/>
    <s v="Kids Activities"/>
    <x v="3"/>
    <m/>
    <x v="0"/>
    <m/>
    <s v="Monthly"/>
    <s v="Budget"/>
    <s v="Monthly"/>
    <n v="0"/>
    <s v="No"/>
    <s v="None"/>
    <s v="Kids|Kids Activities"/>
  </r>
  <r>
    <s v="Budget"/>
    <d v="2014-12-28T00:00:00"/>
    <n v="-780"/>
    <m/>
    <m/>
    <m/>
    <m/>
    <m/>
    <m/>
    <m/>
    <x v="27"/>
    <s v="Kids Activities"/>
    <x v="3"/>
    <m/>
    <x v="0"/>
    <m/>
    <s v="Annual"/>
    <s v="Budget"/>
    <s v="Monthly"/>
    <n v="0"/>
    <s v="No"/>
    <s v="None"/>
    <s v="Kids|Kids Activities"/>
  </r>
  <r>
    <s v="Budget"/>
    <d v="2014-12-28T00:00:00"/>
    <n v="-75"/>
    <m/>
    <m/>
    <m/>
    <m/>
    <m/>
    <m/>
    <m/>
    <x v="27"/>
    <s v="Toys"/>
    <x v="3"/>
    <m/>
    <x v="0"/>
    <m/>
    <s v="Monthly"/>
    <s v="Budget"/>
    <s v="Monthly"/>
    <n v="0"/>
    <s v="No"/>
    <s v="None"/>
    <s v="Kids|Toys"/>
  </r>
  <r>
    <s v="Budget"/>
    <d v="2014-12-28T00:00:00"/>
    <n v="-900"/>
    <m/>
    <m/>
    <m/>
    <m/>
    <m/>
    <m/>
    <m/>
    <x v="27"/>
    <s v="Toys"/>
    <x v="3"/>
    <m/>
    <x v="0"/>
    <m/>
    <s v="Annual"/>
    <s v="Budget"/>
    <s v="Monthly"/>
    <n v="0"/>
    <s v="No"/>
    <s v="None"/>
    <s v="Kids|Toys"/>
  </r>
  <r>
    <s v="Budget"/>
    <d v="2014-12-28T00:00:00"/>
    <n v="12500"/>
    <m/>
    <m/>
    <m/>
    <m/>
    <m/>
    <m/>
    <m/>
    <x v="35"/>
    <m/>
    <x v="3"/>
    <m/>
    <x v="0"/>
    <m/>
    <s v="Monthly"/>
    <s v="Budget"/>
    <s v="Monthly"/>
    <n v="0"/>
    <s v="No"/>
    <s v="None"/>
    <s v="Net Salary"/>
  </r>
  <r>
    <s v="Budget"/>
    <d v="2014-12-28T00:00:00"/>
    <n v="150000"/>
    <m/>
    <m/>
    <m/>
    <m/>
    <m/>
    <m/>
    <m/>
    <x v="35"/>
    <m/>
    <x v="3"/>
    <m/>
    <x v="0"/>
    <m/>
    <s v="Annual"/>
    <s v="Budget"/>
    <s v="Monthly"/>
    <n v="0"/>
    <s v="No"/>
    <s v="None"/>
    <s v="Net Salary"/>
  </r>
  <r>
    <s v="Budget"/>
    <d v="2014-12-28T00:00:00"/>
    <n v="75"/>
    <m/>
    <m/>
    <m/>
    <m/>
    <m/>
    <m/>
    <m/>
    <x v="29"/>
    <m/>
    <x v="3"/>
    <m/>
    <x v="0"/>
    <m/>
    <s v="Monthly"/>
    <s v="Budget"/>
    <s v="Monthly"/>
    <n v="0"/>
    <s v="No"/>
    <s v="None"/>
    <s v="Other Inc"/>
  </r>
  <r>
    <s v="Budget"/>
    <d v="2014-12-28T00:00:00"/>
    <n v="900"/>
    <m/>
    <m/>
    <m/>
    <m/>
    <m/>
    <m/>
    <m/>
    <x v="29"/>
    <m/>
    <x v="3"/>
    <m/>
    <x v="0"/>
    <m/>
    <s v="Annual"/>
    <s v="Budget"/>
    <s v="Monthly"/>
    <n v="0"/>
    <s v="No"/>
    <s v="None"/>
    <s v="Other Inc"/>
  </r>
  <r>
    <s v="Budget"/>
    <d v="2014-12-28T00:00:00"/>
    <n v="-50"/>
    <m/>
    <m/>
    <m/>
    <m/>
    <m/>
    <m/>
    <m/>
    <x v="16"/>
    <m/>
    <x v="3"/>
    <m/>
    <x v="0"/>
    <m/>
    <s v="Monthly"/>
    <s v="Budget"/>
    <s v="Annual"/>
    <n v="0"/>
    <s v="No"/>
    <s v="None"/>
    <s v="Parties"/>
  </r>
  <r>
    <s v="Budget"/>
    <d v="2014-12-28T00:00:00"/>
    <n v="-600"/>
    <m/>
    <m/>
    <m/>
    <m/>
    <m/>
    <m/>
    <m/>
    <x v="16"/>
    <m/>
    <x v="3"/>
    <m/>
    <x v="0"/>
    <m/>
    <s v="Annual"/>
    <s v="Budget"/>
    <s v="Annual"/>
    <n v="0"/>
    <s v="No"/>
    <s v="None"/>
    <s v="Parties"/>
  </r>
  <r>
    <s v="Budget"/>
    <d v="2014-12-28T00:00:00"/>
    <n v="-10"/>
    <m/>
    <m/>
    <m/>
    <m/>
    <m/>
    <m/>
    <m/>
    <x v="31"/>
    <s v="Beauty &amp; Makeup"/>
    <x v="3"/>
    <m/>
    <x v="0"/>
    <m/>
    <s v="Monthly"/>
    <s v="Budget"/>
    <s v="Monthly"/>
    <n v="0"/>
    <s v="No"/>
    <s v="None"/>
    <s v="Personal Care|Beauty &amp; Makeup"/>
  </r>
  <r>
    <s v="Budget"/>
    <d v="2014-12-28T00:00:00"/>
    <n v="-120"/>
    <m/>
    <m/>
    <m/>
    <m/>
    <m/>
    <m/>
    <m/>
    <x v="31"/>
    <s v="Beauty &amp; Makeup"/>
    <x v="3"/>
    <m/>
    <x v="0"/>
    <m/>
    <s v="Annual"/>
    <s v="Budget"/>
    <s v="Monthly"/>
    <n v="0"/>
    <s v="No"/>
    <s v="None"/>
    <s v="Personal Care|Beauty &amp; Makeup"/>
  </r>
  <r>
    <s v="Budget"/>
    <d v="2014-12-28T00:00:00"/>
    <n v="-100"/>
    <m/>
    <m/>
    <m/>
    <m/>
    <m/>
    <m/>
    <m/>
    <x v="31"/>
    <s v="Hair"/>
    <x v="3"/>
    <m/>
    <x v="0"/>
    <m/>
    <s v="Monthly"/>
    <s v="Budget"/>
    <s v="Monthly"/>
    <n v="0"/>
    <s v="No"/>
    <s v="None"/>
    <s v="Personal Care|Hair"/>
  </r>
  <r>
    <s v="Budget"/>
    <d v="2014-12-28T00:00:00"/>
    <n v="-1200"/>
    <m/>
    <m/>
    <m/>
    <m/>
    <m/>
    <m/>
    <m/>
    <x v="31"/>
    <s v="Hair"/>
    <x v="3"/>
    <m/>
    <x v="0"/>
    <m/>
    <s v="Annual"/>
    <s v="Budget"/>
    <s v="Monthly"/>
    <n v="0"/>
    <s v="No"/>
    <s v="None"/>
    <s v="Personal Care|Hair"/>
  </r>
  <r>
    <s v="Budget"/>
    <d v="2014-12-28T00:00:00"/>
    <n v="-2"/>
    <m/>
    <m/>
    <m/>
    <m/>
    <m/>
    <m/>
    <m/>
    <x v="31"/>
    <s v="Laundry"/>
    <x v="3"/>
    <m/>
    <x v="0"/>
    <m/>
    <s v="Monthly"/>
    <s v="Budget"/>
    <s v="Unplanned"/>
    <n v="0"/>
    <s v="No"/>
    <s v="None"/>
    <s v="Personal Care|Laundry"/>
  </r>
  <r>
    <s v="Budget"/>
    <d v="2014-12-28T00:00:00"/>
    <n v="-24"/>
    <m/>
    <m/>
    <m/>
    <m/>
    <m/>
    <m/>
    <m/>
    <x v="31"/>
    <s v="Laundry"/>
    <x v="3"/>
    <m/>
    <x v="0"/>
    <m/>
    <s v="Annual"/>
    <s v="Budget"/>
    <s v="Unplanned"/>
    <n v="0"/>
    <s v="No"/>
    <s v="None"/>
    <s v="Personal Care|Laundry"/>
  </r>
  <r>
    <s v="Budget"/>
    <d v="2014-12-28T00:00:00"/>
    <n v="-2"/>
    <m/>
    <m/>
    <m/>
    <m/>
    <m/>
    <m/>
    <m/>
    <x v="31"/>
    <s v="Miscellaneous"/>
    <x v="3"/>
    <m/>
    <x v="0"/>
    <m/>
    <s v="Monthly"/>
    <s v="Budget"/>
    <s v="Irregular"/>
    <n v="0"/>
    <s v="No"/>
    <s v="None"/>
    <s v="Personal Care|Miscellaneous"/>
  </r>
  <r>
    <s v="Budget"/>
    <d v="2014-12-28T00:00:00"/>
    <n v="-24"/>
    <m/>
    <m/>
    <m/>
    <m/>
    <m/>
    <m/>
    <m/>
    <x v="31"/>
    <s v="Miscellaneous"/>
    <x v="3"/>
    <m/>
    <x v="0"/>
    <m/>
    <s v="Annual"/>
    <s v="Budget"/>
    <s v="Irregular"/>
    <n v="0"/>
    <s v="No"/>
    <s v="None"/>
    <s v="Personal Care|Miscellaneous"/>
  </r>
  <r>
    <s v="Budget"/>
    <d v="2014-12-28T00:00:00"/>
    <n v="-625"/>
    <m/>
    <m/>
    <m/>
    <m/>
    <m/>
    <m/>
    <m/>
    <x v="39"/>
    <m/>
    <x v="3"/>
    <m/>
    <x v="0"/>
    <m/>
    <s v="Monthly"/>
    <s v="Budget"/>
    <s v="Unplanned"/>
    <n v="0"/>
    <s v="No"/>
    <s v="None"/>
    <s v="Projects"/>
  </r>
  <r>
    <s v="Budget"/>
    <d v="2014-12-28T00:00:00"/>
    <n v="-7500"/>
    <m/>
    <m/>
    <m/>
    <m/>
    <m/>
    <m/>
    <m/>
    <x v="39"/>
    <m/>
    <x v="3"/>
    <m/>
    <x v="0"/>
    <m/>
    <s v="Annual"/>
    <s v="Budget"/>
    <s v="Unplanned"/>
    <n v="0"/>
    <s v="No"/>
    <s v="None"/>
    <s v="Projects"/>
  </r>
  <r>
    <s v="Budget"/>
    <d v="2014-12-28T00:00:00"/>
    <n v="-5"/>
    <m/>
    <m/>
    <m/>
    <m/>
    <m/>
    <m/>
    <m/>
    <x v="13"/>
    <s v="Books"/>
    <x v="3"/>
    <m/>
    <x v="0"/>
    <m/>
    <s v="Monthly"/>
    <s v="Budget"/>
    <s v="Unplanned"/>
    <n v="0"/>
    <s v="No"/>
    <s v="None"/>
    <s v="Shopping|Books"/>
  </r>
  <r>
    <s v="Budget"/>
    <d v="2014-12-28T00:00:00"/>
    <n v="-60"/>
    <m/>
    <m/>
    <m/>
    <m/>
    <m/>
    <m/>
    <m/>
    <x v="13"/>
    <s v="Books"/>
    <x v="3"/>
    <m/>
    <x v="0"/>
    <m/>
    <s v="Annual"/>
    <s v="Budget"/>
    <s v="Unplanned"/>
    <n v="0"/>
    <s v="No"/>
    <s v="None"/>
    <s v="Shopping|Books"/>
  </r>
  <r>
    <s v="Budget"/>
    <d v="2014-12-28T00:00:00"/>
    <n v="-150"/>
    <m/>
    <m/>
    <m/>
    <m/>
    <m/>
    <m/>
    <m/>
    <x v="13"/>
    <s v="Clothing"/>
    <x v="3"/>
    <m/>
    <x v="0"/>
    <m/>
    <s v="Monthly"/>
    <s v="Budget"/>
    <s v="Annual"/>
    <n v="0"/>
    <s v="No"/>
    <s v="None"/>
    <s v="Shopping|Clothing"/>
  </r>
  <r>
    <s v="Budget"/>
    <d v="2014-12-28T00:00:00"/>
    <n v="-1800"/>
    <m/>
    <m/>
    <m/>
    <m/>
    <m/>
    <m/>
    <m/>
    <x v="13"/>
    <s v="Clothing"/>
    <x v="3"/>
    <m/>
    <x v="0"/>
    <m/>
    <s v="Annual"/>
    <s v="Budget"/>
    <s v="Annual"/>
    <n v="0"/>
    <s v="No"/>
    <s v="None"/>
    <s v="Shopping|Clothing"/>
  </r>
  <r>
    <s v="Budget"/>
    <d v="2014-12-28T00:00:00"/>
    <n v="-100"/>
    <m/>
    <m/>
    <m/>
    <m/>
    <m/>
    <m/>
    <m/>
    <x v="13"/>
    <s v="Electronics &amp; Software"/>
    <x v="3"/>
    <m/>
    <x v="0"/>
    <m/>
    <s v="Monthly"/>
    <s v="Budget"/>
    <s v="Annual"/>
    <n v="0"/>
    <s v="No"/>
    <s v="None"/>
    <s v="Shopping|Electronics &amp; Software"/>
  </r>
  <r>
    <s v="Budget"/>
    <d v="2014-12-28T00:00:00"/>
    <n v="-1200"/>
    <m/>
    <m/>
    <m/>
    <m/>
    <m/>
    <m/>
    <m/>
    <x v="13"/>
    <s v="Electronics &amp; Software"/>
    <x v="3"/>
    <m/>
    <x v="0"/>
    <m/>
    <s v="Annual"/>
    <s v="Budget"/>
    <s v="Annual"/>
    <n v="0"/>
    <s v="No"/>
    <s v="None"/>
    <s v="Shopping|Electronics &amp; Software"/>
  </r>
  <r>
    <s v="Budget"/>
    <d v="2014-12-28T00:00:00"/>
    <n v="-25"/>
    <m/>
    <m/>
    <m/>
    <m/>
    <m/>
    <m/>
    <m/>
    <x v="13"/>
    <s v="Hobbies"/>
    <x v="3"/>
    <m/>
    <x v="0"/>
    <m/>
    <s v="Monthly"/>
    <s v="Budget"/>
    <s v="Annual"/>
    <n v="0"/>
    <s v="No"/>
    <s v="None"/>
    <s v="Shopping|Hobbies"/>
  </r>
  <r>
    <s v="Budget"/>
    <d v="2014-12-28T00:00:00"/>
    <n v="-300"/>
    <m/>
    <m/>
    <m/>
    <m/>
    <m/>
    <m/>
    <m/>
    <x v="13"/>
    <s v="Hobbies"/>
    <x v="3"/>
    <m/>
    <x v="0"/>
    <m/>
    <s v="Annual"/>
    <s v="Budget"/>
    <s v="Annual"/>
    <n v="0"/>
    <s v="No"/>
    <s v="None"/>
    <s v="Shopping|Hobbies"/>
  </r>
  <r>
    <s v="Budget"/>
    <d v="2014-12-28T00:00:00"/>
    <n v="-20"/>
    <m/>
    <m/>
    <m/>
    <m/>
    <m/>
    <m/>
    <m/>
    <x v="13"/>
    <s v="Sporting Goods"/>
    <x v="3"/>
    <m/>
    <x v="0"/>
    <m/>
    <s v="Monthly"/>
    <s v="Budget"/>
    <s v="Annual"/>
    <n v="0"/>
    <s v="No"/>
    <s v="None"/>
    <s v="Shopping|Sporting Goods"/>
  </r>
  <r>
    <s v="Budget"/>
    <d v="2014-12-28T00:00:00"/>
    <n v="-240"/>
    <m/>
    <m/>
    <m/>
    <m/>
    <m/>
    <m/>
    <m/>
    <x v="13"/>
    <s v="Sporting Goods"/>
    <x v="3"/>
    <m/>
    <x v="0"/>
    <m/>
    <s v="Annual"/>
    <s v="Budget"/>
    <s v="Annual"/>
    <n v="0"/>
    <s v="No"/>
    <s v="None"/>
    <s v="Shopping|Sporting Goods"/>
  </r>
  <r>
    <s v="Budget"/>
    <d v="2014-12-28T00:00:00"/>
    <n v="-35"/>
    <m/>
    <m/>
    <m/>
    <m/>
    <m/>
    <m/>
    <m/>
    <x v="33"/>
    <m/>
    <x v="3"/>
    <m/>
    <x v="0"/>
    <m/>
    <s v="Monthly"/>
    <s v="Budget"/>
    <s v="Annual"/>
    <n v="0"/>
    <s v="No"/>
    <s v="None"/>
    <s v="Subscriptions &amp; Dues"/>
  </r>
  <r>
    <s v="Budget"/>
    <d v="2014-12-28T00:00:00"/>
    <n v="-420"/>
    <m/>
    <m/>
    <m/>
    <m/>
    <m/>
    <m/>
    <m/>
    <x v="33"/>
    <m/>
    <x v="3"/>
    <m/>
    <x v="0"/>
    <m/>
    <s v="Annual"/>
    <s v="Budget"/>
    <s v="Annual"/>
    <n v="0"/>
    <s v="No"/>
    <s v="None"/>
    <s v="Subscriptions &amp; Dues"/>
  </r>
  <r>
    <s v="Budget"/>
    <d v="2014-12-28T00:00:00"/>
    <n v="-800"/>
    <m/>
    <m/>
    <m/>
    <m/>
    <m/>
    <m/>
    <m/>
    <x v="23"/>
    <s v="Other"/>
    <x v="3"/>
    <m/>
    <x v="0"/>
    <m/>
    <s v="Monthly"/>
    <s v="Budget"/>
    <s v="Irregular"/>
    <n v="0"/>
    <s v="No"/>
    <s v="None"/>
    <s v="Vacation|Other"/>
  </r>
  <r>
    <s v="Budget"/>
    <d v="2014-12-28T00:00:00"/>
    <n v="-9600"/>
    <m/>
    <m/>
    <m/>
    <m/>
    <m/>
    <m/>
    <m/>
    <x v="23"/>
    <s v="Other"/>
    <x v="3"/>
    <m/>
    <x v="0"/>
    <m/>
    <s v="Annual"/>
    <s v="Budget"/>
    <s v="Irregular"/>
    <n v="0"/>
    <s v="No"/>
    <s v="None"/>
    <s v="Vacation|Other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902">
  <r>
    <s v="Capital One - Investment (6759)"/>
    <d v="2014-12-28T00:00:00"/>
    <n v="0"/>
    <s v="X"/>
    <s v="Balanced"/>
    <s v="@CAT:@@BAL:$47,275.08@"/>
    <s v="[Capital One - Investment (6759)]"/>
    <m/>
    <m/>
    <m/>
    <x v="0"/>
    <x v="0"/>
    <m/>
    <m/>
    <m/>
    <m/>
    <s v="Dec"/>
    <n v="2014"/>
    <s v="Account"/>
    <n v="0"/>
    <s v="No"/>
    <s v="None"/>
    <s v="[Capital One - Investment (6759)]"/>
  </r>
  <r>
    <s v="Capital One - Long Term Emergency (1201)"/>
    <d v="2014-12-28T00:00:00"/>
    <n v="0"/>
    <s v="X"/>
    <s v="Balanced"/>
    <s v="@CAT:@@BAL:$118,695.53@"/>
    <s v="[Capital One - Long Term Emergency (1201)]"/>
    <m/>
    <m/>
    <m/>
    <x v="1"/>
    <x v="0"/>
    <m/>
    <m/>
    <m/>
    <m/>
    <s v="Dec"/>
    <n v="2014"/>
    <s v="Account"/>
    <n v="0"/>
    <s v="No"/>
    <s v="None"/>
    <s v="[Capital One - Long Term Emergency (1201)]"/>
  </r>
  <r>
    <s v="Capital One - Secondary Savings (3126)"/>
    <d v="2014-12-28T00:00:00"/>
    <n v="0"/>
    <s v="X"/>
    <s v="Balanced"/>
    <s v="@CAT:@@BAL:$123.22@"/>
    <s v="[Capital One - Secondary Savings (3126)]"/>
    <m/>
    <m/>
    <m/>
    <x v="2"/>
    <x v="0"/>
    <m/>
    <m/>
    <m/>
    <m/>
    <s v="Dec"/>
    <n v="2014"/>
    <s v="Account"/>
    <n v="0"/>
    <s v="No"/>
    <s v="None"/>
    <s v="[Capital One - Secondary Savings (3126)]"/>
  </r>
  <r>
    <s v="Capital One - Vacation (4959)"/>
    <d v="2014-12-28T00:00:00"/>
    <n v="0"/>
    <s v="X"/>
    <s v="Balanced"/>
    <s v="@CAT:@@BAL:$36,045.87@"/>
    <s v="[Capital One - Vacation (4959)]"/>
    <m/>
    <m/>
    <m/>
    <x v="3"/>
    <x v="0"/>
    <m/>
    <m/>
    <m/>
    <m/>
    <s v="Dec"/>
    <n v="2014"/>
    <s v="Account"/>
    <n v="0"/>
    <s v="No"/>
    <s v="None"/>
    <s v="[Capital One - Vacation (4959)]"/>
  </r>
  <r>
    <s v="First Tech - Short Term Emergency (5400)"/>
    <d v="2014-12-28T00:00:00"/>
    <n v="0"/>
    <m/>
    <s v="Balanced"/>
    <s v="@CAT:@@BAL:$5.00@"/>
    <s v="[First Tech - Short Term Emergency (5400)]"/>
    <m/>
    <m/>
    <m/>
    <x v="4"/>
    <x v="0"/>
    <m/>
    <m/>
    <m/>
    <m/>
    <s v="Dec"/>
    <n v="2014"/>
    <s v="Account"/>
    <n v="0"/>
    <s v="No"/>
    <s v="None"/>
    <s v="[First Tech - Short Term Emergency (5400)]"/>
  </r>
  <r>
    <s v="Schwab - Checking (9784)"/>
    <d v="2014-12-28T00:00:00"/>
    <n v="0"/>
    <m/>
    <s v="Balanced"/>
    <s v="@CAT:@@BAL:$344.83@"/>
    <s v="[Schwab - Checking (9784)]"/>
    <m/>
    <m/>
    <m/>
    <x v="5"/>
    <x v="0"/>
    <m/>
    <m/>
    <m/>
    <m/>
    <s v="Dec"/>
    <n v="2014"/>
    <s v="Account"/>
    <n v="0"/>
    <s v="No"/>
    <s v="None"/>
    <s v="[Schwab - Checking (9784)]"/>
  </r>
  <r>
    <s v="Chase Amazon (XX8482)"/>
    <d v="2014-12-28T00:00:00"/>
    <n v="0"/>
    <m/>
    <s v="Balanced"/>
    <s v="@CAT:@@BAL:$0.00@"/>
    <s v="[Chase Amazon (XX8482)]"/>
    <m/>
    <m/>
    <m/>
    <x v="6"/>
    <x v="0"/>
    <m/>
    <m/>
    <m/>
    <m/>
    <s v="Dec"/>
    <n v="2014"/>
    <e v="#N/A"/>
    <e v="#N/A"/>
    <e v="#N/A"/>
    <e v="#N/A"/>
    <s v="[Chase Amazon (XX8482)]"/>
  </r>
  <r>
    <s v="Chase Freedom XX9381"/>
    <d v="2014-12-28T00:00:00"/>
    <n v="0"/>
    <s v="X"/>
    <s v="Balanced"/>
    <s v="@CAT:@@BAL:$0.00@"/>
    <s v="[Chase Freedom XX9381]"/>
    <m/>
    <m/>
    <m/>
    <x v="7"/>
    <x v="0"/>
    <m/>
    <m/>
    <m/>
    <m/>
    <s v="Dec"/>
    <n v="2014"/>
    <e v="#N/A"/>
    <e v="#N/A"/>
    <e v="#N/A"/>
    <e v="#N/A"/>
    <s v="[Chase Freedom XX9381]"/>
  </r>
  <r>
    <s v="Chase Slate (XX1141)"/>
    <d v="2014-12-28T00:00:00"/>
    <n v="0"/>
    <m/>
    <s v="Balanced"/>
    <s v="@CAT:@@BAL:$0.00@"/>
    <s v="[Chase Slate (XX1141)]"/>
    <m/>
    <m/>
    <m/>
    <x v="8"/>
    <x v="0"/>
    <m/>
    <m/>
    <m/>
    <m/>
    <s v="Dec"/>
    <n v="2014"/>
    <e v="#N/A"/>
    <e v="#N/A"/>
    <e v="#N/A"/>
    <e v="#N/A"/>
    <s v="[Chase Slate (XX1141)]"/>
  </r>
  <r>
    <s v="Koolikai Credit Card"/>
    <d v="2014-12-28T00:00:00"/>
    <n v="0"/>
    <m/>
    <s v="Balanced"/>
    <s v="@CAT:@@BAL:$230.14@"/>
    <s v="[Koolikai Credit Card]"/>
    <m/>
    <m/>
    <m/>
    <x v="9"/>
    <x v="0"/>
    <m/>
    <m/>
    <m/>
    <m/>
    <s v="Dec"/>
    <n v="2014"/>
    <s v="Account"/>
    <n v="0"/>
    <s v="No"/>
    <s v="None"/>
    <s v="[Koolikai Credit Card]"/>
  </r>
  <r>
    <s v="Mastercard (Angela)"/>
    <d v="2014-12-28T00:00:00"/>
    <n v="0"/>
    <m/>
    <s v="Balanced"/>
    <s v="@CAT:@@BAL:$0.00@"/>
    <s v="[Mastercard (Angela)]"/>
    <m/>
    <m/>
    <m/>
    <x v="10"/>
    <x v="0"/>
    <m/>
    <m/>
    <m/>
    <m/>
    <s v="Dec"/>
    <n v="2014"/>
    <s v="Account"/>
    <n v="0"/>
    <s v="No"/>
    <s v="None"/>
    <s v="[Mastercard (Angela)]"/>
  </r>
  <r>
    <s v="REI Mastercard (xx1787)"/>
    <d v="2014-12-28T00:00:00"/>
    <n v="0"/>
    <m/>
    <s v="Balanced"/>
    <s v="@CAT:@@BAL:$86.51@"/>
    <s v="[REI Mastercard (xx1787)]"/>
    <m/>
    <m/>
    <m/>
    <x v="11"/>
    <x v="0"/>
    <m/>
    <m/>
    <m/>
    <m/>
    <s v="Dec"/>
    <n v="2014"/>
    <e v="#N/A"/>
    <e v="#N/A"/>
    <e v="#N/A"/>
    <e v="#N/A"/>
    <s v="[REI Mastercard (xx1787)]"/>
  </r>
  <r>
    <s v="Target Red Card"/>
    <d v="2014-12-28T00:00:00"/>
    <n v="0"/>
    <m/>
    <s v="Balanced"/>
    <s v="@CAT:@@BAL:$125.01@"/>
    <s v="[Target Red Card]"/>
    <m/>
    <m/>
    <m/>
    <x v="12"/>
    <x v="0"/>
    <m/>
    <m/>
    <m/>
    <m/>
    <s v="Dec"/>
    <n v="2014"/>
    <s v="Account"/>
    <n v="0"/>
    <s v="No"/>
    <s v="None"/>
    <s v="[Target Red Card]"/>
  </r>
  <r>
    <s v="American Express (Costco)"/>
    <d v="2014-12-27T00:00:00"/>
    <n v="-10.94"/>
    <m/>
    <s v="Costco"/>
    <s v="Socks"/>
    <s v="Shopping:Clothing/From Receipt"/>
    <m/>
    <s v="Split"/>
    <s v="From Receipt"/>
    <x v="13"/>
    <x v="1"/>
    <m/>
    <m/>
    <m/>
    <m/>
    <s v="Dec"/>
    <n v="2014"/>
    <s v="Annual"/>
    <n v="0"/>
    <s v="No"/>
    <s v="None"/>
    <s v="Shopping|Clothing"/>
  </r>
  <r>
    <s v="American Express (Costco)"/>
    <d v="2014-12-27T00:00:00"/>
    <n v="-21.89"/>
    <m/>
    <s v="Costco"/>
    <s v="Digital food scale"/>
    <s v="Home:Furnishings/From Receipt"/>
    <m/>
    <s v="Split"/>
    <s v="From Receipt"/>
    <x v="14"/>
    <x v="2"/>
    <m/>
    <m/>
    <m/>
    <m/>
    <s v="Dec"/>
    <n v="2014"/>
    <s v="Monthly"/>
    <n v="0"/>
    <s v="No"/>
    <s v="None"/>
    <s v="Home|Furnishings"/>
  </r>
  <r>
    <s v="American Express (Costco)"/>
    <d v="2014-12-27T00:00:00"/>
    <n v="-48.74"/>
    <m/>
    <s v="Costco"/>
    <m/>
    <s v="Food &amp; Dining:Groceries/From Receipt"/>
    <m/>
    <s v="Split"/>
    <s v="From Receipt"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27T00:00:00"/>
    <n v="-45"/>
    <m/>
    <s v="Fred Meyer"/>
    <s v="#Smith Christmas#"/>
    <s v="Parties/From Receipt"/>
    <m/>
    <s v="Split"/>
    <s v="From Receipt"/>
    <x v="16"/>
    <x v="0"/>
    <m/>
    <m/>
    <s v="Smith Christmas"/>
    <m/>
    <s v="Dec"/>
    <n v="2014"/>
    <s v="Annual"/>
    <n v="0"/>
    <s v="No"/>
    <s v="None"/>
    <s v="Parties"/>
  </r>
  <r>
    <s v="MasterCard (Capital One)"/>
    <d v="2014-12-27T00:00:00"/>
    <n v="-119.52"/>
    <m/>
    <s v="Fred Meyer"/>
    <m/>
    <s v="Food &amp; Dining:Groceries/From Receipt"/>
    <m/>
    <s v="Split"/>
    <s v="From Receipt"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27T00:00:00"/>
    <n v="-15"/>
    <m/>
    <s v="Vehicle Emissions #4"/>
    <s v="Emissions Test"/>
    <s v="Auto &amp; Transport:Registration"/>
    <m/>
    <m/>
    <m/>
    <x v="17"/>
    <x v="4"/>
    <m/>
    <m/>
    <m/>
    <m/>
    <s v="Dec"/>
    <n v="2014"/>
    <s v="Annual"/>
    <n v="0"/>
    <s v="No"/>
    <s v="None"/>
    <s v="Auto &amp; Transport|Registration"/>
  </r>
  <r>
    <s v="First Tech - Checking (5544)"/>
    <d v="2014-12-26T00:00:00"/>
    <n v="98.99"/>
    <s v="X"/>
    <s v="Dave Smith"/>
    <s v="Zach's Glasses"/>
    <s v="Health &amp; Fitness:Eyecare"/>
    <m/>
    <m/>
    <m/>
    <x v="18"/>
    <x v="5"/>
    <m/>
    <m/>
    <m/>
    <m/>
    <s v="Dec"/>
    <n v="2014"/>
    <s v="Irregular"/>
    <n v="0"/>
    <s v="No"/>
    <s v="None"/>
    <s v="Health &amp; Fitness|Eyecare"/>
  </r>
  <r>
    <s v="First Tech - Checking (5544)"/>
    <d v="2014-12-26T00:00:00"/>
    <n v="300"/>
    <s v="X"/>
    <s v="Angela Smith"/>
    <s v="#SFOM Pool Party# SFOM reimbursement for pool reservation"/>
    <s v="Work Expense:Reimbursement"/>
    <m/>
    <m/>
    <m/>
    <x v="19"/>
    <x v="6"/>
    <m/>
    <m/>
    <s v="SFOM Pool Party"/>
    <m/>
    <s v="Dec"/>
    <n v="2014"/>
    <s v="Irregular"/>
    <n v="0"/>
    <s v="No"/>
    <s v="None"/>
    <s v="Work Expense|Reimbursement"/>
  </r>
  <r>
    <s v="First Tech - Checking (5544)"/>
    <d v="2014-12-26T00:00:00"/>
    <n v="-88.86"/>
    <m/>
    <s v="Chase Autopay (Freedom)"/>
    <m/>
    <s v="[Chase Freedom XX9381]"/>
    <m/>
    <m/>
    <m/>
    <x v="7"/>
    <x v="0"/>
    <m/>
    <m/>
    <m/>
    <m/>
    <s v="Dec"/>
    <n v="2014"/>
    <e v="#N/A"/>
    <e v="#N/A"/>
    <e v="#N/A"/>
    <e v="#N/A"/>
    <s v="[Chase Freedom XX9381]"/>
  </r>
  <r>
    <s v="American Express (Costco)"/>
    <d v="2014-12-26T00:00:00"/>
    <n v="0"/>
    <m/>
    <s v="Balanced"/>
    <s v="@CAT:@@BAL:$0.00@"/>
    <s v="[American Express (Costco)]"/>
    <m/>
    <m/>
    <m/>
    <x v="20"/>
    <x v="0"/>
    <m/>
    <m/>
    <m/>
    <m/>
    <s v="Dec"/>
    <n v="2014"/>
    <s v="Account"/>
    <n v="0"/>
    <s v="No"/>
    <s v="None"/>
    <s v="[American Express (Costco)]"/>
  </r>
  <r>
    <s v="Chase Freedom XX9381"/>
    <d v="2014-12-26T00:00:00"/>
    <n v="88.86"/>
    <s v="X"/>
    <s v="Chase Autopay (Freedom)"/>
    <m/>
    <s v="[First Tech - Checking (5544)]"/>
    <m/>
    <m/>
    <m/>
    <x v="21"/>
    <x v="0"/>
    <m/>
    <m/>
    <m/>
    <m/>
    <s v="Dec"/>
    <n v="2014"/>
    <s v="Account"/>
    <n v="0"/>
    <s v="No"/>
    <s v="None"/>
    <s v="[First Tech - Checking (5544)]"/>
  </r>
  <r>
    <s v="Discover Card"/>
    <d v="2014-12-26T00:00:00"/>
    <n v="-15"/>
    <m/>
    <s v="National Parks Conservancy Association"/>
    <m/>
    <s v="Charity:Charity (Cash)"/>
    <m/>
    <m/>
    <m/>
    <x v="22"/>
    <x v="7"/>
    <m/>
    <m/>
    <m/>
    <m/>
    <s v="Dec"/>
    <n v="2014"/>
    <s v="Annual"/>
    <n v="0"/>
    <s v="No"/>
    <s v="None"/>
    <s v="Charity|Charity (Cash)"/>
  </r>
  <r>
    <s v="MasterCard (Capital One)"/>
    <d v="2014-12-26T00:00:00"/>
    <n v="-30.84"/>
    <s v="X"/>
    <s v="Blusterys Burger D"/>
    <s v="#Spokane 2014#"/>
    <s v="Vacation:Food"/>
    <m/>
    <m/>
    <m/>
    <x v="23"/>
    <x v="8"/>
    <m/>
    <m/>
    <s v="Spokane 2014"/>
    <m/>
    <s v="Dec"/>
    <n v="2014"/>
    <s v="Irregular"/>
    <n v="0"/>
    <s v="No"/>
    <s v="None"/>
    <s v="Vacation|Food"/>
  </r>
  <r>
    <s v="Discover Card"/>
    <d v="2014-12-25T00:00:00"/>
    <n v="0"/>
    <m/>
    <s v="Balanced"/>
    <s v="@CAT:@@BAL:$13.10@"/>
    <s v="[Discover Card]"/>
    <m/>
    <m/>
    <m/>
    <x v="24"/>
    <x v="0"/>
    <m/>
    <m/>
    <m/>
    <m/>
    <s v="Dec"/>
    <n v="2014"/>
    <s v="Account"/>
    <n v="0"/>
    <s v="No"/>
    <s v="None"/>
    <s v="[Discover Card]"/>
  </r>
  <r>
    <s v="MasterCard (Capital One)"/>
    <d v="2014-12-25T00:00:00"/>
    <n v="-151.84"/>
    <m/>
    <s v="Madison Inn"/>
    <s v="#Spokane 2014#"/>
    <s v="Vacation:Lodging"/>
    <m/>
    <m/>
    <m/>
    <x v="23"/>
    <x v="9"/>
    <m/>
    <m/>
    <s v="Spokane 2014"/>
    <m/>
    <s v="Dec"/>
    <n v="2014"/>
    <s v="Irregular"/>
    <n v="0"/>
    <s v="No"/>
    <s v="None"/>
    <s v="Vacation|Lodging"/>
  </r>
  <r>
    <s v="First Tech - Checking (5544)"/>
    <d v="2014-12-24T00:00:00"/>
    <n v="-347.45"/>
    <s v="X"/>
    <s v="Discover (Autopay)"/>
    <s v="ACH Debit--DISCOVER DC PYMNTS DCIDPIINT - E-PAYMENT"/>
    <s v="[Discover Card]"/>
    <m/>
    <m/>
    <m/>
    <x v="24"/>
    <x v="0"/>
    <m/>
    <m/>
    <m/>
    <m/>
    <s v="Dec"/>
    <n v="2014"/>
    <s v="Account"/>
    <n v="0"/>
    <s v="No"/>
    <s v="None"/>
    <s v="[Discover Card]"/>
  </r>
  <r>
    <s v="Koolikai - Checking XX2129"/>
    <d v="2014-12-24T00:00:00"/>
    <n v="-146.88"/>
    <s v="*"/>
    <s v="Chase - Koolikai (Autopay)"/>
    <s v="ACH Debit--CHASE  - AUTOPAYBUS"/>
    <s v="[Koolikai Credit Card]"/>
    <m/>
    <m/>
    <m/>
    <x v="9"/>
    <x v="0"/>
    <m/>
    <m/>
    <m/>
    <m/>
    <s v="Dec"/>
    <n v="2014"/>
    <s v="Account"/>
    <n v="0"/>
    <s v="No"/>
    <s v="None"/>
    <s v="[Koolikai Credit Card]"/>
  </r>
  <r>
    <s v="Discover Card"/>
    <d v="2014-12-24T00:00:00"/>
    <n v="347.45"/>
    <s v="X"/>
    <s v="Discover (Autopay)"/>
    <s v="ACH Debit--DISCOVER DC PYMNTS DCIDPIINT - E-PAYMENT"/>
    <s v="[First Tech - Checking (5544)]"/>
    <m/>
    <m/>
    <m/>
    <x v="21"/>
    <x v="0"/>
    <m/>
    <m/>
    <m/>
    <m/>
    <s v="Dec"/>
    <n v="2014"/>
    <s v="Account"/>
    <n v="0"/>
    <s v="No"/>
    <s v="None"/>
    <s v="[First Tech - Checking (5544)]"/>
  </r>
  <r>
    <s v="MasterCard (Capital One)"/>
    <d v="2014-12-24T00:00:00"/>
    <n v="-4.49"/>
    <s v="X"/>
    <s v="Rosauers Supermarket"/>
    <s v="#Spokane 2014#"/>
    <s v="Food &amp; Dining:Groceries"/>
    <m/>
    <m/>
    <m/>
    <x v="15"/>
    <x v="3"/>
    <m/>
    <m/>
    <s v="Spokane 2014"/>
    <m/>
    <s v="Dec"/>
    <n v="2014"/>
    <s v="Monthly"/>
    <n v="0"/>
    <s v="No"/>
    <s v="None"/>
    <s v="Food &amp; Dining|Groceries"/>
  </r>
  <r>
    <s v="MasterCard (Capital One)"/>
    <d v="2014-12-24T00:00:00"/>
    <n v="-6.46"/>
    <s v="X"/>
    <s v="Rosauers Supermarket"/>
    <s v="#Spokane 2014#"/>
    <s v="Food &amp; Dining:Groceries"/>
    <m/>
    <m/>
    <m/>
    <x v="15"/>
    <x v="3"/>
    <m/>
    <m/>
    <s v="Spokane 2014"/>
    <m/>
    <s v="Dec"/>
    <n v="2014"/>
    <s v="Monthly"/>
    <n v="0"/>
    <s v="No"/>
    <s v="None"/>
    <s v="Food &amp; Dining|Groceries"/>
  </r>
  <r>
    <s v="MasterCard (Capital One)"/>
    <d v="2014-12-24T00:00:00"/>
    <n v="-12.96"/>
    <s v="X"/>
    <s v="Rosauers Supermarket"/>
    <s v="#Spokane 2014#"/>
    <s v="Food &amp; Dining:Groceries"/>
    <m/>
    <m/>
    <m/>
    <x v="15"/>
    <x v="3"/>
    <m/>
    <m/>
    <s v="Spokane 2014"/>
    <m/>
    <s v="Dec"/>
    <n v="2014"/>
    <s v="Monthly"/>
    <n v="0"/>
    <s v="No"/>
    <s v="None"/>
    <s v="Food &amp; Dining|Groceries"/>
  </r>
  <r>
    <s v="MasterCard (Capital One)"/>
    <d v="2014-12-24T00:00:00"/>
    <n v="-16.78"/>
    <s v="X"/>
    <s v="Mcdonald's"/>
    <s v="#Spokane 2014#"/>
    <s v="Vacation:Food"/>
    <m/>
    <m/>
    <m/>
    <x v="23"/>
    <x v="8"/>
    <m/>
    <m/>
    <s v="Spokane 2014"/>
    <m/>
    <s v="Dec"/>
    <n v="2014"/>
    <s v="Irregular"/>
    <n v="0"/>
    <s v="No"/>
    <s v="None"/>
    <s v="Vacation|Food"/>
  </r>
  <r>
    <s v="First Tech - Checking (5544)"/>
    <d v="2014-12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Dec"/>
    <n v="2014"/>
    <s v="Monthly"/>
    <n v="0"/>
    <s v="No"/>
    <s v="None"/>
    <s v="Auto &amp; Transport|Auto Lease Payment"/>
  </r>
  <r>
    <s v="Koolikai Credit Card"/>
    <d v="2014-12-23T00:00:00"/>
    <n v="146.88"/>
    <s v="*"/>
    <s v="Chase - Koolikai (Autopay)"/>
    <m/>
    <s v="[Koolikai - Checking XX2129]"/>
    <m/>
    <m/>
    <m/>
    <x v="25"/>
    <x v="0"/>
    <m/>
    <m/>
    <m/>
    <m/>
    <s v="Dec"/>
    <n v="2014"/>
    <s v="Account"/>
    <n v="0"/>
    <s v="No"/>
    <s v="None"/>
    <s v="[Koolikai - Checking XX2129]"/>
  </r>
  <r>
    <s v="MasterCard (Capital One)"/>
    <d v="2014-12-23T00:00:00"/>
    <n v="-15.86"/>
    <s v="X"/>
    <s v="Diamond Parking"/>
    <m/>
    <s v="Auto &amp; Transport:Parking"/>
    <m/>
    <m/>
    <m/>
    <x v="17"/>
    <x v="11"/>
    <m/>
    <m/>
    <m/>
    <m/>
    <s v="Dec"/>
    <n v="2014"/>
    <s v="Monthly"/>
    <n v="0"/>
    <s v="No"/>
    <s v="None"/>
    <s v="Auto &amp; Transport|Parking"/>
  </r>
  <r>
    <s v="Edward Jones - Roth IRA"/>
    <d v="2014-12-23T00:00:00"/>
    <n v="332.99"/>
    <s v="c"/>
    <m/>
    <m/>
    <m/>
    <s v="ReinvLg"/>
    <m/>
    <m/>
    <x v="26"/>
    <x v="0"/>
    <m/>
    <m/>
    <m/>
    <m/>
    <s v="Dec"/>
    <n v="2014"/>
    <e v="#N/A"/>
    <e v="#N/A"/>
    <e v="#N/A"/>
    <e v="#N/A"/>
    <n v="0"/>
  </r>
  <r>
    <s v="Edward Jones - Roth IRA"/>
    <d v="2014-12-23T00:00:00"/>
    <n v="59.77"/>
    <s v="c"/>
    <m/>
    <m/>
    <m/>
    <s v="ReinvDiv"/>
    <m/>
    <m/>
    <x v="26"/>
    <x v="0"/>
    <m/>
    <m/>
    <m/>
    <m/>
    <s v="Dec"/>
    <n v="2014"/>
    <e v="#N/A"/>
    <e v="#N/A"/>
    <e v="#N/A"/>
    <e v="#N/A"/>
    <n v="0"/>
  </r>
  <r>
    <s v="First Tech - Checking (5544)"/>
    <d v="2014-12-22T00:00:00"/>
    <n v="-98"/>
    <s v="X"/>
    <s v="Pacific Science Center The"/>
    <s v="Annual membership"/>
    <s v="Kids:Kids Activities/Tax Related"/>
    <n v="2144"/>
    <m/>
    <s v="Tax Related"/>
    <x v="27"/>
    <x v="12"/>
    <m/>
    <m/>
    <m/>
    <m/>
    <s v="Dec"/>
    <n v="2014"/>
    <s v="Monthly"/>
    <n v="0"/>
    <s v="No"/>
    <s v="None"/>
    <s v="Kids|Kids Activities"/>
  </r>
  <r>
    <s v="First Tech - Checking (5544)"/>
    <d v="2014-12-22T00:00:00"/>
    <n v="-70"/>
    <s v="X"/>
    <s v="Poppy Weber"/>
    <s v="LBJ: The Great Society"/>
    <s v="Kids:Babysitter"/>
    <n v="2146"/>
    <m/>
    <m/>
    <x v="27"/>
    <x v="13"/>
    <m/>
    <m/>
    <m/>
    <m/>
    <s v="Dec"/>
    <n v="2014"/>
    <s v="Monthly"/>
    <n v="0"/>
    <s v="No"/>
    <s v="None"/>
    <s v="Kids|Babysitter"/>
  </r>
  <r>
    <s v="First Tech - Checking (5544)"/>
    <d v="2014-12-22T00:00:00"/>
    <n v="-75"/>
    <s v="X"/>
    <s v="Christi Steinburg"/>
    <s v="Gifts for CDC teachers"/>
    <s v="Gifts"/>
    <n v="2147"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22T00:00:00"/>
    <n v="-13.98"/>
    <s v="X"/>
    <s v="Ken Market"/>
    <m/>
    <s v="Food &amp; Dining:Groceries"/>
    <m/>
    <m/>
    <m/>
    <x v="15"/>
    <x v="3"/>
    <m/>
    <m/>
    <m/>
    <m/>
    <s v="Dec"/>
    <n v="2014"/>
    <s v="Monthly"/>
    <n v="0"/>
    <s v="No"/>
    <s v="None"/>
    <s v="Food &amp; Dining|Groceries"/>
  </r>
  <r>
    <s v="Target Red Card"/>
    <d v="2014-12-22T00:00:00"/>
    <n v="-41.6"/>
    <s v="*"/>
    <s v="Target"/>
    <s v="Settlers of Catan"/>
    <s v="Gifts/From Receipt"/>
    <n v="799999943561"/>
    <s v="Split"/>
    <s v="From Receipt"/>
    <x v="28"/>
    <x v="0"/>
    <m/>
    <m/>
    <m/>
    <m/>
    <s v="Dec"/>
    <n v="2014"/>
    <s v="Monthly"/>
    <n v="0"/>
    <s v="No"/>
    <s v="None"/>
    <s v="Gifts"/>
  </r>
  <r>
    <s v="Target Red Card"/>
    <d v="2014-12-22T00:00:00"/>
    <n v="-49.91"/>
    <s v="*"/>
    <s v="Target"/>
    <s v="Disney planes and cars sets"/>
    <s v="Kids:Toys/From Receipt"/>
    <n v="799999943561"/>
    <s v="Split"/>
    <s v="From Receipt"/>
    <x v="27"/>
    <x v="14"/>
    <m/>
    <m/>
    <m/>
    <m/>
    <s v="Dec"/>
    <n v="2014"/>
    <s v="Monthly"/>
    <n v="0"/>
    <s v="No"/>
    <s v="None"/>
    <s v="Kids|Toys"/>
  </r>
  <r>
    <s v="Koolikai Credit Card"/>
    <d v="2014-12-21T00:00:00"/>
    <n v="-65.7"/>
    <s v="*"/>
    <s v="Fred Meyer"/>
    <s v="Angela's Christmas sweatshirt"/>
    <s v="Shopping:Clothing/From Receipt"/>
    <m/>
    <s v="Split"/>
    <s v="From Receipt"/>
    <x v="13"/>
    <x v="1"/>
    <m/>
    <m/>
    <m/>
    <m/>
    <s v="Dec"/>
    <n v="2014"/>
    <s v="Annual"/>
    <n v="0"/>
    <s v="No"/>
    <s v="None"/>
    <s v="Shopping|Clothing"/>
  </r>
  <r>
    <s v="Koolikai Credit Card"/>
    <d v="2014-12-21T00:00:00"/>
    <n v="-17.559999999999999"/>
    <s v="*"/>
    <s v="Fred Meyer"/>
    <m/>
    <s v="Food &amp; Dining:Groceries/From Receipt"/>
    <m/>
    <s v="Split"/>
    <s v="From Receipt"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21T00:00:00"/>
    <n v="-3.5"/>
    <s v="X"/>
    <s v="Qfc"/>
    <m/>
    <s v="Food &amp; Dining:Groceries"/>
    <m/>
    <m/>
    <m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21T00:00:00"/>
    <n v="-8.76"/>
    <s v="X"/>
    <s v="Quincy"/>
    <m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21T00:00:00"/>
    <n v="-12"/>
    <s v="X"/>
    <s v="Childrens Museum"/>
    <m/>
    <s v="Kids:Kids Activities"/>
    <m/>
    <m/>
    <m/>
    <x v="27"/>
    <x v="12"/>
    <m/>
    <m/>
    <m/>
    <m/>
    <s v="Dec"/>
    <n v="2014"/>
    <s v="Monthly"/>
    <n v="0"/>
    <s v="No"/>
    <s v="None"/>
    <s v="Kids|Kids Activities"/>
  </r>
  <r>
    <s v="MasterCard (Capital One)"/>
    <d v="2014-12-21T00:00:00"/>
    <n v="-19.579999999999998"/>
    <s v="X"/>
    <s v="Mod Superfast Pizza"/>
    <m/>
    <s v="Food &amp; Dining:Restaurants/From Receipt"/>
    <m/>
    <m/>
    <s v="From Receipt"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20T00:00:00"/>
    <n v="-10.94"/>
    <s v="X"/>
    <s v="Barnes &amp; Noble"/>
    <m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20T00:00:00"/>
    <n v="-27.36"/>
    <s v="X"/>
    <s v="Jcpenney"/>
    <m/>
    <s v="Gifts/From Receipt"/>
    <m/>
    <m/>
    <s v="From Receipt"/>
    <x v="28"/>
    <x v="0"/>
    <m/>
    <m/>
    <m/>
    <m/>
    <s v="Dec"/>
    <n v="2014"/>
    <s v="Monthly"/>
    <n v="0"/>
    <s v="No"/>
    <s v="None"/>
    <s v="Gifts"/>
  </r>
  <r>
    <s v="MasterCard (Capital One)"/>
    <d v="2014-12-20T00:00:00"/>
    <n v="-27.36"/>
    <s v="X"/>
    <s v="Holiday Mall Photos"/>
    <s v="Christmas pictures"/>
    <s v="Home:Furnishings"/>
    <m/>
    <m/>
    <m/>
    <x v="14"/>
    <x v="2"/>
    <m/>
    <m/>
    <m/>
    <m/>
    <s v="Dec"/>
    <n v="2014"/>
    <s v="Monthly"/>
    <n v="0"/>
    <s v="No"/>
    <s v="None"/>
    <s v="Home|Furnishings"/>
  </r>
  <r>
    <s v="MasterCard (Capital One)"/>
    <d v="2014-12-20T00:00:00"/>
    <n v="-91.87"/>
    <s v="X"/>
    <s v="Fred Meyer"/>
    <s v="Includes Christmas treats and stocking stuffers"/>
    <s v="Food &amp; Dining:Groceries/From Receipt"/>
    <m/>
    <m/>
    <s v="From Receipt"/>
    <x v="15"/>
    <x v="3"/>
    <m/>
    <m/>
    <m/>
    <m/>
    <s v="Dec"/>
    <n v="2014"/>
    <s v="Monthly"/>
    <n v="0"/>
    <s v="No"/>
    <s v="None"/>
    <s v="Food &amp; Dining|Groceries"/>
  </r>
  <r>
    <s v="First Tech - Checking (5544)"/>
    <d v="2014-12-19T00:00:00"/>
    <n v="-45"/>
    <s v="X"/>
    <s v="Greenlake PTA"/>
    <s v="Christmas Tree@CAT:@@BAL:$29,866.34@"/>
    <s v="Home:Furnishings"/>
    <n v="2145"/>
    <m/>
    <m/>
    <x v="14"/>
    <x v="2"/>
    <m/>
    <m/>
    <m/>
    <m/>
    <s v="Dec"/>
    <n v="2014"/>
    <s v="Monthly"/>
    <n v="0"/>
    <s v="No"/>
    <s v="None"/>
    <s v="Home|Furnishings"/>
  </r>
  <r>
    <s v="MasterCard (Capital One)"/>
    <d v="2014-12-19T00:00:00"/>
    <n v="25"/>
    <s v="X"/>
    <s v="Cash Back Reward"/>
    <m/>
    <s v="Other Inc"/>
    <m/>
    <m/>
    <m/>
    <x v="29"/>
    <x v="0"/>
    <m/>
    <m/>
    <m/>
    <m/>
    <s v="Dec"/>
    <n v="2014"/>
    <s v="Monthly"/>
    <n v="0"/>
    <s v="No"/>
    <s v="None"/>
    <s v="Other Inc"/>
  </r>
  <r>
    <s v="MasterCard (Capital One)"/>
    <d v="2014-12-19T00:00:00"/>
    <n v="-12.03"/>
    <s v="X"/>
    <s v="O'reilly Auto Parts"/>
    <s v="Oil pan for magnets"/>
    <s v="Kids:Toys/From Receipt"/>
    <m/>
    <m/>
    <s v="From Receipt"/>
    <x v="27"/>
    <x v="14"/>
    <m/>
    <m/>
    <m/>
    <m/>
    <s v="Dec"/>
    <n v="2014"/>
    <s v="Monthly"/>
    <n v="0"/>
    <s v="No"/>
    <s v="None"/>
    <s v="Kids|Toys"/>
  </r>
  <r>
    <s v="MasterCard (Capital One)"/>
    <d v="2014-12-19T00:00:00"/>
    <n v="-15.86"/>
    <s v="X"/>
    <s v="Diamond Parking"/>
    <m/>
    <s v="Auto &amp; Transport:Parking"/>
    <m/>
    <m/>
    <m/>
    <x v="17"/>
    <x v="11"/>
    <m/>
    <m/>
    <m/>
    <m/>
    <s v="Dec"/>
    <n v="2014"/>
    <s v="Monthly"/>
    <n v="0"/>
    <s v="No"/>
    <s v="None"/>
    <s v="Auto &amp; Transport|Parking"/>
  </r>
  <r>
    <s v="MasterCard (Capital One)"/>
    <d v="2014-12-19T00:00:00"/>
    <n v="-34"/>
    <s v="X"/>
    <s v="Starbucks"/>
    <s v="Specialty coffees"/>
    <s v="Gifts/From Receipt"/>
    <m/>
    <m/>
    <s v="From Receipt"/>
    <x v="28"/>
    <x v="0"/>
    <m/>
    <m/>
    <m/>
    <m/>
    <s v="Dec"/>
    <n v="2014"/>
    <s v="Monthly"/>
    <n v="0"/>
    <s v="No"/>
    <s v="None"/>
    <s v="Gifts"/>
  </r>
  <r>
    <s v="MasterCard (Capital One)"/>
    <d v="2014-12-19T00:00:00"/>
    <n v="-11"/>
    <s v="X"/>
    <s v="Pac Sci Ctr"/>
    <s v="Movies with Diz - InterStellar"/>
    <s v="Entertainment"/>
    <m/>
    <m/>
    <m/>
    <x v="30"/>
    <x v="0"/>
    <m/>
    <m/>
    <m/>
    <m/>
    <s v="Dec"/>
    <n v="2014"/>
    <s v="Monthly"/>
    <n v="0"/>
    <s v="No"/>
    <s v="None"/>
    <s v="Entertainment"/>
  </r>
  <r>
    <s v="MasterCard (Capital One)"/>
    <d v="2014-12-19T00:00:00"/>
    <n v="-13.88"/>
    <s v="X"/>
    <s v="Taco Del Mar"/>
    <s v="2011: TACO DEL MAR GREENWOOD SEATTLE WA 98103 USA"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19T00:00:00"/>
    <n v="-14.81"/>
    <s v="X"/>
    <s v="Pie Center"/>
    <m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REI Mastercard (xx1787)"/>
    <d v="2014-12-19T00:00:00"/>
    <n v="-5"/>
    <s v="*"/>
    <s v="Rei"/>
    <s v="Bronner's soap"/>
    <s v="Food &amp; Dining:Groceries/From Receipt"/>
    <m/>
    <s v="Split"/>
    <s v="From Receipt"/>
    <x v="15"/>
    <x v="3"/>
    <m/>
    <m/>
    <m/>
    <m/>
    <s v="Dec"/>
    <n v="2014"/>
    <s v="Monthly"/>
    <n v="0"/>
    <s v="No"/>
    <s v="None"/>
    <s v="Food &amp; Dining|Groceries"/>
  </r>
  <r>
    <s v="REI Mastercard (xx1787)"/>
    <d v="2014-12-19T00:00:00"/>
    <n v="-6.57"/>
    <s v="*"/>
    <s v="Rei"/>
    <s v="Key ring"/>
    <s v="Shopping:Clothing/From Receipt"/>
    <m/>
    <s v="Split"/>
    <s v="From Receipt"/>
    <x v="13"/>
    <x v="1"/>
    <m/>
    <m/>
    <m/>
    <m/>
    <s v="Dec"/>
    <n v="2014"/>
    <s v="Annual"/>
    <n v="0"/>
    <s v="No"/>
    <s v="None"/>
    <s v="Shopping|Clothing"/>
  </r>
  <r>
    <s v="REI Mastercard (xx1787)"/>
    <d v="2014-12-19T00:00:00"/>
    <n v="-15.33"/>
    <s v="*"/>
    <s v="Rei"/>
    <s v="Cell phone case for Kurt"/>
    <s v="Gifts/From Receipt"/>
    <m/>
    <s v="Split"/>
    <s v="From Receipt"/>
    <x v="28"/>
    <x v="0"/>
    <m/>
    <m/>
    <m/>
    <m/>
    <s v="Dec"/>
    <n v="2014"/>
    <s v="Monthly"/>
    <n v="0"/>
    <s v="No"/>
    <s v="None"/>
    <s v="Gifts"/>
  </r>
  <r>
    <s v="REI Mastercard (xx1787)"/>
    <d v="2014-12-19T00:00:00"/>
    <n v="-15.81"/>
    <s v="*"/>
    <s v="Rei"/>
    <s v="eQua Hand Towel"/>
    <s v="Charity:Charity (Cash)/From Receipt"/>
    <m/>
    <s v="Split"/>
    <s v="From Receipt"/>
    <x v="22"/>
    <x v="7"/>
    <m/>
    <m/>
    <m/>
    <m/>
    <s v="Dec"/>
    <n v="2014"/>
    <s v="Annual"/>
    <n v="0"/>
    <s v="No"/>
    <s v="None"/>
    <s v="Charity|Charity (Cash)"/>
  </r>
  <r>
    <s v="MasterCard (Capital One)"/>
    <d v="2014-12-18T00:00:00"/>
    <n v="-15.05"/>
    <s v="X"/>
    <s v="Amazon"/>
    <s v="Mt. St. Helens Video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8T00:00:00"/>
    <n v="-60.23"/>
    <s v="X"/>
    <s v="Rei"/>
    <s v="Angela's Christmas present"/>
    <s v="Shopping:Clothing/From Receipt"/>
    <m/>
    <m/>
    <s v="From Receipt"/>
    <x v="13"/>
    <x v="1"/>
    <m/>
    <m/>
    <m/>
    <m/>
    <s v="Dec"/>
    <n v="2014"/>
    <s v="Annual"/>
    <n v="0"/>
    <s v="No"/>
    <s v="None"/>
    <s v="Shopping|Clothing"/>
  </r>
  <r>
    <s v="Schwab - Checking (9784)"/>
    <d v="2014-12-17T00:00:00"/>
    <n v="-60"/>
    <s v="X"/>
    <s v="Kens Market"/>
    <s v="Boy's haircut"/>
    <s v="Personal Care:Hair"/>
    <m/>
    <s v="Split"/>
    <m/>
    <x v="31"/>
    <x v="16"/>
    <m/>
    <m/>
    <m/>
    <m/>
    <s v="Dec"/>
    <n v="2014"/>
    <s v="Monthly"/>
    <n v="0"/>
    <s v="No"/>
    <s v="None"/>
    <s v="Personal Care|Hair"/>
  </r>
  <r>
    <s v="Schwab - Checking (9784)"/>
    <d v="2014-12-17T00:00:00"/>
    <n v="-2"/>
    <s v="X"/>
    <s v="Kens Market"/>
    <m/>
    <s v="Bank Fees &amp; Charges:ATM Fee"/>
    <m/>
    <s v="Split"/>
    <m/>
    <x v="32"/>
    <x v="17"/>
    <m/>
    <m/>
    <m/>
    <m/>
    <s v="Dec"/>
    <n v="2014"/>
    <s v="Monthly"/>
    <n v="0"/>
    <s v="No"/>
    <s v="None"/>
    <s v="Bank Fees &amp; Charges|ATM Fee"/>
  </r>
  <r>
    <s v="MasterCard (Capital One)"/>
    <d v="2014-12-17T00:00:00"/>
    <n v="-1.62"/>
    <s v="X"/>
    <s v="Taco Del Mar"/>
    <s v="2011: TACO DEL MAR GREENWOOD SEATTLE WA 98103 USA"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17T00:00:00"/>
    <n v="-3.32"/>
    <s v="X"/>
    <s v="Park"/>
    <m/>
    <s v="Auto &amp; Transport:Parking"/>
    <m/>
    <m/>
    <m/>
    <x v="17"/>
    <x v="11"/>
    <m/>
    <m/>
    <m/>
    <m/>
    <s v="Dec"/>
    <n v="2014"/>
    <s v="Monthly"/>
    <n v="0"/>
    <s v="No"/>
    <s v="None"/>
    <s v="Auto &amp; Transport|Parking"/>
  </r>
  <r>
    <s v="MasterCard (Capital One)"/>
    <d v="2014-12-17T00:00:00"/>
    <n v="-6.56"/>
    <s v="X"/>
    <s v="Marbles Brain Stor"/>
    <s v="Foot massager for Angela"/>
    <s v="Shopping:Clothing/From Receipt"/>
    <m/>
    <m/>
    <s v="From Receipt"/>
    <x v="13"/>
    <x v="1"/>
    <m/>
    <m/>
    <m/>
    <m/>
    <s v="Dec"/>
    <n v="2014"/>
    <s v="Annual"/>
    <n v="0"/>
    <s v="No"/>
    <s v="None"/>
    <s v="Shopping|Clothing"/>
  </r>
  <r>
    <s v="MasterCard (Capital One)"/>
    <d v="2014-12-17T00:00:00"/>
    <n v="-7.95"/>
    <s v="X"/>
    <s v="Starbucks"/>
    <m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17T00:00:00"/>
    <n v="-8.75"/>
    <s v="X"/>
    <s v="Blue Water Taco"/>
    <m/>
    <s v="Food &amp; Dining:Restaurants/From Receipt"/>
    <m/>
    <m/>
    <s v="From Receipt"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17T00:00:00"/>
    <n v="-13.81"/>
    <s v="X"/>
    <s v="Taco Del Mar"/>
    <s v="2011: TACO DEL MAR GREENWOOD SEATTLE WA 98103 USA"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17T00:00:00"/>
    <n v="-17.510000000000002"/>
    <s v="X"/>
    <s v="Amazon"/>
    <s v="Microscope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7T00:00:00"/>
    <n v="-34.159999999999997"/>
    <s v="X"/>
    <s v="Amazon"/>
    <s v="Bath toys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7T00:00:00"/>
    <n v="-52.99"/>
    <s v="X"/>
    <s v="Amazon"/>
    <s v="Pirate ship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6T00:00:00"/>
    <n v="-4.37"/>
    <s v="X"/>
    <s v="Pandora"/>
    <m/>
    <s v="Subscriptions &amp; Dues"/>
    <m/>
    <m/>
    <m/>
    <x v="33"/>
    <x v="0"/>
    <m/>
    <m/>
    <m/>
    <m/>
    <s v="Dec"/>
    <n v="2014"/>
    <s v="Annual"/>
    <n v="0"/>
    <s v="No"/>
    <s v="None"/>
    <s v="Subscriptions &amp; Dues"/>
  </r>
  <r>
    <s v="MasterCard (Capital One)"/>
    <d v="2014-12-16T00:00:00"/>
    <n v="-6.52"/>
    <s v="X"/>
    <s v="Amazon"/>
    <s v="@CAT:@Map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6T00:00:00"/>
    <n v="-9.4700000000000006"/>
    <s v="X"/>
    <s v="Trader Joe's"/>
    <m/>
    <s v="Food &amp; Dining:Groceries/From Receipt"/>
    <m/>
    <m/>
    <s v="From Receipt"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16T00:00:00"/>
    <n v="-20.77"/>
    <s v="X"/>
    <s v="Fred Meyer"/>
    <s v="Giving tree at CDC"/>
    <s v="Charity:Charity (Cash)/From Receipt"/>
    <m/>
    <m/>
    <s v="From Receipt"/>
    <x v="22"/>
    <x v="7"/>
    <m/>
    <m/>
    <m/>
    <m/>
    <s v="Dec"/>
    <n v="2014"/>
    <s v="Annual"/>
    <n v="0"/>
    <s v="No"/>
    <s v="None"/>
    <s v="Charity|Charity (Cash)"/>
  </r>
  <r>
    <s v="MasterCard (Capital One)"/>
    <d v="2014-12-16T00:00:00"/>
    <n v="-32.69"/>
    <s v="X"/>
    <s v="Amazon"/>
    <s v="Medical playset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6T00:00:00"/>
    <n v="-36.03"/>
    <s v="X"/>
    <s v="Amazon"/>
    <s v="Stuffies, books, and pencils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6T00:00:00"/>
    <n v="-57.88"/>
    <s v="X"/>
    <s v="Amazon"/>
    <s v="Videos and stuffies"/>
    <s v="Kids:Toys"/>
    <m/>
    <m/>
    <m/>
    <x v="27"/>
    <x v="14"/>
    <m/>
    <m/>
    <m/>
    <m/>
    <s v="Dec"/>
    <n v="2014"/>
    <s v="Monthly"/>
    <n v="0"/>
    <s v="No"/>
    <s v="None"/>
    <s v="Kids|Toys"/>
  </r>
  <r>
    <s v="MasterCard (Capital One)"/>
    <d v="2014-12-16T00:00:00"/>
    <n v="-97.44"/>
    <s v="X"/>
    <s v="Fireworks Cen"/>
    <m/>
    <s v="Gifts/From Receipt"/>
    <m/>
    <m/>
    <s v="From Receipt"/>
    <x v="28"/>
    <x v="0"/>
    <m/>
    <m/>
    <m/>
    <m/>
    <s v="Dec"/>
    <n v="2014"/>
    <s v="Monthly"/>
    <n v="0"/>
    <s v="No"/>
    <s v="None"/>
    <s v="Gifts"/>
  </r>
  <r>
    <s v="First Tech - Checking (5544)"/>
    <d v="2014-12-15T00:00:00"/>
    <n v="-103.03"/>
    <s v="X"/>
    <s v="Puget Sound Energy"/>
    <s v="ACH Debit--PUGET SOUND ENER DIRECT DEBITING - PSE BILL  36250555"/>
    <s v="Bills &amp; Utilities:Utilities"/>
    <m/>
    <m/>
    <m/>
    <x v="34"/>
    <x v="18"/>
    <m/>
    <m/>
    <m/>
    <m/>
    <s v="Dec"/>
    <n v="2014"/>
    <s v="Monthly"/>
    <n v="0"/>
    <s v="No"/>
    <s v="None"/>
    <s v="Bills &amp; Utilities|Utilities"/>
  </r>
  <r>
    <s v="First Tech - Checking (5544)"/>
    <d v="2014-12-15T00:00:00"/>
    <n v="-246.38"/>
    <s v="X"/>
    <s v="Northwest Awning Online"/>
    <s v="Awning repair"/>
    <s v="Home:Home Improvement"/>
    <m/>
    <m/>
    <m/>
    <x v="14"/>
    <x v="19"/>
    <m/>
    <m/>
    <m/>
    <m/>
    <s v="Dec"/>
    <n v="2014"/>
    <s v="Irregular"/>
    <n v="0"/>
    <s v="No"/>
    <s v="None"/>
    <s v="Home|Home Improvement"/>
  </r>
  <r>
    <s v="MasterCard (Capital One)"/>
    <d v="2014-12-15T00:00:00"/>
    <n v="-7.32"/>
    <s v="X"/>
    <s v="Diamond Parking"/>
    <m/>
    <s v="Auto &amp; Transport:Parking"/>
    <m/>
    <m/>
    <m/>
    <x v="17"/>
    <x v="11"/>
    <m/>
    <m/>
    <m/>
    <m/>
    <s v="Dec"/>
    <n v="2014"/>
    <s v="Monthly"/>
    <n v="0"/>
    <s v="No"/>
    <s v="None"/>
    <s v="Auto &amp; Transport|Parking"/>
  </r>
  <r>
    <s v="First Tech - Checking (5544)"/>
    <d v="2014-12-14T00:00:00"/>
    <n v="5548.92"/>
    <s v="X"/>
    <s v="Microsoft (Paystub)"/>
    <s v="ACH Deposit--MICROSOFT  - EDIPAYMENT"/>
    <s v="Net Salary"/>
    <m/>
    <m/>
    <m/>
    <x v="35"/>
    <x v="0"/>
    <m/>
    <m/>
    <m/>
    <m/>
    <s v="Dec"/>
    <n v="2014"/>
    <s v="Monthly"/>
    <n v="0"/>
    <s v="No"/>
    <s v="None"/>
    <s v="Net Salary"/>
  </r>
  <r>
    <s v="MasterCard (Capital One)"/>
    <d v="2014-12-14T00:00:00"/>
    <n v="-6.23"/>
    <s v="X"/>
    <s v="Greenwood Hardware"/>
    <s v="Christmas light supplies"/>
    <s v="Home:Furnishings/From Receipt"/>
    <m/>
    <m/>
    <s v="From Receipt"/>
    <x v="14"/>
    <x v="2"/>
    <m/>
    <m/>
    <m/>
    <m/>
    <s v="Dec"/>
    <n v="2014"/>
    <s v="Monthly"/>
    <n v="0"/>
    <s v="No"/>
    <s v="None"/>
    <s v="Home|Furnishings"/>
  </r>
  <r>
    <s v="MasterCard (Capital One)"/>
    <d v="2014-12-14T00:00:00"/>
    <n v="-6.56"/>
    <s v="X"/>
    <s v="Fred Meyer"/>
    <s v="Christmas Tree decorations"/>
    <s v="Home:Furnishings/From Receipt"/>
    <m/>
    <s v="Split"/>
    <s v="From Receipt"/>
    <x v="14"/>
    <x v="2"/>
    <m/>
    <m/>
    <m/>
    <m/>
    <s v="Dec"/>
    <n v="2014"/>
    <s v="Monthly"/>
    <n v="0"/>
    <s v="No"/>
    <s v="None"/>
    <s v="Home|Furnishings"/>
  </r>
  <r>
    <s v="MasterCard (Capital One)"/>
    <d v="2014-12-14T00:00:00"/>
    <n v="-2"/>
    <s v="X"/>
    <s v="Fred Meyer"/>
    <m/>
    <s v="Food &amp; Dining:Groceries/From Receipt"/>
    <m/>
    <s v="Split"/>
    <s v="From Receipt"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14T00:00:00"/>
    <n v="-9.8800000000000008"/>
    <s v="X"/>
    <s v="Fred Meyer"/>
    <m/>
    <s v="Food &amp; Dining:Groceries"/>
    <m/>
    <m/>
    <m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14T00:00:00"/>
    <n v="-11.25"/>
    <s v="X"/>
    <s v="Stoneway Hardware"/>
    <s v="Christmas light supplies"/>
    <s v="Home:Furnishings/From Receipt"/>
    <m/>
    <m/>
    <s v="From Receipt"/>
    <x v="14"/>
    <x v="2"/>
    <m/>
    <m/>
    <m/>
    <m/>
    <s v="Dec"/>
    <n v="2014"/>
    <s v="Monthly"/>
    <n v="0"/>
    <s v="No"/>
    <s v="None"/>
    <s v="Home|Furnishings"/>
  </r>
  <r>
    <s v="MasterCard (Capital One)"/>
    <d v="2014-12-14T00:00:00"/>
    <n v="-25.61"/>
    <s v="X"/>
    <s v="Fofritzing"/>
    <s v="Fritzing software"/>
    <s v="Shopping:Electronics &amp; Software"/>
    <m/>
    <m/>
    <m/>
    <x v="13"/>
    <x v="20"/>
    <m/>
    <m/>
    <m/>
    <m/>
    <s v="Dec"/>
    <n v="2014"/>
    <s v="Annual"/>
    <n v="0"/>
    <s v="No"/>
    <s v="None"/>
    <s v="Shopping|Electronics &amp; Software"/>
  </r>
  <r>
    <s v="MasterCard (Capital One)"/>
    <d v="2014-12-13T00:00:00"/>
    <n v="0.25"/>
    <s v="X"/>
    <s v="Etsy Com"/>
    <m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13T00:00:00"/>
    <n v="4"/>
    <s v="X"/>
    <s v="Etsy Com"/>
    <m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13T00:00:00"/>
    <n v="-2.87"/>
    <s v="X"/>
    <s v="Park"/>
    <m/>
    <s v="Auto &amp; Transport:Parking"/>
    <m/>
    <m/>
    <m/>
    <x v="17"/>
    <x v="11"/>
    <m/>
    <m/>
    <m/>
    <m/>
    <s v="Dec"/>
    <n v="2014"/>
    <s v="Monthly"/>
    <n v="0"/>
    <s v="No"/>
    <s v="None"/>
    <s v="Auto &amp; Transport|Parking"/>
  </r>
  <r>
    <s v="MasterCard (Capital One)"/>
    <d v="2014-12-13T00:00:00"/>
    <n v="-13.07"/>
    <s v="X"/>
    <s v="Amazon"/>
    <s v="Dot to dot book"/>
    <s v="Gifts"/>
    <m/>
    <s v="Split"/>
    <m/>
    <x v="28"/>
    <x v="0"/>
    <m/>
    <m/>
    <m/>
    <m/>
    <s v="Dec"/>
    <n v="2014"/>
    <s v="Monthly"/>
    <n v="0"/>
    <s v="No"/>
    <s v="None"/>
    <s v="Gifts"/>
  </r>
  <r>
    <s v="MasterCard (Capital One)"/>
    <d v="2014-12-13T00:00:00"/>
    <n v="-11.82"/>
    <s v="X"/>
    <s v="Amazon"/>
    <s v="Frosty the snowman returns"/>
    <s v="Kids:Toys"/>
    <m/>
    <s v="Split"/>
    <m/>
    <x v="27"/>
    <x v="14"/>
    <m/>
    <m/>
    <m/>
    <m/>
    <s v="Dec"/>
    <n v="2014"/>
    <s v="Monthly"/>
    <n v="0"/>
    <s v="No"/>
    <s v="None"/>
    <s v="Kids|Toys"/>
  </r>
  <r>
    <s v="MasterCard (Capital One)"/>
    <d v="2014-12-13T00:00:00"/>
    <n v="-57"/>
    <s v="X"/>
    <s v="Beehive Salon"/>
    <s v="2011: BEEHIVE SALON SEATTLE WA 981036264 USA"/>
    <s v="Personal Care:Hair"/>
    <m/>
    <m/>
    <m/>
    <x v="31"/>
    <x v="16"/>
    <m/>
    <m/>
    <m/>
    <m/>
    <s v="Dec"/>
    <n v="2014"/>
    <s v="Monthly"/>
    <n v="0"/>
    <s v="No"/>
    <s v="None"/>
    <s v="Personal Care|Hair"/>
  </r>
  <r>
    <s v="MasterCard (Capital One)"/>
    <d v="2014-12-13T00:00:00"/>
    <n v="-60.76"/>
    <s v="X"/>
    <s v="Pesos"/>
    <m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MasterCard (Capital One)"/>
    <d v="2014-12-13T00:00:00"/>
    <n v="-160.66"/>
    <s v="X"/>
    <s v="Fred Meyer"/>
    <m/>
    <s v="Food &amp; Dining:Groceries"/>
    <m/>
    <m/>
    <m/>
    <x v="15"/>
    <x v="3"/>
    <m/>
    <m/>
    <m/>
    <m/>
    <s v="Dec"/>
    <n v="2014"/>
    <s v="Monthly"/>
    <n v="0"/>
    <s v="No"/>
    <s v="None"/>
    <s v="Food &amp; Dining|Groceries"/>
  </r>
  <r>
    <s v="Discover Card"/>
    <d v="2014-12-12T00:00:00"/>
    <n v="-5.46"/>
    <s v="X"/>
    <s v="Microsoft"/>
    <s v="#Apps#"/>
    <s v="Work Expense:Reimbursable expense"/>
    <m/>
    <m/>
    <m/>
    <x v="19"/>
    <x v="21"/>
    <m/>
    <m/>
    <s v="Apps"/>
    <m/>
    <s v="Dec"/>
    <n v="2014"/>
    <s v="Irregular"/>
    <n v="0"/>
    <s v="No"/>
    <s v="None"/>
    <s v="Work Expense|Reimbursable expense"/>
  </r>
  <r>
    <s v="Koolikai Credit Card"/>
    <d v="2014-12-12T00:00:00"/>
    <n v="-146.88"/>
    <s v="*"/>
    <s v="Verizon Wireless"/>
    <m/>
    <s v="Business Expenses (Koolikai):Cell Phone"/>
    <m/>
    <m/>
    <m/>
    <x v="36"/>
    <x v="22"/>
    <m/>
    <m/>
    <m/>
    <m/>
    <s v="Dec"/>
    <n v="2014"/>
    <s v="Monthly"/>
    <n v="0"/>
    <s v="No"/>
    <s v="None"/>
    <s v="Business Expenses (Koolikai)|Cell Phone"/>
  </r>
  <r>
    <s v="MasterCard (Capital One)"/>
    <d v="2014-12-12T00:00:00"/>
    <n v="-36.71"/>
    <s v="X"/>
    <s v="Amazon"/>
    <s v="Seahawks blanket"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12T00:00:00"/>
    <n v="-24.63"/>
    <s v="X"/>
    <s v="Amazon"/>
    <s v="Sherlock"/>
    <s v="Gifts"/>
    <m/>
    <s v="Split"/>
    <m/>
    <x v="28"/>
    <x v="0"/>
    <m/>
    <m/>
    <m/>
    <m/>
    <s v="Dec"/>
    <n v="2014"/>
    <s v="Monthly"/>
    <n v="0"/>
    <s v="No"/>
    <s v="None"/>
    <s v="Gifts"/>
  </r>
  <r>
    <s v="MasterCard (Capital One)"/>
    <d v="2014-12-12T00:00:00"/>
    <n v="-14.89"/>
    <s v="X"/>
    <s v="Amazon"/>
    <s v="Magnetic letters for boys"/>
    <s v="Kids:Toys"/>
    <m/>
    <s v="Split"/>
    <m/>
    <x v="27"/>
    <x v="14"/>
    <m/>
    <m/>
    <m/>
    <m/>
    <s v="Dec"/>
    <n v="2014"/>
    <s v="Monthly"/>
    <n v="0"/>
    <s v="No"/>
    <s v="None"/>
    <s v="Kids|Toys"/>
  </r>
  <r>
    <s v="MasterCard (Capital One)"/>
    <d v="2014-12-12T00:00:00"/>
    <n v="-4.37"/>
    <s v="X"/>
    <s v="Amazon"/>
    <s v="Frosty the snowman book"/>
    <s v="Kids:Toys"/>
    <m/>
    <s v="Split"/>
    <m/>
    <x v="27"/>
    <x v="14"/>
    <m/>
    <m/>
    <m/>
    <m/>
    <s v="Dec"/>
    <n v="2014"/>
    <s v="Monthly"/>
    <n v="0"/>
    <s v="No"/>
    <s v="None"/>
    <s v="Kids|Toys"/>
  </r>
  <r>
    <s v="MasterCard (Capital One)"/>
    <d v="2014-12-12T00:00:00"/>
    <n v="-42.52"/>
    <s v="X"/>
    <s v="Amazon"/>
    <m/>
    <s v="Gifts"/>
    <m/>
    <s v="Split"/>
    <m/>
    <x v="28"/>
    <x v="0"/>
    <m/>
    <m/>
    <m/>
    <m/>
    <s v="Dec"/>
    <n v="2014"/>
    <s v="Monthly"/>
    <n v="0"/>
    <s v="No"/>
    <s v="None"/>
    <s v="Gifts"/>
  </r>
  <r>
    <s v="MasterCard (Capital One)"/>
    <d v="2014-12-12T00:00:00"/>
    <n v="-95.66"/>
    <s v="X"/>
    <s v="Hi Life"/>
    <m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Discover Card"/>
    <d v="2014-12-11T00:00:00"/>
    <n v="-3.27"/>
    <s v="X"/>
    <s v="Microsoft"/>
    <s v="#Apps#"/>
    <s v="Work Expense:Reimbursable expense"/>
    <m/>
    <m/>
    <m/>
    <x v="19"/>
    <x v="21"/>
    <m/>
    <m/>
    <s v="Apps"/>
    <m/>
    <s v="Dec"/>
    <n v="2014"/>
    <s v="Irregular"/>
    <n v="0"/>
    <s v="No"/>
    <s v="None"/>
    <s v="Work Expense|Reimbursable expense"/>
  </r>
  <r>
    <s v="Discover Card"/>
    <d v="2014-12-11T00:00:00"/>
    <n v="-4.37"/>
    <s v="X"/>
    <s v="Microsoft"/>
    <s v="#Apps#"/>
    <s v="Work Expense:Reimbursable expense"/>
    <m/>
    <m/>
    <m/>
    <x v="19"/>
    <x v="21"/>
    <m/>
    <m/>
    <s v="Apps"/>
    <m/>
    <s v="Dec"/>
    <n v="2014"/>
    <s v="Irregular"/>
    <n v="0"/>
    <s v="No"/>
    <s v="None"/>
    <s v="Work Expense|Reimbursable expense"/>
  </r>
  <r>
    <s v="MasterCard (Capital One)"/>
    <d v="2014-12-11T00:00:00"/>
    <n v="-14.59"/>
    <s v="X"/>
    <s v="Ken's Market"/>
    <m/>
    <s v="Food &amp; Dining:Groceries"/>
    <m/>
    <m/>
    <m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11T00:00:00"/>
    <n v="-16.41"/>
    <s v="X"/>
    <s v="Fuego"/>
    <s v="Book for Tony"/>
    <s v="Gifts/From Receipt"/>
    <m/>
    <m/>
    <s v="From Receipt"/>
    <x v="28"/>
    <x v="0"/>
    <m/>
    <m/>
    <m/>
    <m/>
    <s v="Dec"/>
    <n v="2014"/>
    <s v="Monthly"/>
    <n v="0"/>
    <s v="No"/>
    <s v="None"/>
    <s v="Gifts"/>
  </r>
  <r>
    <s v="MasterCard (Capital One)"/>
    <d v="2014-12-11T00:00:00"/>
    <n v="-30.65"/>
    <s v="X"/>
    <s v="Jcpenney"/>
    <m/>
    <s v="Gifts/From Receipt"/>
    <m/>
    <m/>
    <s v="From Receipt"/>
    <x v="28"/>
    <x v="0"/>
    <m/>
    <m/>
    <m/>
    <m/>
    <s v="Dec"/>
    <n v="2014"/>
    <s v="Monthly"/>
    <n v="0"/>
    <s v="No"/>
    <s v="None"/>
    <s v="Gifts"/>
  </r>
  <r>
    <s v="MasterCard (Capital One)"/>
    <d v="2014-12-11T00:00:00"/>
    <n v="-32.840000000000003"/>
    <s v="X"/>
    <s v="Brookstone"/>
    <s v="Fitbit band"/>
    <s v="Shopping:Clothing:Accessories/From Receipt"/>
    <m/>
    <m/>
    <s v="From Receipt"/>
    <x v="13"/>
    <x v="1"/>
    <s v="Accessories"/>
    <m/>
    <m/>
    <m/>
    <s v="Dec"/>
    <n v="2014"/>
    <s v="Annual"/>
    <n v="0"/>
    <s v="No"/>
    <s v="None"/>
    <s v="Shopping|Clothing"/>
  </r>
  <r>
    <s v="MasterCard (Capital One)"/>
    <d v="2014-12-11T00:00:00"/>
    <n v="-146.5"/>
    <s v="X"/>
    <s v="Barnes &amp; Noble"/>
    <m/>
    <s v="Gifts/From Receipt"/>
    <m/>
    <m/>
    <s v="From Receipt"/>
    <x v="28"/>
    <x v="0"/>
    <m/>
    <m/>
    <m/>
    <m/>
    <s v="Dec"/>
    <n v="2014"/>
    <s v="Monthly"/>
    <n v="0"/>
    <s v="No"/>
    <s v="None"/>
    <s v="Gifts"/>
  </r>
  <r>
    <s v="MasterCard (Capital One)"/>
    <d v="2014-12-10T00:00:00"/>
    <n v="25"/>
    <s v="X"/>
    <s v="Capital One (Cash Back)"/>
    <m/>
    <s v="Other Inc"/>
    <m/>
    <m/>
    <m/>
    <x v="29"/>
    <x v="0"/>
    <m/>
    <m/>
    <m/>
    <m/>
    <s v="Dec"/>
    <n v="2014"/>
    <s v="Monthly"/>
    <n v="0"/>
    <s v="No"/>
    <s v="None"/>
    <s v="Other Inc"/>
  </r>
  <r>
    <s v="MasterCard (Capital One)"/>
    <d v="2014-12-10T00:00:00"/>
    <n v="-11.58"/>
    <s v="X"/>
    <s v="Ken's Market"/>
    <m/>
    <s v="Food &amp; Dining:Groceries"/>
    <m/>
    <m/>
    <m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10T00:00:00"/>
    <n v="-142.30000000000001"/>
    <s v="X"/>
    <s v="FitBit"/>
    <s v="#Stay Fit#"/>
    <s v="Health &amp; Fitness:Sports"/>
    <m/>
    <m/>
    <m/>
    <x v="18"/>
    <x v="23"/>
    <m/>
    <m/>
    <s v="Stay Fit"/>
    <m/>
    <s v="Dec"/>
    <n v="2014"/>
    <s v="Irregular"/>
    <n v="0"/>
    <s v="No"/>
    <s v="None"/>
    <s v="Health &amp; Fitness|Sports"/>
  </r>
  <r>
    <s v="MasterCard (Capital One)"/>
    <d v="2014-12-09T00:00:00"/>
    <n v="-8.25"/>
    <s v="X"/>
    <s v="Etsy Com"/>
    <m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09T00:00:00"/>
    <n v="-35.25"/>
    <s v="X"/>
    <s v="Etsy Com"/>
    <m/>
    <s v="Gifts"/>
    <m/>
    <m/>
    <m/>
    <x v="28"/>
    <x v="0"/>
    <m/>
    <m/>
    <m/>
    <m/>
    <s v="Dec"/>
    <n v="2014"/>
    <s v="Monthly"/>
    <n v="0"/>
    <s v="No"/>
    <s v="None"/>
    <s v="Gifts"/>
  </r>
  <r>
    <s v="MasterCard (Capital One)"/>
    <d v="2014-12-09T00:00:00"/>
    <n v="-180"/>
    <s v="X"/>
    <s v="Whlelfeyoga"/>
    <s v="#Stay Fit#"/>
    <s v="Health &amp; Fitness:Sports"/>
    <m/>
    <m/>
    <m/>
    <x v="18"/>
    <x v="23"/>
    <m/>
    <m/>
    <s v="Stay Fit"/>
    <m/>
    <s v="Dec"/>
    <n v="2014"/>
    <s v="Irregular"/>
    <n v="0"/>
    <s v="No"/>
    <s v="None"/>
    <s v="Health &amp; Fitness|Sports"/>
  </r>
  <r>
    <s v="MasterCard (Capital One)"/>
    <d v="2014-12-08T00:00:00"/>
    <n v="-7.88"/>
    <s v="X"/>
    <s v="Taco Del Mar"/>
    <s v="2011: TACO DEL MAR GREENWOOD SEATTLE WA 98103 USA"/>
    <s v="Food &amp; Dining:Restaurants"/>
    <m/>
    <m/>
    <m/>
    <x v="15"/>
    <x v="15"/>
    <m/>
    <m/>
    <m/>
    <m/>
    <s v="Dec"/>
    <n v="2014"/>
    <s v="Monthly"/>
    <n v="0"/>
    <s v="No"/>
    <s v="None"/>
    <s v="Food &amp; Dining|Restaurants"/>
  </r>
  <r>
    <s v="First Tech - Checking (5544)"/>
    <d v="2014-12-07T00:00:00"/>
    <n v="11.95"/>
    <s v="X"/>
    <s v="Dave Smith"/>
    <s v="Reimbursement for T-Mobile payment"/>
    <s v="Bills &amp; Utilities:Mobile Phone"/>
    <m/>
    <m/>
    <m/>
    <x v="34"/>
    <x v="24"/>
    <m/>
    <m/>
    <m/>
    <m/>
    <s v="Dec"/>
    <n v="2014"/>
    <s v="Hidden"/>
    <n v="0"/>
    <s v="No"/>
    <s v="None"/>
    <s v="Bills &amp; Utilities|Mobile Phone"/>
  </r>
  <r>
    <s v="Koolikai - Checking XX2129"/>
    <d v="2014-12-07T00:00:00"/>
    <n v="2295"/>
    <s v="*"/>
    <s v="Shared Branch Mobile"/>
    <s v="Deposit--Shared Branch Mobile Deposit          First Tech FC CA"/>
    <s v="Business Income (Koolikai):Rent/7231"/>
    <m/>
    <m/>
    <n v="7231"/>
    <x v="37"/>
    <x v="25"/>
    <m/>
    <m/>
    <m/>
    <m/>
    <s v="Dec"/>
    <n v="2014"/>
    <s v="Monthly"/>
    <n v="0"/>
    <s v="No"/>
    <s v="None"/>
    <s v="Business Income (Koolikai)|Rent"/>
  </r>
  <r>
    <s v="MasterCard (Capital One)"/>
    <d v="2014-12-07T00:00:00"/>
    <n v="-21.45"/>
    <s v="X"/>
    <s v="Safeway"/>
    <m/>
    <s v="Food &amp; Dining:Groceries/From Receipt"/>
    <m/>
    <m/>
    <s v="From Receipt"/>
    <x v="15"/>
    <x v="3"/>
    <m/>
    <m/>
    <m/>
    <m/>
    <s v="Dec"/>
    <n v="2014"/>
    <s v="Monthly"/>
    <n v="0"/>
    <s v="No"/>
    <s v="None"/>
    <s v="Food &amp; Dining|Groceries"/>
  </r>
  <r>
    <s v="MasterCard (Capital One)"/>
    <d v="2014-12-06T00:00:00"/>
    <n v="-25"/>
    <s v="X"/>
    <s v="Virgin America"/>
    <s v="#Disneyland 2014#"/>
    <s v="Vacation:Transportation"/>
    <m/>
    <m/>
    <m/>
    <x v="23"/>
    <x v="26"/>
    <m/>
    <m/>
    <s v="Disneyland 2014"/>
    <m/>
    <s v="Dec"/>
    <n v="2014"/>
    <s v="Irregular"/>
    <n v="0"/>
    <s v="No"/>
    <s v="None"/>
    <s v="Vacation|Transportation"/>
  </r>
  <r>
    <s v="MasterCard (Capital One)"/>
    <d v="2014-12-06T00:00:00"/>
    <n v="-26.01"/>
    <s v="X"/>
    <s v="Burger King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6T00:00:00"/>
    <n v="-64.7"/>
    <s v="X"/>
    <s v="Shuttlepark"/>
    <s v="#Disneyland 2014#"/>
    <s v="Vacation:Transportation/From Receipt"/>
    <m/>
    <m/>
    <s v="From Receipt"/>
    <x v="23"/>
    <x v="26"/>
    <m/>
    <m/>
    <s v="Disneyland 2014"/>
    <m/>
    <s v="Dec"/>
    <n v="2014"/>
    <s v="Irregular"/>
    <n v="0"/>
    <s v="No"/>
    <s v="None"/>
    <s v="Vacation|Transportation"/>
  </r>
  <r>
    <s v="MasterCard (Capital One)"/>
    <d v="2014-12-06T00:00:00"/>
    <n v="-921.39"/>
    <s v="X"/>
    <s v="Howard Johnson"/>
    <s v="#Disneyland 2014#"/>
    <s v="Vacation:Lodging"/>
    <m/>
    <m/>
    <m/>
    <x v="23"/>
    <x v="9"/>
    <m/>
    <m/>
    <s v="Disneyland 2014"/>
    <m/>
    <s v="Dec"/>
    <n v="2014"/>
    <s v="Irregular"/>
    <n v="0"/>
    <s v="No"/>
    <s v="None"/>
    <s v="Vacation|Lodging"/>
  </r>
  <r>
    <s v="First Tech - Checking (5544)"/>
    <d v="2014-12-05T00:00:00"/>
    <n v="-3864.19"/>
    <s v="X"/>
    <s v="Wells Fargo Home Mortgage"/>
    <s v="ACH Debit--WF HOME MTG ACH - AUTO PAY"/>
    <s v="Home:Mortgage"/>
    <m/>
    <m/>
    <m/>
    <x v="14"/>
    <x v="27"/>
    <m/>
    <m/>
    <m/>
    <m/>
    <s v="Dec"/>
    <n v="2014"/>
    <s v="Monthly"/>
    <n v="0"/>
    <s v="No"/>
    <s v="None"/>
    <s v="Home|Mortgage"/>
  </r>
  <r>
    <s v="MasterCard (Capital One)"/>
    <d v="2014-12-05T00:00:00"/>
    <n v="-2.58"/>
    <s v="X"/>
    <s v="Mcdonald'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5T00:00:00"/>
    <n v="-4.25"/>
    <s v="X"/>
    <s v="Popcorn Tomorrowl"/>
    <s v="#Disneyland 2014# Popcorn"/>
    <s v="Vacation:Food/From Receipt"/>
    <m/>
    <m/>
    <s v="From Receipt"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5T00:00:00"/>
    <n v="-5.61"/>
    <s v="X"/>
    <s v="Tiki Juice Bar"/>
    <s v="#Disneyland 2014#"/>
    <s v="Vacation:Food/From Receipt"/>
    <m/>
    <m/>
    <s v="From Receipt"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5T00:00:00"/>
    <n v="-10.53"/>
    <s v="X"/>
    <s v="La Brea Y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5T00:00:00"/>
    <n v="-14.18"/>
    <s v="X"/>
    <s v="Mcdonald'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5T00:00:00"/>
    <n v="-18.309999999999999"/>
    <s v="X"/>
    <s v="Disney"/>
    <s v="#Disneyland 2014# Shirt?"/>
    <s v="Vacation:Trinkets"/>
    <m/>
    <m/>
    <m/>
    <x v="23"/>
    <x v="28"/>
    <m/>
    <m/>
    <s v="Disneyland 2014"/>
    <m/>
    <s v="Dec"/>
    <n v="2014"/>
    <s v="Irregular"/>
    <n v="0"/>
    <s v="No"/>
    <s v="None"/>
    <s v="Vacation|Trinkets"/>
  </r>
  <r>
    <s v="MasterCard (Capital One)"/>
    <d v="2014-12-05T00:00:00"/>
    <n v="-29.05"/>
    <s v="X"/>
    <s v="Emporium Dl"/>
    <s v="#Disneyland 2014# Stuffies"/>
    <s v="Vacation:Trinkets/From Receipt"/>
    <m/>
    <m/>
    <s v="From Receipt"/>
    <x v="23"/>
    <x v="28"/>
    <m/>
    <m/>
    <s v="Disneyland 2014"/>
    <m/>
    <s v="Dec"/>
    <n v="2014"/>
    <s v="Irregular"/>
    <n v="0"/>
    <s v="No"/>
    <s v="None"/>
    <s v="Vacation|Trinkets"/>
  </r>
  <r>
    <s v="MasterCard (Capital One)"/>
    <d v="2014-12-05T00:00:00"/>
    <n v="-32.68"/>
    <s v="X"/>
    <s v="Riverbelle Terrace"/>
    <s v="#Disneyland 2014# Breakfast"/>
    <s v="Vacation:Food/From Receipt"/>
    <m/>
    <m/>
    <s v="From Receipt"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5T00:00:00"/>
    <n v="-91.82"/>
    <s v="X"/>
    <s v="Naples Ristorante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First Tech - Checking (5544)"/>
    <d v="2014-12-04T00:00:00"/>
    <n v="-25.5"/>
    <s v="X"/>
    <s v="Amie Hanson"/>
    <s v="Play tickets"/>
    <s v="Entertainment"/>
    <n v="2140"/>
    <m/>
    <m/>
    <x v="30"/>
    <x v="0"/>
    <m/>
    <m/>
    <m/>
    <m/>
    <s v="Dec"/>
    <n v="2014"/>
    <s v="Monthly"/>
    <n v="0"/>
    <s v="No"/>
    <s v="None"/>
    <s v="Entertainment"/>
  </r>
  <r>
    <s v="MasterCard (Capital One)"/>
    <d v="2014-12-04T00:00:00"/>
    <n v="25"/>
    <s v="X"/>
    <s v="Cash Back Reward"/>
    <m/>
    <s v="Other Inc"/>
    <m/>
    <m/>
    <m/>
    <x v="29"/>
    <x v="0"/>
    <m/>
    <m/>
    <m/>
    <m/>
    <s v="Dec"/>
    <n v="2014"/>
    <s v="Monthly"/>
    <n v="0"/>
    <s v="No"/>
    <s v="None"/>
    <s v="Other Inc"/>
  </r>
  <r>
    <s v="MasterCard (Capital One)"/>
    <d v="2014-12-04T00:00:00"/>
    <n v="-8.6300000000000008"/>
    <s v="X"/>
    <s v="Toontown Dl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4T00:00:00"/>
    <n v="-21.6"/>
    <s v="X"/>
    <s v="Pizza Pres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First Tech - Checking (5544)"/>
    <d v="2014-12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Dec"/>
    <n v="2014"/>
    <s v="Monthly"/>
    <n v="0"/>
    <s v="No"/>
    <s v="None"/>
    <s v="Kids|American Funds 529A"/>
  </r>
  <r>
    <s v="MasterCard (Capital One)"/>
    <d v="2014-12-03T00:00:00"/>
    <n v="-8.75"/>
    <s v="X"/>
    <s v="Netflix"/>
    <s v="@CAT:@@BAL:$3,882.20@"/>
    <s v="Subscriptions &amp; Dues"/>
    <m/>
    <m/>
    <m/>
    <x v="33"/>
    <x v="0"/>
    <m/>
    <m/>
    <m/>
    <m/>
    <s v="Dec"/>
    <n v="2014"/>
    <s v="Annual"/>
    <n v="0"/>
    <s v="No"/>
    <s v="None"/>
    <s v="Subscriptions &amp; Dues"/>
  </r>
  <r>
    <s v="MasterCard (Capital One)"/>
    <d v="2014-12-03T00:00:00"/>
    <n v="-10.86"/>
    <s v="X"/>
    <s v="Mcdonald'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3T00:00:00"/>
    <n v="-29.44"/>
    <s v="X"/>
    <s v="Award Wieners Dca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3T00:00:00"/>
    <n v="-91.98"/>
    <s v="X"/>
    <s v="Tortilla Jo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First Tech - Checking (5544)"/>
    <d v="2014-12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Dec"/>
    <n v="2014"/>
    <s v="Monthly"/>
    <n v="0"/>
    <s v="No"/>
    <s v="None"/>
    <s v="Business Expenses (Koolikai)|Mortgage (Business)"/>
  </r>
  <r>
    <s v="First Tech - Checking (5544)"/>
    <d v="2014-12-02T00:00:00"/>
    <n v="-3517.65"/>
    <s v="X"/>
    <s v="NYCB Mortgage Company"/>
    <s v="ACH Debit--NEW YORK COMMUNI 678 - NEW YORK C"/>
    <s v="Business Expenses (Koolikai):Mortgage (Business)/7231"/>
    <m/>
    <m/>
    <n v="7231"/>
    <x v="36"/>
    <x v="30"/>
    <m/>
    <m/>
    <m/>
    <m/>
    <s v="Dec"/>
    <n v="2014"/>
    <s v="Monthly"/>
    <n v="0"/>
    <s v="No"/>
    <s v="None"/>
    <s v="Business Expenses (Koolikai)|Mortgage (Business)"/>
  </r>
  <r>
    <s v="First Tech - Checking (5544)"/>
    <d v="2014-12-02T00:00:00"/>
    <n v="-4343.96"/>
    <s v="X"/>
    <s v="Capital One (Autopay)"/>
    <s v="ACH Debit--CAPITAL ONE  - CRCARDPMT"/>
    <s v="[MasterCard (Capital One)]"/>
    <m/>
    <m/>
    <m/>
    <x v="38"/>
    <x v="0"/>
    <m/>
    <m/>
    <m/>
    <m/>
    <s v="Dec"/>
    <n v="2014"/>
    <s v="Account"/>
    <n v="0"/>
    <s v="No"/>
    <s v="None"/>
    <s v="[MasterCard (Capital One)]"/>
  </r>
  <r>
    <s v="MasterCard (Capital One)"/>
    <d v="2014-12-02T00:00:00"/>
    <n v="25"/>
    <s v="X"/>
    <s v="Cash Back Reward"/>
    <m/>
    <s v="Other Inc"/>
    <m/>
    <m/>
    <m/>
    <x v="29"/>
    <x v="0"/>
    <m/>
    <m/>
    <m/>
    <m/>
    <s v="Dec"/>
    <n v="2014"/>
    <s v="Monthly"/>
    <n v="0"/>
    <s v="No"/>
    <s v="None"/>
    <s v="Other Inc"/>
  </r>
  <r>
    <s v="MasterCard (Capital One)"/>
    <d v="2014-12-02T00:00:00"/>
    <n v="-8.73"/>
    <s v="X"/>
    <s v="Mcdonald'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2T00:00:00"/>
    <n v="-17.170000000000002"/>
    <s v="X"/>
    <s v="Emporium Dl"/>
    <s v="#Disneyland 2014# For work"/>
    <s v="Gifts"/>
    <m/>
    <m/>
    <m/>
    <x v="28"/>
    <x v="0"/>
    <m/>
    <m/>
    <s v="Disneyland 2014"/>
    <m/>
    <s v="Dec"/>
    <n v="2014"/>
    <s v="Monthly"/>
    <n v="0"/>
    <s v="No"/>
    <s v="None"/>
    <s v="Gifts"/>
  </r>
  <r>
    <s v="MasterCard (Capital One)"/>
    <d v="2014-12-02T00:00:00"/>
    <n v="-23.6"/>
    <s v="X"/>
    <s v="Pizza Press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2T00:00:00"/>
    <n v="-27.19"/>
    <s v="X"/>
    <s v="Emporium Dl"/>
    <s v="#Disneyland 2014#Ponchos"/>
    <s v="Vacation:Trinkets"/>
    <m/>
    <m/>
    <m/>
    <x v="23"/>
    <x v="28"/>
    <m/>
    <m/>
    <s v="Disneyland 2014"/>
    <m/>
    <s v="Dec"/>
    <n v="2014"/>
    <s v="Irregular"/>
    <n v="0"/>
    <s v="No"/>
    <s v="None"/>
    <s v="Vacation|Trinkets"/>
  </r>
  <r>
    <s v="MasterCard (Capital One)"/>
    <d v="2014-12-02T00:00:00"/>
    <n v="-42.17"/>
    <s v="X"/>
    <s v="Ihop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MasterCard (Capital One)"/>
    <d v="2014-12-02T00:00:00"/>
    <n v="-76.5"/>
    <s v="X"/>
    <s v="Seattle Parks And Recreation"/>
    <s v="Swimming lessons for Zach and Josh"/>
    <s v="Kids:Kids Activities"/>
    <m/>
    <m/>
    <m/>
    <x v="27"/>
    <x v="12"/>
    <m/>
    <m/>
    <m/>
    <m/>
    <s v="Dec"/>
    <n v="2014"/>
    <s v="Monthly"/>
    <n v="0"/>
    <s v="No"/>
    <s v="None"/>
    <s v="Kids|Kids Activities"/>
  </r>
  <r>
    <s v="MasterCard (Capital One)"/>
    <d v="2014-12-02T00:00:00"/>
    <n v="10.56"/>
    <s v="X"/>
    <s v="Comcast"/>
    <s v="Refund of convenience charge a"/>
    <s v="Bank Fees &amp; Charges:Bank Fee"/>
    <m/>
    <s v="Split"/>
    <m/>
    <x v="32"/>
    <x v="31"/>
    <m/>
    <m/>
    <m/>
    <m/>
    <s v="Dec"/>
    <n v="2014"/>
    <s v="Irregular"/>
    <n v="0"/>
    <s v="No"/>
    <s v="None"/>
    <s v="Bank Fees &amp; Charges|Bank Fee"/>
  </r>
  <r>
    <s v="MasterCard (Capital One)"/>
    <d v="2014-12-02T00:00:00"/>
    <n v="-19.72"/>
    <s v="X"/>
    <s v="Comcast"/>
    <m/>
    <s v="Bills &amp; Utilities:Television"/>
    <m/>
    <s v="Split"/>
    <m/>
    <x v="34"/>
    <x v="32"/>
    <m/>
    <m/>
    <m/>
    <m/>
    <s v="Dec"/>
    <n v="2014"/>
    <s v="Monthly"/>
    <n v="0"/>
    <s v="No"/>
    <s v="None"/>
    <s v="Bills &amp; Utilities|Television"/>
  </r>
  <r>
    <s v="MasterCard (Capital One)"/>
    <d v="2014-12-02T00:00:00"/>
    <n v="-65.27"/>
    <s v="X"/>
    <s v="Comcast"/>
    <m/>
    <s v="Business Expenses (Koolikai):Internet"/>
    <m/>
    <s v="Split"/>
    <m/>
    <x v="36"/>
    <x v="33"/>
    <m/>
    <m/>
    <m/>
    <m/>
    <s v="Dec"/>
    <n v="2014"/>
    <s v="Monthly"/>
    <n v="0"/>
    <s v="No"/>
    <s v="None"/>
    <s v="Business Expenses (Koolikai)|Internet"/>
  </r>
  <r>
    <s v="MasterCard (Capital One)"/>
    <d v="2014-12-02T00:00:00"/>
    <n v="-43.27"/>
    <s v="X"/>
    <s v="Comcast"/>
    <m/>
    <s v="Bills &amp; Utilities:Home Phone"/>
    <m/>
    <s v="Split"/>
    <m/>
    <x v="34"/>
    <x v="34"/>
    <m/>
    <m/>
    <m/>
    <m/>
    <s v="Dec"/>
    <n v="2014"/>
    <s v="Monthly"/>
    <n v="0"/>
    <s v="No"/>
    <s v="None"/>
    <s v="Bills &amp; Utilities|Home Phone"/>
  </r>
  <r>
    <s v="MasterCard (Capital One)"/>
    <d v="2014-12-02T00:00:00"/>
    <n v="-5.48"/>
    <s v="X"/>
    <s v="Comcast"/>
    <s v="Need to go refigure charges fr"/>
    <s v="Business Expenses (Koolikai):Internet"/>
    <m/>
    <s v="Split"/>
    <m/>
    <x v="36"/>
    <x v="33"/>
    <m/>
    <m/>
    <m/>
    <m/>
    <s v="Dec"/>
    <n v="2014"/>
    <s v="Monthly"/>
    <n v="0"/>
    <s v="No"/>
    <s v="None"/>
    <s v="Business Expenses (Koolikai)|Internet"/>
  </r>
  <r>
    <s v="MasterCard (Capital One)"/>
    <d v="2014-12-02T00:00:00"/>
    <n v="-300"/>
    <s v="X"/>
    <s v="City Of Mountlake Terrace"/>
    <s v="#SFOM Pool Party#"/>
    <s v="Work Expense:Reimbursable expense"/>
    <m/>
    <m/>
    <m/>
    <x v="19"/>
    <x v="21"/>
    <m/>
    <m/>
    <s v="SFOM Pool Party"/>
    <m/>
    <s v="Dec"/>
    <n v="2014"/>
    <s v="Irregular"/>
    <n v="0"/>
    <s v="No"/>
    <s v="None"/>
    <s v="Work Expense|Reimbursable expense"/>
  </r>
  <r>
    <s v="First Tech - Checking (5544)"/>
    <d v="2014-12-01T00:00:00"/>
    <n v="-2052"/>
    <s v="X"/>
    <s v="Phinney Ridge CDC"/>
    <s v="ACH Debit--PHINNEY RIDGE LU 504759859 - CONTRIBUTN"/>
    <s v="Kids:Daycare"/>
    <m/>
    <m/>
    <m/>
    <x v="27"/>
    <x v="35"/>
    <m/>
    <m/>
    <m/>
    <m/>
    <s v="Dec"/>
    <n v="2014"/>
    <s v="Monthly"/>
    <n v="0"/>
    <s v="No"/>
    <s v="None"/>
    <s v="Kids|Daycare"/>
  </r>
  <r>
    <s v="First Tech - Checking (5544)"/>
    <d v="2014-12-01T00:00:00"/>
    <n v="-727.13"/>
    <s v="X"/>
    <s v="Lowe's"/>
    <s v="Electronic Check--LOWES (CHECK PYMT) Accounts Receivable Entry S"/>
    <s v="Projects:Appliances"/>
    <n v="2143"/>
    <m/>
    <m/>
    <x v="39"/>
    <x v="36"/>
    <m/>
    <m/>
    <m/>
    <m/>
    <s v="Dec"/>
    <n v="2014"/>
    <s v="Unplanned"/>
    <n v="0"/>
    <s v="No"/>
    <s v="None"/>
    <s v="Projects|Appliances"/>
  </r>
  <r>
    <s v="MasterCard (Capital One)"/>
    <d v="2014-12-01T00:00:00"/>
    <n v="4343.96"/>
    <s v="X"/>
    <s v="Capital One (Autopay)"/>
    <m/>
    <s v="[First Tech - Checking (5544)]"/>
    <m/>
    <m/>
    <m/>
    <x v="21"/>
    <x v="0"/>
    <m/>
    <m/>
    <m/>
    <m/>
    <s v="Dec"/>
    <n v="2014"/>
    <s v="Account"/>
    <n v="0"/>
    <s v="No"/>
    <s v="None"/>
    <s v="[First Tech - Checking (5544)]"/>
  </r>
  <r>
    <s v="MasterCard (Capital One)"/>
    <d v="2014-12-01T00:00:00"/>
    <n v="-64.94"/>
    <s v="X"/>
    <s v="Mimi's Cafe"/>
    <s v="#Disneyland 2014#"/>
    <s v="Vacation:Food"/>
    <m/>
    <m/>
    <m/>
    <x v="23"/>
    <x v="8"/>
    <m/>
    <m/>
    <s v="Disneyland 2014"/>
    <m/>
    <s v="Dec"/>
    <n v="2014"/>
    <s v="Irregular"/>
    <n v="0"/>
    <s v="No"/>
    <s v="None"/>
    <s v="Vacation|Food"/>
  </r>
  <r>
    <s v="Koolikai - Sec Dep XX1200"/>
    <d v="2014-11-30T00:00:00"/>
    <n v="0.19"/>
    <s v="*"/>
    <s v="First Tech (Dividend)"/>
    <s v="Credit Dividend--"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Chase Freedom XX9381"/>
    <d v="2014-11-30T00:00:00"/>
    <n v="-11.95"/>
    <s v="X"/>
    <s v="T-mobile"/>
    <s v="Mom's mobile phone"/>
    <s v="Bills &amp; Utilities:Mobile Phone"/>
    <m/>
    <m/>
    <m/>
    <x v="34"/>
    <x v="24"/>
    <m/>
    <m/>
    <m/>
    <m/>
    <s v="Nov"/>
    <n v="2014"/>
    <s v="Hidden"/>
    <n v="0"/>
    <s v="No"/>
    <s v="None"/>
    <s v="Bills &amp; Utilities|Mobile Phone"/>
  </r>
  <r>
    <s v="MasterCard (Capital One)"/>
    <d v="2014-11-30T00:00:00"/>
    <n v="-2.87"/>
    <s v="X"/>
    <s v="Blink Network Llc"/>
    <m/>
    <s v="Auto &amp; Transport:Gas &amp; Fuel"/>
    <m/>
    <m/>
    <m/>
    <x v="17"/>
    <x v="37"/>
    <m/>
    <m/>
    <m/>
    <m/>
    <s v="Nov"/>
    <n v="2014"/>
    <s v="Monthly"/>
    <n v="0"/>
    <s v="No"/>
    <s v="None"/>
    <s v="Auto &amp; Transport|Gas &amp; Fuel"/>
  </r>
  <r>
    <s v="MasterCard (Capital One)"/>
    <d v="2014-11-30T00:00:00"/>
    <n v="-12.59"/>
    <s v="X"/>
    <s v="Taco Del Mar"/>
    <s v="2011: TACO DEL MAR GREENWOOD SEATTLE WA 98103 USA"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30T00:00:00"/>
    <n v="-4.7"/>
    <s v="X"/>
    <s v="Walgreens"/>
    <s v="Proxabrush"/>
    <s v="Food &amp; Dining:Groceries/From Receipt"/>
    <m/>
    <s v="Split"/>
    <s v="From Receipt"/>
    <x v="15"/>
    <x v="3"/>
    <m/>
    <m/>
    <m/>
    <m/>
    <s v="Nov"/>
    <n v="2014"/>
    <s v="Monthly"/>
    <n v="0"/>
    <s v="No"/>
    <s v="None"/>
    <s v="Food &amp; Dining|Groceries"/>
  </r>
  <r>
    <s v="MasterCard (Capital One)"/>
    <d v="2014-11-30T00:00:00"/>
    <n v="-10"/>
    <s v="X"/>
    <s v="Walgreens"/>
    <m/>
    <s v="Health &amp; Fitness:Pharmacy/From Receipt"/>
    <m/>
    <s v="Split"/>
    <s v="From Receipt"/>
    <x v="18"/>
    <x v="38"/>
    <m/>
    <m/>
    <m/>
    <m/>
    <s v="Nov"/>
    <n v="2014"/>
    <s v="Irregular"/>
    <n v="0"/>
    <s v="No"/>
    <s v="None"/>
    <s v="Health &amp; Fitness|Pharmacy"/>
  </r>
  <r>
    <s v="MasterCard (Capital One)"/>
    <d v="2014-11-30T00:00:00"/>
    <n v="-25"/>
    <s v="X"/>
    <s v="Virgin America"/>
    <s v="#Disneyland 2014#"/>
    <s v="Vacation:Transportation"/>
    <m/>
    <m/>
    <m/>
    <x v="23"/>
    <x v="26"/>
    <m/>
    <m/>
    <s v="Disneyland 2014"/>
    <m/>
    <s v="Nov"/>
    <n v="2014"/>
    <s v="Irregular"/>
    <n v="0"/>
    <s v="No"/>
    <s v="None"/>
    <s v="Vacation|Transportation"/>
  </r>
  <r>
    <s v="MasterCard (Capital One)"/>
    <d v="2014-11-30T00:00:00"/>
    <n v="-34"/>
    <s v="X"/>
    <s v="Rudys Barber Shop"/>
    <s v="2011: RUDYS BARBER SHOP - PH SEATTLE WA 98103 USA"/>
    <s v="Personal Care:Hair"/>
    <m/>
    <m/>
    <m/>
    <x v="31"/>
    <x v="16"/>
    <m/>
    <m/>
    <m/>
    <m/>
    <s v="Nov"/>
    <n v="2014"/>
    <s v="Monthly"/>
    <n v="0"/>
    <s v="No"/>
    <s v="None"/>
    <s v="Personal Care|Hair"/>
  </r>
  <r>
    <s v="MasterCard (Capital One)"/>
    <d v="2014-11-30T00:00:00"/>
    <n v="-45.28"/>
    <s v="X"/>
    <s v="Trader Joe's"/>
    <m/>
    <s v="Food &amp; Dining:Groceries"/>
    <m/>
    <m/>
    <m/>
    <x v="15"/>
    <x v="3"/>
    <m/>
    <m/>
    <m/>
    <m/>
    <s v="Nov"/>
    <n v="2014"/>
    <s v="Monthly"/>
    <n v="0"/>
    <s v="No"/>
    <s v="None"/>
    <s v="Food &amp; Dining|Groceries"/>
  </r>
  <r>
    <s v="MasterCard (Capital One)"/>
    <d v="2014-11-30T00:00:00"/>
    <n v="-42.21"/>
    <s v="X"/>
    <s v="Fred Meyer"/>
    <m/>
    <s v="Food &amp; Dining:Groceries/From Receipt"/>
    <m/>
    <s v="Split"/>
    <s v="From Receipt"/>
    <x v="15"/>
    <x v="3"/>
    <m/>
    <m/>
    <m/>
    <m/>
    <s v="Nov"/>
    <n v="2014"/>
    <s v="Monthly"/>
    <n v="0"/>
    <s v="No"/>
    <s v="None"/>
    <s v="Food &amp; Dining|Groceries"/>
  </r>
  <r>
    <s v="MasterCard (Capital One)"/>
    <d v="2014-11-30T00:00:00"/>
    <n v="-15"/>
    <s v="X"/>
    <s v="Fred Meyer"/>
    <s v="Peterson sleep over"/>
    <s v="Parties/From Receipt"/>
    <m/>
    <s v="Split"/>
    <s v="From Receipt"/>
    <x v="16"/>
    <x v="0"/>
    <m/>
    <m/>
    <m/>
    <m/>
    <s v="Nov"/>
    <n v="2014"/>
    <s v="Annual"/>
    <n v="0"/>
    <s v="No"/>
    <s v="None"/>
    <s v="Parties"/>
  </r>
  <r>
    <s v="MasterCard (Capital One)"/>
    <d v="2014-11-30T00:00:00"/>
    <n v="-72"/>
    <s v="X"/>
    <s v="Groupon"/>
    <s v="Angela's Birthday present"/>
    <s v="Entertainment"/>
    <m/>
    <m/>
    <m/>
    <x v="30"/>
    <x v="0"/>
    <m/>
    <m/>
    <m/>
    <m/>
    <s v="Nov"/>
    <n v="2014"/>
    <s v="Monthly"/>
    <n v="0"/>
    <s v="No"/>
    <s v="None"/>
    <s v="Entertainment"/>
  </r>
  <r>
    <s v="MasterCard (Capital One)"/>
    <d v="2014-11-30T00:00:00"/>
    <n v="-72"/>
    <s v="X"/>
    <s v="Groupon"/>
    <s v="Angela's Birthday present"/>
    <s v="Entertainment"/>
    <m/>
    <m/>
    <m/>
    <x v="30"/>
    <x v="0"/>
    <m/>
    <m/>
    <m/>
    <m/>
    <s v="Nov"/>
    <n v="2014"/>
    <s v="Monthly"/>
    <n v="0"/>
    <s v="No"/>
    <s v="None"/>
    <s v="Entertainment"/>
  </r>
  <r>
    <s v="Koolikai - Checking XX2129"/>
    <d v="2014-11-29T00:00:00"/>
    <n v="2195"/>
    <s v="*"/>
    <s v="Shared Branch Mobile"/>
    <s v="Deposit--Shared Branch Mobile Deposit          First Tech FC CA"/>
    <s v="Business Income (Koolikai):Rent/9602"/>
    <m/>
    <m/>
    <n v="9602"/>
    <x v="37"/>
    <x v="25"/>
    <m/>
    <m/>
    <m/>
    <m/>
    <s v="Nov"/>
    <n v="2014"/>
    <s v="Monthly"/>
    <n v="0"/>
    <s v="No"/>
    <s v="None"/>
    <s v="Business Income (Koolikai)|Rent"/>
  </r>
  <r>
    <s v="MasterCard (Capital One)"/>
    <d v="2014-11-29T00:00:00"/>
    <n v="-129.19999999999999"/>
    <s v="X"/>
    <s v="Vios Cafe 3rd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29T00:00:00"/>
    <n v="-970"/>
    <s v="X"/>
    <s v="Disney"/>
    <s v="#Disneyland 2014#Park hopper passes"/>
    <s v="Vacation:Activities"/>
    <m/>
    <m/>
    <m/>
    <x v="23"/>
    <x v="39"/>
    <m/>
    <m/>
    <s v="Disneyland 2014"/>
    <m/>
    <s v="Nov"/>
    <n v="2014"/>
    <s v="Irregular"/>
    <n v="0"/>
    <s v="No"/>
    <s v="None"/>
    <s v="Vacation|Activities"/>
  </r>
  <r>
    <s v="Capital One - Investment (6759)"/>
    <d v="2014-11-28T00:00:00"/>
    <n v="19.420000000000002"/>
    <s v="X"/>
    <s v="Capital One (Interest Income)"/>
    <m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Capital One - Long Term Emergency (1201)"/>
    <d v="2014-11-28T00:00:00"/>
    <n v="48.77"/>
    <s v="X"/>
    <s v="Capital One (Interest Income)"/>
    <m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Capital One - Secondary Savings (3126)"/>
    <d v="2014-11-28T00:00:00"/>
    <n v="0.02"/>
    <s v="X"/>
    <s v="Capital One (Interest Income)"/>
    <m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Capital One - Vacation (4959)"/>
    <d v="2014-11-28T00:00:00"/>
    <n v="14.81"/>
    <s v="X"/>
    <s v="Capital One (Interest Income)"/>
    <m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First Tech - Checking (5544)"/>
    <d v="2014-11-28T00:00:00"/>
    <n v="-9.0500000000000007"/>
    <s v="X"/>
    <s v="Chase (Autopay)"/>
    <s v="ACH Debit--CHASE  - AUTOPAY"/>
    <s v="[Chase Freedom XX9381]"/>
    <m/>
    <m/>
    <m/>
    <x v="7"/>
    <x v="0"/>
    <m/>
    <m/>
    <m/>
    <m/>
    <s v="Nov"/>
    <n v="2014"/>
    <e v="#N/A"/>
    <e v="#N/A"/>
    <e v="#N/A"/>
    <e v="#N/A"/>
    <s v="[Chase Freedom XX9381]"/>
  </r>
  <r>
    <s v="Schwab - Checking (9784)"/>
    <d v="2014-11-28T00:00:00"/>
    <n v="0.03"/>
    <s v="X"/>
    <s v="Interest Paid"/>
    <m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Schwab - Checking (9784)"/>
    <d v="2014-11-28T00:00:00"/>
    <n v="3"/>
    <s v="X"/>
    <s v="ATM Fee Refund"/>
    <m/>
    <s v="Bank Fees &amp; Charges:ATM Fee"/>
    <m/>
    <m/>
    <m/>
    <x v="32"/>
    <x v="17"/>
    <m/>
    <m/>
    <m/>
    <m/>
    <s v="Nov"/>
    <n v="2014"/>
    <s v="Monthly"/>
    <n v="0"/>
    <s v="No"/>
    <s v="None"/>
    <s v="Bank Fees &amp; Charges|ATM Fee"/>
  </r>
  <r>
    <s v="MasterCard (Capital One)"/>
    <d v="2014-11-28T00:00:00"/>
    <n v="-39.74"/>
    <s v="X"/>
    <s v="Lowe's"/>
    <s v="Washing machine"/>
    <s v="Projects:Appliances/From Receipt"/>
    <m/>
    <m/>
    <s v="From Receipt"/>
    <x v="39"/>
    <x v="36"/>
    <m/>
    <m/>
    <m/>
    <m/>
    <s v="Nov"/>
    <n v="2014"/>
    <s v="Unplanned"/>
    <n v="0"/>
    <s v="No"/>
    <s v="None"/>
    <s v="Projects|Appliances"/>
  </r>
  <r>
    <s v="MasterCard (Capital One)"/>
    <d v="2014-11-28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s v="Nov"/>
    <n v="2014"/>
    <s v="Irregular"/>
    <n v="0"/>
    <s v="No"/>
    <s v="None"/>
    <s v="Auto &amp; Transport|Tolls"/>
  </r>
  <r>
    <s v="MasterCard (Capital One)"/>
    <d v="2014-11-28T00:00:00"/>
    <n v="-10.82"/>
    <s v="X"/>
    <s v="Home Depot"/>
    <s v="Flashlights for the boys"/>
    <s v="Kids:Toys/From Receipt"/>
    <m/>
    <s v="Split"/>
    <s v="From Receipt"/>
    <x v="27"/>
    <x v="14"/>
    <m/>
    <m/>
    <m/>
    <m/>
    <s v="Nov"/>
    <n v="2014"/>
    <s v="Monthly"/>
    <n v="0"/>
    <s v="No"/>
    <s v="None"/>
    <s v="Kids|Toys"/>
  </r>
  <r>
    <s v="MasterCard (Capital One)"/>
    <d v="2014-11-28T00:00:00"/>
    <n v="-3.97"/>
    <s v="X"/>
    <s v="Home Depot"/>
    <s v="Dryer fitting"/>
    <s v="Projects:Appliances/From Receipt"/>
    <m/>
    <s v="Split"/>
    <s v="From Receipt"/>
    <x v="39"/>
    <x v="36"/>
    <m/>
    <m/>
    <m/>
    <m/>
    <s v="Nov"/>
    <n v="2014"/>
    <s v="Unplanned"/>
    <n v="0"/>
    <s v="No"/>
    <s v="None"/>
    <s v="Projects|Appliances"/>
  </r>
  <r>
    <s v="MasterCard (Capital One)"/>
    <d v="2014-11-28T00:00:00"/>
    <n v="-21.88"/>
    <s v="X"/>
    <s v="Third Place Books"/>
    <s v="Books"/>
    <s v="Kids:Toys/From Receipt"/>
    <m/>
    <m/>
    <s v="From Receipt"/>
    <x v="27"/>
    <x v="14"/>
    <m/>
    <m/>
    <m/>
    <m/>
    <s v="Nov"/>
    <n v="2014"/>
    <s v="Monthly"/>
    <n v="0"/>
    <s v="No"/>
    <s v="None"/>
    <s v="Kids|Toys"/>
  </r>
  <r>
    <s v="First Tech - Checking (5544)"/>
    <d v="2014-11-27T00:00:00"/>
    <n v="5496.28"/>
    <s v="X"/>
    <s v="Microsoft (Paystub)"/>
    <s v="ACH Deposit--MICROSOFT  - EDIPAYMENT"/>
    <s v="Net Salary"/>
    <m/>
    <m/>
    <m/>
    <x v="35"/>
    <x v="0"/>
    <m/>
    <m/>
    <m/>
    <m/>
    <s v="Nov"/>
    <n v="2014"/>
    <s v="Monthly"/>
    <n v="0"/>
    <s v="No"/>
    <s v="None"/>
    <s v="Net Salary"/>
  </r>
  <r>
    <s v="MasterCard (Capital One)"/>
    <d v="2014-11-27T00:00:00"/>
    <n v="-96.84"/>
    <s v="X"/>
    <s v="Fred Meyer"/>
    <s v="Includes some for Thanksgiving"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First Tech - Checking (5544)"/>
    <d v="2014-11-26T00:00:00"/>
    <n v="-45"/>
    <s v="X"/>
    <s v="Patricia Anderson"/>
    <m/>
    <s v="Kids:Babysitter"/>
    <n v="2142"/>
    <m/>
    <m/>
    <x v="27"/>
    <x v="13"/>
    <m/>
    <m/>
    <m/>
    <m/>
    <s v="Nov"/>
    <n v="2014"/>
    <s v="Monthly"/>
    <n v="0"/>
    <s v="No"/>
    <s v="None"/>
    <s v="Kids|Babysitter"/>
  </r>
  <r>
    <s v="Chase Freedom XX9381"/>
    <d v="2014-11-26T00:00:00"/>
    <n v="9.0500000000000007"/>
    <s v="X"/>
    <s v="Chase Freedom (Autopay)"/>
    <m/>
    <s v="[First Tech - Checking (5544)]"/>
    <m/>
    <m/>
    <m/>
    <x v="21"/>
    <x v="0"/>
    <m/>
    <m/>
    <m/>
    <m/>
    <s v="Nov"/>
    <n v="2014"/>
    <s v="Account"/>
    <n v="0"/>
    <s v="No"/>
    <s v="None"/>
    <s v="[First Tech - Checking (5544)]"/>
  </r>
  <r>
    <s v="First Tech - Checking (5544)"/>
    <d v="2014-11-25T00:00:00"/>
    <n v="6058.12"/>
    <s v="X"/>
    <s v="CRAB (Paystub)"/>
    <s v="ACH Deposit--Cancer Research  - Payroll"/>
    <s v="Net Salary"/>
    <m/>
    <m/>
    <m/>
    <x v="35"/>
    <x v="0"/>
    <m/>
    <m/>
    <m/>
    <m/>
    <s v="Nov"/>
    <n v="2014"/>
    <s v="Monthly"/>
    <n v="0"/>
    <s v="No"/>
    <s v="None"/>
    <s v="Net Salary"/>
  </r>
  <r>
    <s v="First Tech - Checking (5544)"/>
    <d v="2014-11-24T00:00:00"/>
    <n v="-736.22"/>
    <s v="X"/>
    <s v="Discover Card (Autopay)"/>
    <s v="ACH Debit--DISCOVER DC PYMNTS DCIDPIINT - E-PAYMENT"/>
    <s v="[Discover Card]"/>
    <m/>
    <m/>
    <m/>
    <x v="24"/>
    <x v="0"/>
    <m/>
    <m/>
    <m/>
    <m/>
    <s v="Nov"/>
    <n v="2014"/>
    <s v="Account"/>
    <n v="0"/>
    <s v="No"/>
    <s v="None"/>
    <s v="[Discover Card]"/>
  </r>
  <r>
    <s v="Koolikai - Checking XX2129"/>
    <d v="2014-11-24T00:00:00"/>
    <n v="-146.84"/>
    <s v="*"/>
    <s v="Chase - Koolikai (Autopay)"/>
    <s v="ACH Debit--CHASE  - AUTOPAYBUS"/>
    <s v="[Koolikai Credit Card]"/>
    <m/>
    <m/>
    <m/>
    <x v="9"/>
    <x v="0"/>
    <m/>
    <m/>
    <m/>
    <m/>
    <s v="Nov"/>
    <n v="2014"/>
    <s v="Account"/>
    <n v="0"/>
    <s v="No"/>
    <s v="None"/>
    <s v="[Koolikai Credit Card]"/>
  </r>
  <r>
    <s v="Chase Freedom XX9381"/>
    <d v="2014-11-24T00:00:00"/>
    <n v="-5.32"/>
    <s v="X"/>
    <s v="Amazon"/>
    <s v="Alligator clips"/>
    <s v="Shopping:Electronics &amp; Software"/>
    <m/>
    <m/>
    <m/>
    <x v="13"/>
    <x v="20"/>
    <m/>
    <m/>
    <m/>
    <m/>
    <s v="Nov"/>
    <n v="2014"/>
    <s v="Annual"/>
    <n v="0"/>
    <s v="No"/>
    <s v="None"/>
    <s v="Shopping|Electronics &amp; Software"/>
  </r>
  <r>
    <s v="MasterCard (Capital One)"/>
    <d v="2014-11-24T00:00:00"/>
    <n v="20.76"/>
    <s v="X"/>
    <s v="Aerovironment"/>
    <s v="Refund for extra month's charge"/>
    <s v="Auto &amp; Transport:Gas &amp; Fuel"/>
    <m/>
    <m/>
    <m/>
    <x v="17"/>
    <x v="37"/>
    <m/>
    <m/>
    <m/>
    <m/>
    <s v="Nov"/>
    <n v="2014"/>
    <s v="Monthly"/>
    <n v="0"/>
    <s v="No"/>
    <s v="None"/>
    <s v="Auto &amp; Transport|Gas &amp; Fuel"/>
  </r>
  <r>
    <s v="MasterCard (Capital One)"/>
    <d v="2014-11-24T00:00:00"/>
    <n v="-12.72"/>
    <s v="X"/>
    <s v="Larsen Original Bake"/>
    <m/>
    <s v="Parties"/>
    <m/>
    <m/>
    <m/>
    <x v="16"/>
    <x v="0"/>
    <m/>
    <m/>
    <m/>
    <m/>
    <s v="Nov"/>
    <n v="2014"/>
    <s v="Annual"/>
    <n v="0"/>
    <s v="No"/>
    <s v="None"/>
    <s v="Parties"/>
  </r>
  <r>
    <s v="Schwab - Checking (9784)"/>
    <d v="2014-11-23T00:00:00"/>
    <n v="-9"/>
    <s v="X"/>
    <s v="Bank Of America"/>
    <s v="Monorail tickets"/>
    <s v="Vacation:Activities"/>
    <m/>
    <s v="Split"/>
    <m/>
    <x v="23"/>
    <x v="39"/>
    <m/>
    <m/>
    <m/>
    <m/>
    <s v="Nov"/>
    <n v="2014"/>
    <s v="Irregular"/>
    <n v="0"/>
    <s v="No"/>
    <s v="None"/>
    <s v="Vacation|Activities"/>
  </r>
  <r>
    <s v="Schwab - Checking (9784)"/>
    <d v="2014-11-23T00:00:00"/>
    <n v="-14"/>
    <s v="X"/>
    <s v="Bank Of America"/>
    <m/>
    <s v="Food &amp; Dining:Restaurants"/>
    <m/>
    <s v="Split"/>
    <m/>
    <x v="15"/>
    <x v="15"/>
    <m/>
    <m/>
    <m/>
    <m/>
    <s v="Nov"/>
    <n v="2014"/>
    <s v="Monthly"/>
    <n v="0"/>
    <s v="No"/>
    <s v="None"/>
    <s v="Food &amp; Dining|Restaurants"/>
  </r>
  <r>
    <s v="Chase Freedom XX9381"/>
    <d v="2014-11-23T00:00:00"/>
    <n v="-49.61"/>
    <s v="X"/>
    <s v="The Ridge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Discover Card"/>
    <d v="2014-11-23T00:00:00"/>
    <n v="736.22"/>
    <s v="X"/>
    <s v="Discover Card (Autopay)"/>
    <m/>
    <s v="[First Tech - Checking (5544)]"/>
    <m/>
    <m/>
    <m/>
    <x v="21"/>
    <x v="0"/>
    <m/>
    <m/>
    <m/>
    <m/>
    <s v="Nov"/>
    <n v="2014"/>
    <s v="Account"/>
    <n v="0"/>
    <s v="No"/>
    <s v="None"/>
    <s v="[First Tech - Checking (5544)]"/>
  </r>
  <r>
    <s v="Koolikai Credit Card"/>
    <d v="2014-11-23T00:00:00"/>
    <n v="146.84"/>
    <s v="*"/>
    <s v="Chase - Koolikai (Autopay)"/>
    <m/>
    <s v="[Koolikai - Checking XX2129]"/>
    <m/>
    <m/>
    <m/>
    <x v="25"/>
    <x v="0"/>
    <m/>
    <m/>
    <m/>
    <m/>
    <s v="Nov"/>
    <n v="2014"/>
    <s v="Account"/>
    <n v="0"/>
    <s v="No"/>
    <s v="None"/>
    <s v="[Koolikai - Checking XX2129]"/>
  </r>
  <r>
    <s v="MasterCard (Capital One)"/>
    <d v="2014-11-23T00:00:00"/>
    <n v="-36.78"/>
    <s v="X"/>
    <s v="Shell"/>
    <m/>
    <s v="Auto &amp; Transport:Gas &amp; Fuel"/>
    <m/>
    <m/>
    <m/>
    <x v="17"/>
    <x v="37"/>
    <m/>
    <m/>
    <m/>
    <m/>
    <s v="Nov"/>
    <n v="2014"/>
    <s v="Monthly"/>
    <n v="0"/>
    <s v="No"/>
    <s v="None"/>
    <s v="Auto &amp; Transport|Gas &amp; Fuel"/>
  </r>
  <r>
    <s v="First Tech - Checking (5544)"/>
    <d v="2014-11-22T00:00:00"/>
    <n v="801.65"/>
    <s v="X"/>
    <s v="CRAB (Reimbursement)"/>
    <s v="#Group Meeting Fall#"/>
    <s v="Work Expense:Reimbursement"/>
    <m/>
    <m/>
    <m/>
    <x v="19"/>
    <x v="6"/>
    <m/>
    <m/>
    <s v="Group Meeting Fall"/>
    <m/>
    <s v="Nov"/>
    <n v="2014"/>
    <s v="Irregular"/>
    <n v="0"/>
    <s v="No"/>
    <s v="None"/>
    <s v="Work Expense|Reimbursement"/>
  </r>
  <r>
    <s v="MasterCard (Capital One)"/>
    <d v="2014-11-22T00:00:00"/>
    <n v="-4.22"/>
    <s v="X"/>
    <s v="Park"/>
    <m/>
    <s v="Auto &amp; Transport:Parking"/>
    <m/>
    <m/>
    <m/>
    <x v="17"/>
    <x v="11"/>
    <m/>
    <m/>
    <m/>
    <m/>
    <s v="Nov"/>
    <n v="2014"/>
    <s v="Monthly"/>
    <n v="0"/>
    <s v="No"/>
    <s v="None"/>
    <s v="Auto &amp; Transport|Parking"/>
  </r>
  <r>
    <s v="MasterCard (Capital One)"/>
    <d v="2014-11-22T00:00:00"/>
    <n v="-4.37"/>
    <s v="X"/>
    <s v="Sq Monkeys Toys"/>
    <m/>
    <s v="Kids:Toys"/>
    <m/>
    <m/>
    <m/>
    <x v="27"/>
    <x v="14"/>
    <m/>
    <m/>
    <m/>
    <m/>
    <s v="Nov"/>
    <n v="2014"/>
    <s v="Monthly"/>
    <n v="0"/>
    <s v="No"/>
    <s v="None"/>
    <s v="Kids|Toys"/>
  </r>
  <r>
    <s v="MasterCard (Capital One)"/>
    <d v="2014-11-22T00:00:00"/>
    <n v="-15.31"/>
    <s v="X"/>
    <s v="Kabob Corner Greek"/>
    <s v="Dinner after Dick Whittington and his cat"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22T00:00:00"/>
    <n v="-24.91"/>
    <s v="X"/>
    <s v="Skillet Counter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22T00:00:00"/>
    <n v="-111.81"/>
    <s v="X"/>
    <s v="Fred Meyer"/>
    <m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Target Red Card"/>
    <d v="2014-11-22T00:00:00"/>
    <n v="-33.5"/>
    <s v="*"/>
    <s v="Central Checkout Northg"/>
    <s v="#Disneyland 2014# Toys for trip"/>
    <s v="Vacation:Activities/From Receipt"/>
    <n v="799999943261"/>
    <m/>
    <s v="From Receipt"/>
    <x v="23"/>
    <x v="39"/>
    <m/>
    <m/>
    <s v="Disneyland 2014"/>
    <m/>
    <s v="Nov"/>
    <n v="2014"/>
    <s v="Irregular"/>
    <n v="0"/>
    <s v="No"/>
    <s v="None"/>
    <s v="Vacation|Activities"/>
  </r>
  <r>
    <s v="First Tech - Checking (5544)"/>
    <d v="2014-11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Nov"/>
    <n v="2014"/>
    <s v="Monthly"/>
    <n v="0"/>
    <s v="No"/>
    <s v="None"/>
    <s v="Auto &amp; Transport|Auto Lease Payment"/>
  </r>
  <r>
    <s v="First Tech - Checking (5544)"/>
    <d v="2014-11-21T00:00:00"/>
    <n v="-70"/>
    <s v="X"/>
    <s v="Poppy Weber"/>
    <s v="@CAT:@"/>
    <s v="Kids:Babysitter"/>
    <n v="2141"/>
    <m/>
    <m/>
    <x v="27"/>
    <x v="13"/>
    <m/>
    <m/>
    <m/>
    <m/>
    <s v="Nov"/>
    <n v="2014"/>
    <s v="Monthly"/>
    <n v="0"/>
    <s v="No"/>
    <s v="None"/>
    <s v="Kids|Babysitter"/>
  </r>
  <r>
    <s v="Koolikai - Checking XX2129"/>
    <d v="2014-11-21T00:00:00"/>
    <n v="-128.66"/>
    <s v="*"/>
    <s v="Fritz's Plumbing"/>
    <s v="Unblock bathroom drain at 9602"/>
    <s v="Business Expenses (Koolikai):Repairs/9602:From Receipt"/>
    <n v="1095"/>
    <m/>
    <s v="9602:From Receipt"/>
    <x v="36"/>
    <x v="41"/>
    <m/>
    <m/>
    <m/>
    <m/>
    <s v="Nov"/>
    <n v="2014"/>
    <s v="Irregular"/>
    <n v="0"/>
    <s v="No"/>
    <s v="None"/>
    <s v="Business Expenses (Koolikai)|Repairs"/>
  </r>
  <r>
    <s v="Schwab - Checking (9784)"/>
    <d v="2014-11-21T00:00:00"/>
    <n v="-5.79"/>
    <s v="X"/>
    <s v="Costco"/>
    <s v="Eyeglass cleaner"/>
    <s v="Health &amp; Fitness:Eyecare/From Receipt"/>
    <m/>
    <s v="Split"/>
    <s v="From Receipt"/>
    <x v="18"/>
    <x v="5"/>
    <m/>
    <m/>
    <m/>
    <m/>
    <s v="Nov"/>
    <n v="2014"/>
    <s v="Irregular"/>
    <n v="0"/>
    <s v="No"/>
    <s v="None"/>
    <s v="Health &amp; Fitness|Eyecare"/>
  </r>
  <r>
    <s v="Schwab - Checking (9784)"/>
    <d v="2014-11-21T00:00:00"/>
    <n v="-6.55"/>
    <s v="X"/>
    <s v="Costco"/>
    <s v="Pictures for Nikki"/>
    <s v="Gifts/From Receipt"/>
    <m/>
    <s v="Split"/>
    <s v="From Receipt"/>
    <x v="28"/>
    <x v="0"/>
    <m/>
    <m/>
    <m/>
    <m/>
    <s v="Nov"/>
    <n v="2014"/>
    <s v="Monthly"/>
    <n v="0"/>
    <s v="No"/>
    <s v="None"/>
    <s v="Gifts"/>
  </r>
  <r>
    <s v="MasterCard (Capital One)"/>
    <d v="2014-11-21T00:00:00"/>
    <n v="-20.05"/>
    <s v="X"/>
    <s v="Metropolis"/>
    <s v="Christmas cards"/>
    <s v="Gifts/From Receipt"/>
    <m/>
    <m/>
    <s v="From Receipt"/>
    <x v="28"/>
    <x v="0"/>
    <m/>
    <m/>
    <m/>
    <m/>
    <s v="Nov"/>
    <n v="2014"/>
    <s v="Monthly"/>
    <n v="0"/>
    <s v="No"/>
    <s v="None"/>
    <s v="Gifts"/>
  </r>
  <r>
    <s v="MasterCard (Capital One)"/>
    <d v="2014-11-21T00:00:00"/>
    <n v="-21.89"/>
    <s v="X"/>
    <s v="Babies &quot;R&quot; Us"/>
    <s v="Little learning house"/>
    <s v="Gifts/From Receipt"/>
    <m/>
    <m/>
    <s v="From Receipt"/>
    <x v="28"/>
    <x v="0"/>
    <m/>
    <m/>
    <m/>
    <m/>
    <s v="Nov"/>
    <n v="2014"/>
    <s v="Monthly"/>
    <n v="0"/>
    <s v="No"/>
    <s v="None"/>
    <s v="Gifts"/>
  </r>
  <r>
    <s v="MasterCard (Capital One)"/>
    <d v="2014-11-21T00:00:00"/>
    <n v="-42.54"/>
    <s v="X"/>
    <s v="Metropolis"/>
    <s v="Christmas cards"/>
    <s v="Gifts/From Receipt"/>
    <m/>
    <m/>
    <s v="From Receipt"/>
    <x v="28"/>
    <x v="0"/>
    <m/>
    <m/>
    <m/>
    <m/>
    <s v="Nov"/>
    <n v="2014"/>
    <s v="Monthly"/>
    <n v="0"/>
    <s v="No"/>
    <s v="None"/>
    <s v="Gifts"/>
  </r>
  <r>
    <s v="MasterCard (Capital One)"/>
    <d v="2014-11-21T00:00:00"/>
    <n v="-70.77"/>
    <s v="X"/>
    <s v="Phinney Market Pub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REI Mastercard (xx1787)"/>
    <d v="2014-11-19T00:00:00"/>
    <n v="-43.8"/>
    <s v="*"/>
    <s v="Rei"/>
    <s v="Dave's gloves"/>
    <s v="Shopping:Clothing/From Receipt"/>
    <m/>
    <m/>
    <s v="From Receipt"/>
    <x v="13"/>
    <x v="1"/>
    <m/>
    <m/>
    <m/>
    <m/>
    <s v="Nov"/>
    <n v="2014"/>
    <s v="Annual"/>
    <n v="0"/>
    <s v="No"/>
    <s v="None"/>
    <s v="Shopping|Clothing"/>
  </r>
  <r>
    <s v="First Tech - Checking (5544)"/>
    <d v="2014-11-18T00:00:00"/>
    <n v="-74.77"/>
    <s v="X"/>
    <s v="Seattle City Light"/>
    <s v="ACH Debit--CITY OF SEATTLE  - 1 - SCL De"/>
    <s v="Bills &amp; Utilities:Utilities"/>
    <m/>
    <m/>
    <m/>
    <x v="34"/>
    <x v="18"/>
    <m/>
    <m/>
    <m/>
    <m/>
    <s v="Nov"/>
    <n v="2014"/>
    <s v="Monthly"/>
    <n v="0"/>
    <s v="No"/>
    <s v="None"/>
    <s v="Bills &amp; Utilities|Utilities"/>
  </r>
  <r>
    <s v="Chase Freedom XX9381"/>
    <d v="2014-11-18T00:00:00"/>
    <n v="-1.98"/>
    <s v="X"/>
    <s v="Ken Market"/>
    <m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Chase Freedom XX9381"/>
    <d v="2014-11-18T00:00:00"/>
    <n v="-20"/>
    <s v="X"/>
    <s v="Seattle Families Of Multiples"/>
    <s v="Kids T-shirts"/>
    <s v="Kids:Clothing"/>
    <m/>
    <m/>
    <m/>
    <x v="27"/>
    <x v="1"/>
    <m/>
    <m/>
    <m/>
    <m/>
    <s v="Nov"/>
    <n v="2014"/>
    <s v="Monthly"/>
    <n v="0"/>
    <s v="No"/>
    <s v="None"/>
    <s v="Kids|Clothing"/>
  </r>
  <r>
    <s v="REI Mastercard (xx1787)"/>
    <d v="2014-11-18T00:00:00"/>
    <n v="0"/>
    <s v="X"/>
    <s v="Opening Balance"/>
    <m/>
    <s v="[REI Mastercard (xx1787)]"/>
    <m/>
    <m/>
    <m/>
    <x v="11"/>
    <x v="0"/>
    <m/>
    <m/>
    <m/>
    <m/>
    <s v="Nov"/>
    <n v="2014"/>
    <e v="#N/A"/>
    <e v="#N/A"/>
    <e v="#N/A"/>
    <e v="#N/A"/>
    <s v="[REI Mastercard (xx1787)]"/>
  </r>
  <r>
    <s v="MasterCard (Capital One)"/>
    <d v="2014-11-16T00:00:00"/>
    <n v="-9.17"/>
    <s v="X"/>
    <s v="Mcdonald's"/>
    <s v="@BAL:$5556.22@@CAT:@"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Discover Card"/>
    <d v="2014-11-15T00:00:00"/>
    <n v="-24.05"/>
    <s v="X"/>
    <s v="Ikea"/>
    <s v="@CAT:@"/>
    <s v="Home:Furnishings/From Receipt"/>
    <m/>
    <s v="Split"/>
    <s v="From Receipt"/>
    <x v="14"/>
    <x v="2"/>
    <m/>
    <m/>
    <m/>
    <m/>
    <s v="Nov"/>
    <n v="2014"/>
    <s v="Monthly"/>
    <n v="0"/>
    <s v="No"/>
    <s v="None"/>
    <s v="Home|Furnishings"/>
  </r>
  <r>
    <s v="Discover Card"/>
    <d v="2014-11-15T00:00:00"/>
    <n v="-27.33"/>
    <s v="X"/>
    <s v="Ikea"/>
    <m/>
    <s v="Gifts/From Receipt"/>
    <m/>
    <s v="Split"/>
    <s v="From Receipt"/>
    <x v="28"/>
    <x v="0"/>
    <m/>
    <m/>
    <m/>
    <m/>
    <s v="Nov"/>
    <n v="2014"/>
    <s v="Monthly"/>
    <n v="0"/>
    <s v="No"/>
    <s v="None"/>
    <s v="Gifts"/>
  </r>
  <r>
    <s v="Discover Card"/>
    <d v="2014-11-15T00:00:00"/>
    <n v="-27.96"/>
    <s v="X"/>
    <s v="Ikea"/>
    <m/>
    <s v="Kids:Toys/From Receipt"/>
    <m/>
    <s v="Split"/>
    <s v="From Receipt"/>
    <x v="27"/>
    <x v="14"/>
    <m/>
    <m/>
    <m/>
    <m/>
    <s v="Nov"/>
    <n v="2014"/>
    <s v="Monthly"/>
    <n v="0"/>
    <s v="No"/>
    <s v="None"/>
    <s v="Kids|Toys"/>
  </r>
  <r>
    <s v="MasterCard (Capital One)"/>
    <d v="2014-11-15T00:00:00"/>
    <n v="-4.21"/>
    <s v="X"/>
    <s v="Blink Network Llc"/>
    <m/>
    <s v="Auto &amp; Transport:Gas &amp; Fuel"/>
    <m/>
    <m/>
    <m/>
    <x v="17"/>
    <x v="37"/>
    <m/>
    <m/>
    <m/>
    <m/>
    <s v="Nov"/>
    <n v="2014"/>
    <s v="Monthly"/>
    <n v="0"/>
    <s v="No"/>
    <s v="None"/>
    <s v="Auto &amp; Transport|Gas &amp; Fuel"/>
  </r>
  <r>
    <s v="MasterCard (Capital One)"/>
    <d v="2014-11-15T00:00:00"/>
    <n v="-25.12"/>
    <s v="X"/>
    <s v="Ikea"/>
    <m/>
    <s v="Food &amp; Dining:Restaurants/From Receipt"/>
    <m/>
    <m/>
    <s v="From Receipt"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15T00:00:00"/>
    <n v="-134.79"/>
    <s v="X"/>
    <s v="Toulouse Petit Kitchen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15T00:00:00"/>
    <n v="-155.08000000000001"/>
    <s v="X"/>
    <s v="Fred Meyer"/>
    <m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First Tech - Checking (5544)"/>
    <d v="2014-11-14T00:00:00"/>
    <n v="15"/>
    <s v="X"/>
    <s v="CRAB (Reimbursement)"/>
    <s v="#Cash Payment for keycard#"/>
    <s v="Work Expense:Reimbursement"/>
    <m/>
    <m/>
    <m/>
    <x v="19"/>
    <x v="6"/>
    <m/>
    <m/>
    <s v="Cash Payment for keycard"/>
    <m/>
    <s v="Nov"/>
    <n v="2014"/>
    <s v="Irregular"/>
    <n v="0"/>
    <s v="No"/>
    <s v="None"/>
    <s v="Work Expense|Reimbursement"/>
  </r>
  <r>
    <s v="First Tech - Checking (5544)"/>
    <d v="2014-11-14T00:00:00"/>
    <n v="148.91"/>
    <s v="X"/>
    <s v="Stay Fit Credit"/>
    <s v="#Stay Fit# ACH Deposit--STAY FIT MICROSO 304254681"/>
    <s v="Health &amp; Fitness:Sports"/>
    <m/>
    <m/>
    <m/>
    <x v="18"/>
    <x v="23"/>
    <m/>
    <m/>
    <s v="Stay Fit"/>
    <m/>
    <s v="Nov"/>
    <n v="2014"/>
    <s v="Irregular"/>
    <n v="0"/>
    <s v="No"/>
    <s v="None"/>
    <s v="Health &amp; Fitness|Sports"/>
  </r>
  <r>
    <s v="Discover Card"/>
    <d v="2014-11-14T00:00:00"/>
    <n v="-4"/>
    <s v="X"/>
    <s v="Cafe Remond Wa"/>
    <s v="Omelet"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Discover Card"/>
    <d v="2014-11-14T00:00:00"/>
    <n v="-100"/>
    <s v="X"/>
    <s v="Cafe Remond Wa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First Tech - Checking (5544)"/>
    <d v="2014-11-13T00:00:00"/>
    <n v="5507.73"/>
    <s v="X"/>
    <s v="Microsoft (Paystub)"/>
    <s v="ACH Deposit--MICROSOFT  - EDIPAYMENT"/>
    <s v="Net Salary"/>
    <m/>
    <m/>
    <m/>
    <x v="35"/>
    <x v="0"/>
    <m/>
    <m/>
    <m/>
    <m/>
    <s v="Nov"/>
    <n v="2014"/>
    <s v="Monthly"/>
    <n v="0"/>
    <s v="No"/>
    <s v="None"/>
    <s v="Net Salary"/>
  </r>
  <r>
    <s v="First Tech - Checking (5544)"/>
    <d v="2014-11-13T00:00:00"/>
    <n v="-48.63"/>
    <s v="X"/>
    <s v="Puget Sound Energy"/>
    <s v="ACH Debit--PUGET SOUND ENER DIRECT DEBITING - PSE BILL  46250514"/>
    <s v="Bills &amp; Utilities:Utilities"/>
    <m/>
    <m/>
    <m/>
    <x v="34"/>
    <x v="18"/>
    <m/>
    <m/>
    <m/>
    <m/>
    <s v="Nov"/>
    <n v="2014"/>
    <s v="Monthly"/>
    <n v="0"/>
    <s v="No"/>
    <s v="None"/>
    <s v="Bills &amp; Utilities|Utilities"/>
  </r>
  <r>
    <s v="MasterCard (Capital One)"/>
    <d v="2014-11-13T00:00:00"/>
    <n v="-21.71"/>
    <s v="X"/>
    <s v="Icon Grill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Koolikai - Checking XX2129"/>
    <d v="2014-11-12T00:00:00"/>
    <n v="-67.81"/>
    <s v="X"/>
    <s v="John Schaibley"/>
    <s v="Smoke and CO detectors@CAT:@@BAL:$23,364.92@"/>
    <s v="Business Expenses (Koolikai):Repairs/9602:From Receipt"/>
    <n v="1094"/>
    <m/>
    <s v="9602:From Receipt"/>
    <x v="36"/>
    <x v="41"/>
    <m/>
    <m/>
    <m/>
    <m/>
    <s v="Nov"/>
    <n v="2014"/>
    <s v="Irregular"/>
    <n v="0"/>
    <s v="No"/>
    <s v="None"/>
    <s v="Business Expenses (Koolikai)|Repairs"/>
  </r>
  <r>
    <s v="Koolikai - Sec Dep XX1200"/>
    <d v="2014-11-12T00:00:00"/>
    <n v="0"/>
    <s v="X"/>
    <s v="Balanced"/>
    <s v="@CAT:@@BAL:$4,502.42@"/>
    <s v="[Koolikai - Sec Dep XX1200]"/>
    <m/>
    <m/>
    <m/>
    <x v="41"/>
    <x v="0"/>
    <m/>
    <m/>
    <m/>
    <m/>
    <s v="Nov"/>
    <n v="2014"/>
    <s v="Account"/>
    <n v="0"/>
    <s v="No"/>
    <s v="None"/>
    <s v="[Koolikai - Sec Dep XX1200]"/>
  </r>
  <r>
    <s v="Discover Card"/>
    <d v="2014-11-12T00:00:00"/>
    <n v="-5.2"/>
    <s v="X"/>
    <s v="Cafe Remond Wa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Koolikai Credit Card"/>
    <d v="2014-11-12T00:00:00"/>
    <n v="-146.88"/>
    <s v="*"/>
    <s v="Verizon Wireless"/>
    <m/>
    <s v="Business Expenses (Koolikai):Cell Phone"/>
    <m/>
    <m/>
    <m/>
    <x v="36"/>
    <x v="22"/>
    <m/>
    <m/>
    <m/>
    <m/>
    <s v="Nov"/>
    <n v="2014"/>
    <s v="Monthly"/>
    <n v="0"/>
    <s v="No"/>
    <s v="None"/>
    <s v="Business Expenses (Koolikai)|Cell Phone"/>
  </r>
  <r>
    <s v="MasterCard (Capital One)"/>
    <d v="2014-11-12T00:00:00"/>
    <n v="-36.11"/>
    <s v="X"/>
    <s v="Officemax"/>
    <s v="Calendar and receipt holder"/>
    <s v="Business Expenses (Koolikai):Office Expenses (Business)/From Receipt"/>
    <m/>
    <m/>
    <s v="From Receipt"/>
    <x v="36"/>
    <x v="42"/>
    <m/>
    <m/>
    <m/>
    <m/>
    <s v="Nov"/>
    <n v="2014"/>
    <s v="Monthly"/>
    <n v="0"/>
    <s v="No"/>
    <s v="None"/>
    <s v="Business Expenses (Koolikai)|Office Expenses (Business)"/>
  </r>
  <r>
    <s v="Schwab - Checking (9784)"/>
    <d v="2014-11-11T00:00:00"/>
    <n v="-44.74"/>
    <s v="X"/>
    <s v="Costco"/>
    <s v="Sonicare brush heads"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Chase Slate (XX1141)"/>
    <d v="2014-11-11T00:00:00"/>
    <n v="0"/>
    <s v="X"/>
    <s v="Balanced"/>
    <s v="@CAT:@@BAL:$0.00@"/>
    <s v="[Chase Slate (XX1141)]"/>
    <m/>
    <m/>
    <m/>
    <x v="8"/>
    <x v="0"/>
    <m/>
    <m/>
    <m/>
    <m/>
    <s v="Nov"/>
    <n v="2014"/>
    <e v="#N/A"/>
    <e v="#N/A"/>
    <e v="#N/A"/>
    <e v="#N/A"/>
    <s v="[Chase Slate (XX1141)]"/>
  </r>
  <r>
    <s v="Mastercard (Angela)"/>
    <d v="2014-11-11T00:00:00"/>
    <n v="0"/>
    <s v="X"/>
    <s v="Balanced"/>
    <s v="@CAT:@@BAL:$0.00@"/>
    <s v="[Mastercard (Angela)]"/>
    <m/>
    <m/>
    <m/>
    <x v="10"/>
    <x v="0"/>
    <m/>
    <m/>
    <m/>
    <m/>
    <s v="Nov"/>
    <n v="2014"/>
    <s v="Account"/>
    <n v="0"/>
    <s v="No"/>
    <s v="None"/>
    <s v="[Mastercard (Angela)]"/>
  </r>
  <r>
    <s v="MasterCard (Capital One)"/>
    <d v="2014-11-11T00:00:00"/>
    <n v="25"/>
    <s v="X"/>
    <s v="Capital One (Cash Back)"/>
    <m/>
    <s v="Other Inc"/>
    <m/>
    <m/>
    <m/>
    <x v="29"/>
    <x v="0"/>
    <m/>
    <m/>
    <m/>
    <m/>
    <s v="Nov"/>
    <n v="2014"/>
    <s v="Monthly"/>
    <n v="0"/>
    <s v="No"/>
    <s v="None"/>
    <s v="Other Inc"/>
  </r>
  <r>
    <s v="MasterCard (Capital One)"/>
    <d v="2014-11-11T00:00:00"/>
    <n v="-23.89"/>
    <s v="X"/>
    <s v="Oshkosh"/>
    <m/>
    <s v="Kids:Clothing"/>
    <m/>
    <m/>
    <m/>
    <x v="27"/>
    <x v="1"/>
    <m/>
    <m/>
    <m/>
    <m/>
    <s v="Nov"/>
    <n v="2014"/>
    <s v="Monthly"/>
    <n v="0"/>
    <s v="No"/>
    <s v="None"/>
    <s v="Kids|Clothing"/>
  </r>
  <r>
    <s v="MasterCard (Capital One)"/>
    <d v="2014-11-11T00:00:00"/>
    <n v="-519"/>
    <s v="X"/>
    <s v="Seattle Gymnastic Academy"/>
    <m/>
    <s v="Kids:Kids Activities"/>
    <m/>
    <m/>
    <m/>
    <x v="27"/>
    <x v="12"/>
    <m/>
    <m/>
    <m/>
    <m/>
    <s v="Nov"/>
    <n v="2014"/>
    <s v="Monthly"/>
    <n v="0"/>
    <s v="No"/>
    <s v="None"/>
    <s v="Kids|Kids Activities"/>
  </r>
  <r>
    <s v="REI Mastercard (xx1787)"/>
    <d v="2014-11-11T00:00:00"/>
    <n v="0"/>
    <s v="X"/>
    <s v="Balanced"/>
    <s v="@CAT:@@BAL:$0.00@"/>
    <s v="[REI Mastercard (xx1787)]"/>
    <m/>
    <m/>
    <m/>
    <x v="11"/>
    <x v="0"/>
    <m/>
    <m/>
    <m/>
    <m/>
    <s v="Nov"/>
    <n v="2014"/>
    <e v="#N/A"/>
    <e v="#N/A"/>
    <e v="#N/A"/>
    <e v="#N/A"/>
    <s v="[REI Mastercard (xx1787)]"/>
  </r>
  <r>
    <s v="First Tech - Short Term Emergency (5400)"/>
    <d v="2014-11-09T00:00:00"/>
    <n v="0"/>
    <s v="X"/>
    <s v="Balanced"/>
    <s v="@CAT:@@BAL:$5.00@"/>
    <s v="[First Tech - Short Term Emergency (5400)]"/>
    <m/>
    <m/>
    <m/>
    <x v="4"/>
    <x v="0"/>
    <m/>
    <m/>
    <m/>
    <m/>
    <s v="Nov"/>
    <n v="2014"/>
    <s v="Account"/>
    <n v="0"/>
    <s v="No"/>
    <s v="None"/>
    <s v="[First Tech - Short Term Emergency (5400)]"/>
  </r>
  <r>
    <s v="MasterCard (Capital One)"/>
    <d v="2014-11-09T00:00:00"/>
    <n v="-6.57"/>
    <s v="X"/>
    <s v="Playdate Sea"/>
    <m/>
    <s v="Food &amp; Dining:Restaurants/From Receipt"/>
    <m/>
    <m/>
    <s v="From Receipt"/>
    <x v="15"/>
    <x v="15"/>
    <m/>
    <m/>
    <m/>
    <m/>
    <s v="Nov"/>
    <n v="2014"/>
    <s v="Monthly"/>
    <n v="0"/>
    <s v="No"/>
    <s v="None"/>
    <s v="Food &amp; Dining|Restaurants"/>
  </r>
  <r>
    <s v="Chase Slate (XX1141)"/>
    <d v="2014-11-08T00:00:00"/>
    <n v="0"/>
    <s v="X"/>
    <s v="Opening Balance"/>
    <m/>
    <s v="[Chase Slate (XX1141)]"/>
    <m/>
    <m/>
    <m/>
    <x v="8"/>
    <x v="0"/>
    <m/>
    <m/>
    <m/>
    <m/>
    <s v="Nov"/>
    <n v="2014"/>
    <e v="#N/A"/>
    <e v="#N/A"/>
    <e v="#N/A"/>
    <e v="#N/A"/>
    <s v="[Chase Slate (XX1141)]"/>
  </r>
  <r>
    <s v="MasterCard (Capital One)"/>
    <d v="2014-11-08T00:00:00"/>
    <n v="-15.87"/>
    <s v="X"/>
    <s v="Hales Ales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8T00:00:00"/>
    <n v="-18.72"/>
    <s v="X"/>
    <s v="Subway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8T00:00:00"/>
    <n v="-21.53"/>
    <s v="X"/>
    <s v="Trader Joe's"/>
    <m/>
    <s v="Food &amp; Dining:Groceries/From Receipt"/>
    <m/>
    <s v="Split"/>
    <s v="From Receipt"/>
    <x v="15"/>
    <x v="3"/>
    <m/>
    <m/>
    <m/>
    <m/>
    <s v="Nov"/>
    <n v="2014"/>
    <s v="Monthly"/>
    <n v="0"/>
    <s v="No"/>
    <s v="None"/>
    <s v="Food &amp; Dining|Groceries"/>
  </r>
  <r>
    <s v="MasterCard (Capital One)"/>
    <d v="2014-11-08T00:00:00"/>
    <n v="-15"/>
    <s v="X"/>
    <s v="Trader Joe's"/>
    <s v="#Disneyland 2014#"/>
    <s v="Vacation:Food/From Receipt"/>
    <m/>
    <s v="Split"/>
    <s v="From Receipt"/>
    <x v="23"/>
    <x v="8"/>
    <m/>
    <m/>
    <s v="Disneyland 2014"/>
    <m/>
    <s v="Nov"/>
    <n v="2014"/>
    <s v="Irregular"/>
    <n v="0"/>
    <s v="No"/>
    <s v="None"/>
    <s v="Vacation|Food"/>
  </r>
  <r>
    <s v="MasterCard (Capital One)"/>
    <d v="2014-11-08T00:00:00"/>
    <n v="-116.55"/>
    <s v="X"/>
    <s v="Fred Meyer"/>
    <m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First Tech - Checking (5544)"/>
    <d v="2014-11-07T00:00:00"/>
    <n v="-30"/>
    <s v="X"/>
    <s v="Thistle Theater"/>
    <s v="Puppet show@CAT:@"/>
    <s v="Kids:Kids Activities/From Receipt:Tax Related"/>
    <n v="2139"/>
    <m/>
    <s v="From Receipt:Tax Related"/>
    <x v="27"/>
    <x v="12"/>
    <m/>
    <m/>
    <m/>
    <m/>
    <s v="Nov"/>
    <n v="2014"/>
    <s v="Monthly"/>
    <n v="0"/>
    <s v="No"/>
    <s v="None"/>
    <s v="Kids|Kids Activities"/>
  </r>
  <r>
    <s v="MasterCard (Capital One)"/>
    <d v="2014-11-07T00:00:00"/>
    <n v="-96"/>
    <s v="X"/>
    <s v="Pacific Coast Shell"/>
    <s v="#Disneyland 2014#"/>
    <s v="Vacation:Transportation"/>
    <m/>
    <m/>
    <m/>
    <x v="23"/>
    <x v="26"/>
    <m/>
    <m/>
    <s v="Disneyland 2014"/>
    <m/>
    <s v="Nov"/>
    <n v="2014"/>
    <s v="Irregular"/>
    <n v="0"/>
    <s v="No"/>
    <s v="None"/>
    <s v="Vacation|Transportation"/>
  </r>
  <r>
    <s v="First Tech - Checking (5544)"/>
    <d v="2014-11-06T00:00:00"/>
    <n v="116.5"/>
    <s v="X"/>
    <s v="Stay Fit Credit"/>
    <s v="#Stay Fit# Reimbursement for Beat the Blerch"/>
    <s v="Health &amp; Fitness:Sports"/>
    <m/>
    <m/>
    <m/>
    <x v="18"/>
    <x v="23"/>
    <m/>
    <m/>
    <s v="Stay Fit"/>
    <m/>
    <s v="Nov"/>
    <n v="2014"/>
    <s v="Irregular"/>
    <n v="0"/>
    <s v="No"/>
    <s v="None"/>
    <s v="Health &amp; Fitness|Sports"/>
  </r>
  <r>
    <s v="First Tech - Checking (5544)"/>
    <d v="2014-11-06T00:00:00"/>
    <n v="-54.49"/>
    <s v="X"/>
    <s v="Target (Autopay)"/>
    <s v="ACH Debit--TARGET CARD SRVC 001 - AUTO PYMT"/>
    <s v="[Target Red Card]"/>
    <m/>
    <m/>
    <m/>
    <x v="12"/>
    <x v="0"/>
    <m/>
    <m/>
    <m/>
    <m/>
    <s v="Nov"/>
    <n v="2014"/>
    <s v="Account"/>
    <n v="0"/>
    <s v="No"/>
    <s v="None"/>
    <s v="[Target Red Card]"/>
  </r>
  <r>
    <s v="First Tech - Checking (5544)"/>
    <d v="2014-11-06T00:00:00"/>
    <n v="-30"/>
    <s v="X"/>
    <s v="Courtney Willie"/>
    <s v="3x SWOG cookbooks"/>
    <s v="Gifts"/>
    <n v="2135"/>
    <m/>
    <m/>
    <x v="28"/>
    <x v="0"/>
    <m/>
    <m/>
    <m/>
    <m/>
    <s v="Nov"/>
    <n v="2014"/>
    <s v="Monthly"/>
    <n v="0"/>
    <s v="No"/>
    <s v="None"/>
    <s v="Gifts"/>
  </r>
  <r>
    <s v="MasterCard (Capital One)"/>
    <d v="2014-11-06T00:00:00"/>
    <n v="-1.65"/>
    <s v="X"/>
    <s v="Ken Market"/>
    <m/>
    <s v="Food &amp; Dining:Groceries"/>
    <m/>
    <m/>
    <m/>
    <x v="15"/>
    <x v="3"/>
    <m/>
    <m/>
    <m/>
    <m/>
    <s v="Nov"/>
    <n v="2014"/>
    <s v="Monthly"/>
    <n v="0"/>
    <s v="No"/>
    <s v="None"/>
    <s v="Food &amp; Dining|Groceries"/>
  </r>
  <r>
    <s v="Target Red Card"/>
    <d v="2014-11-06T00:00:00"/>
    <n v="54.49"/>
    <s v="X"/>
    <s v="Target (Autopay)"/>
    <s v="@BAL:$0.00@@CAT:@"/>
    <s v="[First Tech - Checking (5544)]"/>
    <m/>
    <m/>
    <m/>
    <x v="21"/>
    <x v="0"/>
    <m/>
    <m/>
    <m/>
    <m/>
    <s v="Nov"/>
    <n v="2014"/>
    <s v="Account"/>
    <n v="0"/>
    <s v="No"/>
    <s v="None"/>
    <s v="[First Tech - Checking (5544)]"/>
  </r>
  <r>
    <s v="First Tech - Checking (5544)"/>
    <d v="2014-11-05T00:00:00"/>
    <n v="-3864.19"/>
    <s v="X"/>
    <s v="Wells Fargo Home Mortgage"/>
    <s v="ACH Debit--WF HOME MTG ACH - AUTO PAY"/>
    <s v="Home:Mortgage"/>
    <m/>
    <m/>
    <m/>
    <x v="14"/>
    <x v="27"/>
    <m/>
    <m/>
    <m/>
    <m/>
    <s v="Nov"/>
    <n v="2014"/>
    <s v="Monthly"/>
    <n v="0"/>
    <s v="No"/>
    <s v="None"/>
    <s v="Home|Mortgage"/>
  </r>
  <r>
    <s v="Koolikai - Checking XX2129"/>
    <d v="2014-11-05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s v="Nov"/>
    <n v="2014"/>
    <s v="Monthly"/>
    <n v="0"/>
    <s v="No"/>
    <s v="None"/>
    <s v="Business Income (Koolikai)|Rent"/>
  </r>
  <r>
    <s v="Discover Card"/>
    <d v="2014-11-05T00:00:00"/>
    <n v="-148.91"/>
    <s v="X"/>
    <s v="Garmin International"/>
    <s v="#Stay Fit# Running watch@BAL:$-895.13@@CAT:@"/>
    <s v="Health &amp; Fitness:Sports"/>
    <m/>
    <m/>
    <m/>
    <x v="18"/>
    <x v="23"/>
    <m/>
    <m/>
    <s v="Stay Fit"/>
    <m/>
    <s v="Nov"/>
    <n v="2014"/>
    <s v="Irregular"/>
    <n v="0"/>
    <s v="No"/>
    <s v="None"/>
    <s v="Health &amp; Fitness|Sports"/>
  </r>
  <r>
    <s v="First Tech - Checking (5544)"/>
    <d v="2014-11-04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Nov"/>
    <n v="2014"/>
    <s v="Monthly"/>
    <n v="0"/>
    <s v="No"/>
    <s v="None"/>
    <s v="Kids|American Funds 529A"/>
  </r>
  <r>
    <s v="Discover Card"/>
    <d v="2014-11-04T00:00:00"/>
    <n v="-10"/>
    <s v="X"/>
    <s v="Ezells Famous Chicken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4T00:00:00"/>
    <n v="-4.25"/>
    <s v="X"/>
    <s v="Seattle Parks And Recreation"/>
    <s v="Change fee for swimming lessons"/>
    <s v="Kids:Kids Activities"/>
    <m/>
    <m/>
    <m/>
    <x v="27"/>
    <x v="12"/>
    <m/>
    <m/>
    <m/>
    <m/>
    <s v="Nov"/>
    <n v="2014"/>
    <s v="Monthly"/>
    <n v="0"/>
    <s v="No"/>
    <s v="None"/>
    <s v="Kids|Kids Activities"/>
  </r>
  <r>
    <s v="MasterCard (Capital One)"/>
    <d v="2014-11-04T00:00:00"/>
    <n v="-12.04"/>
    <s v="X"/>
    <s v="Taco Del Mar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4T00:00:00"/>
    <n v="-21.19"/>
    <s v="X"/>
    <s v="Comcast"/>
    <s v="October"/>
    <s v="Bills &amp; Utilities:Television"/>
    <m/>
    <s v="Split"/>
    <m/>
    <x v="34"/>
    <x v="32"/>
    <m/>
    <m/>
    <m/>
    <m/>
    <s v="Nov"/>
    <n v="2014"/>
    <s v="Monthly"/>
    <n v="0"/>
    <s v="No"/>
    <s v="None"/>
    <s v="Bills &amp; Utilities|Television"/>
  </r>
  <r>
    <s v="MasterCard (Capital One)"/>
    <d v="2014-11-04T00:00:00"/>
    <n v="-66.739999999999995"/>
    <s v="X"/>
    <s v="Comcast"/>
    <s v="October"/>
    <s v="Business Expenses (Koolikai):Internet"/>
    <m/>
    <s v="Split"/>
    <m/>
    <x v="36"/>
    <x v="33"/>
    <m/>
    <m/>
    <m/>
    <m/>
    <s v="Nov"/>
    <n v="2014"/>
    <s v="Monthly"/>
    <n v="0"/>
    <s v="No"/>
    <s v="None"/>
    <s v="Business Expenses (Koolikai)|Internet"/>
  </r>
  <r>
    <s v="MasterCard (Capital One)"/>
    <d v="2014-11-04T00:00:00"/>
    <n v="-44.74"/>
    <s v="X"/>
    <s v="Comcast"/>
    <s v="October"/>
    <s v="Bills &amp; Utilities:Home Phone"/>
    <m/>
    <s v="Split"/>
    <m/>
    <x v="34"/>
    <x v="34"/>
    <m/>
    <m/>
    <m/>
    <m/>
    <s v="Nov"/>
    <n v="2014"/>
    <s v="Monthly"/>
    <n v="0"/>
    <s v="No"/>
    <s v="None"/>
    <s v="Bills &amp; Utilities|Home Phone"/>
  </r>
  <r>
    <s v="MasterCard (Capital One)"/>
    <d v="2014-11-04T00:00:00"/>
    <n v="-21.36"/>
    <s v="X"/>
    <s v="Comcast"/>
    <m/>
    <s v="Bills &amp; Utilities:Television"/>
    <m/>
    <s v="Split"/>
    <m/>
    <x v="34"/>
    <x v="32"/>
    <m/>
    <m/>
    <m/>
    <m/>
    <s v="Nov"/>
    <n v="2014"/>
    <s v="Monthly"/>
    <n v="0"/>
    <s v="No"/>
    <s v="None"/>
    <s v="Bills &amp; Utilities|Television"/>
  </r>
  <r>
    <s v="MasterCard (Capital One)"/>
    <d v="2014-11-04T00:00:00"/>
    <n v="-66.91"/>
    <s v="X"/>
    <s v="Comcast"/>
    <m/>
    <s v="Business Expenses (Koolikai):Internet"/>
    <m/>
    <s v="Split"/>
    <m/>
    <x v="36"/>
    <x v="33"/>
    <m/>
    <m/>
    <m/>
    <m/>
    <s v="Nov"/>
    <n v="2014"/>
    <s v="Monthly"/>
    <n v="0"/>
    <s v="No"/>
    <s v="None"/>
    <s v="Business Expenses (Koolikai)|Internet"/>
  </r>
  <r>
    <s v="MasterCard (Capital One)"/>
    <d v="2014-11-04T00:00:00"/>
    <n v="-44.91"/>
    <s v="X"/>
    <s v="Comcast"/>
    <m/>
    <s v="Bills &amp; Utilities:Home Phone"/>
    <m/>
    <s v="Split"/>
    <m/>
    <x v="34"/>
    <x v="34"/>
    <m/>
    <m/>
    <m/>
    <m/>
    <s v="Nov"/>
    <n v="2014"/>
    <s v="Monthly"/>
    <n v="0"/>
    <s v="No"/>
    <s v="None"/>
    <s v="Bills &amp; Utilities|Home Phone"/>
  </r>
  <r>
    <s v="MasterCard (Capital One)"/>
    <d v="2014-11-04T00:00:00"/>
    <n v="-8.86"/>
    <s v="X"/>
    <s v="Comcast"/>
    <s v="Bill says $9.50 late fee and $"/>
    <s v="Bank Fees &amp; Charges:Bank Fee"/>
    <m/>
    <s v="Split"/>
    <m/>
    <x v="32"/>
    <x v="31"/>
    <m/>
    <m/>
    <m/>
    <m/>
    <s v="Nov"/>
    <n v="2014"/>
    <s v="Irregular"/>
    <n v="0"/>
    <s v="No"/>
    <s v="None"/>
    <s v="Bank Fees &amp; Charges|Bank Fee"/>
  </r>
  <r>
    <s v="First Tech - Checking (5544)"/>
    <d v="2014-11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Nov"/>
    <n v="2014"/>
    <s v="Monthly"/>
    <n v="0"/>
    <s v="No"/>
    <s v="None"/>
    <s v="Business Expenses (Koolikai)|Mortgage (Business)"/>
  </r>
  <r>
    <s v="First Tech - Checking (5544)"/>
    <d v="2014-11-03T00:00:00"/>
    <n v="-2052"/>
    <s v="X"/>
    <s v="Phinney Ridge CDC"/>
    <s v="ACH Debit--PHINNEY RIDGE LU 504759859 - CONTRIBUTN"/>
    <s v="Kids:Daycare"/>
    <m/>
    <m/>
    <m/>
    <x v="27"/>
    <x v="35"/>
    <m/>
    <m/>
    <m/>
    <m/>
    <s v="Nov"/>
    <n v="2014"/>
    <s v="Monthly"/>
    <n v="0"/>
    <s v="No"/>
    <s v="None"/>
    <s v="Kids|Daycare"/>
  </r>
  <r>
    <s v="First Tech - Checking (5544)"/>
    <d v="2014-11-03T00:00:00"/>
    <n v="-2386.54"/>
    <s v="X"/>
    <s v="Capital One (Autopay)"/>
    <s v="ACH Debit--CAPITAL ONE  - CRCARDPMT"/>
    <s v="[MasterCard (Capital One)]"/>
    <m/>
    <m/>
    <m/>
    <x v="38"/>
    <x v="0"/>
    <m/>
    <m/>
    <m/>
    <m/>
    <s v="Nov"/>
    <n v="2014"/>
    <s v="Account"/>
    <n v="0"/>
    <s v="No"/>
    <s v="None"/>
    <s v="[MasterCard (Capital One)]"/>
  </r>
  <r>
    <s v="First Tech - Checking (5544)"/>
    <d v="2014-11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Nov"/>
    <n v="2014"/>
    <s v="Monthly"/>
    <n v="0"/>
    <s v="No"/>
    <s v="None"/>
    <s v="Business Expenses (Koolikai)|Mortgage (Business)"/>
  </r>
  <r>
    <s v="MasterCard (Capital One)"/>
    <d v="2014-11-03T00:00:00"/>
    <n v="2386.54"/>
    <s v="X"/>
    <s v="Capital One (Autopay)"/>
    <s v="ACH Debit--CAPITAL ONE  - CRCARDPMT"/>
    <s v="[First Tech - Checking (5544)]"/>
    <m/>
    <m/>
    <m/>
    <x v="21"/>
    <x v="0"/>
    <m/>
    <m/>
    <m/>
    <m/>
    <s v="Nov"/>
    <n v="2014"/>
    <s v="Account"/>
    <n v="0"/>
    <s v="No"/>
    <s v="None"/>
    <s v="[First Tech - Checking (5544)]"/>
  </r>
  <r>
    <s v="MasterCard (Capital One)"/>
    <d v="2014-11-03T00:00:00"/>
    <n v="-8.75"/>
    <s v="X"/>
    <s v="Netflix"/>
    <m/>
    <s v="Entertainment:Movies &amp; DVDs"/>
    <m/>
    <m/>
    <m/>
    <x v="30"/>
    <x v="43"/>
    <m/>
    <m/>
    <m/>
    <m/>
    <s v="Nov"/>
    <n v="2014"/>
    <s v="Unplanned"/>
    <n v="0"/>
    <s v="No"/>
    <s v="None"/>
    <s v="Entertainment|Movies &amp; DVDs"/>
  </r>
  <r>
    <s v="MasterCard (Capital One)"/>
    <d v="2014-11-03T00:00:00"/>
    <n v="-20.76"/>
    <s v="X"/>
    <s v="Aerovironment"/>
    <m/>
    <s v="Auto &amp; Transport:Gas &amp; Fuel"/>
    <m/>
    <m/>
    <m/>
    <x v="17"/>
    <x v="37"/>
    <m/>
    <m/>
    <m/>
    <m/>
    <s v="Nov"/>
    <n v="2014"/>
    <s v="Monthly"/>
    <n v="0"/>
    <s v="No"/>
    <s v="None"/>
    <s v="Auto &amp; Transport|Gas &amp; Fuel"/>
  </r>
  <r>
    <s v="MasterCard (Capital One)"/>
    <d v="2014-11-03T00:00:00"/>
    <n v="-65"/>
    <s v="X"/>
    <s v="Nurturing Knowledge Sc"/>
    <m/>
    <s v="Kids:School Fees"/>
    <m/>
    <m/>
    <m/>
    <x v="27"/>
    <x v="44"/>
    <m/>
    <m/>
    <m/>
    <m/>
    <s v="Nov"/>
    <n v="2014"/>
    <s v="Monthly"/>
    <n v="0"/>
    <s v="No"/>
    <s v="None"/>
    <s v="Kids|School Fees"/>
  </r>
  <r>
    <s v="MasterCard (Capital One)"/>
    <d v="2014-11-03T00:00:00"/>
    <n v="-65"/>
    <s v="X"/>
    <s v="Nurturing Knowledge Sc"/>
    <s v="@BAL:$4069.25@@CAT:@"/>
    <s v="Kids:School Fees"/>
    <m/>
    <m/>
    <m/>
    <x v="27"/>
    <x v="44"/>
    <m/>
    <m/>
    <m/>
    <m/>
    <s v="Nov"/>
    <n v="2014"/>
    <s v="Monthly"/>
    <n v="0"/>
    <s v="No"/>
    <s v="None"/>
    <s v="Kids|School Fees"/>
  </r>
  <r>
    <s v="MasterCard (Capital One)"/>
    <d v="2014-11-02T00:00:00"/>
    <n v="-4.93"/>
    <s v="X"/>
    <s v="Playdate Cafe"/>
    <m/>
    <s v="Kids:Kids Activities/From Receipt"/>
    <m/>
    <m/>
    <s v="From Receipt"/>
    <x v="27"/>
    <x v="12"/>
    <m/>
    <m/>
    <m/>
    <m/>
    <s v="Nov"/>
    <n v="2014"/>
    <s v="Monthly"/>
    <n v="0"/>
    <s v="No"/>
    <s v="None"/>
    <s v="Kids|Kids Activities"/>
  </r>
  <r>
    <s v="MasterCard (Capital One)"/>
    <d v="2014-11-02T00:00:00"/>
    <n v="-5.2"/>
    <s v="X"/>
    <s v="Playdate Cafe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2T00:00:00"/>
    <n v="-8.76"/>
    <s v="X"/>
    <s v="Playdate Cafe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2T00:00:00"/>
    <n v="-9.76"/>
    <s v="X"/>
    <s v="Playdate Cafe"/>
    <m/>
    <s v="Kids:Kids Activities"/>
    <m/>
    <m/>
    <m/>
    <x v="27"/>
    <x v="12"/>
    <m/>
    <m/>
    <m/>
    <m/>
    <s v="Nov"/>
    <n v="2014"/>
    <s v="Monthly"/>
    <n v="0"/>
    <s v="No"/>
    <s v="None"/>
    <s v="Kids|Kids Activities"/>
  </r>
  <r>
    <s v="MasterCard (Capital One)"/>
    <d v="2014-11-02T00:00:00"/>
    <n v="-142.59"/>
    <s v="X"/>
    <s v="Fred Meyer"/>
    <m/>
    <s v="Food &amp; Dining:Groceries/From Receipt"/>
    <m/>
    <m/>
    <s v="From Receipt"/>
    <x v="15"/>
    <x v="3"/>
    <m/>
    <m/>
    <m/>
    <m/>
    <s v="Nov"/>
    <n v="2014"/>
    <s v="Monthly"/>
    <n v="0"/>
    <s v="No"/>
    <s v="None"/>
    <s v="Food &amp; Dining|Groceries"/>
  </r>
  <r>
    <s v="Koolikai - Sec Dep XX1200"/>
    <d v="2014-11-01T00:00:00"/>
    <n v="0.19"/>
    <s v="X"/>
    <s v="First Tech (Dividend)"/>
    <s v="Credit Dividend--"/>
    <s v="Interest Income"/>
    <m/>
    <m/>
    <m/>
    <x v="40"/>
    <x v="0"/>
    <m/>
    <m/>
    <m/>
    <m/>
    <s v="Nov"/>
    <n v="2014"/>
    <s v="Monthly"/>
    <n v="0"/>
    <s v="No"/>
    <s v="None"/>
    <s v="Interest Income"/>
  </r>
  <r>
    <s v="Schwab - Checking (9784)"/>
    <d v="2014-11-01T00:00:00"/>
    <n v="-9.84"/>
    <s v="X"/>
    <s v="Costco"/>
    <s v="Dot-to-dot for Halley"/>
    <s v="Gifts"/>
    <m/>
    <s v="Split"/>
    <m/>
    <x v="28"/>
    <x v="0"/>
    <m/>
    <m/>
    <m/>
    <m/>
    <s v="Nov"/>
    <n v="2014"/>
    <s v="Monthly"/>
    <n v="0"/>
    <s v="No"/>
    <s v="None"/>
    <s v="Gifts"/>
  </r>
  <r>
    <s v="Schwab - Checking (9784)"/>
    <d v="2014-11-01T00:00:00"/>
    <n v="-8.75"/>
    <s v="X"/>
    <s v="Costco"/>
    <s v="Writing book for the boys"/>
    <s v="Kids:Toys"/>
    <m/>
    <s v="Split"/>
    <m/>
    <x v="27"/>
    <x v="14"/>
    <m/>
    <m/>
    <m/>
    <m/>
    <s v="Nov"/>
    <n v="2014"/>
    <s v="Monthly"/>
    <n v="0"/>
    <s v="No"/>
    <s v="None"/>
    <s v="Kids|Toys"/>
  </r>
  <r>
    <s v="Schwab - Checking (9784)"/>
    <d v="2014-11-01T00:00:00"/>
    <n v="-13.89"/>
    <s v="X"/>
    <s v="Costco"/>
    <m/>
    <s v="Food &amp; Dining:Groceries"/>
    <m/>
    <s v="Split"/>
    <m/>
    <x v="15"/>
    <x v="3"/>
    <m/>
    <m/>
    <m/>
    <m/>
    <s v="Nov"/>
    <n v="2014"/>
    <s v="Monthly"/>
    <n v="0"/>
    <s v="No"/>
    <s v="None"/>
    <s v="Food &amp; Dining|Groceries"/>
  </r>
  <r>
    <s v="MasterCard (Capital One)"/>
    <d v="2014-11-01T00:00:00"/>
    <n v="-15.34"/>
    <s v="X"/>
    <s v="Sq Parfait Ice"/>
    <s v="Ice cream with Pierre and Jesse"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MasterCard (Capital One)"/>
    <d v="2014-11-01T00:00:00"/>
    <n v="-68.58"/>
    <s v="X"/>
    <s v="Skillet Diner"/>
    <m/>
    <s v="Food &amp; Dining:Restaurants"/>
    <m/>
    <m/>
    <m/>
    <x v="15"/>
    <x v="15"/>
    <m/>
    <m/>
    <m/>
    <m/>
    <s v="Nov"/>
    <n v="2014"/>
    <s v="Monthly"/>
    <n v="0"/>
    <s v="No"/>
    <s v="None"/>
    <s v="Food &amp; Dining|Restaurants"/>
  </r>
  <r>
    <s v="Capital One - Investment (6759)"/>
    <d v="2014-10-31T00:00:00"/>
    <n v="20.059999999999999"/>
    <s v="X"/>
    <s v="Capital One (Interest Income)"/>
    <s v="@CAT:@@BAL:47,255.66@"/>
    <s v="Interest Income"/>
    <m/>
    <m/>
    <m/>
    <x v="40"/>
    <x v="0"/>
    <m/>
    <m/>
    <m/>
    <m/>
    <s v="Oct"/>
    <n v="2014"/>
    <s v="Monthly"/>
    <n v="0"/>
    <s v="No"/>
    <s v="None"/>
    <s v="Interest Income"/>
  </r>
  <r>
    <s v="Capital One - Long Term Emergency (1201)"/>
    <d v="2014-10-31T00:00:00"/>
    <n v="50.37"/>
    <s v="X"/>
    <s v="Capital One (Interest Income)"/>
    <s v="@CAT:@@BAL:118646.76@"/>
    <s v="Interest Income"/>
    <m/>
    <m/>
    <m/>
    <x v="40"/>
    <x v="0"/>
    <m/>
    <m/>
    <m/>
    <m/>
    <s v="Oct"/>
    <n v="2014"/>
    <s v="Monthly"/>
    <n v="0"/>
    <s v="No"/>
    <s v="None"/>
    <s v="Interest Income"/>
  </r>
  <r>
    <s v="Capital One - Secondary Savings (3126)"/>
    <d v="2014-10-31T00:00:00"/>
    <n v="0.02"/>
    <s v="X"/>
    <s v="Capital One (Interest Income)"/>
    <s v="@CAT:@@BAL:$123.20@"/>
    <s v="Interest Income"/>
    <m/>
    <m/>
    <m/>
    <x v="40"/>
    <x v="0"/>
    <m/>
    <m/>
    <m/>
    <m/>
    <s v="Oct"/>
    <n v="2014"/>
    <s v="Monthly"/>
    <n v="0"/>
    <s v="No"/>
    <s v="None"/>
    <s v="Interest Income"/>
  </r>
  <r>
    <s v="Capital One - Vacation (4959)"/>
    <d v="2014-10-31T00:00:00"/>
    <n v="5.96"/>
    <s v="X"/>
    <s v="Capital One (Interest Income)"/>
    <s v="@BAL:$36,031.06@@CAT:@"/>
    <s v="Interest Income"/>
    <m/>
    <m/>
    <m/>
    <x v="40"/>
    <x v="0"/>
    <m/>
    <m/>
    <m/>
    <m/>
    <s v="Oct"/>
    <n v="2014"/>
    <s v="Monthly"/>
    <n v="0"/>
    <s v="No"/>
    <s v="None"/>
    <s v="Interest Income"/>
  </r>
  <r>
    <s v="First Tech - Checking (5544)"/>
    <d v="2014-10-31T00:00:00"/>
    <n v="5492.31"/>
    <s v="X"/>
    <s v="Microsoft (Paystub)"/>
    <s v="ACH Deposit--MICROSOFT  - EDIPAYMENT"/>
    <s v="Net Salary"/>
    <m/>
    <m/>
    <m/>
    <x v="35"/>
    <x v="0"/>
    <m/>
    <m/>
    <m/>
    <m/>
    <s v="Oct"/>
    <n v="2014"/>
    <s v="Monthly"/>
    <n v="0"/>
    <s v="No"/>
    <s v="None"/>
    <s v="Net Salary"/>
  </r>
  <r>
    <s v="First Tech - Checking (5544)"/>
    <d v="2014-10-31T00:00:00"/>
    <n v="6058.12"/>
    <s v="X"/>
    <s v="CRAB (Paystub)"/>
    <s v="ACH Deposit--Cancer Research  - Payroll"/>
    <s v="Net Salary"/>
    <m/>
    <m/>
    <m/>
    <x v="35"/>
    <x v="0"/>
    <m/>
    <m/>
    <m/>
    <m/>
    <s v="Oct"/>
    <n v="2014"/>
    <s v="Monthly"/>
    <n v="0"/>
    <s v="No"/>
    <s v="None"/>
    <s v="Net Salary"/>
  </r>
  <r>
    <s v="First Tech - Checking (5544)"/>
    <d v="2014-10-31T00:00:00"/>
    <n v="-70"/>
    <s v="X"/>
    <s v="Poppy Weber"/>
    <s v="@BAL:$39,256.33@@CAT:@"/>
    <s v="Kids:Babysitter"/>
    <n v="2138"/>
    <m/>
    <m/>
    <x v="27"/>
    <x v="13"/>
    <m/>
    <m/>
    <m/>
    <m/>
    <s v="Oct"/>
    <n v="2014"/>
    <s v="Monthly"/>
    <n v="0"/>
    <s v="No"/>
    <s v="None"/>
    <s v="Kids|Babysitter"/>
  </r>
  <r>
    <s v="Koolikai - Checking XX2129"/>
    <d v="2014-10-31T00:00:00"/>
    <n v="2195"/>
    <s v="X"/>
    <s v="John Schaibley"/>
    <s v="Deposit--Shared Branch Mobile Deposit          First Tech FC CA"/>
    <s v="Business Income (Koolikai):Rent/9602"/>
    <m/>
    <m/>
    <n v="9602"/>
    <x v="37"/>
    <x v="25"/>
    <m/>
    <m/>
    <m/>
    <m/>
    <s v="Oct"/>
    <n v="2014"/>
    <s v="Monthly"/>
    <n v="0"/>
    <s v="No"/>
    <s v="None"/>
    <s v="Business Income (Koolikai)|Rent"/>
  </r>
  <r>
    <s v="Schwab - Checking (9784)"/>
    <d v="2014-10-31T00:00:00"/>
    <n v="0.05"/>
    <s v="X"/>
    <s v="Interest Paid"/>
    <s v="@BAL:$516.36@"/>
    <s v="Interest Income"/>
    <m/>
    <m/>
    <m/>
    <x v="40"/>
    <x v="0"/>
    <m/>
    <m/>
    <m/>
    <m/>
    <s v="Oct"/>
    <n v="2014"/>
    <s v="Monthly"/>
    <n v="0"/>
    <s v="No"/>
    <s v="None"/>
    <s v="Interest Income"/>
  </r>
  <r>
    <s v="Discover Card"/>
    <d v="2014-10-31T00:00:00"/>
    <n v="-500"/>
    <s v="X"/>
    <s v="Ca"/>
    <s v="826 Seattle"/>
    <s v="Charity:Charity (Cash)"/>
    <m/>
    <m/>
    <m/>
    <x v="22"/>
    <x v="7"/>
    <m/>
    <m/>
    <m/>
    <m/>
    <s v="Oct"/>
    <n v="2014"/>
    <s v="Annual"/>
    <n v="0"/>
    <s v="No"/>
    <s v="None"/>
    <s v="Charity|Charity (Cash)"/>
  </r>
  <r>
    <s v="MasterCard (Capital One)"/>
    <d v="2014-10-31T00:00:00"/>
    <n v="-111.5"/>
    <s v="X"/>
    <s v="Wa Parksreservationswe"/>
    <s v="#Orcas Island 2015#"/>
    <s v="Vacation:Lodging"/>
    <m/>
    <m/>
    <m/>
    <x v="23"/>
    <x v="9"/>
    <m/>
    <m/>
    <s v="Orcas Island 2015"/>
    <m/>
    <s v="Oct"/>
    <n v="2014"/>
    <s v="Irregular"/>
    <n v="0"/>
    <s v="No"/>
    <s v="None"/>
    <s v="Vacation|Lodging"/>
  </r>
  <r>
    <s v="First Tech - Checking (5544)"/>
    <d v="2014-10-30T00:00:00"/>
    <n v="-250.13"/>
    <s v="X"/>
    <s v="City Seattle Spu"/>
    <s v="ACH Debit--CITY OF SEATTLE  - 2 - SPU De"/>
    <s v="Bills &amp; Utilities:Utilities"/>
    <m/>
    <m/>
    <m/>
    <x v="34"/>
    <x v="18"/>
    <m/>
    <m/>
    <m/>
    <m/>
    <s v="Oct"/>
    <n v="2014"/>
    <s v="Monthly"/>
    <n v="0"/>
    <s v="No"/>
    <s v="None"/>
    <s v="Bills &amp; Utilities|Utilities"/>
  </r>
  <r>
    <s v="MasterCard (Capital One)"/>
    <d v="2014-10-30T00:00:00"/>
    <n v="-15.86"/>
    <s v="X"/>
    <s v="Diamond Parking"/>
    <m/>
    <s v="Auto &amp; Transport:Parking"/>
    <m/>
    <m/>
    <m/>
    <x v="17"/>
    <x v="11"/>
    <m/>
    <m/>
    <m/>
    <m/>
    <s v="Oct"/>
    <n v="2014"/>
    <s v="Monthly"/>
    <n v="0"/>
    <s v="No"/>
    <s v="None"/>
    <s v="Auto &amp; Transport|Parking"/>
  </r>
  <r>
    <s v="MasterCard (Capital One)"/>
    <d v="2014-10-29T00:00:00"/>
    <n v="-15.86"/>
    <s v="X"/>
    <s v="Diamond Parking"/>
    <m/>
    <s v="Auto &amp; Transport:Parking"/>
    <m/>
    <m/>
    <m/>
    <x v="17"/>
    <x v="11"/>
    <m/>
    <m/>
    <m/>
    <m/>
    <s v="Oct"/>
    <n v="2014"/>
    <s v="Monthly"/>
    <n v="0"/>
    <s v="No"/>
    <s v="None"/>
    <s v="Auto &amp; Transport|Parking"/>
  </r>
  <r>
    <s v="First Tech - Checking (5544)"/>
    <d v="2014-10-28T00:00:00"/>
    <n v="263.08"/>
    <s v="X"/>
    <s v="Shared Branch Mobile"/>
    <s v="Deposit--Shared Branch Mobile Deposit          First Tech FC CA"/>
    <s v="Other Inc"/>
    <m/>
    <m/>
    <m/>
    <x v="29"/>
    <x v="0"/>
    <m/>
    <m/>
    <m/>
    <m/>
    <s v="Oct"/>
    <n v="2014"/>
    <s v="Monthly"/>
    <n v="0"/>
    <s v="No"/>
    <s v="None"/>
    <s v="Other Inc"/>
  </r>
  <r>
    <s v="MasterCard (Capital One)"/>
    <d v="2014-10-28T00:00:00"/>
    <n v="25"/>
    <s v="X"/>
    <s v="Capital One (Cash Back)"/>
    <m/>
    <s v="Other Inc"/>
    <m/>
    <m/>
    <m/>
    <x v="29"/>
    <x v="0"/>
    <m/>
    <m/>
    <m/>
    <m/>
    <s v="Oct"/>
    <n v="2014"/>
    <s v="Monthly"/>
    <n v="0"/>
    <s v="No"/>
    <s v="None"/>
    <s v="Other Inc"/>
  </r>
  <r>
    <s v="MasterCard (Capital One)"/>
    <d v="2014-10-28T00:00:00"/>
    <n v="-8.7899999999999991"/>
    <s v="X"/>
    <s v="Ken Market"/>
    <m/>
    <s v="Food &amp; Dining:Groceries"/>
    <m/>
    <m/>
    <m/>
    <x v="15"/>
    <x v="3"/>
    <m/>
    <m/>
    <m/>
    <m/>
    <s v="Oct"/>
    <n v="2014"/>
    <s v="Monthly"/>
    <n v="0"/>
    <s v="No"/>
    <s v="None"/>
    <s v="Food &amp; Dining|Groceries"/>
  </r>
  <r>
    <s v="First Tech - Checking (5544)"/>
    <d v="2014-10-27T00:00:00"/>
    <n v="-860.28"/>
    <s v="X"/>
    <s v="Chase Freedom (9381)"/>
    <m/>
    <s v="[Chase Freedom XX9381]"/>
    <m/>
    <m/>
    <m/>
    <x v="7"/>
    <x v="0"/>
    <m/>
    <m/>
    <m/>
    <m/>
    <s v="Oct"/>
    <n v="2014"/>
    <e v="#N/A"/>
    <e v="#N/A"/>
    <e v="#N/A"/>
    <e v="#N/A"/>
    <s v="[Chase Freedom XX9381]"/>
  </r>
  <r>
    <s v="Chase Freedom XX9381"/>
    <d v="2014-10-27T00:00:00"/>
    <n v="860.28"/>
    <s v="X"/>
    <s v="Chase Freedom (9381)"/>
    <s v="@CAT:@@BAL:$9.05@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MasterCard (Capital One)"/>
    <d v="2014-10-27T00:00:00"/>
    <n v="-50"/>
    <s v="X"/>
    <s v="Starbucks"/>
    <m/>
    <s v="Food &amp; Dining:Restaurants/From Receipt"/>
    <m/>
    <m/>
    <s v="From Receipt"/>
    <x v="15"/>
    <x v="15"/>
    <m/>
    <m/>
    <m/>
    <m/>
    <s v="Oct"/>
    <n v="2014"/>
    <s v="Monthly"/>
    <n v="0"/>
    <s v="No"/>
    <s v="None"/>
    <s v="Food &amp; Dining|Restaurants"/>
  </r>
  <r>
    <s v="Discover Card"/>
    <d v="2014-10-25T00:00:00"/>
    <n v="-8.68"/>
    <s v="X"/>
    <s v="Goodwill - Ballard"/>
    <s v="Hats for Zach andJosh"/>
    <s v="Kids:Clothing"/>
    <m/>
    <m/>
    <m/>
    <x v="27"/>
    <x v="1"/>
    <m/>
    <m/>
    <m/>
    <m/>
    <s v="Oct"/>
    <n v="2014"/>
    <s v="Monthly"/>
    <n v="0"/>
    <s v="No"/>
    <s v="None"/>
    <s v="Kids|Clothing"/>
  </r>
  <r>
    <s v="MasterCard (Capital One)"/>
    <d v="2014-10-25T00:00:00"/>
    <n v="-3.01"/>
    <s v="X"/>
    <s v="Park"/>
    <m/>
    <s v="Auto &amp; Transport:Parking"/>
    <m/>
    <m/>
    <m/>
    <x v="17"/>
    <x v="11"/>
    <m/>
    <m/>
    <m/>
    <m/>
    <s v="Oct"/>
    <n v="2014"/>
    <s v="Monthly"/>
    <n v="0"/>
    <s v="No"/>
    <s v="None"/>
    <s v="Auto &amp; Transport|Parking"/>
  </r>
  <r>
    <s v="MasterCard (Capital One)"/>
    <d v="2014-10-25T00:00:00"/>
    <n v="-68"/>
    <s v="X"/>
    <s v="Seattle Parks And Recreation"/>
    <s v="Swimming lessons for Zach"/>
    <s v="Kids:Kids Activities"/>
    <m/>
    <m/>
    <m/>
    <x v="27"/>
    <x v="12"/>
    <m/>
    <m/>
    <m/>
    <m/>
    <s v="Oct"/>
    <n v="2014"/>
    <s v="Monthly"/>
    <n v="0"/>
    <s v="No"/>
    <s v="None"/>
    <s v="Kids|Kids Activities"/>
  </r>
  <r>
    <s v="MasterCard (Capital One)"/>
    <d v="2014-10-25T00:00:00"/>
    <n v="-68.23"/>
    <s v="X"/>
    <s v="Pesos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25T00:00:00"/>
    <n v="-17.510000000000002"/>
    <s v="X"/>
    <s v="Fred Meyer"/>
    <s v="umbrella"/>
    <s v="Shopping:Clothing:Accessories/From Receipt"/>
    <m/>
    <s v="Split"/>
    <s v="From Receipt"/>
    <x v="13"/>
    <x v="1"/>
    <s v="Accessories"/>
    <m/>
    <m/>
    <m/>
    <s v="Oct"/>
    <n v="2014"/>
    <s v="Annual"/>
    <n v="0"/>
    <s v="No"/>
    <s v="None"/>
    <s v="Shopping|Clothing"/>
  </r>
  <r>
    <s v="MasterCard (Capital One)"/>
    <d v="2014-10-25T00:00:00"/>
    <n v="-110.47"/>
    <s v="X"/>
    <s v="Fred Meyer"/>
    <m/>
    <s v="Food &amp; Dining:Groceries/From Receipt"/>
    <m/>
    <s v="Split"/>
    <s v="From Receipt"/>
    <x v="15"/>
    <x v="3"/>
    <m/>
    <m/>
    <m/>
    <m/>
    <s v="Oct"/>
    <n v="2014"/>
    <s v="Monthly"/>
    <n v="0"/>
    <s v="No"/>
    <s v="None"/>
    <s v="Food &amp; Dining|Groceries"/>
  </r>
  <r>
    <s v="First Tech - Checking (5544)"/>
    <d v="2014-10-24T00:00:00"/>
    <n v="-101.01"/>
    <s v="X"/>
    <s v="American Express"/>
    <s v="ACH Debit--AMEX EPayment AM - ACH PMT"/>
    <s v="[American Express (Costco)]"/>
    <m/>
    <m/>
    <m/>
    <x v="20"/>
    <x v="0"/>
    <m/>
    <m/>
    <m/>
    <m/>
    <s v="Oct"/>
    <n v="2014"/>
    <s v="Account"/>
    <n v="0"/>
    <s v="No"/>
    <s v="None"/>
    <s v="[American Express (Costco)]"/>
  </r>
  <r>
    <s v="Koolikai - Checking XX2129"/>
    <d v="2014-10-24T00:00:00"/>
    <n v="-148.16"/>
    <s v="X"/>
    <s v="Chase - Koolikai (Autopay)"/>
    <s v="ACH Debit--CHASE  - AUTOPAYBUS"/>
    <s v="[Koolikai Credit Card]"/>
    <m/>
    <m/>
    <m/>
    <x v="9"/>
    <x v="0"/>
    <m/>
    <m/>
    <m/>
    <m/>
    <s v="Oct"/>
    <n v="2014"/>
    <s v="Account"/>
    <n v="0"/>
    <s v="No"/>
    <s v="None"/>
    <s v="[Koolikai Credit Card]"/>
  </r>
  <r>
    <s v="American Express (Costco)"/>
    <d v="2014-10-24T00:00:00"/>
    <n v="101.01"/>
    <s v="*"/>
    <s v="American Express (Autopay)"/>
    <s v="@CAT:@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Koolikai Credit Card"/>
    <d v="2014-10-24T00:00:00"/>
    <n v="148.16"/>
    <s v="X"/>
    <s v="Chase - Koolikai (Autopay)"/>
    <s v="@BAL:$148.16@@CAT:@"/>
    <s v="[Koolikai - Checking XX2129]"/>
    <m/>
    <m/>
    <m/>
    <x v="25"/>
    <x v="0"/>
    <m/>
    <m/>
    <m/>
    <m/>
    <s v="Oct"/>
    <n v="2014"/>
    <s v="Account"/>
    <n v="0"/>
    <s v="No"/>
    <s v="None"/>
    <s v="[Koolikai - Checking XX2129]"/>
  </r>
  <r>
    <s v="MasterCard (Capital One)"/>
    <d v="2014-10-24T00:00:00"/>
    <n v="-2.0699999999999998"/>
    <s v="X"/>
    <s v="Fred Meyer"/>
    <s v="Glue for costumes"/>
    <s v="Kids:Toys/From Receipt"/>
    <m/>
    <s v="Split"/>
    <s v="From Receipt"/>
    <x v="27"/>
    <x v="14"/>
    <m/>
    <m/>
    <m/>
    <m/>
    <s v="Oct"/>
    <n v="2014"/>
    <s v="Monthly"/>
    <n v="0"/>
    <s v="No"/>
    <s v="None"/>
    <s v="Kids|Toys"/>
  </r>
  <r>
    <s v="MasterCard (Capital One)"/>
    <d v="2014-10-24T00:00:00"/>
    <n v="-7.64"/>
    <s v="X"/>
    <s v="Fred Meyer"/>
    <s v="Cotton for costumes"/>
    <s v="Kids:Toys/From Receipt"/>
    <m/>
    <s v="Split"/>
    <s v="From Receipt"/>
    <x v="27"/>
    <x v="14"/>
    <m/>
    <m/>
    <m/>
    <m/>
    <s v="Oct"/>
    <n v="2014"/>
    <s v="Monthly"/>
    <n v="0"/>
    <s v="No"/>
    <s v="None"/>
    <s v="Kids|Toys"/>
  </r>
  <r>
    <s v="MasterCard (Capital One)"/>
    <d v="2014-10-24T00:00:00"/>
    <n v="-38.31"/>
    <s v="X"/>
    <s v="Fred Meyer"/>
    <s v="Boots"/>
    <s v="Shopping:Clothing/From Receipt"/>
    <m/>
    <s v="Split"/>
    <s v="From Receipt"/>
    <x v="13"/>
    <x v="1"/>
    <m/>
    <m/>
    <m/>
    <m/>
    <s v="Oct"/>
    <n v="2014"/>
    <s v="Annual"/>
    <n v="0"/>
    <s v="No"/>
    <s v="None"/>
    <s v="Shopping|Clothing"/>
  </r>
  <r>
    <s v="MasterCard (Capital One)"/>
    <d v="2014-10-24T00:00:00"/>
    <n v="-3"/>
    <s v="X"/>
    <s v="Fred Meyer"/>
    <s v="Milk"/>
    <s v="Food &amp; Dining:Groceries/From Receipt"/>
    <m/>
    <s v="Split"/>
    <s v="From Receipt"/>
    <x v="15"/>
    <x v="3"/>
    <m/>
    <m/>
    <m/>
    <m/>
    <s v="Oct"/>
    <n v="2014"/>
    <s v="Monthly"/>
    <n v="0"/>
    <s v="No"/>
    <s v="None"/>
    <s v="Food &amp; Dining|Groceries"/>
  </r>
  <r>
    <s v="MasterCard (Capital One)"/>
    <d v="2014-10-24T00:00:00"/>
    <n v="-598.24"/>
    <s v="X"/>
    <s v="Hyatt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Capital One - Vacation (4959)"/>
    <d v="2014-10-23T00:00:00"/>
    <n v="31000"/>
    <s v="X"/>
    <s v="First Tech Transfer"/>
    <s v="Moving sabbatical cash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First Tech - Checking (5544)"/>
    <d v="2014-10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Oct"/>
    <n v="2014"/>
    <s v="Monthly"/>
    <n v="0"/>
    <s v="No"/>
    <s v="None"/>
    <s v="Auto &amp; Transport|Auto Lease Payment"/>
  </r>
  <r>
    <s v="First Tech - Checking (5544)"/>
    <d v="2014-10-23T00:00:00"/>
    <n v="-31000"/>
    <s v="X"/>
    <s v="First Tech Transfer"/>
    <s v="Moving sabbatical cash out"/>
    <s v="[Capital One - Vacation (4959)]"/>
    <m/>
    <m/>
    <m/>
    <x v="3"/>
    <x v="0"/>
    <m/>
    <m/>
    <m/>
    <m/>
    <s v="Oct"/>
    <n v="2014"/>
    <s v="Account"/>
    <n v="0"/>
    <s v="No"/>
    <s v="None"/>
    <s v="[Capital One - Vacation (4959)]"/>
  </r>
  <r>
    <s v="Discover Card"/>
    <d v="2014-10-23T00:00:00"/>
    <n v="-5"/>
    <s v="X"/>
    <s v="Mobile"/>
    <m/>
    <s v="Auto &amp; Transport:Gas &amp; Fuel"/>
    <m/>
    <m/>
    <m/>
    <x v="17"/>
    <x v="37"/>
    <m/>
    <m/>
    <m/>
    <m/>
    <s v="Oct"/>
    <n v="2014"/>
    <s v="Monthly"/>
    <n v="0"/>
    <s v="No"/>
    <s v="None"/>
    <s v="Auto &amp; Transport|Gas &amp; Fuel"/>
  </r>
  <r>
    <s v="MasterCard (Capital One)"/>
    <d v="2014-10-23T00:00:00"/>
    <n v="-3"/>
    <s v="X"/>
    <s v="Ventra Vending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MasterCard (Capital One)"/>
    <d v="2014-10-23T00:00:00"/>
    <n v="-11.03"/>
    <s v="X"/>
    <s v="Corner Bakery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MasterCard (Capital One)"/>
    <d v="2014-10-23T00:00:00"/>
    <n v="-19.11"/>
    <s v="X"/>
    <s v="Ice Bar L"/>
    <s v="#Group Meeting Fall#"/>
    <s v="Work Expense:Reimbursable expense/From Receipt"/>
    <m/>
    <m/>
    <s v="From Receipt"/>
    <x v="19"/>
    <x v="21"/>
    <m/>
    <m/>
    <s v="Group Meeting Fall"/>
    <m/>
    <s v="Oct"/>
    <n v="2014"/>
    <s v="Irregular"/>
    <n v="0"/>
    <s v="No"/>
    <s v="None"/>
    <s v="Work Expense|Reimbursable expense"/>
  </r>
  <r>
    <s v="MasterCard (Capital One)"/>
    <d v="2014-10-23T00:00:00"/>
    <n v="-30.89"/>
    <s v="X"/>
    <s v="Shuttlepark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First Tech - Checking (5544)"/>
    <d v="2014-10-22T00:00:00"/>
    <n v="31007.51"/>
    <s v="X"/>
    <s v="First Tech Transfer"/>
    <s v="Moving sabbatical cash out"/>
    <s v="[First Tech - Short Term Emergency (5400)]"/>
    <m/>
    <m/>
    <m/>
    <x v="4"/>
    <x v="0"/>
    <m/>
    <m/>
    <m/>
    <m/>
    <s v="Oct"/>
    <n v="2014"/>
    <s v="Account"/>
    <n v="0"/>
    <s v="No"/>
    <s v="None"/>
    <s v="[First Tech - Short Term Emergency (5400)]"/>
  </r>
  <r>
    <s v="First Tech - Checking (5544)"/>
    <d v="2014-10-22T00:00:00"/>
    <n v="-31000"/>
    <s v="X"/>
    <s v="First Tech Transfer"/>
    <s v="Moving sabbatical cash out"/>
    <s v="[First Tech - Short Term Emergency (5400)]"/>
    <m/>
    <m/>
    <m/>
    <x v="4"/>
    <x v="0"/>
    <m/>
    <m/>
    <m/>
    <m/>
    <s v="Oct"/>
    <n v="2014"/>
    <s v="Account"/>
    <n v="0"/>
    <s v="No"/>
    <s v="None"/>
    <s v="[First Tech - Short Term Emergency (5400)]"/>
  </r>
  <r>
    <s v="First Tech - Short Term Emergency (5400)"/>
    <d v="2014-10-22T00:00:00"/>
    <n v="31000"/>
    <s v="X"/>
    <s v="First Tech Transfer"/>
    <s v="Moving sabbatical cash out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First Tech - Short Term Emergency (5400)"/>
    <d v="2014-10-22T00:00:00"/>
    <n v="-31007.51"/>
    <s v="X"/>
    <s v="First Tech Transfer"/>
    <s v="Withdrawal-- Transfer to 914775544, Moving funds to Capital One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MasterCard (Capital One)"/>
    <d v="2014-10-22T00:00:00"/>
    <n v="-2.19"/>
    <s v="X"/>
    <s v="Walgreens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MasterCard (Capital One)"/>
    <d v="2014-10-22T00:00:00"/>
    <n v="-4.42"/>
    <s v="X"/>
    <s v="Hyatt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MasterCard (Capital One)"/>
    <d v="2014-10-22T00:00:00"/>
    <n v="-43.02"/>
    <s v="X"/>
    <s v="Bella Bacino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Capital One - Long Term Emergency (1201)"/>
    <d v="2014-10-21T00:00:00"/>
    <n v="14.93"/>
    <s v="X"/>
    <s v="Quarterly Bonus Int"/>
    <m/>
    <s v="Interest Income"/>
    <m/>
    <m/>
    <m/>
    <x v="40"/>
    <x v="0"/>
    <m/>
    <m/>
    <m/>
    <m/>
    <s v="Oct"/>
    <n v="2014"/>
    <s v="Monthly"/>
    <n v="0"/>
    <s v="No"/>
    <s v="None"/>
    <s v="Interest Income"/>
  </r>
  <r>
    <s v="Schwab - Checking (9784)"/>
    <d v="2014-10-21T00:00:00"/>
    <n v="-20"/>
    <s v="X"/>
    <s v="US Bank"/>
    <s v="Santorinis"/>
    <s v="Food &amp; Dining:Restaurants/From Receipt"/>
    <m/>
    <m/>
    <s v="From Receipt"/>
    <x v="15"/>
    <x v="15"/>
    <m/>
    <m/>
    <m/>
    <m/>
    <s v="Oct"/>
    <n v="2014"/>
    <s v="Monthly"/>
    <n v="0"/>
    <s v="No"/>
    <s v="None"/>
    <s v="Food &amp; Dining|Restaurants"/>
  </r>
  <r>
    <s v="Discover Card"/>
    <d v="2014-10-21T00:00:00"/>
    <n v="-6.3"/>
    <s v="X"/>
    <s v="Cafe Remond Wa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Discover Card"/>
    <d v="2014-10-21T00:00:00"/>
    <n v="-8.56"/>
    <s v="X"/>
    <s v="Taco Del Mar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21T00:00:00"/>
    <n v="-6"/>
    <s v="X"/>
    <s v="Alaska Air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MasterCard (Capital One)"/>
    <d v="2014-10-21T00:00:00"/>
    <n v="-30.44"/>
    <s v="X"/>
    <s v="Walgreens"/>
    <m/>
    <s v="Personal Care:Beauty &amp; Makeup/From Receipt"/>
    <m/>
    <m/>
    <s v="From Receipt"/>
    <x v="31"/>
    <x v="45"/>
    <m/>
    <m/>
    <m/>
    <m/>
    <s v="Oct"/>
    <n v="2014"/>
    <s v="Monthly"/>
    <n v="0"/>
    <s v="No"/>
    <s v="None"/>
    <s v="Personal Care|Beauty &amp; Makeup"/>
  </r>
  <r>
    <s v="MasterCard (Capital One)"/>
    <d v="2014-10-21T00:00:00"/>
    <n v="-54.68"/>
    <s v="X"/>
    <s v="Volare"/>
    <s v="#Group Meeting Fall#"/>
    <s v="Work Expense:Reimbursable expense"/>
    <m/>
    <m/>
    <m/>
    <x v="19"/>
    <x v="21"/>
    <m/>
    <m/>
    <s v="Group Meeting Fall"/>
    <m/>
    <s v="Oct"/>
    <n v="2014"/>
    <s v="Irregular"/>
    <n v="0"/>
    <s v="No"/>
    <s v="None"/>
    <s v="Work Expense|Reimbursable expense"/>
  </r>
  <r>
    <s v="MasterCard (Capital One)"/>
    <d v="2014-10-21T00:00:00"/>
    <n v="-59.54"/>
    <s v="X"/>
    <s v="Macy's"/>
    <s v="Make up"/>
    <s v="Personal Care:Beauty &amp; Makeup/From Receipt"/>
    <m/>
    <m/>
    <s v="From Receipt"/>
    <x v="31"/>
    <x v="45"/>
    <m/>
    <m/>
    <m/>
    <m/>
    <s v="Oct"/>
    <n v="2014"/>
    <s v="Monthly"/>
    <n v="0"/>
    <s v="No"/>
    <s v="None"/>
    <s v="Personal Care|Beauty &amp; Makeup"/>
  </r>
  <r>
    <s v="MasterCard (Capital One)"/>
    <d v="2014-10-20T00:00:00"/>
    <n v="-24.75"/>
    <s v="X"/>
    <s v="Fogon Cocina Mexicana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Schwab - Checking (9784)"/>
    <d v="2014-10-19T00:00:00"/>
    <n v="-8.75"/>
    <s v="X"/>
    <s v="Costco"/>
    <s v="book for Grayden"/>
    <s v="Gifts"/>
    <m/>
    <s v="Split"/>
    <m/>
    <x v="28"/>
    <x v="0"/>
    <m/>
    <m/>
    <m/>
    <m/>
    <s v="Oct"/>
    <n v="2014"/>
    <s v="Monthly"/>
    <n v="0"/>
    <s v="No"/>
    <s v="None"/>
    <s v="Gifts"/>
  </r>
  <r>
    <s v="Schwab - Checking (9784)"/>
    <d v="2014-10-19T00:00:00"/>
    <n v="-16.399999999999999"/>
    <s v="X"/>
    <s v="Costco"/>
    <s v="Pajamas"/>
    <s v="Kids:Clothing"/>
    <m/>
    <s v="Split"/>
    <m/>
    <x v="27"/>
    <x v="1"/>
    <m/>
    <m/>
    <m/>
    <m/>
    <s v="Oct"/>
    <n v="2014"/>
    <s v="Monthly"/>
    <n v="0"/>
    <s v="No"/>
    <s v="None"/>
    <s v="Kids|Clothing"/>
  </r>
  <r>
    <s v="Schwab - Checking (9784)"/>
    <d v="2014-10-19T00:00:00"/>
    <n v="-51.78"/>
    <s v="X"/>
    <s v="Costco"/>
    <m/>
    <s v="Food &amp; Dining:Groceries"/>
    <m/>
    <s v="Split"/>
    <m/>
    <x v="15"/>
    <x v="3"/>
    <m/>
    <m/>
    <m/>
    <m/>
    <s v="Oct"/>
    <n v="2014"/>
    <s v="Monthly"/>
    <n v="0"/>
    <s v="No"/>
    <s v="None"/>
    <s v="Food &amp; Dining|Groceries"/>
  </r>
  <r>
    <s v="Chase Freedom XX9381"/>
    <d v="2014-10-19T00:00:00"/>
    <n v="216.36"/>
    <s v="X"/>
    <s v="Redemption"/>
    <m/>
    <s v="Other Inc"/>
    <m/>
    <m/>
    <m/>
    <x v="29"/>
    <x v="0"/>
    <m/>
    <m/>
    <m/>
    <m/>
    <s v="Oct"/>
    <n v="2014"/>
    <s v="Monthly"/>
    <n v="0"/>
    <s v="No"/>
    <s v="None"/>
    <s v="Other Inc"/>
  </r>
  <r>
    <s v="MasterCard (Capital One)"/>
    <d v="2014-10-19T00:00:00"/>
    <n v="-10.37"/>
    <s v="X"/>
    <s v="Taco Del Mar"/>
    <m/>
    <s v="Food &amp; Dining:Restaurants/From Receipt"/>
    <m/>
    <m/>
    <s v="From Receipt"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9T00:00:00"/>
    <n v="-10.5"/>
    <s v="X"/>
    <s v="Bob's Corn Maze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9T00:00:00"/>
    <n v="-15"/>
    <s v="X"/>
    <s v="Bob's Corn Maze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Schwab - Checking (9784)"/>
    <d v="2014-10-18T00:00:00"/>
    <n v="-98.99"/>
    <s v="X"/>
    <s v="Costco"/>
    <s v="Zach's glasses"/>
    <s v="Health &amp; Fitness:Eyecare/From Receipt"/>
    <m/>
    <m/>
    <s v="From Receipt"/>
    <x v="18"/>
    <x v="5"/>
    <m/>
    <m/>
    <m/>
    <m/>
    <s v="Oct"/>
    <n v="2014"/>
    <s v="Irregular"/>
    <n v="0"/>
    <s v="No"/>
    <s v="None"/>
    <s v="Health &amp; Fitness|Eyecare"/>
  </r>
  <r>
    <s v="MasterCard (Capital One)"/>
    <d v="2014-10-18T00:00:00"/>
    <n v="-7.95"/>
    <s v="X"/>
    <s v="Mcdonald's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8T00:00:00"/>
    <n v="-10.039999999999999"/>
    <s v="X"/>
    <s v="Mcdonald's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8T00:00:00"/>
    <n v="-16.399999999999999"/>
    <s v="X"/>
    <s v="Goodwill"/>
    <s v="Haloween costumes"/>
    <s v="Kids:Clothing/From Receipt"/>
    <m/>
    <m/>
    <s v="From Receipt"/>
    <x v="27"/>
    <x v="1"/>
    <m/>
    <m/>
    <m/>
    <m/>
    <s v="Oct"/>
    <n v="2014"/>
    <s v="Monthly"/>
    <n v="0"/>
    <s v="No"/>
    <s v="None"/>
    <s v="Kids|Clothing"/>
  </r>
  <r>
    <s v="MasterCard (Capital One)"/>
    <d v="2014-10-18T00:00:00"/>
    <n v="-25.98"/>
    <s v="X"/>
    <s v="Thai Siam Restaurant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8T00:00:00"/>
    <n v="-54.33"/>
    <s v="X"/>
    <s v="Trader Joe's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MasterCard (Capital One)"/>
    <d v="2014-10-18T00:00:00"/>
    <n v="-3.82"/>
    <s v="X"/>
    <s v="Fred Meyer"/>
    <s v="Cotton balls for costume"/>
    <s v="Kids:Toys/From Receipt"/>
    <m/>
    <s v="Split"/>
    <s v="From Receipt"/>
    <x v="27"/>
    <x v="14"/>
    <m/>
    <m/>
    <m/>
    <m/>
    <s v="Oct"/>
    <n v="2014"/>
    <s v="Monthly"/>
    <n v="0"/>
    <s v="No"/>
    <s v="None"/>
    <s v="Kids|Toys"/>
  </r>
  <r>
    <s v="MasterCard (Capital One)"/>
    <d v="2014-10-18T00:00:00"/>
    <n v="-95.77"/>
    <s v="X"/>
    <s v="Fred Meyer"/>
    <m/>
    <s v="Food &amp; Dining:Groceries/From Receipt"/>
    <m/>
    <s v="Split"/>
    <s v="From Receipt"/>
    <x v="15"/>
    <x v="3"/>
    <m/>
    <m/>
    <m/>
    <m/>
    <s v="Oct"/>
    <n v="2014"/>
    <s v="Monthly"/>
    <n v="0"/>
    <s v="No"/>
    <s v="None"/>
    <s v="Food &amp; Dining|Groceries"/>
  </r>
  <r>
    <s v="First Tech - Checking (5544)"/>
    <d v="2014-10-17T00:00:00"/>
    <n v="5000"/>
    <s v="X"/>
    <s v="Premera Funding Cyc"/>
    <s v="Reimbursement for dependent care account"/>
    <s v="[Premera Health Care Payment]"/>
    <m/>
    <m/>
    <m/>
    <x v="42"/>
    <x v="0"/>
    <m/>
    <m/>
    <m/>
    <m/>
    <s v="Oct"/>
    <n v="2014"/>
    <s v="Account"/>
    <n v="0"/>
    <s v="No"/>
    <s v="None"/>
    <s v="[Premera Health Care Payment]"/>
  </r>
  <r>
    <s v="First Tech - Checking (5544)"/>
    <d v="2014-10-17T00:00:00"/>
    <n v="-117"/>
    <s v="X"/>
    <s v="Cleaning Authority, The"/>
    <s v="ACH Debit--THE CLEANING AUT  - ONLINE PMT"/>
    <s v="Home:Home Services"/>
    <m/>
    <m/>
    <m/>
    <x v="14"/>
    <x v="46"/>
    <m/>
    <m/>
    <m/>
    <m/>
    <s v="Oct"/>
    <n v="2014"/>
    <s v="Monthly"/>
    <n v="0"/>
    <s v="No"/>
    <s v="None"/>
    <s v="Home|Home Services"/>
  </r>
  <r>
    <s v="Premera Health Care Payment"/>
    <d v="2014-10-17T00:00:00"/>
    <n v="-5000"/>
    <m/>
    <s v="Premera Funding Cyc"/>
    <s v="Reimbursement for dependent care account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First Tech - Checking (5544)"/>
    <d v="2014-10-16T00:00:00"/>
    <n v="-13.5"/>
    <s v="X"/>
    <s v="Seattle Families Of Multiples"/>
    <s v="Purchases from Fall sale"/>
    <s v="Kids:Toys"/>
    <n v="2137"/>
    <s v="Split"/>
    <m/>
    <x v="27"/>
    <x v="14"/>
    <m/>
    <m/>
    <m/>
    <m/>
    <s v="Oct"/>
    <n v="2014"/>
    <s v="Monthly"/>
    <n v="0"/>
    <s v="No"/>
    <s v="None"/>
    <s v="Kids|Toys"/>
  </r>
  <r>
    <s v="First Tech - Checking (5544)"/>
    <d v="2014-10-16T00:00:00"/>
    <n v="-13.5"/>
    <s v="X"/>
    <s v="Seattle Families Of Multiples"/>
    <m/>
    <s v="Kids:Clothing"/>
    <n v="2137"/>
    <s v="Split"/>
    <m/>
    <x v="27"/>
    <x v="1"/>
    <m/>
    <m/>
    <m/>
    <m/>
    <s v="Oct"/>
    <n v="2014"/>
    <s v="Monthly"/>
    <n v="0"/>
    <s v="No"/>
    <s v="None"/>
    <s v="Kids|Clothing"/>
  </r>
  <r>
    <s v="MasterCard (Capital One)"/>
    <d v="2014-10-16T00:00:00"/>
    <n v="-7.11"/>
    <s v="X"/>
    <s v="Fresh Table Cafe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First Tech - Checking (5544)"/>
    <d v="2014-10-15T00:00:00"/>
    <n v="-47.41"/>
    <s v="X"/>
    <s v="Puget Sound Energy"/>
    <s v="ACH Debit--PUGET SOUND ENER DIRECT DEBITING - PSE BILL  37505102"/>
    <s v="Bills &amp; Utilities:Utilities"/>
    <m/>
    <m/>
    <m/>
    <x v="34"/>
    <x v="18"/>
    <m/>
    <m/>
    <m/>
    <m/>
    <s v="Oct"/>
    <n v="2014"/>
    <s v="Monthly"/>
    <n v="0"/>
    <s v="No"/>
    <s v="None"/>
    <s v="Bills &amp; Utilities|Utilities"/>
  </r>
  <r>
    <s v="First Tech - Checking (5544)"/>
    <d v="2014-10-15T00:00:00"/>
    <n v="-58"/>
    <s v="X"/>
    <s v="Seattle Families Of Multiples"/>
    <s v="Purchases from Fall sale"/>
    <s v="Kids:Toys"/>
    <n v="2136"/>
    <s v="Split"/>
    <m/>
    <x v="27"/>
    <x v="14"/>
    <m/>
    <m/>
    <m/>
    <m/>
    <s v="Oct"/>
    <n v="2014"/>
    <s v="Monthly"/>
    <n v="0"/>
    <s v="No"/>
    <s v="None"/>
    <s v="Kids|Toys"/>
  </r>
  <r>
    <s v="First Tech - Checking (5544)"/>
    <d v="2014-10-15T00:00:00"/>
    <n v="-80"/>
    <s v="X"/>
    <s v="Seattle Families Of Multiples"/>
    <m/>
    <s v="Kids:Clothing"/>
    <n v="2136"/>
    <s v="Split"/>
    <m/>
    <x v="27"/>
    <x v="1"/>
    <m/>
    <m/>
    <m/>
    <m/>
    <s v="Oct"/>
    <n v="2014"/>
    <s v="Monthly"/>
    <n v="0"/>
    <s v="No"/>
    <s v="None"/>
    <s v="Kids|Clothing"/>
  </r>
  <r>
    <s v="MasterCard (Capital One)"/>
    <d v="2014-10-15T00:00:00"/>
    <n v="-15.08"/>
    <s v="X"/>
    <s v="Walgreens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First Tech - Checking (5544)"/>
    <d v="2014-10-14T00:00:00"/>
    <n v="13905.58"/>
    <s v="X"/>
    <s v="Microsoft (Paystub)"/>
    <s v="ACH Deposit--MICROSOFT  - EDIPAYMENT"/>
    <s v="Net Salary"/>
    <m/>
    <m/>
    <m/>
    <x v="35"/>
    <x v="0"/>
    <m/>
    <m/>
    <m/>
    <m/>
    <s v="Oct"/>
    <n v="2014"/>
    <s v="Monthly"/>
    <n v="0"/>
    <s v="No"/>
    <s v="None"/>
    <s v="Net Salary"/>
  </r>
  <r>
    <s v="MasterCard (Capital One)"/>
    <d v="2014-10-14T00:00:00"/>
    <n v="-7.63"/>
    <s v="X"/>
    <s v="Ken Market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Koolikai - Checking XX2129"/>
    <d v="2014-10-13T00:00:00"/>
    <n v="2195"/>
    <s v="X"/>
    <s v="John Schaibley"/>
    <s v="Deposit--Shared Branch Mobile Deposit          First Tech FC CA"/>
    <s v="Business Income (Koolikai):Rent/9602"/>
    <m/>
    <m/>
    <n v="9602"/>
    <x v="37"/>
    <x v="25"/>
    <m/>
    <m/>
    <m/>
    <m/>
    <s v="Oct"/>
    <n v="2014"/>
    <s v="Monthly"/>
    <n v="0"/>
    <s v="No"/>
    <s v="None"/>
    <s v="Business Income (Koolikai)|Rent"/>
  </r>
  <r>
    <s v="Discover Card"/>
    <d v="2014-10-13T00:00:00"/>
    <n v="-129.97999999999999"/>
    <s v="X"/>
    <s v="Discount Com"/>
    <s v="Projector lamp"/>
    <s v="Shopping:Electronics &amp; Software"/>
    <m/>
    <m/>
    <m/>
    <x v="13"/>
    <x v="20"/>
    <m/>
    <m/>
    <m/>
    <m/>
    <s v="Oct"/>
    <n v="2014"/>
    <s v="Annual"/>
    <n v="0"/>
    <s v="No"/>
    <s v="None"/>
    <s v="Shopping|Electronics &amp; Software"/>
  </r>
  <r>
    <s v="Chase Freedom XX9381"/>
    <d v="2014-10-12T00:00:00"/>
    <n v="-0.01"/>
    <s v="X"/>
    <s v="Microsoft"/>
    <s v="#Apps#"/>
    <s v="Work Expense:Reimbursable expense"/>
    <m/>
    <m/>
    <m/>
    <x v="19"/>
    <x v="21"/>
    <m/>
    <m/>
    <s v="Apps"/>
    <m/>
    <s v="Oct"/>
    <n v="2014"/>
    <s v="Irregular"/>
    <n v="0"/>
    <s v="No"/>
    <s v="None"/>
    <s v="Work Expense|Reimbursable expense"/>
  </r>
  <r>
    <s v="Chase Freedom XX9381"/>
    <d v="2014-10-12T00:00:00"/>
    <n v="-0.01"/>
    <s v="X"/>
    <s v="Microsoft"/>
    <s v="#Apps#"/>
    <s v="Work Expense:Reimbursable expense"/>
    <m/>
    <m/>
    <m/>
    <x v="19"/>
    <x v="21"/>
    <m/>
    <m/>
    <s v="Apps"/>
    <m/>
    <s v="Oct"/>
    <n v="2014"/>
    <s v="Irregular"/>
    <n v="0"/>
    <s v="No"/>
    <s v="None"/>
    <s v="Work Expense|Reimbursable expense"/>
  </r>
  <r>
    <s v="Koolikai Credit Card"/>
    <d v="2014-10-12T00:00:00"/>
    <n v="-146.84"/>
    <s v="X"/>
    <s v="Verizon Wireless"/>
    <m/>
    <s v="Business Expenses (Koolikai):Cell Phone"/>
    <m/>
    <m/>
    <m/>
    <x v="36"/>
    <x v="22"/>
    <m/>
    <m/>
    <m/>
    <m/>
    <s v="Oct"/>
    <n v="2014"/>
    <s v="Monthly"/>
    <n v="0"/>
    <s v="No"/>
    <s v="None"/>
    <s v="Business Expenses (Koolikai)|Cell Phone"/>
  </r>
  <r>
    <s v="MasterCard (Capital One)"/>
    <d v="2014-10-12T00:00:00"/>
    <n v="25"/>
    <s v="X"/>
    <s v="Capital One (Cash Back)"/>
    <m/>
    <s v="Other Inc"/>
    <m/>
    <m/>
    <m/>
    <x v="29"/>
    <x v="0"/>
    <m/>
    <m/>
    <m/>
    <m/>
    <s v="Oct"/>
    <n v="2014"/>
    <s v="Monthly"/>
    <n v="0"/>
    <s v="No"/>
    <s v="None"/>
    <s v="Other Inc"/>
  </r>
  <r>
    <s v="MasterCard (Capital One)"/>
    <d v="2014-10-12T00:00:00"/>
    <n v="-6.11"/>
    <s v="X"/>
    <s v="Fred Meyer"/>
    <m/>
    <s v="Food &amp; Dining:Groceries"/>
    <m/>
    <m/>
    <m/>
    <x v="15"/>
    <x v="3"/>
    <m/>
    <m/>
    <m/>
    <m/>
    <s v="Oct"/>
    <n v="2014"/>
    <s v="Monthly"/>
    <n v="0"/>
    <s v="No"/>
    <s v="None"/>
    <s v="Food &amp; Dining|Groceries"/>
  </r>
  <r>
    <s v="MasterCard (Capital One)"/>
    <d v="2014-10-12T00:00:00"/>
    <n v="-34"/>
    <s v="X"/>
    <s v="Rudys Barber Shop"/>
    <m/>
    <s v="Personal Care:Hair"/>
    <m/>
    <m/>
    <m/>
    <x v="31"/>
    <x v="16"/>
    <m/>
    <m/>
    <m/>
    <m/>
    <s v="Oct"/>
    <n v="2014"/>
    <s v="Monthly"/>
    <n v="0"/>
    <s v="No"/>
    <s v="None"/>
    <s v="Personal Care|Hair"/>
  </r>
  <r>
    <s v="MasterCard (Capital One)"/>
    <d v="2014-10-12T00:00:00"/>
    <n v="-69.13"/>
    <s v="X"/>
    <s v="Fred Meyer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Fideity ESPP and Stock Awards"/>
    <d v="2014-10-12T00:00:00"/>
    <m/>
    <m/>
    <m/>
    <m/>
    <s v="[Fideity ESPP and Stock Awards]"/>
    <s v="Cash"/>
    <m/>
    <m/>
    <x v="43"/>
    <x v="0"/>
    <m/>
    <m/>
    <m/>
    <m/>
    <s v="Oct"/>
    <n v="2014"/>
    <e v="#N/A"/>
    <e v="#N/A"/>
    <e v="#N/A"/>
    <e v="#N/A"/>
    <s v="[Fideity ESPP and Stock Awards]"/>
  </r>
  <r>
    <s v="LPL Financial"/>
    <d v="2014-10-12T00:00:00"/>
    <m/>
    <m/>
    <m/>
    <m/>
    <s v="[LPL Financial]"/>
    <s v="Cash"/>
    <m/>
    <m/>
    <x v="44"/>
    <x v="0"/>
    <m/>
    <m/>
    <m/>
    <m/>
    <s v="Oct"/>
    <n v="2014"/>
    <e v="#N/A"/>
    <e v="#N/A"/>
    <e v="#N/A"/>
    <e v="#N/A"/>
    <s v="[LPL Financial]"/>
  </r>
  <r>
    <s v="Discover Card"/>
    <d v="2014-10-11T00:00:00"/>
    <n v="-77.7"/>
    <s v="X"/>
    <s v="Watershed Pub Kitchen"/>
    <s v="Family night out"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1T00:00:00"/>
    <n v="-12.34"/>
    <s v="X"/>
    <s v="Jersey Great Food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First Tech - Checking (5544)"/>
    <d v="2014-10-10T00:00:00"/>
    <n v="-5651.04"/>
    <s v="X"/>
    <s v="Caesar's Gardens"/>
    <s v="ACH Debit--CATHLEEN CAESAR  - ONLINE PMT"/>
    <s v="Projects:Landscaping"/>
    <m/>
    <m/>
    <m/>
    <x v="39"/>
    <x v="47"/>
    <m/>
    <m/>
    <m/>
    <m/>
    <s v="Oct"/>
    <n v="2014"/>
    <s v="Unplanned"/>
    <n v="0"/>
    <s v="No"/>
    <s v="None"/>
    <s v="Projects|Landscaping"/>
  </r>
  <r>
    <s v="Koolikai - Checking XX2129"/>
    <d v="2014-10-10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s v="Oct"/>
    <n v="2014"/>
    <s v="Monthly"/>
    <n v="0"/>
    <s v="No"/>
    <s v="None"/>
    <s v="Business Income (Koolikai)|Rent"/>
  </r>
  <r>
    <s v="Chase Freedom XX9381"/>
    <d v="2014-10-10T00:00:00"/>
    <n v="-0.01"/>
    <s v="X"/>
    <s v="Microsoft"/>
    <s v="#Apps#"/>
    <s v="Work Expense:Reimbursable expense"/>
    <m/>
    <m/>
    <m/>
    <x v="19"/>
    <x v="21"/>
    <m/>
    <m/>
    <s v="Apps"/>
    <m/>
    <s v="Oct"/>
    <n v="2014"/>
    <s v="Irregular"/>
    <n v="0"/>
    <s v="No"/>
    <s v="None"/>
    <s v="Work Expense|Reimbursable expense"/>
  </r>
  <r>
    <s v="Chase Freedom XX9381"/>
    <d v="2014-10-10T00:00:00"/>
    <n v="-0.01"/>
    <s v="X"/>
    <s v="Microsoft"/>
    <s v="#Apps#"/>
    <s v="Work Expense:Reimbursable expense"/>
    <m/>
    <m/>
    <m/>
    <x v="19"/>
    <x v="21"/>
    <m/>
    <m/>
    <s v="Apps"/>
    <m/>
    <s v="Oct"/>
    <n v="2014"/>
    <s v="Irregular"/>
    <n v="0"/>
    <s v="No"/>
    <s v="None"/>
    <s v="Work Expense|Reimbursable expense"/>
  </r>
  <r>
    <s v="MasterCard (Capital One)"/>
    <d v="2014-10-10T00:00:00"/>
    <n v="-3.91"/>
    <s v="X"/>
    <s v="7-Eleven"/>
    <s v="Slurpees"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0T00:00:00"/>
    <n v="-7.59"/>
    <s v="X"/>
    <s v="Great Steak &amp; Potato Company"/>
    <m/>
    <s v="Food &amp; Dining:Restaurants/From Receipt"/>
    <m/>
    <m/>
    <s v="From Receipt"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10T00:00:00"/>
    <n v="-32.630000000000003"/>
    <s v="X"/>
    <s v="Eddie Bauer"/>
    <m/>
    <s v="Shopping:Clothing/From Receipt"/>
    <m/>
    <m/>
    <s v="From Receipt"/>
    <x v="13"/>
    <x v="1"/>
    <m/>
    <m/>
    <m/>
    <m/>
    <s v="Oct"/>
    <n v="2014"/>
    <s v="Annual"/>
    <n v="0"/>
    <s v="No"/>
    <s v="None"/>
    <s v="Shopping|Clothing"/>
  </r>
  <r>
    <s v="MasterCard (Capital One)"/>
    <d v="2014-10-10T00:00:00"/>
    <n v="-38"/>
    <s v="X"/>
    <s v="Banana Republic"/>
    <m/>
    <s v="Shopping:Clothing"/>
    <m/>
    <m/>
    <m/>
    <x v="13"/>
    <x v="1"/>
    <m/>
    <m/>
    <m/>
    <m/>
    <s v="Oct"/>
    <n v="2014"/>
    <s v="Annual"/>
    <n v="0"/>
    <s v="No"/>
    <s v="None"/>
    <s v="Shopping|Clothing"/>
  </r>
  <r>
    <s v="MasterCard (Capital One)"/>
    <d v="2014-10-10T00:00:00"/>
    <n v="-64.569999999999993"/>
    <s v="X"/>
    <s v="Bass"/>
    <m/>
    <s v="Shopping:Clothing/From Receipt"/>
    <m/>
    <m/>
    <s v="From Receipt"/>
    <x v="13"/>
    <x v="1"/>
    <m/>
    <m/>
    <m/>
    <m/>
    <s v="Oct"/>
    <n v="2014"/>
    <s v="Annual"/>
    <n v="0"/>
    <s v="No"/>
    <s v="None"/>
    <s v="Shopping|Clothing"/>
  </r>
  <r>
    <s v="MasterCard (Capital One)"/>
    <d v="2014-10-10T00:00:00"/>
    <n v="-65.099999999999994"/>
    <s v="X"/>
    <s v="Children's Place"/>
    <s v="Coats for Zach and Josh"/>
    <s v="Kids:Clothing/From Receipt"/>
    <m/>
    <m/>
    <s v="From Receipt"/>
    <x v="27"/>
    <x v="1"/>
    <m/>
    <m/>
    <m/>
    <m/>
    <s v="Oct"/>
    <n v="2014"/>
    <s v="Monthly"/>
    <n v="0"/>
    <s v="No"/>
    <s v="None"/>
    <s v="Kids|Clothing"/>
  </r>
  <r>
    <s v="MasterCard (Capital One)"/>
    <d v="2014-10-10T00:00:00"/>
    <n v="-73.849999999999994"/>
    <s v="X"/>
    <s v="Ann Taylor"/>
    <m/>
    <s v="Shopping:Clothing/From Receipt"/>
    <m/>
    <m/>
    <s v="From Receipt"/>
    <x v="13"/>
    <x v="1"/>
    <m/>
    <m/>
    <m/>
    <m/>
    <s v="Oct"/>
    <n v="2014"/>
    <s v="Annual"/>
    <n v="0"/>
    <s v="No"/>
    <s v="None"/>
    <s v="Shopping|Clothing"/>
  </r>
  <r>
    <s v="MasterCard (Capital One)"/>
    <d v="2014-10-10T00:00:00"/>
    <n v="-138.43"/>
    <s v="X"/>
    <s v="Ann Taylor"/>
    <m/>
    <s v="Shopping:Clothing/From Receipt"/>
    <m/>
    <m/>
    <s v="From Receipt"/>
    <x v="13"/>
    <x v="1"/>
    <m/>
    <m/>
    <m/>
    <m/>
    <s v="Oct"/>
    <n v="2014"/>
    <s v="Annual"/>
    <n v="0"/>
    <s v="No"/>
    <s v="None"/>
    <s v="Shopping|Clothing"/>
  </r>
  <r>
    <s v="MasterCard (Capital One)"/>
    <d v="2014-10-09T00:00:00"/>
    <n v="-5"/>
    <s v="X"/>
    <s v="Sq Mobile Mayan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09T00:00:00"/>
    <n v="-12.1"/>
    <s v="X"/>
    <s v="Circle K"/>
    <s v="#Sedona#"/>
    <s v="Vacation:Transportation"/>
    <m/>
    <m/>
    <m/>
    <x v="23"/>
    <x v="26"/>
    <m/>
    <m/>
    <s v="Sedona"/>
    <m/>
    <s v="Oct"/>
    <n v="2014"/>
    <s v="Irregular"/>
    <n v="0"/>
    <s v="No"/>
    <s v="None"/>
    <s v="Vacation|Transportation"/>
  </r>
  <r>
    <s v="MasterCard (Capital One)"/>
    <d v="2014-10-09T00:00:00"/>
    <n v="-36.49"/>
    <s v="X"/>
    <s v="Shell"/>
    <s v="#Sedona#"/>
    <s v="Vacation:Transportation"/>
    <m/>
    <m/>
    <m/>
    <x v="23"/>
    <x v="26"/>
    <m/>
    <m/>
    <s v="Sedona"/>
    <m/>
    <s v="Oct"/>
    <n v="2014"/>
    <s v="Irregular"/>
    <n v="0"/>
    <s v="No"/>
    <s v="None"/>
    <s v="Vacation|Transportation"/>
  </r>
  <r>
    <s v="MasterCard (Capital One)"/>
    <d v="2014-10-09T00:00:00"/>
    <n v="-53.76"/>
    <s v="X"/>
    <s v="Shuttlepark"/>
    <s v="#Sedona#"/>
    <s v="Vacation:Transportation"/>
    <m/>
    <m/>
    <m/>
    <x v="23"/>
    <x v="26"/>
    <m/>
    <m/>
    <s v="Sedona"/>
    <m/>
    <s v="Oct"/>
    <n v="2014"/>
    <s v="Irregular"/>
    <n v="0"/>
    <s v="No"/>
    <s v="None"/>
    <s v="Vacation|Transportation"/>
  </r>
  <r>
    <s v="MasterCard (Capital One)"/>
    <d v="2014-10-09T00:00:00"/>
    <n v="-527.30999999999995"/>
    <s v="X"/>
    <s v="Southwest Inn At Sedona"/>
    <s v="#Sedona#"/>
    <s v="Vacation:Lodging/From Receipt"/>
    <m/>
    <m/>
    <s v="From Receipt"/>
    <x v="23"/>
    <x v="9"/>
    <m/>
    <m/>
    <s v="Sedona"/>
    <m/>
    <s v="Oct"/>
    <n v="2014"/>
    <s v="Irregular"/>
    <n v="0"/>
    <s v="No"/>
    <s v="None"/>
    <s v="Vacation|Lodging"/>
  </r>
  <r>
    <s v="First Tech - Checking (5544)"/>
    <d v="2014-10-08T00:00:00"/>
    <n v="-65.599999999999994"/>
    <s v="X"/>
    <s v="Artistic Checks"/>
    <s v="New checks"/>
    <s v="Business Expenses (Koolikai):Office Expenses (Business)"/>
    <m/>
    <m/>
    <m/>
    <x v="36"/>
    <x v="42"/>
    <m/>
    <m/>
    <m/>
    <m/>
    <s v="Oct"/>
    <n v="2014"/>
    <s v="Monthly"/>
    <n v="0"/>
    <s v="No"/>
    <s v="None"/>
    <s v="Business Expenses (Koolikai)|Office Expenses (Business)"/>
  </r>
  <r>
    <s v="MasterCard (Capital One)"/>
    <d v="2014-10-08T00:00:00"/>
    <n v="-7.64"/>
    <s v="X"/>
    <s v="Walgreens"/>
    <s v="#Sedona#Hat for hiking in the rain."/>
    <s v="Vacation:Trinkets/From Receipt"/>
    <m/>
    <m/>
    <s v="From Receipt"/>
    <x v="23"/>
    <x v="28"/>
    <m/>
    <m/>
    <s v="Sedona"/>
    <m/>
    <s v="Oct"/>
    <n v="2014"/>
    <s v="Irregular"/>
    <n v="0"/>
    <s v="No"/>
    <s v="None"/>
    <s v="Vacation|Trinkets"/>
  </r>
  <r>
    <s v="MasterCard (Capital One)"/>
    <d v="2014-10-08T00:00:00"/>
    <n v="-10.97"/>
    <s v="X"/>
    <s v="Eisenart Innovations"/>
    <s v="#Sedona#"/>
    <s v="Vacation:Trinkets/From Receipt"/>
    <m/>
    <m/>
    <s v="From Receipt"/>
    <x v="23"/>
    <x v="28"/>
    <m/>
    <m/>
    <s v="Sedona"/>
    <m/>
    <s v="Oct"/>
    <n v="2014"/>
    <s v="Irregular"/>
    <n v="0"/>
    <s v="No"/>
    <s v="None"/>
    <s v="Vacation|Trinkets"/>
  </r>
  <r>
    <s v="MasterCard (Capital One)"/>
    <d v="2014-10-08T00:00:00"/>
    <n v="-11.98"/>
    <s v="X"/>
    <s v="Oak Creek Market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8T00:00:00"/>
    <n v="-13.46"/>
    <s v="X"/>
    <s v="Oak Creek Market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8T00:00:00"/>
    <n v="-52.99"/>
    <s v="X"/>
    <s v="Elote Cafe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First Tech - Checking (5544)"/>
    <d v="2014-10-07T00:00:00"/>
    <n v="-3864.19"/>
    <s v="X"/>
    <s v="Wells Fargo Home Mortgage"/>
    <s v="ACH Debit--WF HOME MTG ACH - AUTO PAY"/>
    <s v="Home:Mortgage"/>
    <m/>
    <m/>
    <m/>
    <x v="14"/>
    <x v="27"/>
    <m/>
    <m/>
    <m/>
    <m/>
    <s v="Oct"/>
    <n v="2014"/>
    <s v="Monthly"/>
    <n v="0"/>
    <s v="No"/>
    <s v="None"/>
    <s v="Home|Mortgage"/>
  </r>
  <r>
    <s v="MasterCard (Capital One)"/>
    <d v="2014-10-07T00:00:00"/>
    <n v="-18.899999999999999"/>
    <s v="X"/>
    <s v="Golden Goose Cafe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7T00:00:00"/>
    <n v="-54.02"/>
    <s v="X"/>
    <s v="Creekside Restaurant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7T00:00:00"/>
    <n v="-67.900000000000006"/>
    <s v="X"/>
    <s v="Dahl Diluca Ristoran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7T00:00:00"/>
    <n v="-114"/>
    <s v="X"/>
    <s v="Sedonas New Day"/>
    <s v="#Sedona# Spa"/>
    <s v="Vacation:Activities/From Receipt"/>
    <m/>
    <m/>
    <s v="From Receipt"/>
    <x v="23"/>
    <x v="39"/>
    <m/>
    <m/>
    <s v="Sedona"/>
    <m/>
    <s v="Oct"/>
    <n v="2014"/>
    <s v="Irregular"/>
    <n v="0"/>
    <s v="No"/>
    <s v="None"/>
    <s v="Vacation|Activities"/>
  </r>
  <r>
    <s v="First Tech - Checking (5544)"/>
    <d v="2014-10-06T00:00:00"/>
    <n v="-98.42"/>
    <s v="X"/>
    <s v="Chase Autopay (Amazon)"/>
    <s v="Account xx8482"/>
    <s v="[Chase Amazon (XX8482)]"/>
    <m/>
    <m/>
    <m/>
    <x v="6"/>
    <x v="0"/>
    <m/>
    <m/>
    <m/>
    <m/>
    <s v="Oct"/>
    <n v="2014"/>
    <e v="#N/A"/>
    <e v="#N/A"/>
    <e v="#N/A"/>
    <e v="#N/A"/>
    <s v="[Chase Amazon (XX8482)]"/>
  </r>
  <r>
    <s v="Chase Amazon (XX8482)"/>
    <d v="2014-10-06T00:00:00"/>
    <n v="98.42"/>
    <s v="X"/>
    <s v="Chase Autopay (Amazon)"/>
    <s v="Account xx8482@BAL:$0.00@@CAT:@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MasterCard (Capital One)"/>
    <d v="2014-10-06T00:00:00"/>
    <n v="-4.95"/>
    <s v="X"/>
    <s v="Oak Creek Market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6T00:00:00"/>
    <n v="-6.4"/>
    <s v="X"/>
    <s v="Oak Creek Market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6T00:00:00"/>
    <n v="-6.53"/>
    <s v="X"/>
    <s v="Kokopelli Dreams"/>
    <s v="#Sedona#"/>
    <s v="Vacation:Trinkets/From Receipt"/>
    <m/>
    <m/>
    <s v="From Receipt"/>
    <x v="23"/>
    <x v="28"/>
    <m/>
    <m/>
    <s v="Sedona"/>
    <m/>
    <s v="Oct"/>
    <n v="2014"/>
    <s v="Irregular"/>
    <n v="0"/>
    <s v="No"/>
    <s v="None"/>
    <s v="Vacation|Trinkets"/>
  </r>
  <r>
    <s v="MasterCard (Capital One)"/>
    <d v="2014-10-06T00:00:00"/>
    <n v="-28.53"/>
    <s v="X"/>
    <s v="Zonies Galleria"/>
    <s v="#Sedona#"/>
    <s v="Vacation:Trinkets/From Receipt"/>
    <m/>
    <m/>
    <s v="From Receipt"/>
    <x v="23"/>
    <x v="28"/>
    <m/>
    <m/>
    <s v="Sedona"/>
    <m/>
    <s v="Oct"/>
    <n v="2014"/>
    <s v="Irregular"/>
    <n v="0"/>
    <s v="No"/>
    <s v="None"/>
    <s v="Vacation|Trinkets"/>
  </r>
  <r>
    <s v="MasterCard (Capital One)"/>
    <d v="2014-10-06T00:00:00"/>
    <n v="-30.67"/>
    <s v="X"/>
    <s v="Kokopelli Dreams"/>
    <s v="#Sedona#"/>
    <s v="Vacation:Trinkets/From Receipt"/>
    <m/>
    <m/>
    <s v="From Receipt"/>
    <x v="23"/>
    <x v="28"/>
    <m/>
    <m/>
    <s v="Sedona"/>
    <m/>
    <s v="Oct"/>
    <n v="2014"/>
    <s v="Irregular"/>
    <n v="0"/>
    <s v="No"/>
    <s v="None"/>
    <s v="Vacation|Trinkets"/>
  </r>
  <r>
    <s v="MasterCard (Capital One)"/>
    <d v="2014-10-06T00:00:00"/>
    <n v="-40.53"/>
    <s v="X"/>
    <s v="Tumbleweed Willie"/>
    <s v="#Sedona#"/>
    <s v="Vacation:Trinkets"/>
    <m/>
    <m/>
    <m/>
    <x v="23"/>
    <x v="28"/>
    <m/>
    <m/>
    <s v="Sedona"/>
    <m/>
    <s v="Oct"/>
    <n v="2014"/>
    <s v="Irregular"/>
    <n v="0"/>
    <s v="No"/>
    <s v="None"/>
    <s v="Vacation|Trinkets"/>
  </r>
  <r>
    <s v="Edward Jones - Investment Account"/>
    <d v="2014-10-06T00:00:00"/>
    <n v="28.8"/>
    <s v="c"/>
    <m/>
    <s v="CASH DIV ON 120 AT $.24 PER SHARE"/>
    <m/>
    <s v="Div"/>
    <m/>
    <m/>
    <x v="26"/>
    <x v="0"/>
    <m/>
    <m/>
    <m/>
    <m/>
    <s v="Oct"/>
    <n v="2014"/>
    <e v="#N/A"/>
    <e v="#N/A"/>
    <e v="#N/A"/>
    <e v="#N/A"/>
    <n v="0"/>
  </r>
  <r>
    <s v="MasterCard (Capital One)"/>
    <d v="2014-10-05T00:00:00"/>
    <n v="-8.89"/>
    <s v="X"/>
    <s v="Taco Del Mar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05T00:00:00"/>
    <n v="-13.16"/>
    <s v="X"/>
    <s v="Feliz Navidad Sedona"/>
    <s v="#Sedona# Prickly pear cactus"/>
    <s v="Vacation:Trinkets/From Receipt"/>
    <m/>
    <m/>
    <s v="From Receipt"/>
    <x v="23"/>
    <x v="28"/>
    <m/>
    <m/>
    <s v="Sedona"/>
    <m/>
    <s v="Oct"/>
    <n v="2014"/>
    <s v="Irregular"/>
    <n v="0"/>
    <s v="No"/>
    <s v="None"/>
    <s v="Vacation|Trinkets"/>
  </r>
  <r>
    <s v="MasterCard (Capital One)"/>
    <d v="2014-10-05T00:00:00"/>
    <n v="-25.12"/>
    <s v="X"/>
    <s v="Rincon Del Tlaquepaque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5T00:00:00"/>
    <n v="-35.75"/>
    <s v="X"/>
    <s v="Heartline Cafe"/>
    <s v="#Sedona#"/>
    <s v="Vacation:Food/From Receipt"/>
    <m/>
    <m/>
    <s v="From Receipt"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5T00:00:00"/>
    <n v="-41.5"/>
    <s v="X"/>
    <s v="Hilltop Restaurant"/>
    <s v="#Sedona#"/>
    <s v="Vacation:Food"/>
    <m/>
    <m/>
    <m/>
    <x v="23"/>
    <x v="8"/>
    <m/>
    <m/>
    <s v="Sedona"/>
    <m/>
    <s v="Oct"/>
    <n v="2014"/>
    <s v="Irregular"/>
    <n v="0"/>
    <s v="No"/>
    <s v="None"/>
    <s v="Vacation|Food"/>
  </r>
  <r>
    <s v="MasterCard (Capital One)"/>
    <d v="2014-10-04T00:00:00"/>
    <n v="-20"/>
    <s v="X"/>
    <s v="Groupon"/>
    <s v="@BAL:2386.54@@CAT:@ Kangaroo &amp; Kiwi (exp 1/31/15)"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04T00:00:00"/>
    <n v="-20.76"/>
    <s v="X"/>
    <s v="Aerovironment"/>
    <s v="Subscription for DC Fast chargers"/>
    <s v="Auto &amp; Transport:Gas &amp; Fuel"/>
    <m/>
    <m/>
    <m/>
    <x v="17"/>
    <x v="37"/>
    <m/>
    <m/>
    <m/>
    <m/>
    <s v="Oct"/>
    <n v="2014"/>
    <s v="Monthly"/>
    <n v="0"/>
    <s v="No"/>
    <s v="None"/>
    <s v="Auto &amp; Transport|Gas &amp; Fuel"/>
  </r>
  <r>
    <s v="MasterCard (Capital One)"/>
    <d v="2014-10-04T00:00:00"/>
    <n v="-40.659999999999997"/>
    <s v="X"/>
    <s v="Shell"/>
    <m/>
    <s v="Auto &amp; Transport:Gas &amp; Fuel"/>
    <m/>
    <m/>
    <m/>
    <x v="17"/>
    <x v="37"/>
    <m/>
    <m/>
    <m/>
    <m/>
    <s v="Oct"/>
    <n v="2014"/>
    <s v="Monthly"/>
    <n v="0"/>
    <s v="No"/>
    <s v="None"/>
    <s v="Auto &amp; Transport|Gas &amp; Fuel"/>
  </r>
  <r>
    <s v="MasterCard (Capital One)"/>
    <d v="2014-10-04T00:00:00"/>
    <n v="-84.78"/>
    <s v="X"/>
    <s v="Fred Meyer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MasterCard (Capital One)"/>
    <d v="2014-10-04T00:00:00"/>
    <n v="-96.63"/>
    <s v="X"/>
    <s v="Trader Joe's"/>
    <m/>
    <s v="Food &amp; Dining:Groceries/From Receipt"/>
    <m/>
    <m/>
    <s v="From Receipt"/>
    <x v="15"/>
    <x v="3"/>
    <m/>
    <m/>
    <m/>
    <m/>
    <s v="Oct"/>
    <n v="2014"/>
    <s v="Monthly"/>
    <n v="0"/>
    <s v="No"/>
    <s v="None"/>
    <s v="Food &amp; Dining|Groceries"/>
  </r>
  <r>
    <s v="First Tech - Checking (5544)"/>
    <d v="2014-10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Oct"/>
    <n v="2014"/>
    <s v="Monthly"/>
    <n v="0"/>
    <s v="No"/>
    <s v="None"/>
    <s v="Kids|American Funds 529A"/>
  </r>
  <r>
    <s v="MasterCard (Capital One)"/>
    <d v="2014-10-03T00:00:00"/>
    <n v="-8.75"/>
    <s v="X"/>
    <s v="Netflix"/>
    <m/>
    <s v="Entertainment:Movies &amp; DVDs"/>
    <m/>
    <m/>
    <m/>
    <x v="30"/>
    <x v="43"/>
    <m/>
    <m/>
    <m/>
    <m/>
    <s v="Oct"/>
    <n v="2014"/>
    <s v="Unplanned"/>
    <n v="0"/>
    <s v="No"/>
    <s v="None"/>
    <s v="Entertainment|Movies &amp; DVDs"/>
  </r>
  <r>
    <s v="MasterCard (Capital One)"/>
    <d v="2014-10-03T00:00:00"/>
    <n v="-20.170000000000002"/>
    <s v="X"/>
    <s v="Fred Meyer"/>
    <m/>
    <s v="Food &amp; Dining:Groceries"/>
    <m/>
    <m/>
    <m/>
    <x v="15"/>
    <x v="3"/>
    <m/>
    <m/>
    <m/>
    <m/>
    <s v="Oct"/>
    <n v="2014"/>
    <s v="Monthly"/>
    <n v="0"/>
    <s v="No"/>
    <s v="None"/>
    <s v="Food &amp; Dining|Groceries"/>
  </r>
  <r>
    <s v="First Tech - Checking (5544)"/>
    <d v="2014-10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Oct"/>
    <n v="2014"/>
    <s v="Monthly"/>
    <n v="0"/>
    <s v="No"/>
    <s v="None"/>
    <s v="Business Expenses (Koolikai)|Mortgage (Business)"/>
  </r>
  <r>
    <s v="First Tech - Checking (5544)"/>
    <d v="2014-10-02T00:00:00"/>
    <n v="-2679.43"/>
    <s v="X"/>
    <s v="Capital One (Autopay)"/>
    <s v="ACH Debit--CAPITAL ONE  - CRCARDPMT"/>
    <s v="[MasterCard (Capital One)]"/>
    <m/>
    <m/>
    <m/>
    <x v="38"/>
    <x v="0"/>
    <m/>
    <m/>
    <m/>
    <m/>
    <s v="Oct"/>
    <n v="2014"/>
    <s v="Account"/>
    <n v="0"/>
    <s v="No"/>
    <s v="None"/>
    <s v="[MasterCard (Capital One)]"/>
  </r>
  <r>
    <s v="First Tech - Checking (5544)"/>
    <d v="2014-10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Oct"/>
    <n v="2014"/>
    <s v="Monthly"/>
    <n v="0"/>
    <s v="No"/>
    <s v="None"/>
    <s v="Business Expenses (Koolikai)|Mortgage (Business)"/>
  </r>
  <r>
    <s v="Chase Freedom XX9381"/>
    <d v="2014-10-02T00:00:00"/>
    <n v="-9.01"/>
    <s v="X"/>
    <s v="Menchie Frozen Yogurt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MasterCard (Capital One)"/>
    <d v="2014-10-02T00:00:00"/>
    <n v="2679.43"/>
    <s v="X"/>
    <s v="Capital One (Autopay)"/>
    <s v="ACH Debit--CAPITAL ONE  - CRCARDPMT"/>
    <s v="[First Tech - Checking (5544)]"/>
    <m/>
    <m/>
    <m/>
    <x v="21"/>
    <x v="0"/>
    <m/>
    <m/>
    <m/>
    <m/>
    <s v="Oct"/>
    <n v="2014"/>
    <s v="Account"/>
    <n v="0"/>
    <s v="No"/>
    <s v="None"/>
    <s v="[First Tech - Checking (5544)]"/>
  </r>
  <r>
    <s v="MasterCard (Capital One)"/>
    <d v="2014-10-02T00:00:00"/>
    <n v="-13.2"/>
    <s v="X"/>
    <s v="Bluebird Ice Cream"/>
    <m/>
    <s v="Food &amp; Dining:Restaurants"/>
    <m/>
    <m/>
    <m/>
    <x v="15"/>
    <x v="15"/>
    <m/>
    <m/>
    <m/>
    <m/>
    <s v="Oct"/>
    <n v="2014"/>
    <s v="Monthly"/>
    <n v="0"/>
    <s v="No"/>
    <s v="None"/>
    <s v="Food &amp; Dining|Restaurants"/>
  </r>
  <r>
    <s v="First Tech - Checking (5544)"/>
    <d v="2014-10-01T00:00:00"/>
    <n v="-2052"/>
    <s v="X"/>
    <s v="Phinney Ridge CDC"/>
    <s v="ACH Debit--PHINNEY RIDGE LU 504759859 - CONTRIBUTN"/>
    <s v="Kids:Daycare"/>
    <m/>
    <m/>
    <m/>
    <x v="27"/>
    <x v="35"/>
    <m/>
    <m/>
    <m/>
    <m/>
    <s v="Oct"/>
    <n v="2014"/>
    <s v="Monthly"/>
    <n v="0"/>
    <s v="No"/>
    <s v="None"/>
    <s v="Kids|Daycare"/>
  </r>
  <r>
    <s v="Capital One - Investment (6759)"/>
    <d v="2014-09-30T00:00:00"/>
    <n v="19.41"/>
    <s v="X"/>
    <s v="Capital One (Interest Income)"/>
    <m/>
    <s v="Interest Income"/>
    <m/>
    <m/>
    <m/>
    <x v="40"/>
    <x v="0"/>
    <m/>
    <m/>
    <m/>
    <m/>
    <s v="Sep"/>
    <n v="2014"/>
    <s v="Monthly"/>
    <n v="0"/>
    <s v="No"/>
    <s v="None"/>
    <s v="Interest Income"/>
  </r>
  <r>
    <s v="Capital One - Long Term Emergency (1201)"/>
    <d v="2014-09-30T00:00:00"/>
    <n v="48.72"/>
    <s v="X"/>
    <s v="Capital One (Interest Income)"/>
    <m/>
    <s v="Interest Income"/>
    <m/>
    <m/>
    <m/>
    <x v="40"/>
    <x v="0"/>
    <m/>
    <m/>
    <m/>
    <m/>
    <s v="Sep"/>
    <n v="2014"/>
    <s v="Monthly"/>
    <n v="0"/>
    <s v="No"/>
    <s v="None"/>
    <s v="Interest Income"/>
  </r>
  <r>
    <s v="Capital One - Secondary Savings (3126)"/>
    <d v="2014-09-30T00:00:00"/>
    <n v="0.02"/>
    <s v="X"/>
    <s v="Capital One (Interest Income)"/>
    <m/>
    <s v="Interest Income"/>
    <m/>
    <m/>
    <m/>
    <x v="40"/>
    <x v="0"/>
    <m/>
    <m/>
    <m/>
    <m/>
    <s v="Sep"/>
    <n v="2014"/>
    <s v="Monthly"/>
    <n v="0"/>
    <s v="No"/>
    <s v="None"/>
    <s v="Interest Income"/>
  </r>
  <r>
    <s v="Capital One - Vacation (4959)"/>
    <d v="2014-09-30T00:00:00"/>
    <n v="2.06"/>
    <s v="X"/>
    <s v="Capital One (Interest Income)"/>
    <m/>
    <s v="Interest Income"/>
    <m/>
    <m/>
    <m/>
    <x v="40"/>
    <x v="0"/>
    <m/>
    <m/>
    <m/>
    <m/>
    <s v="Sep"/>
    <n v="2014"/>
    <s v="Monthly"/>
    <n v="0"/>
    <s v="No"/>
    <s v="None"/>
    <s v="Interest Income"/>
  </r>
  <r>
    <s v="Koolikai - Sec Dep XX1200"/>
    <d v="2014-09-30T00:00:00"/>
    <n v="0.19"/>
    <s v="X"/>
    <s v="First Tech (Dividend)"/>
    <s v="Credit Dividend--"/>
    <s v="Interest Income"/>
    <m/>
    <m/>
    <m/>
    <x v="40"/>
    <x v="0"/>
    <m/>
    <m/>
    <m/>
    <m/>
    <s v="Sep"/>
    <n v="2014"/>
    <s v="Monthly"/>
    <n v="0"/>
    <s v="No"/>
    <s v="None"/>
    <s v="Interest Income"/>
  </r>
  <r>
    <s v="Schwab - Checking (9784)"/>
    <d v="2014-09-30T00:00:00"/>
    <n v="0.06"/>
    <s v="X"/>
    <s v="Interest Paid"/>
    <m/>
    <s v="Interest Income"/>
    <m/>
    <m/>
    <m/>
    <x v="40"/>
    <x v="0"/>
    <m/>
    <m/>
    <m/>
    <m/>
    <s v="Sep"/>
    <n v="2014"/>
    <s v="Monthly"/>
    <n v="0"/>
    <s v="No"/>
    <s v="None"/>
    <s v="Interest Income"/>
  </r>
  <r>
    <s v="MasterCard (Capital One)"/>
    <d v="2014-09-30T00:00:00"/>
    <n v="-2.37"/>
    <s v="X"/>
    <s v="Ken Market"/>
    <m/>
    <s v="Food &amp; Dining:Groceries"/>
    <m/>
    <m/>
    <m/>
    <x v="15"/>
    <x v="3"/>
    <m/>
    <m/>
    <m/>
    <m/>
    <s v="Sep"/>
    <n v="2014"/>
    <s v="Monthly"/>
    <n v="0"/>
    <s v="No"/>
    <s v="None"/>
    <s v="Food &amp; Dining|Groceries"/>
  </r>
  <r>
    <s v="MasterCard (Capital One)"/>
    <d v="2014-09-30T00:00:00"/>
    <n v="-4.75"/>
    <s v="X"/>
    <s v="Fresh Table 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30T00:00:00"/>
    <n v="-8.1999999999999993"/>
    <s v="X"/>
    <s v="Fresh Table 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30T00:00:00"/>
    <n v="-43.8"/>
    <s v="X"/>
    <s v="Super Jock n Jill"/>
    <s v="#Stay Fit# Ang's shoe inserts"/>
    <s v="Health &amp; Fitness:Sports"/>
    <m/>
    <m/>
    <m/>
    <x v="18"/>
    <x v="23"/>
    <m/>
    <m/>
    <s v="Stay Fit"/>
    <m/>
    <s v="Sep"/>
    <n v="2014"/>
    <s v="Irregular"/>
    <n v="0"/>
    <s v="No"/>
    <s v="None"/>
    <s v="Health &amp; Fitness|Sports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s v="Virgin America"/>
    <s v="#Disneyland 2014#"/>
    <s v="Vacation:Transportation"/>
    <m/>
    <m/>
    <m/>
    <x v="23"/>
    <x v="26"/>
    <m/>
    <m/>
    <s v="Disneyland 2014"/>
    <m/>
    <s v="Sep"/>
    <n v="2014"/>
    <s v="Irregular"/>
    <n v="0"/>
    <s v="No"/>
    <s v="None"/>
    <s v="Vacation|Transportation"/>
  </r>
  <r>
    <s v="First Tech - Checking (5544)"/>
    <d v="2014-09-29T00:00:00"/>
    <n v="6058.12"/>
    <s v="X"/>
    <s v="CRAB (Paystub)"/>
    <s v="ACH Deposit--Cancer Research  - Payroll"/>
    <s v="Net Salary"/>
    <m/>
    <m/>
    <m/>
    <x v="35"/>
    <x v="0"/>
    <m/>
    <m/>
    <m/>
    <m/>
    <s v="Sep"/>
    <n v="2014"/>
    <s v="Monthly"/>
    <n v="0"/>
    <s v="No"/>
    <s v="None"/>
    <s v="Net Salary"/>
  </r>
  <r>
    <s v="First Tech - Checking (5544)"/>
    <d v="2014-09-29T00:00:00"/>
    <n v="22136.080000000002"/>
    <s v="X"/>
    <s v="Microsoft (Paystub)"/>
    <s v="ACH Deposit--MICROSOFT  - EDIPAYMENT"/>
    <s v="Net Salary"/>
    <m/>
    <m/>
    <m/>
    <x v="35"/>
    <x v="0"/>
    <m/>
    <m/>
    <m/>
    <m/>
    <s v="Sep"/>
    <n v="2014"/>
    <s v="Monthly"/>
    <n v="0"/>
    <s v="No"/>
    <s v="None"/>
    <s v="Net Salary"/>
  </r>
  <r>
    <s v="First Tech - Checking (5544)"/>
    <d v="2014-09-29T00:00:00"/>
    <n v="-117"/>
    <s v="X"/>
    <s v="Cleaning Authority, The"/>
    <s v="ACH Debit--THE CLEANING AUT  - ONLINE PMT"/>
    <s v="Home:Home Services"/>
    <m/>
    <m/>
    <m/>
    <x v="14"/>
    <x v="46"/>
    <m/>
    <m/>
    <m/>
    <m/>
    <s v="Sep"/>
    <n v="2014"/>
    <s v="Monthly"/>
    <n v="0"/>
    <s v="No"/>
    <s v="None"/>
    <s v="Home|Home Services"/>
  </r>
  <r>
    <s v="First Tech - Checking (5544)"/>
    <d v="2014-09-29T00:00:00"/>
    <n v="-539.61"/>
    <s v="X"/>
    <s v="Chase Autopay (Freedom)"/>
    <s v="@BAL:61785.65@@CAT:@"/>
    <s v="[Chase Freedom XX9381]"/>
    <m/>
    <m/>
    <m/>
    <x v="7"/>
    <x v="0"/>
    <m/>
    <m/>
    <m/>
    <m/>
    <s v="Sep"/>
    <n v="2014"/>
    <e v="#N/A"/>
    <e v="#N/A"/>
    <e v="#N/A"/>
    <e v="#N/A"/>
    <s v="[Chase Freedom XX9381]"/>
  </r>
  <r>
    <s v="Chase Freedom XX9381"/>
    <d v="2014-09-29T00:00:00"/>
    <n v="539.61"/>
    <s v="X"/>
    <s v="Chase Autopay (Freedom)"/>
    <s v="ACH Debit--CHASE  - AUTOPAY"/>
    <s v="[First Tech - Checking (5544)]"/>
    <m/>
    <m/>
    <m/>
    <x v="21"/>
    <x v="0"/>
    <m/>
    <m/>
    <m/>
    <m/>
    <s v="Sep"/>
    <n v="2014"/>
    <s v="Account"/>
    <n v="0"/>
    <s v="No"/>
    <s v="None"/>
    <s v="[First Tech - Checking (5544)]"/>
  </r>
  <r>
    <s v="Target Red Card"/>
    <d v="2014-09-29T00:00:00"/>
    <n v="-54.49"/>
    <s v="X"/>
    <s v="Target"/>
    <m/>
    <s v="Kids:Clothing/From Receipt"/>
    <m/>
    <m/>
    <s v="From Receipt"/>
    <x v="27"/>
    <x v="1"/>
    <m/>
    <m/>
    <m/>
    <m/>
    <s v="Sep"/>
    <n v="2014"/>
    <s v="Monthly"/>
    <n v="0"/>
    <s v="No"/>
    <s v="None"/>
    <s v="Kids|Clothing"/>
  </r>
  <r>
    <s v="Edward Jones - Roth IRA"/>
    <d v="2014-09-29T00:00:00"/>
    <m/>
    <m/>
    <m/>
    <s v="0.274 shares added to account"/>
    <m/>
    <s v="ShrsIn"/>
    <m/>
    <m/>
    <x v="26"/>
    <x v="0"/>
    <m/>
    <m/>
    <m/>
    <m/>
    <s v="Sep"/>
    <n v="2014"/>
    <e v="#N/A"/>
    <e v="#N/A"/>
    <e v="#N/A"/>
    <e v="#N/A"/>
    <n v="0"/>
  </r>
  <r>
    <s v="Chase Freedom XX9381"/>
    <d v="2014-09-28T00:00:00"/>
    <n v="-7.57"/>
    <s v="X"/>
    <s v="Pike Place Common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Freedom XX9381"/>
    <d v="2014-09-28T00:00:00"/>
    <n v="-100"/>
    <s v="X"/>
    <s v="Pike Place Common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28T00:00:00"/>
    <n v="43.79"/>
    <s v="X"/>
    <s v="Fred Meyer"/>
    <m/>
    <s v="Kids:Clothing/From Receipt"/>
    <m/>
    <m/>
    <s v="From Receipt"/>
    <x v="27"/>
    <x v="1"/>
    <m/>
    <m/>
    <m/>
    <m/>
    <s v="Sep"/>
    <n v="2014"/>
    <s v="Monthly"/>
    <n v="0"/>
    <s v="No"/>
    <s v="None"/>
    <s v="Kids|Clothing"/>
  </r>
  <r>
    <s v="MasterCard (Capital One)"/>
    <d v="2014-09-28T00:00:00"/>
    <n v="-22.71"/>
    <s v="X"/>
    <s v="Fred Meyer"/>
    <s v="Flowers"/>
    <s v="Projects:Landscaping/From Receipt"/>
    <m/>
    <s v="Split"/>
    <s v="From Receipt"/>
    <x v="39"/>
    <x v="47"/>
    <m/>
    <m/>
    <m/>
    <m/>
    <s v="Sep"/>
    <n v="2014"/>
    <s v="Unplanned"/>
    <n v="0"/>
    <s v="No"/>
    <s v="None"/>
    <s v="Projects|Landscaping"/>
  </r>
  <r>
    <s v="MasterCard (Capital One)"/>
    <d v="2014-09-28T00:00:00"/>
    <n v="-2.5"/>
    <s v="X"/>
    <s v="Fred Meyer"/>
    <m/>
    <s v="Food &amp; Dining:Groceries/From Receipt"/>
    <m/>
    <s v="Split"/>
    <s v="From Receipt"/>
    <x v="15"/>
    <x v="3"/>
    <m/>
    <m/>
    <m/>
    <m/>
    <s v="Sep"/>
    <n v="2014"/>
    <s v="Monthly"/>
    <n v="0"/>
    <s v="No"/>
    <s v="None"/>
    <s v="Food &amp; Dining|Groceries"/>
  </r>
  <r>
    <s v="MasterCard (Capital One)"/>
    <d v="2014-09-28T00:00:00"/>
    <n v="-50.45"/>
    <s v="X"/>
    <s v="California Pizza Kitchen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27T00:00:00"/>
    <n v="-9.86"/>
    <s v="X"/>
    <s v="Playdate Cafe"/>
    <m/>
    <s v="Kids:Kids Activities"/>
    <m/>
    <m/>
    <m/>
    <x v="27"/>
    <x v="12"/>
    <m/>
    <m/>
    <m/>
    <m/>
    <s v="Sep"/>
    <n v="2014"/>
    <s v="Monthly"/>
    <n v="0"/>
    <s v="No"/>
    <s v="None"/>
    <s v="Kids|Kids Activities"/>
  </r>
  <r>
    <s v="MasterCard (Capital One)"/>
    <d v="2014-09-27T00:00:00"/>
    <n v="-17.5"/>
    <s v="X"/>
    <s v="Fred Meyer"/>
    <s v="Swimming goggles"/>
    <s v="Health &amp; Fitness:Sports/From Receipt"/>
    <m/>
    <m/>
    <s v="From Receipt"/>
    <x v="18"/>
    <x v="23"/>
    <m/>
    <m/>
    <m/>
    <m/>
    <s v="Sep"/>
    <n v="2014"/>
    <s v="Irregular"/>
    <n v="0"/>
    <s v="No"/>
    <s v="None"/>
    <s v="Health &amp; Fitness|Sports"/>
  </r>
  <r>
    <s v="MasterCard (Capital One)"/>
    <d v="2014-09-27T00:00:00"/>
    <n v="-25.6"/>
    <s v="X"/>
    <s v="Playdate 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27T00:00:00"/>
    <n v="-9.84"/>
    <s v="X"/>
    <s v="Fred Meyer"/>
    <s v="Propane #Kalaloch 2015#"/>
    <s v="Vacation:Food/From Receipt"/>
    <m/>
    <s v="Split"/>
    <s v="From Receipt"/>
    <x v="23"/>
    <x v="8"/>
    <m/>
    <m/>
    <s v="Kalaloch 2015"/>
    <m/>
    <s v="Sep"/>
    <n v="2014"/>
    <s v="Irregular"/>
    <n v="0"/>
    <s v="No"/>
    <s v="None"/>
    <s v="Vacation|Food"/>
  </r>
  <r>
    <s v="MasterCard (Capital One)"/>
    <d v="2014-09-27T00:00:00"/>
    <n v="-13.13"/>
    <s v="X"/>
    <s v="Fred Meyer"/>
    <s v="Lantern globe"/>
    <s v="Shopping:Hobbies:Camping Equipment/From Receipt"/>
    <m/>
    <s v="Split"/>
    <s v="From Receipt"/>
    <x v="13"/>
    <x v="48"/>
    <s v="Camping Equipment"/>
    <m/>
    <m/>
    <m/>
    <s v="Sep"/>
    <n v="2014"/>
    <s v="Annual"/>
    <n v="0"/>
    <s v="No"/>
    <s v="None"/>
    <s v="Shopping|Hobbies"/>
  </r>
  <r>
    <s v="MasterCard (Capital One)"/>
    <d v="2014-09-27T00:00:00"/>
    <n v="-37.22"/>
    <s v="X"/>
    <s v="Fred Meyer"/>
    <s v="Tod boy 4-1"/>
    <s v="Kids:Clothing/From Receipt"/>
    <m/>
    <s v="Split"/>
    <s v="From Receipt"/>
    <x v="27"/>
    <x v="1"/>
    <m/>
    <m/>
    <m/>
    <m/>
    <s v="Sep"/>
    <n v="2014"/>
    <s v="Monthly"/>
    <n v="0"/>
    <s v="No"/>
    <s v="None"/>
    <s v="Kids|Clothing"/>
  </r>
  <r>
    <s v="MasterCard (Capital One)"/>
    <d v="2014-09-27T00:00:00"/>
    <n v="-27.36"/>
    <s v="X"/>
    <s v="Fred Meyer"/>
    <s v="Tod girl 4-1"/>
    <s v="Kids:Clothing/From Receipt"/>
    <m/>
    <s v="Split"/>
    <s v="From Receipt"/>
    <x v="27"/>
    <x v="1"/>
    <m/>
    <m/>
    <m/>
    <m/>
    <s v="Sep"/>
    <n v="2014"/>
    <s v="Monthly"/>
    <n v="0"/>
    <s v="No"/>
    <s v="None"/>
    <s v="Kids|Clothing"/>
  </r>
  <r>
    <s v="MasterCard (Capital One)"/>
    <d v="2014-09-27T00:00:00"/>
    <n v="-24.07"/>
    <s v="X"/>
    <s v="Fred Meyer"/>
    <s v="2x Slippers for boys"/>
    <s v="Kids:Clothing/From Receipt"/>
    <m/>
    <s v="Split"/>
    <s v="From Receipt"/>
    <x v="27"/>
    <x v="1"/>
    <m/>
    <m/>
    <m/>
    <m/>
    <s v="Sep"/>
    <n v="2014"/>
    <s v="Monthly"/>
    <n v="0"/>
    <s v="No"/>
    <s v="None"/>
    <s v="Kids|Clothing"/>
  </r>
  <r>
    <s v="MasterCard (Capital One)"/>
    <d v="2014-09-27T00:00:00"/>
    <n v="-87.39"/>
    <s v="X"/>
    <s v="Fred Meyer"/>
    <m/>
    <s v="Food &amp; Dining:Groceries/From Receipt"/>
    <m/>
    <s v="Split"/>
    <s v="From Receipt"/>
    <x v="15"/>
    <x v="3"/>
    <m/>
    <m/>
    <m/>
    <m/>
    <s v="Sep"/>
    <n v="2014"/>
    <s v="Monthly"/>
    <n v="0"/>
    <s v="No"/>
    <s v="None"/>
    <s v="Food &amp; Dining|Groceries"/>
  </r>
  <r>
    <s v="Chase Freedom XX9381"/>
    <d v="2014-09-26T00:00:00"/>
    <n v="-32.47"/>
    <s v="X"/>
    <s v="74th St Al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26T00:00:00"/>
    <n v="-26.59"/>
    <s v="X"/>
    <s v="Ken's Market"/>
    <m/>
    <s v="Food &amp; Dining:Groceries"/>
    <m/>
    <m/>
    <m/>
    <x v="15"/>
    <x v="3"/>
    <m/>
    <m/>
    <m/>
    <m/>
    <s v="Sep"/>
    <n v="2014"/>
    <s v="Monthly"/>
    <n v="0"/>
    <s v="No"/>
    <s v="None"/>
    <s v="Food &amp; Dining|Groceries"/>
  </r>
  <r>
    <s v="Chase Freedom XX9381"/>
    <d v="2014-09-25T00:00:00"/>
    <n v="-6.1"/>
    <s v="X"/>
    <s v="Acapulco Fresh Mexican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Freedom XX9381"/>
    <d v="2014-09-25T00:00:00"/>
    <n v="-8.67"/>
    <s v="X"/>
    <s v="Taco Del Mar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Koolikai - Checking XX2129"/>
    <d v="2014-09-24T00:00:00"/>
    <n v="-146.91999999999999"/>
    <s v="X"/>
    <s v="Chase - Koolikai (Autopay)"/>
    <s v="ACH Debit--CHASE  - AUTOPAYBUS"/>
    <s v="[Koolikai Credit Card]"/>
    <m/>
    <m/>
    <m/>
    <x v="9"/>
    <x v="0"/>
    <m/>
    <m/>
    <m/>
    <m/>
    <s v="Sep"/>
    <n v="2014"/>
    <s v="Account"/>
    <n v="0"/>
    <s v="No"/>
    <s v="None"/>
    <s v="[Koolikai Credit Card]"/>
  </r>
  <r>
    <s v="Chase Freedom XX9381"/>
    <d v="2014-09-24T00:00:00"/>
    <n v="-6.3"/>
    <s v="X"/>
    <s v="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24T00:00:00"/>
    <n v="50"/>
    <s v="X"/>
    <s v="Capital One (Cash Back)"/>
    <m/>
    <s v="Other Inc"/>
    <m/>
    <m/>
    <m/>
    <x v="29"/>
    <x v="0"/>
    <m/>
    <m/>
    <m/>
    <m/>
    <s v="Sep"/>
    <n v="2014"/>
    <s v="Monthly"/>
    <n v="0"/>
    <s v="No"/>
    <s v="None"/>
    <s v="Other Inc"/>
  </r>
  <r>
    <s v="First Tech - Checking (5544)"/>
    <d v="2014-09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Sep"/>
    <n v="2014"/>
    <s v="Monthly"/>
    <n v="0"/>
    <s v="No"/>
    <s v="None"/>
    <s v="Auto &amp; Transport|Auto Lease Payment"/>
  </r>
  <r>
    <s v="Chase Freedom XX9381"/>
    <d v="2014-09-23T00:00:00"/>
    <n v="-31.96"/>
    <s v="X"/>
    <s v="Home Depot"/>
    <s v="Hack saw blades, door sweeps, caulk"/>
    <s v="Business Expenses (Koolikai):Tools"/>
    <m/>
    <m/>
    <m/>
    <x v="36"/>
    <x v="49"/>
    <m/>
    <m/>
    <m/>
    <m/>
    <s v="Sep"/>
    <n v="2014"/>
    <s v="Irregular"/>
    <n v="0"/>
    <s v="No"/>
    <s v="None"/>
    <s v="Business Expenses (Koolikai)|Tools"/>
  </r>
  <r>
    <s v="Koolikai Credit Card"/>
    <d v="2014-09-23T00:00:00"/>
    <n v="146.91999999999999"/>
    <s v="X"/>
    <s v="Chase - Koolikai (Autopay)"/>
    <m/>
    <s v="[Koolikai - Checking XX2129]"/>
    <m/>
    <m/>
    <m/>
    <x v="25"/>
    <x v="0"/>
    <m/>
    <m/>
    <m/>
    <m/>
    <s v="Sep"/>
    <n v="2014"/>
    <s v="Account"/>
    <n v="0"/>
    <s v="No"/>
    <s v="None"/>
    <s v="[Koolikai - Checking XX2129]"/>
  </r>
  <r>
    <s v="First Tech - Checking (5544)"/>
    <d v="2014-09-22T00:00:00"/>
    <n v="-85.11"/>
    <s v="X"/>
    <s v="Seattle City Light"/>
    <s v="ACH Debit--CITY OF SEATTLE  - 1 - SCL De"/>
    <s v="Bills &amp; Utilities:Utilities"/>
    <m/>
    <m/>
    <m/>
    <x v="34"/>
    <x v="18"/>
    <m/>
    <m/>
    <m/>
    <m/>
    <s v="Sep"/>
    <n v="2014"/>
    <s v="Monthly"/>
    <n v="0"/>
    <s v="No"/>
    <s v="None"/>
    <s v="Bills &amp; Utilities|Utilities"/>
  </r>
  <r>
    <s v="Chase Freedom XX9381"/>
    <d v="2014-09-22T00:00:00"/>
    <n v="-0.5"/>
    <s v="X"/>
    <s v="Park"/>
    <m/>
    <s v="Auto &amp; Transport:Parking"/>
    <m/>
    <m/>
    <m/>
    <x v="17"/>
    <x v="11"/>
    <m/>
    <m/>
    <m/>
    <m/>
    <s v="Sep"/>
    <n v="2014"/>
    <s v="Monthly"/>
    <n v="0"/>
    <s v="No"/>
    <s v="None"/>
    <s v="Auto &amp; Transport|Parking"/>
  </r>
  <r>
    <s v="Chase Freedom XX9381"/>
    <d v="2014-09-22T00:00:00"/>
    <n v="-29.09"/>
    <s v="X"/>
    <s v="Skillet Diner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Freedom XX9381"/>
    <d v="2014-09-22T00:00:00"/>
    <n v="-52.92"/>
    <s v="X"/>
    <s v="Old Spaghetti Fctry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Freedom XX9381"/>
    <d v="2014-09-21T00:00:00"/>
    <n v="-6.3"/>
    <s v="X"/>
    <s v="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Freedom XX9381"/>
    <d v="2014-09-21T00:00:00"/>
    <n v="-8.2100000000000009"/>
    <s v="X"/>
    <s v="Officemax"/>
    <s v="Envelopes"/>
    <s v="Business Expenses (Koolikai):Office Expenses (Business)"/>
    <m/>
    <m/>
    <m/>
    <x v="36"/>
    <x v="42"/>
    <m/>
    <m/>
    <m/>
    <m/>
    <s v="Sep"/>
    <n v="2014"/>
    <s v="Monthly"/>
    <n v="0"/>
    <s v="No"/>
    <s v="None"/>
    <s v="Business Expenses (Koolikai)|Office Expenses (Business)"/>
  </r>
  <r>
    <s v="Chase Freedom XX9381"/>
    <d v="2014-09-21T00:00:00"/>
    <n v="-57"/>
    <s v="X"/>
    <s v="Beehive Salon"/>
    <m/>
    <s v="Personal Care:Hair"/>
    <m/>
    <m/>
    <m/>
    <x v="31"/>
    <x v="16"/>
    <m/>
    <m/>
    <m/>
    <m/>
    <s v="Sep"/>
    <n v="2014"/>
    <s v="Monthly"/>
    <n v="0"/>
    <s v="No"/>
    <s v="None"/>
    <s v="Personal Care|Hair"/>
  </r>
  <r>
    <s v="Chase Freedom XX9381"/>
    <d v="2014-09-21T00:00:00"/>
    <n v="-19.690000000000001"/>
    <s v="X"/>
    <s v="Fred Meyer"/>
    <s v="Flowers"/>
    <s v="Projects:Landscaping/From Receipt"/>
    <m/>
    <s v="Split"/>
    <s v="From Receipt"/>
    <x v="39"/>
    <x v="47"/>
    <m/>
    <m/>
    <m/>
    <m/>
    <s v="Sep"/>
    <n v="2014"/>
    <s v="Unplanned"/>
    <n v="0"/>
    <s v="No"/>
    <s v="None"/>
    <s v="Projects|Landscaping"/>
  </r>
  <r>
    <s v="Chase Freedom XX9381"/>
    <d v="2014-09-21T00:00:00"/>
    <n v="-105.64"/>
    <s v="X"/>
    <s v="Fred Meyer"/>
    <m/>
    <s v="Food &amp; Dining:Groceries/From Receipt"/>
    <m/>
    <s v="Split"/>
    <s v="From Receipt"/>
    <x v="15"/>
    <x v="3"/>
    <m/>
    <m/>
    <m/>
    <m/>
    <s v="Sep"/>
    <n v="2014"/>
    <s v="Monthly"/>
    <n v="0"/>
    <s v="No"/>
    <s v="None"/>
    <s v="Food &amp; Dining|Groceries"/>
  </r>
  <r>
    <s v="Chase Freedom XX9381"/>
    <d v="2014-09-19T00:00:00"/>
    <n v="-11.95"/>
    <s v="X"/>
    <s v="T-mobile"/>
    <m/>
    <s v="Bills &amp; Utilities:Mobile Phone"/>
    <m/>
    <m/>
    <m/>
    <x v="34"/>
    <x v="24"/>
    <m/>
    <m/>
    <m/>
    <m/>
    <s v="Sep"/>
    <n v="2014"/>
    <s v="Hidden"/>
    <n v="0"/>
    <s v="No"/>
    <s v="None"/>
    <s v="Bills &amp; Utilities|Mobile Phone"/>
  </r>
  <r>
    <s v="Chase Freedom XX9381"/>
    <d v="2014-09-19T00:00:00"/>
    <n v="-575.15"/>
    <s v="X"/>
    <s v="Farmers Insurance"/>
    <s v="Mom's insurance"/>
    <s v="Gifts"/>
    <m/>
    <m/>
    <m/>
    <x v="28"/>
    <x v="0"/>
    <m/>
    <m/>
    <m/>
    <m/>
    <s v="Sep"/>
    <n v="2014"/>
    <s v="Monthly"/>
    <n v="0"/>
    <s v="No"/>
    <s v="None"/>
    <s v="Gifts"/>
  </r>
  <r>
    <s v="Chase Freedom XX9381"/>
    <d v="2014-09-18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8T00:00:00"/>
    <n v="-6.1"/>
    <s v="X"/>
    <s v="Acapulco Fresh Mexican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Edward Jones - Roth IRA"/>
    <d v="2014-09-18T00:00:00"/>
    <n v="15.72"/>
    <s v="c"/>
    <m/>
    <m/>
    <m/>
    <s v="ReinvDiv"/>
    <m/>
    <m/>
    <x v="26"/>
    <x v="0"/>
    <m/>
    <m/>
    <m/>
    <m/>
    <s v="Sep"/>
    <n v="2014"/>
    <e v="#N/A"/>
    <e v="#N/A"/>
    <e v="#N/A"/>
    <e v="#N/A"/>
    <n v="0"/>
  </r>
  <r>
    <s v="Chase Freedom XX9381"/>
    <d v="2014-09-17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6.9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7.43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7.43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7.8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7.8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33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51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6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7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78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94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94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28.95"/>
    <s v="X"/>
    <s v="Adjustmen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Kmar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Liquorland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Liquorland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Kmar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Targe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Big W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6.98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7.43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7.43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7.88"/>
    <s v="X"/>
    <s v="Big W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7.8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33"/>
    <s v="X"/>
    <s v="Kmar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51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68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78"/>
    <s v="X"/>
    <s v="Kmar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78"/>
    <s v="X"/>
    <s v="Kmart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94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94"/>
    <s v="X"/>
    <s v="Cole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7T00:00:00"/>
    <n v="-28.95"/>
    <s v="X"/>
    <s v="Woolworths"/>
    <m/>
    <s v="Misc Expenses:Fraud"/>
    <m/>
    <m/>
    <m/>
    <x v="45"/>
    <x v="50"/>
    <m/>
    <m/>
    <m/>
    <m/>
    <s v="Sep"/>
    <n v="2014"/>
    <e v="#N/A"/>
    <e v="#N/A"/>
    <e v="#N/A"/>
    <e v="#N/A"/>
    <s v="Misc Expenses|Fraud"/>
  </r>
  <r>
    <s v="MasterCard (Capital One)"/>
    <d v="2014-09-16T00:00:00"/>
    <n v="-5.49"/>
    <s v="X"/>
    <s v="Sq Hallava Falafel"/>
    <s v="Food truck at Microsoft"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First Tech - Checking (5544)"/>
    <d v="2014-09-15T00:00:00"/>
    <n v="62"/>
    <s v="X"/>
    <s v="Balance Refund Jcgprdid"/>
    <s v="Received as a check"/>
    <s v="[REI Mastercard (xx1787)]"/>
    <m/>
    <m/>
    <m/>
    <x v="11"/>
    <x v="0"/>
    <m/>
    <m/>
    <m/>
    <m/>
    <s v="Sep"/>
    <n v="2014"/>
    <e v="#N/A"/>
    <e v="#N/A"/>
    <e v="#N/A"/>
    <e v="#N/A"/>
    <s v="[REI Mastercard (xx1787)]"/>
  </r>
  <r>
    <s v="First Tech - Checking (5544)"/>
    <d v="2014-09-15T00:00:00"/>
    <n v="-45.02"/>
    <s v="X"/>
    <s v="Puget Sound Energy"/>
    <s v="ACH Debit--PUGET SOUND ENER DIRECT DEBITING - PSE BILL  41250464"/>
    <s v="Bills &amp; Utilities:Utilities"/>
    <m/>
    <m/>
    <m/>
    <x v="34"/>
    <x v="18"/>
    <m/>
    <m/>
    <m/>
    <m/>
    <s v="Sep"/>
    <n v="2014"/>
    <s v="Monthly"/>
    <n v="0"/>
    <s v="No"/>
    <s v="None"/>
    <s v="Bills &amp; Utilities|Utilities"/>
  </r>
  <r>
    <s v="First Tech - Checking (5544)"/>
    <d v="2014-09-15T00:00:00"/>
    <n v="-115"/>
    <s v="X"/>
    <s v="Cleaning Authority, The"/>
    <s v="ACH Debit--THE CLEANING AUT  - ONLINE PMT"/>
    <s v="Home:Home Services"/>
    <m/>
    <m/>
    <m/>
    <x v="14"/>
    <x v="46"/>
    <m/>
    <m/>
    <m/>
    <m/>
    <s v="Sep"/>
    <n v="2014"/>
    <s v="Monthly"/>
    <n v="0"/>
    <s v="No"/>
    <s v="None"/>
    <s v="Home|Home Services"/>
  </r>
  <r>
    <s v="First Tech - Checking (5544)"/>
    <d v="2014-09-15T00:00:00"/>
    <n v="-48"/>
    <s v="X"/>
    <s v="Poppy Weber"/>
    <s v="Check--"/>
    <s v="Kids:Babysitter"/>
    <n v="2134"/>
    <m/>
    <m/>
    <x v="27"/>
    <x v="13"/>
    <m/>
    <m/>
    <m/>
    <m/>
    <s v="Sep"/>
    <n v="2014"/>
    <s v="Monthly"/>
    <n v="0"/>
    <s v="No"/>
    <s v="None"/>
    <s v="Kids|Babysitter"/>
  </r>
  <r>
    <s v="Chase Amazon (XX8482)"/>
    <d v="2014-09-15T00:00:00"/>
    <n v="-1.62"/>
    <s v="X"/>
    <s v="Amazon"/>
    <s v="5pc SN74HC595N Shift Registers"/>
    <s v="Shopping:Electronics &amp; Software"/>
    <m/>
    <m/>
    <m/>
    <x v="13"/>
    <x v="20"/>
    <m/>
    <m/>
    <m/>
    <m/>
    <s v="Sep"/>
    <n v="2014"/>
    <s v="Annual"/>
    <n v="0"/>
    <s v="No"/>
    <s v="None"/>
    <s v="Shopping|Electronics &amp; Software"/>
  </r>
  <r>
    <s v="MasterCard (Capital One)"/>
    <d v="2014-09-15T00:00:00"/>
    <n v="-5.6"/>
    <s v="X"/>
    <s v="Ken Market"/>
    <m/>
    <s v="Food &amp; Dining:Groceries"/>
    <m/>
    <m/>
    <m/>
    <x v="15"/>
    <x v="3"/>
    <m/>
    <m/>
    <m/>
    <m/>
    <s v="Sep"/>
    <n v="2014"/>
    <s v="Monthly"/>
    <n v="0"/>
    <s v="No"/>
    <s v="None"/>
    <s v="Food &amp; Dining|Groceries"/>
  </r>
  <r>
    <s v="MasterCard (Capital One)"/>
    <d v="2014-09-15T00:00:00"/>
    <n v="-60"/>
    <s v="X"/>
    <s v="Phinney Neighborhood Association"/>
    <m/>
    <s v="Charity:Charity (Cash)"/>
    <m/>
    <m/>
    <m/>
    <x v="22"/>
    <x v="7"/>
    <m/>
    <m/>
    <m/>
    <m/>
    <s v="Sep"/>
    <n v="2014"/>
    <s v="Annual"/>
    <n v="0"/>
    <s v="No"/>
    <s v="None"/>
    <s v="Charity|Charity (Cash)"/>
  </r>
  <r>
    <s v="MasterCard (Capital One)"/>
    <d v="2014-09-15T00:00:00"/>
    <n v="-72.92"/>
    <s v="X"/>
    <s v="Fred Meyer"/>
    <m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REI Mastercard (xx1787)"/>
    <d v="2014-09-15T00:00:00"/>
    <n v="-62"/>
    <s v="X"/>
    <s v="Balance Refund Jcgprdid"/>
    <s v="Received as a check"/>
    <s v="[First Tech - Checking (5544)]"/>
    <m/>
    <m/>
    <m/>
    <x v="21"/>
    <x v="0"/>
    <m/>
    <m/>
    <m/>
    <m/>
    <s v="Sep"/>
    <n v="2014"/>
    <s v="Account"/>
    <n v="0"/>
    <s v="No"/>
    <s v="None"/>
    <s v="[First Tech - Checking (5544)]"/>
  </r>
  <r>
    <s v="First Tech - Checking (5544)"/>
    <d v="2014-09-14T00:00:00"/>
    <n v="23434.66"/>
    <s v="X"/>
    <s v="Microsoft (Paystub)"/>
    <s v="ACH Deposit--MICROSOFT  - EDIPAYMENT"/>
    <s v="Net Salary"/>
    <m/>
    <m/>
    <m/>
    <x v="35"/>
    <x v="0"/>
    <m/>
    <m/>
    <m/>
    <m/>
    <s v="Sep"/>
    <n v="2014"/>
    <s v="Monthly"/>
    <n v="0"/>
    <s v="No"/>
    <s v="None"/>
    <s v="Net Salary"/>
  </r>
  <r>
    <s v="Chase Freedom XX9381"/>
    <d v="2014-09-14T00:00:00"/>
    <n v="-10.9"/>
    <s v="X"/>
    <s v="Bluebird Ice Cream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4T00:00:00"/>
    <n v="-21.72"/>
    <s v="X"/>
    <s v="Mcdonald'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4T00:00:00"/>
    <n v="-23.4"/>
    <s v="X"/>
    <s v="Remlinger Farm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3T00:00:00"/>
    <n v="-4.37"/>
    <s v="X"/>
    <s v="Third Place Books"/>
    <m/>
    <s v="Shopping:Books"/>
    <m/>
    <m/>
    <m/>
    <x v="13"/>
    <x v="51"/>
    <m/>
    <m/>
    <m/>
    <m/>
    <s v="Sep"/>
    <n v="2014"/>
    <s v="Unplanned"/>
    <n v="0"/>
    <s v="No"/>
    <s v="None"/>
    <s v="Shopping|Books"/>
  </r>
  <r>
    <s v="MasterCard (Capital One)"/>
    <d v="2014-09-13T00:00:00"/>
    <n v="-5.45"/>
    <s v="X"/>
    <s v="Safeway"/>
    <m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MasterCard (Capital One)"/>
    <d v="2014-09-13T00:00:00"/>
    <n v="-12.5"/>
    <s v="X"/>
    <s v="Marcoe Candy Company"/>
    <s v="Food at the fair"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3T00:00:00"/>
    <n v="-14"/>
    <s v="X"/>
    <s v="Washington State Fair"/>
    <s v="Puyallup Fair - Rides"/>
    <s v="Kids:Kids Activities"/>
    <m/>
    <m/>
    <m/>
    <x v="27"/>
    <x v="12"/>
    <m/>
    <m/>
    <m/>
    <m/>
    <s v="Sep"/>
    <n v="2014"/>
    <s v="Monthly"/>
    <n v="0"/>
    <s v="No"/>
    <s v="None"/>
    <s v="Kids|Kids Activities"/>
  </r>
  <r>
    <s v="MasterCard (Capital One)"/>
    <d v="2014-09-13T00:00:00"/>
    <n v="-20"/>
    <s v="X"/>
    <s v="Safeway"/>
    <s v="Puyallup Fair - Tickets"/>
    <s v="Kids:Kids Activities/From Receipt"/>
    <m/>
    <m/>
    <s v="From Receipt"/>
    <x v="27"/>
    <x v="12"/>
    <m/>
    <m/>
    <m/>
    <m/>
    <s v="Sep"/>
    <n v="2014"/>
    <s v="Monthly"/>
    <n v="0"/>
    <s v="No"/>
    <s v="None"/>
    <s v="Kids|Kids Activities"/>
  </r>
  <r>
    <s v="MasterCard (Capital One)"/>
    <d v="2014-09-13T00:00:00"/>
    <n v="-28.5"/>
    <s v="X"/>
    <s v="Washington State Fair"/>
    <s v="Puyallup Fair - Rides"/>
    <s v="Kids:Kids Activities"/>
    <m/>
    <m/>
    <m/>
    <x v="27"/>
    <x v="12"/>
    <m/>
    <m/>
    <m/>
    <m/>
    <s v="Sep"/>
    <n v="2014"/>
    <s v="Monthly"/>
    <n v="0"/>
    <s v="No"/>
    <s v="None"/>
    <s v="Kids|Kids Activities"/>
  </r>
  <r>
    <s v="MasterCard (Capital One)"/>
    <d v="2014-09-13T00:00:00"/>
    <n v="-84"/>
    <s v="X"/>
    <s v="Vios Cafe 3rd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Koolikai Credit Card"/>
    <d v="2014-09-12T00:00:00"/>
    <n v="-148.16"/>
    <s v="X"/>
    <s v="Verizon Wireless"/>
    <m/>
    <s v="Business Expenses (Koolikai):Cell Phone"/>
    <m/>
    <m/>
    <m/>
    <x v="36"/>
    <x v="22"/>
    <m/>
    <m/>
    <m/>
    <m/>
    <s v="Sep"/>
    <n v="2014"/>
    <s v="Monthly"/>
    <n v="0"/>
    <s v="No"/>
    <s v="None"/>
    <s v="Business Expenses (Koolikai)|Cell Phone"/>
  </r>
  <r>
    <s v="MasterCard (Capital One)"/>
    <d v="2014-09-12T00:00:00"/>
    <n v="-7.11"/>
    <s v="X"/>
    <s v="Fresh Table 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2T00:00:00"/>
    <n v="-27"/>
    <s v="X"/>
    <s v="Seattle Public Libraries"/>
    <s v="Book fair"/>
    <s v="Shopping:Books/From Receipt"/>
    <m/>
    <m/>
    <s v="From Receipt"/>
    <x v="13"/>
    <x v="51"/>
    <m/>
    <m/>
    <m/>
    <m/>
    <s v="Sep"/>
    <n v="2014"/>
    <s v="Unplanned"/>
    <n v="0"/>
    <s v="No"/>
    <s v="None"/>
    <s v="Shopping|Books"/>
  </r>
  <r>
    <s v="MasterCard (Capital One)"/>
    <d v="2014-09-12T00:00:00"/>
    <n v="-56.43"/>
    <s v="X"/>
    <s v="Pies &amp; Pint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Chase Amazon (XX8482)"/>
    <d v="2014-09-11T00:00:00"/>
    <n v="-4.4800000000000004"/>
    <s v="X"/>
    <s v="Amazon"/>
    <s v="Colored LEDs"/>
    <s v="Shopping:Electronics &amp; Software"/>
    <m/>
    <m/>
    <m/>
    <x v="13"/>
    <x v="20"/>
    <m/>
    <m/>
    <m/>
    <m/>
    <s v="Sep"/>
    <n v="2014"/>
    <s v="Annual"/>
    <n v="0"/>
    <s v="No"/>
    <s v="None"/>
    <s v="Shopping|Electronics &amp; Software"/>
  </r>
  <r>
    <s v="Chase Amazon (XX8482)"/>
    <d v="2014-09-11T00:00:00"/>
    <n v="-79.56"/>
    <s v="X"/>
    <s v="Amazon"/>
    <s v="Wet suits for Zach and Josh"/>
    <s v="Health &amp; Fitness:Sports"/>
    <m/>
    <m/>
    <m/>
    <x v="18"/>
    <x v="23"/>
    <m/>
    <m/>
    <m/>
    <m/>
    <s v="Sep"/>
    <n v="2014"/>
    <s v="Irregular"/>
    <n v="0"/>
    <s v="No"/>
    <s v="None"/>
    <s v="Health &amp; Fitness|Sports"/>
  </r>
  <r>
    <s v="MasterCard (Capital One)"/>
    <d v="2014-09-11T00:00:00"/>
    <n v="-5.22"/>
    <s v="X"/>
    <s v="Mcdonald'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1T00:00:00"/>
    <n v="-9.4"/>
    <s v="X"/>
    <s v="Jamba Juic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1T00:00:00"/>
    <n v="-18.329999999999998"/>
    <s v="X"/>
    <s v="Canyons Redmond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11T00:00:00"/>
    <n v="-25"/>
    <s v="X"/>
    <s v="Virginia Mason Visual"/>
    <s v="Angela's contacts"/>
    <s v="Health &amp; Fitness:Eyecare/From Receipt"/>
    <m/>
    <m/>
    <s v="From Receipt"/>
    <x v="18"/>
    <x v="5"/>
    <m/>
    <m/>
    <m/>
    <m/>
    <s v="Sep"/>
    <n v="2014"/>
    <s v="Irregular"/>
    <n v="0"/>
    <s v="No"/>
    <s v="None"/>
    <s v="Health &amp; Fitness|Eyecare"/>
  </r>
  <r>
    <s v="Chase Amazon (XX8482)"/>
    <d v="2014-09-10T00:00:00"/>
    <n v="-2.76"/>
    <s v="X"/>
    <s v="Amazon"/>
    <s v="Anti-static tweezers"/>
    <s v="Business Expenses (Koolikai):Tools"/>
    <m/>
    <m/>
    <m/>
    <x v="36"/>
    <x v="49"/>
    <m/>
    <m/>
    <m/>
    <m/>
    <s v="Sep"/>
    <n v="2014"/>
    <s v="Irregular"/>
    <n v="0"/>
    <s v="No"/>
    <s v="None"/>
    <s v="Business Expenses (Koolikai)|Tools"/>
  </r>
  <r>
    <s v="Chase Amazon (XX8482)"/>
    <d v="2014-09-09T00:00:00"/>
    <n v="-10"/>
    <s v="X"/>
    <s v="Amazon"/>
    <s v="Potentiometers"/>
    <s v="Shopping:Electronics &amp; Software"/>
    <m/>
    <m/>
    <m/>
    <x v="13"/>
    <x v="20"/>
    <m/>
    <m/>
    <m/>
    <m/>
    <s v="Sep"/>
    <n v="2014"/>
    <s v="Annual"/>
    <n v="0"/>
    <s v="No"/>
    <s v="None"/>
    <s v="Shopping|Electronics &amp; Software"/>
  </r>
  <r>
    <s v="Chase Freedom XX9381"/>
    <d v="2014-09-09T00:00:00"/>
    <n v="-0.01"/>
    <s v="X"/>
    <s v="Microsoft"/>
    <s v="#Apps#"/>
    <s v="Work Expense:Reimbursable expense"/>
    <m/>
    <m/>
    <m/>
    <x v="19"/>
    <x v="21"/>
    <m/>
    <m/>
    <s v="Apps"/>
    <m/>
    <s v="Sep"/>
    <n v="2014"/>
    <s v="Irregular"/>
    <n v="0"/>
    <s v="No"/>
    <s v="None"/>
    <s v="Work Expense|Reimbursable expense"/>
  </r>
  <r>
    <s v="MasterCard (Capital One)"/>
    <d v="2014-09-09T00:00:00"/>
    <n v="-10"/>
    <s v="X"/>
    <s v="Walgreens"/>
    <m/>
    <s v="Health &amp; Fitness:Pharmacy/From Receipt"/>
    <m/>
    <m/>
    <s v="From Receipt"/>
    <x v="18"/>
    <x v="38"/>
    <m/>
    <m/>
    <m/>
    <m/>
    <s v="Sep"/>
    <n v="2014"/>
    <s v="Irregular"/>
    <n v="0"/>
    <s v="No"/>
    <s v="None"/>
    <s v="Health &amp; Fitness|Pharmacy"/>
  </r>
  <r>
    <s v="MasterCard (Capital One)"/>
    <d v="2014-09-09T00:00:00"/>
    <n v="-29.61"/>
    <s v="X"/>
    <s v="Fred Meyer"/>
    <m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First Tech - Checking (5544)"/>
    <d v="2014-09-08T00:00:00"/>
    <n v="109.69"/>
    <s v="X"/>
    <s v="Taylor &amp; Francis"/>
    <s v="Angela's book royalties"/>
    <s v="Morale Money"/>
    <m/>
    <m/>
    <m/>
    <x v="46"/>
    <x v="0"/>
    <m/>
    <m/>
    <m/>
    <m/>
    <s v="Sep"/>
    <n v="2014"/>
    <e v="#N/A"/>
    <e v="#N/A"/>
    <e v="#N/A"/>
    <e v="#N/A"/>
    <s v="Morale Money"/>
  </r>
  <r>
    <s v="Koolikai - Checking XX2129"/>
    <d v="2014-09-08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s v="Sep"/>
    <n v="2014"/>
    <s v="Monthly"/>
    <n v="0"/>
    <s v="No"/>
    <s v="None"/>
    <s v="Business Income (Koolikai)|Rent"/>
  </r>
  <r>
    <s v="American Express (Costco)"/>
    <d v="2014-09-08T00:00:00"/>
    <n v="26.84"/>
    <s v="X"/>
    <s v="Costco Whse Seattle"/>
    <s v="Matress Inflator (Return)"/>
    <s v="Shopping:Hobbies:Camping Equipment/From Receipt"/>
    <m/>
    <m/>
    <s v="From Receipt"/>
    <x v="13"/>
    <x v="48"/>
    <s v="Camping Equipment"/>
    <m/>
    <m/>
    <m/>
    <s v="Sep"/>
    <n v="2014"/>
    <s v="Annual"/>
    <n v="0"/>
    <s v="No"/>
    <s v="None"/>
    <s v="Shopping|Hobbies"/>
  </r>
  <r>
    <s v="American Express (Costco)"/>
    <d v="2014-09-08T00:00:00"/>
    <n v="-127.85"/>
    <s v="X"/>
    <s v="Costco"/>
    <s v="@BAL:-$101.01@@CAT:@"/>
    <s v="Food &amp; Dining:Groceries"/>
    <m/>
    <m/>
    <m/>
    <x v="15"/>
    <x v="3"/>
    <m/>
    <m/>
    <m/>
    <m/>
    <s v="Sep"/>
    <n v="2014"/>
    <s v="Monthly"/>
    <n v="0"/>
    <s v="No"/>
    <s v="None"/>
    <s v="Food &amp; Dining|Groceries"/>
  </r>
  <r>
    <s v="Chase Amazon (XX8482)"/>
    <d v="2014-09-08T00:00:00"/>
    <n v="0"/>
    <s v="X"/>
    <s v="Opening Balance"/>
    <m/>
    <s v="[Chase Amazon (XX8482)]"/>
    <m/>
    <m/>
    <m/>
    <x v="6"/>
    <x v="0"/>
    <m/>
    <m/>
    <m/>
    <m/>
    <s v="Sep"/>
    <n v="2014"/>
    <e v="#N/A"/>
    <e v="#N/A"/>
    <e v="#N/A"/>
    <e v="#N/A"/>
    <s v="[Chase Amazon (XX8482)]"/>
  </r>
  <r>
    <s v="MasterCard (Capital One)"/>
    <d v="2014-09-07T00:00:00"/>
    <n v="2.93"/>
    <s v="X"/>
    <s v="Home Depot"/>
    <s v="Returned conduit"/>
    <s v="Projects:Electric Car Setup"/>
    <m/>
    <m/>
    <m/>
    <x v="39"/>
    <x v="52"/>
    <m/>
    <m/>
    <m/>
    <m/>
    <s v="Sep"/>
    <n v="2014"/>
    <s v="Unplanned"/>
    <n v="0"/>
    <s v="No"/>
    <s v="None"/>
    <s v="Projects|Electric Car Setup"/>
  </r>
  <r>
    <s v="MasterCard (Capital One)"/>
    <d v="2014-09-07T00:00:00"/>
    <n v="-36"/>
    <s v="X"/>
    <s v="Bright Horizons Back"/>
    <m/>
    <s v="Kids:Daycare"/>
    <m/>
    <m/>
    <m/>
    <x v="27"/>
    <x v="35"/>
    <m/>
    <m/>
    <m/>
    <m/>
    <s v="Sep"/>
    <n v="2014"/>
    <s v="Monthly"/>
    <n v="0"/>
    <s v="No"/>
    <s v="None"/>
    <s v="Kids|Daycare"/>
  </r>
  <r>
    <s v="MasterCard (Capital One)"/>
    <d v="2014-09-06T00:00:00"/>
    <n v="-3.7"/>
    <s v="X"/>
    <s v="Park"/>
    <m/>
    <s v="Auto &amp; Transport:Parking"/>
    <m/>
    <m/>
    <m/>
    <x v="17"/>
    <x v="11"/>
    <m/>
    <m/>
    <m/>
    <m/>
    <s v="Sep"/>
    <n v="2014"/>
    <s v="Monthly"/>
    <n v="0"/>
    <s v="No"/>
    <s v="None"/>
    <s v="Auto &amp; Transport|Parking"/>
  </r>
  <r>
    <s v="MasterCard (Capital One)"/>
    <d v="2014-09-06T00:00:00"/>
    <n v="-5.25"/>
    <s v="X"/>
    <s v="Bartell Drug"/>
    <m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MasterCard (Capital One)"/>
    <d v="2014-09-06T00:00:00"/>
    <n v="-26.99"/>
    <s v="X"/>
    <s v="Bastille Cafe Bar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06T00:00:00"/>
    <n v="-30.45"/>
    <s v="X"/>
    <s v="Ballard Mkt Thrift"/>
    <m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MasterCard (Capital One)"/>
    <d v="2014-09-06T00:00:00"/>
    <n v="-98.08"/>
    <s v="X"/>
    <s v="Il Bistro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06T00:00:00"/>
    <n v="-128.30000000000001"/>
    <s v="X"/>
    <s v="Fred Meyer"/>
    <m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First Tech - Checking (5544)"/>
    <d v="2014-09-05T00:00:00"/>
    <n v="-53.25"/>
    <s v="X"/>
    <s v="Kirk Boettcher"/>
    <s v="ACH Debit--KIRK BOETTCHER  - ONLINE PMT"/>
    <s v="Health &amp; Fitness:Dentist"/>
    <m/>
    <m/>
    <m/>
    <x v="18"/>
    <x v="53"/>
    <m/>
    <m/>
    <m/>
    <m/>
    <s v="Sep"/>
    <n v="2014"/>
    <s v="Irregular"/>
    <n v="0"/>
    <s v="No"/>
    <s v="None"/>
    <s v="Health &amp; Fitness|Dentist"/>
  </r>
  <r>
    <s v="First Tech - Checking (5544)"/>
    <d v="2014-09-05T00:00:00"/>
    <n v="-3864.19"/>
    <s v="X"/>
    <s v="Wells Fargo Home Mortgage"/>
    <s v="ACH Debit--WF HOME MTG ACH - AUTO PAY"/>
    <s v="Home:Mortgage"/>
    <m/>
    <m/>
    <m/>
    <x v="14"/>
    <x v="27"/>
    <m/>
    <m/>
    <m/>
    <m/>
    <s v="Sep"/>
    <n v="2014"/>
    <s v="Monthly"/>
    <n v="0"/>
    <s v="No"/>
    <s v="None"/>
    <s v="Home|Mortgage"/>
  </r>
  <r>
    <s v="MasterCard (Capital One)"/>
    <d v="2014-09-05T00:00:00"/>
    <n v="-7.04"/>
    <s v="X"/>
    <s v="Taco Del Mar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04T00:00:00"/>
    <n v="-5.1100000000000003"/>
    <s v="X"/>
    <s v="Molly Moon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04T00:00:00"/>
    <n v="-32.03"/>
    <s v="X"/>
    <s v="Poquitos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04T00:00:00"/>
    <n v="-36"/>
    <s v="X"/>
    <s v="Seattle Rep Ticketing"/>
    <s v="Upcharge for ticket exchange"/>
    <s v="Entertainment"/>
    <m/>
    <m/>
    <m/>
    <x v="30"/>
    <x v="0"/>
    <m/>
    <m/>
    <m/>
    <m/>
    <s v="Sep"/>
    <n v="2014"/>
    <s v="Monthly"/>
    <n v="0"/>
    <s v="No"/>
    <s v="None"/>
    <s v="Entertainment"/>
  </r>
  <r>
    <s v="First Tech - Checking (5544)"/>
    <d v="2014-09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Sep"/>
    <n v="2014"/>
    <s v="Monthly"/>
    <n v="0"/>
    <s v="No"/>
    <s v="None"/>
    <s v="Kids|American Funds 529A"/>
  </r>
  <r>
    <s v="First Tech - Checking (5544)"/>
    <d v="2014-09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Sep"/>
    <n v="2014"/>
    <s v="Monthly"/>
    <n v="0"/>
    <s v="No"/>
    <s v="None"/>
    <s v="Business Expenses (Koolikai)|Mortgage (Business)"/>
  </r>
  <r>
    <s v="First Tech - Checking (5544)"/>
    <d v="2014-09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Sep"/>
    <n v="2014"/>
    <s v="Monthly"/>
    <n v="0"/>
    <s v="No"/>
    <s v="None"/>
    <s v="Business Expenses (Koolikai)|Mortgage (Business)"/>
  </r>
  <r>
    <s v="MasterCard (Capital One)"/>
    <d v="2014-09-03T00:00:00"/>
    <n v="-8.75"/>
    <s v="X"/>
    <s v="Netflix"/>
    <m/>
    <s v="Entertainment:Movies &amp; DVDs"/>
    <m/>
    <m/>
    <m/>
    <x v="30"/>
    <x v="43"/>
    <m/>
    <m/>
    <m/>
    <m/>
    <s v="Sep"/>
    <n v="2014"/>
    <s v="Unplanned"/>
    <n v="0"/>
    <s v="No"/>
    <s v="None"/>
    <s v="Entertainment|Movies &amp; DVDs"/>
  </r>
  <r>
    <s v="MasterCard (Capital One)"/>
    <d v="2014-09-03T00:00:00"/>
    <n v="-30"/>
    <s v="X"/>
    <s v="Blk Pancan"/>
    <m/>
    <s v="Charity:Charity (Cash)"/>
    <m/>
    <m/>
    <m/>
    <x v="22"/>
    <x v="7"/>
    <m/>
    <m/>
    <m/>
    <m/>
    <s v="Sep"/>
    <n v="2014"/>
    <s v="Annual"/>
    <n v="0"/>
    <s v="No"/>
    <s v="None"/>
    <s v="Charity|Charity (Cash)"/>
  </r>
  <r>
    <s v="MasterCard (Capital One)"/>
    <d v="2014-09-03T00:00:00"/>
    <n v="-43.45"/>
    <s v="X"/>
    <s v="Fred Meyer"/>
    <s v="@BAL:2679.43@@CAT:@"/>
    <s v="Food &amp; Dining:Groceries/From Receipt"/>
    <m/>
    <m/>
    <s v="From Receipt"/>
    <x v="15"/>
    <x v="3"/>
    <m/>
    <m/>
    <m/>
    <m/>
    <s v="Sep"/>
    <n v="2014"/>
    <s v="Monthly"/>
    <n v="0"/>
    <s v="No"/>
    <s v="None"/>
    <s v="Food &amp; Dining|Groceries"/>
  </r>
  <r>
    <s v="First Tech - Checking (5544)"/>
    <d v="2014-09-02T00:00:00"/>
    <n v="-2459.96"/>
    <s v="X"/>
    <s v="Capital One (Autopay)"/>
    <s v="ACH Debit--CAPITAL ONE  - CRCARDPMT"/>
    <s v="[MasterCard (Capital One)]"/>
    <m/>
    <m/>
    <m/>
    <x v="38"/>
    <x v="0"/>
    <m/>
    <m/>
    <m/>
    <m/>
    <s v="Sep"/>
    <n v="2014"/>
    <s v="Account"/>
    <n v="0"/>
    <s v="No"/>
    <s v="None"/>
    <s v="[MasterCard (Capital One)]"/>
  </r>
  <r>
    <s v="MasterCard (Capital One)"/>
    <d v="2014-09-02T00:00:00"/>
    <n v="2459.96"/>
    <s v="X"/>
    <s v="Capital One (Autopay)"/>
    <s v="ACH Debit--CAPITAL ONE  - CRCARDPMT"/>
    <s v="[First Tech - Checking (5544)]"/>
    <m/>
    <m/>
    <m/>
    <x v="21"/>
    <x v="0"/>
    <m/>
    <m/>
    <m/>
    <m/>
    <s v="Sep"/>
    <n v="2014"/>
    <s v="Account"/>
    <n v="0"/>
    <s v="No"/>
    <s v="None"/>
    <s v="[First Tech - Checking (5544)]"/>
  </r>
  <r>
    <s v="MasterCard (Capital One)"/>
    <d v="2014-09-02T00:00:00"/>
    <n v="-4.37"/>
    <s v="X"/>
    <s v="Bartell Drug"/>
    <s v="Cards"/>
    <s v="Gifts/From Receipt"/>
    <m/>
    <m/>
    <s v="From Receipt"/>
    <x v="28"/>
    <x v="0"/>
    <m/>
    <m/>
    <m/>
    <m/>
    <s v="Sep"/>
    <n v="2014"/>
    <s v="Monthly"/>
    <n v="0"/>
    <s v="No"/>
    <s v="None"/>
    <s v="Gifts"/>
  </r>
  <r>
    <s v="MasterCard (Capital One)"/>
    <d v="2014-09-02T00:00:00"/>
    <n v="-9.3000000000000007"/>
    <s v="X"/>
    <s v="Fresh Table Cafe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MasterCard (Capital One)"/>
    <d v="2014-09-02T00:00:00"/>
    <n v="-20.98"/>
    <s v="X"/>
    <s v="Comcast"/>
    <m/>
    <s v="Bills &amp; Utilities:Television"/>
    <m/>
    <s v="Split"/>
    <m/>
    <x v="34"/>
    <x v="32"/>
    <m/>
    <m/>
    <m/>
    <m/>
    <s v="Sep"/>
    <n v="2014"/>
    <s v="Monthly"/>
    <n v="0"/>
    <s v="No"/>
    <s v="None"/>
    <s v="Bills &amp; Utilities|Television"/>
  </r>
  <r>
    <s v="MasterCard (Capital One)"/>
    <d v="2014-09-02T00:00:00"/>
    <n v="-66.53"/>
    <s v="X"/>
    <s v="Comcast"/>
    <m/>
    <s v="Business Expenses (Koolikai):Internet"/>
    <m/>
    <s v="Split"/>
    <m/>
    <x v="36"/>
    <x v="33"/>
    <m/>
    <m/>
    <m/>
    <m/>
    <s v="Sep"/>
    <n v="2014"/>
    <s v="Monthly"/>
    <n v="0"/>
    <s v="No"/>
    <s v="None"/>
    <s v="Business Expenses (Koolikai)|Internet"/>
  </r>
  <r>
    <s v="MasterCard (Capital One)"/>
    <d v="2014-09-02T00:00:00"/>
    <n v="-44.52"/>
    <s v="X"/>
    <s v="Comcast"/>
    <m/>
    <s v="Bills &amp; Utilities:Home Phone"/>
    <m/>
    <s v="Split"/>
    <m/>
    <x v="34"/>
    <x v="34"/>
    <m/>
    <m/>
    <m/>
    <m/>
    <s v="Sep"/>
    <n v="2014"/>
    <s v="Monthly"/>
    <n v="0"/>
    <s v="No"/>
    <s v="None"/>
    <s v="Bills &amp; Utilities|Home Phone"/>
  </r>
  <r>
    <s v="First Tech - Checking (5544)"/>
    <d v="2014-09-01T00:00:00"/>
    <n v="-2052"/>
    <s v="X"/>
    <s v="Phinney Ridge CDC"/>
    <s v="ACH Debit--PHINNEY RIDGE LU 504759859 - CONTRIBUTN"/>
    <s v="Kids:Daycare"/>
    <m/>
    <m/>
    <m/>
    <x v="27"/>
    <x v="35"/>
    <m/>
    <m/>
    <m/>
    <m/>
    <s v="Sep"/>
    <n v="2014"/>
    <s v="Monthly"/>
    <n v="0"/>
    <s v="No"/>
    <s v="None"/>
    <s v="Kids|Daycare"/>
  </r>
  <r>
    <s v="Chase Freedom XX9381"/>
    <d v="2014-09-01T00:00:00"/>
    <n v="-5.45"/>
    <s v="X"/>
    <s v="Piroshky Piroshky"/>
    <m/>
    <s v="Food &amp; Dining:Restaurants"/>
    <m/>
    <m/>
    <m/>
    <x v="15"/>
    <x v="15"/>
    <m/>
    <m/>
    <m/>
    <m/>
    <s v="Sep"/>
    <n v="2014"/>
    <s v="Monthly"/>
    <n v="0"/>
    <s v="No"/>
    <s v="None"/>
    <s v="Food &amp; Dining|Restaurants"/>
  </r>
  <r>
    <s v="Koolikai - Sec Dep XX1200"/>
    <d v="2014-08-31T00:00:00"/>
    <n v="0.19"/>
    <s v="X"/>
    <s v="First Tech (Dividend)"/>
    <s v="Credit Dividend--"/>
    <s v="Interest Income"/>
    <m/>
    <m/>
    <m/>
    <x v="40"/>
    <x v="0"/>
    <m/>
    <m/>
    <m/>
    <m/>
    <s v="Aug"/>
    <n v="2014"/>
    <s v="Monthly"/>
    <n v="0"/>
    <s v="No"/>
    <s v="None"/>
    <s v="Interest Income"/>
  </r>
  <r>
    <s v="Chase Freedom XX9381"/>
    <d v="2014-08-31T00:00:00"/>
    <n v="-29.63"/>
    <s v="X"/>
    <s v="7-Eleven"/>
    <s v="#Mt. Rainier 2014#"/>
    <s v="Vacation:Transportation"/>
    <m/>
    <m/>
    <m/>
    <x v="23"/>
    <x v="26"/>
    <m/>
    <m/>
    <s v="Mt. Rainier 2014"/>
    <m/>
    <s v="Aug"/>
    <n v="2014"/>
    <s v="Irregular"/>
    <n v="0"/>
    <s v="No"/>
    <s v="None"/>
    <s v="Vacation|Transportation"/>
  </r>
  <r>
    <s v="MasterCard (Capital One)"/>
    <d v="2014-08-31T00:00:00"/>
    <n v="21.79"/>
    <s v="X"/>
    <s v="Top Ten Toys"/>
    <m/>
    <s v="Kids:Toys/From Receipt"/>
    <m/>
    <m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31T00:00:00"/>
    <n v="-1"/>
    <s v="X"/>
    <s v="Blink Network Llc"/>
    <m/>
    <s v="Auto &amp; Transport:Gas &amp; Fuel"/>
    <m/>
    <m/>
    <m/>
    <x v="17"/>
    <x v="37"/>
    <m/>
    <m/>
    <m/>
    <m/>
    <s v="Aug"/>
    <n v="2014"/>
    <s v="Monthly"/>
    <n v="0"/>
    <s v="No"/>
    <s v="None"/>
    <s v="Auto &amp; Transport|Gas &amp; Fuel"/>
  </r>
  <r>
    <s v="MasterCard (Capital One)"/>
    <d v="2014-08-31T00:00:00"/>
    <n v="-3.82"/>
    <s v="X"/>
    <s v="Hallmark"/>
    <m/>
    <s v="Gifts"/>
    <m/>
    <m/>
    <m/>
    <x v="28"/>
    <x v="0"/>
    <m/>
    <m/>
    <m/>
    <m/>
    <s v="Aug"/>
    <n v="2014"/>
    <s v="Monthly"/>
    <n v="0"/>
    <s v="No"/>
    <s v="None"/>
    <s v="Gifts"/>
  </r>
  <r>
    <s v="MasterCard (Capital One)"/>
    <d v="2014-08-31T00:00:00"/>
    <n v="-4.38"/>
    <s v="X"/>
    <s v="Playdate Sea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31T00:00:00"/>
    <n v="-4.93"/>
    <s v="X"/>
    <s v="Playdate Sea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31T00:00:00"/>
    <n v="-7.39"/>
    <s v="X"/>
    <s v="Jimmy John's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31T00:00:00"/>
    <n v="-8.7899999999999991"/>
    <s v="X"/>
    <s v="Barnes &amp; Noble"/>
    <m/>
    <s v="Shopping:Books/From Receipt"/>
    <m/>
    <m/>
    <s v="From Receipt"/>
    <x v="13"/>
    <x v="51"/>
    <m/>
    <m/>
    <m/>
    <m/>
    <s v="Aug"/>
    <n v="2014"/>
    <s v="Unplanned"/>
    <n v="0"/>
    <s v="No"/>
    <s v="None"/>
    <s v="Shopping|Books"/>
  </r>
  <r>
    <s v="MasterCard (Capital One)"/>
    <d v="2014-08-31T00:00:00"/>
    <n v="-21.66"/>
    <s v="X"/>
    <s v="Fred Meyer"/>
    <m/>
    <s v="Kids:Clothing/From Receipt"/>
    <m/>
    <m/>
    <s v="From Receipt"/>
    <x v="27"/>
    <x v="1"/>
    <m/>
    <m/>
    <m/>
    <m/>
    <s v="Aug"/>
    <n v="2014"/>
    <s v="Monthly"/>
    <n v="0"/>
    <s v="No"/>
    <s v="None"/>
    <s v="Kids|Clothing"/>
  </r>
  <r>
    <s v="MasterCard (Capital One)"/>
    <d v="2014-08-31T00:00:00"/>
    <n v="-31.34"/>
    <s v="X"/>
    <s v="Fred Meyer"/>
    <m/>
    <s v="Kids:Toys/From Receipt"/>
    <m/>
    <m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31T00:00:00"/>
    <n v="-58.61"/>
    <s v="X"/>
    <s v="Fred Meyer"/>
    <m/>
    <s v="Food &amp; Dining:Groceries/From Receipt"/>
    <m/>
    <s v="Split"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31T00:00:00"/>
    <n v="-5.46"/>
    <s v="X"/>
    <s v="Fred Meyer"/>
    <s v="Card holder"/>
    <s v="Home:Furnishings/From Receipt"/>
    <m/>
    <s v="Split"/>
    <s v="From Receipt"/>
    <x v="14"/>
    <x v="2"/>
    <m/>
    <m/>
    <m/>
    <m/>
    <s v="Aug"/>
    <n v="2014"/>
    <s v="Monthly"/>
    <n v="0"/>
    <s v="No"/>
    <s v="None"/>
    <s v="Home|Furnishings"/>
  </r>
  <r>
    <s v="Koolikai - Checking XX2129"/>
    <d v="2014-08-30T00:00:00"/>
    <n v="2195"/>
    <s v="X"/>
    <s v="John Schaibley"/>
    <s v="Deposit--Shared Branch Mobile Deposit          First Tech FC CA"/>
    <s v="Business Income (Koolikai):Rent/9602:From Receipt"/>
    <m/>
    <m/>
    <s v="9602:From Receipt"/>
    <x v="37"/>
    <x v="25"/>
    <m/>
    <m/>
    <m/>
    <m/>
    <s v="Aug"/>
    <n v="2014"/>
    <s v="Monthly"/>
    <n v="0"/>
    <s v="No"/>
    <s v="None"/>
    <s v="Business Income (Koolikai)|Rent"/>
  </r>
  <r>
    <s v="MasterCard (Capital One)"/>
    <d v="2014-08-30T00:00:00"/>
    <n v="-7.06"/>
    <s v="X"/>
    <s v="Amazon"/>
    <s v="Alligator clips"/>
    <s v="Shopping:Electronics &amp; Software"/>
    <m/>
    <m/>
    <m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30T00:00:00"/>
    <n v="-19.23"/>
    <s v="X"/>
    <s v="Pizza Express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Capital One - Investment (6759)"/>
    <d v="2014-08-29T00:00:00"/>
    <n v="20.05"/>
    <s v="X"/>
    <s v="Capital One (Interest Income)"/>
    <s v="@CAT:@@BAL:$47,216.19@"/>
    <s v="Interest Income"/>
    <s v="INT"/>
    <m/>
    <m/>
    <x v="40"/>
    <x v="0"/>
    <m/>
    <m/>
    <m/>
    <m/>
    <s v="Aug"/>
    <n v="2014"/>
    <s v="Monthly"/>
    <n v="0"/>
    <s v="No"/>
    <s v="None"/>
    <s v="Interest Income"/>
  </r>
  <r>
    <s v="Capital One - Long Term Emergency (1201)"/>
    <d v="2014-08-29T00:00:00"/>
    <n v="50.32"/>
    <s v="X"/>
    <s v="Capital One (Interest Income)"/>
    <m/>
    <s v="Interest Income"/>
    <s v="INT"/>
    <m/>
    <m/>
    <x v="40"/>
    <x v="0"/>
    <m/>
    <m/>
    <m/>
    <m/>
    <s v="Aug"/>
    <n v="2014"/>
    <s v="Monthly"/>
    <n v="0"/>
    <s v="No"/>
    <s v="None"/>
    <s v="Interest Income"/>
  </r>
  <r>
    <s v="Capital One - Secondary Savings (3126)"/>
    <d v="2014-08-29T00:00:00"/>
    <n v="0.02"/>
    <s v="X"/>
    <s v="Capital One (Interest Income)"/>
    <m/>
    <s v="Interest Income"/>
    <s v="INT"/>
    <m/>
    <m/>
    <x v="40"/>
    <x v="0"/>
    <m/>
    <m/>
    <m/>
    <m/>
    <s v="Aug"/>
    <n v="2014"/>
    <s v="Monthly"/>
    <n v="0"/>
    <s v="No"/>
    <s v="None"/>
    <s v="Interest Income"/>
  </r>
  <r>
    <s v="Capital One - Vacation (4959)"/>
    <d v="2014-08-29T00:00:00"/>
    <n v="2.13"/>
    <s v="X"/>
    <s v="Capital One (Interest Income)"/>
    <m/>
    <s v="Interest Income"/>
    <s v="INT"/>
    <m/>
    <m/>
    <x v="40"/>
    <x v="0"/>
    <m/>
    <m/>
    <m/>
    <m/>
    <s v="Aug"/>
    <n v="2014"/>
    <s v="Monthly"/>
    <n v="0"/>
    <s v="No"/>
    <s v="None"/>
    <s v="Interest Income"/>
  </r>
  <r>
    <s v="First Tech - Checking (5544)"/>
    <d v="2014-08-29T00:00:00"/>
    <n v="3649.46"/>
    <s v="X"/>
    <s v="Microsoft (Paystub)"/>
    <s v="ACH Deposit--MICROSOFT  - EDIPAYMENT"/>
    <s v="Net Salary"/>
    <m/>
    <m/>
    <m/>
    <x v="35"/>
    <x v="0"/>
    <m/>
    <m/>
    <m/>
    <m/>
    <s v="Aug"/>
    <n v="2014"/>
    <s v="Monthly"/>
    <n v="0"/>
    <s v="No"/>
    <s v="None"/>
    <s v="Net Salary"/>
  </r>
  <r>
    <s v="First Tech - Checking (5544)"/>
    <d v="2014-08-29T00:00:00"/>
    <n v="6058.12"/>
    <s v="X"/>
    <s v="CRAB (Paystub)"/>
    <s v="ACH Deposit--Cancer Research  - Payroll"/>
    <s v="Net Salary"/>
    <m/>
    <m/>
    <m/>
    <x v="35"/>
    <x v="0"/>
    <m/>
    <m/>
    <m/>
    <m/>
    <s v="Aug"/>
    <n v="2014"/>
    <s v="Monthly"/>
    <n v="0"/>
    <s v="No"/>
    <s v="None"/>
    <s v="Net Salary"/>
  </r>
  <r>
    <s v="First Tech - Checking (5544)"/>
    <d v="2014-08-29T00:00:00"/>
    <n v="-252.79"/>
    <s v="X"/>
    <s v="Seattle Public Utilities"/>
    <s v="@BAL:$25,600.65@;@CAT:@"/>
    <s v="Bills &amp; Utilities:Utilities"/>
    <m/>
    <m/>
    <m/>
    <x v="34"/>
    <x v="18"/>
    <m/>
    <m/>
    <m/>
    <m/>
    <s v="Aug"/>
    <n v="2014"/>
    <s v="Monthly"/>
    <n v="0"/>
    <s v="No"/>
    <s v="None"/>
    <s v="Bills &amp; Utilities|Utilities"/>
  </r>
  <r>
    <s v="Schwab - Checking (9784)"/>
    <d v="2014-08-29T00:00:00"/>
    <n v="0.06"/>
    <s v="X"/>
    <s v="Interest Paid"/>
    <m/>
    <s v="Interest Income"/>
    <m/>
    <m/>
    <m/>
    <x v="40"/>
    <x v="0"/>
    <m/>
    <m/>
    <m/>
    <m/>
    <s v="Aug"/>
    <n v="2014"/>
    <s v="Monthly"/>
    <n v="0"/>
    <s v="No"/>
    <s v="None"/>
    <s v="Interest Income"/>
  </r>
  <r>
    <s v="Chase Freedom XX9381"/>
    <d v="2014-08-29T00:00:00"/>
    <n v="-28.28"/>
    <s v="X"/>
    <s v="Shell"/>
    <m/>
    <s v="Auto &amp; Transport:Gas &amp; Fuel"/>
    <m/>
    <m/>
    <m/>
    <x v="17"/>
    <x v="37"/>
    <m/>
    <m/>
    <m/>
    <m/>
    <s v="Aug"/>
    <n v="2014"/>
    <s v="Monthly"/>
    <n v="0"/>
    <s v="No"/>
    <s v="None"/>
    <s v="Auto &amp; Transport|Gas &amp; Fuel"/>
  </r>
  <r>
    <s v="Chase Freedom XX9381"/>
    <d v="2014-08-29T00:00:00"/>
    <n v="-95.85"/>
    <s v="X"/>
    <s v="Alexander's Country Inn"/>
    <s v="#Mt. Rainier 2014#"/>
    <s v="Vacation:Food"/>
    <m/>
    <m/>
    <m/>
    <x v="23"/>
    <x v="8"/>
    <m/>
    <m/>
    <s v="Mt. Rainier 2014"/>
    <m/>
    <s v="Aug"/>
    <n v="2014"/>
    <s v="Irregular"/>
    <n v="0"/>
    <s v="No"/>
    <s v="None"/>
    <s v="Vacation|Food"/>
  </r>
  <r>
    <s v="MasterCard (Capital One)"/>
    <d v="2014-08-29T00:00:00"/>
    <n v="-9.9"/>
    <s v="X"/>
    <s v="Amazon"/>
    <s v="Shift registers"/>
    <s v="Shopping:Electronics &amp; Software/From Receipt"/>
    <m/>
    <m/>
    <s v="From Receipt"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29T00:00:00"/>
    <n v="-15"/>
    <s v="X"/>
    <s v="Mount Rainier Nisq"/>
    <s v="#Mt. Rainier 2014#"/>
    <s v="Vacation:Activities"/>
    <m/>
    <m/>
    <m/>
    <x v="23"/>
    <x v="39"/>
    <m/>
    <m/>
    <s v="Mt. Rainier 2014"/>
    <m/>
    <s v="Aug"/>
    <n v="2014"/>
    <s v="Irregular"/>
    <n v="0"/>
    <s v="No"/>
    <s v="None"/>
    <s v="Vacation|Activities"/>
  </r>
  <r>
    <s v="MasterCard (Capital One)"/>
    <d v="2014-08-29T00:00:00"/>
    <n v="-16.079999999999998"/>
    <s v="X"/>
    <s v="Copper Creek Inn"/>
    <s v="#Mt. Rainier 2014#"/>
    <s v="Vacation:Food"/>
    <m/>
    <m/>
    <m/>
    <x v="23"/>
    <x v="8"/>
    <m/>
    <m/>
    <s v="Mt. Rainier 2014"/>
    <m/>
    <s v="Aug"/>
    <n v="2014"/>
    <s v="Irregular"/>
    <n v="0"/>
    <s v="No"/>
    <s v="None"/>
    <s v="Vacation|Food"/>
  </r>
  <r>
    <s v="MasterCard (Capital One)"/>
    <d v="2014-08-29T00:00:00"/>
    <n v="-21.53"/>
    <s v="X"/>
    <s v="Jackson Visitors Center"/>
    <s v="#Mt. Rainier 2014# T-Shirts"/>
    <s v="Vacation:Trinkets/From Receipt"/>
    <m/>
    <m/>
    <s v="From Receipt"/>
    <x v="23"/>
    <x v="28"/>
    <m/>
    <m/>
    <s v="Mt. Rainier 2014"/>
    <m/>
    <s v="Aug"/>
    <n v="2014"/>
    <s v="Irregular"/>
    <n v="0"/>
    <s v="No"/>
    <s v="None"/>
    <s v="Vacation|Trinkets"/>
  </r>
  <r>
    <s v="MasterCard (Capital One)"/>
    <d v="2014-08-29T00:00:00"/>
    <n v="-25.9"/>
    <s v="X"/>
    <s v="Jackson Vision"/>
    <m/>
    <s v="Health &amp; Fitness:Eyecare"/>
    <m/>
    <m/>
    <m/>
    <x v="18"/>
    <x v="5"/>
    <m/>
    <m/>
    <m/>
    <m/>
    <s v="Aug"/>
    <n v="2014"/>
    <s v="Irregular"/>
    <n v="0"/>
    <s v="No"/>
    <s v="None"/>
    <s v="Health &amp; Fitness|Eyecare"/>
  </r>
  <r>
    <s v="MasterCard (Capital One)"/>
    <d v="2014-08-29T00:00:00"/>
    <n v="-37.71"/>
    <s v="X"/>
    <s v="Copper Creek Inn"/>
    <s v="#Mt. Rainier 2014#"/>
    <s v="Vacation:Food"/>
    <m/>
    <m/>
    <m/>
    <x v="23"/>
    <x v="8"/>
    <m/>
    <m/>
    <s v="Mt. Rainier 2014"/>
    <m/>
    <s v="Aug"/>
    <n v="2014"/>
    <s v="Irregular"/>
    <n v="0"/>
    <s v="No"/>
    <s v="None"/>
    <s v="Vacation|Food"/>
  </r>
  <r>
    <s v="MasterCard (Capital One)"/>
    <d v="2014-08-29T00:00:00"/>
    <n v="-73.84"/>
    <s v="X"/>
    <s v="Copper Creek Inn"/>
    <s v="#Mt. Rainier 2014#"/>
    <s v="Vacation:Food"/>
    <m/>
    <m/>
    <m/>
    <x v="23"/>
    <x v="8"/>
    <m/>
    <m/>
    <s v="Mt. Rainier 2014"/>
    <m/>
    <s v="Aug"/>
    <n v="2014"/>
    <s v="Irregular"/>
    <n v="0"/>
    <s v="No"/>
    <s v="None"/>
    <s v="Vacation|Food"/>
  </r>
  <r>
    <s v="MasterCard (Capital One)"/>
    <d v="2014-08-28T00:00:00"/>
    <n v="-10.89"/>
    <s v="X"/>
    <s v="Northwest Trek"/>
    <s v="#Mt. Rainier 2014#"/>
    <s v="Vacation:Food"/>
    <m/>
    <m/>
    <m/>
    <x v="23"/>
    <x v="8"/>
    <m/>
    <m/>
    <s v="Mt. Rainier 2014"/>
    <m/>
    <s v="Aug"/>
    <n v="2014"/>
    <s v="Irregular"/>
    <n v="0"/>
    <s v="No"/>
    <s v="None"/>
    <s v="Vacation|Food"/>
  </r>
  <r>
    <s v="MasterCard (Capital One)"/>
    <d v="2014-08-28T00:00:00"/>
    <n v="-21.58"/>
    <s v="X"/>
    <s v="Northwest Trek"/>
    <s v="Bubble guns"/>
    <s v="Kids:Toys/From Receipt"/>
    <m/>
    <m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28T00:00:00"/>
    <n v="-24.02"/>
    <s v="X"/>
    <s v="Ikea"/>
    <m/>
    <s v="Home:Furnishings"/>
    <m/>
    <m/>
    <m/>
    <x v="14"/>
    <x v="2"/>
    <m/>
    <m/>
    <m/>
    <m/>
    <s v="Aug"/>
    <n v="2014"/>
    <s v="Monthly"/>
    <n v="0"/>
    <s v="No"/>
    <s v="None"/>
    <s v="Home|Furnishings"/>
  </r>
  <r>
    <s v="MasterCard (Capital One)"/>
    <d v="2014-08-28T00:00:00"/>
    <n v="-46"/>
    <s v="X"/>
    <s v="Nw Trek Wildlife"/>
    <s v="#Mt. Rainier 2014#"/>
    <s v="Vacation:Activities"/>
    <m/>
    <m/>
    <m/>
    <x v="23"/>
    <x v="39"/>
    <m/>
    <m/>
    <s v="Mt. Rainier 2014"/>
    <m/>
    <s v="Aug"/>
    <n v="2014"/>
    <s v="Irregular"/>
    <n v="0"/>
    <s v="No"/>
    <s v="None"/>
    <s v="Vacation|Activities"/>
  </r>
  <r>
    <s v="MasterCard (Capital One)"/>
    <d v="2014-08-28T00:00:00"/>
    <n v="-258.27"/>
    <s v="X"/>
    <s v="Alexander's Country Inn"/>
    <s v="#Mt. Rainier 2014#"/>
    <s v="Vacation:Lodging"/>
    <m/>
    <m/>
    <m/>
    <x v="23"/>
    <x v="9"/>
    <m/>
    <m/>
    <s v="Mt. Rainier 2014"/>
    <m/>
    <s v="Aug"/>
    <n v="2014"/>
    <s v="Irregular"/>
    <n v="0"/>
    <s v="No"/>
    <s v="None"/>
    <s v="Vacation|Lodging"/>
  </r>
  <r>
    <s v="First Tech - Checking (5544)"/>
    <d v="2014-08-27T00:00:00"/>
    <n v="-186.29"/>
    <s v="X"/>
    <s v="Chase Autopay (Freedom)"/>
    <s v="ACH Debit--CHASE  - AUTOPAY"/>
    <s v="[Chase Freedom XX9381]"/>
    <m/>
    <m/>
    <m/>
    <x v="7"/>
    <x v="0"/>
    <m/>
    <m/>
    <m/>
    <m/>
    <s v="Aug"/>
    <n v="2014"/>
    <e v="#N/A"/>
    <e v="#N/A"/>
    <e v="#N/A"/>
    <e v="#N/A"/>
    <s v="[Chase Freedom XX9381]"/>
  </r>
  <r>
    <s v="Chase Freedom XX9381"/>
    <d v="2014-08-27T00:00:00"/>
    <n v="186.29"/>
    <s v="X"/>
    <s v="Chase Autopay (Freedom)"/>
    <s v="ACH Debit--CHASE  - AUTOPAY"/>
    <s v="[First Tech - Checking (5544)]"/>
    <m/>
    <m/>
    <m/>
    <x v="21"/>
    <x v="0"/>
    <m/>
    <m/>
    <m/>
    <m/>
    <s v="Aug"/>
    <n v="2014"/>
    <s v="Account"/>
    <n v="0"/>
    <s v="No"/>
    <s v="None"/>
    <s v="[First Tech - Checking (5544)]"/>
  </r>
  <r>
    <s v="MasterCard (Capital One)"/>
    <d v="2014-08-27T00:00:00"/>
    <n v="25"/>
    <s v="X"/>
    <s v="Capital One (Cash Back)"/>
    <m/>
    <s v="Other Inc"/>
    <m/>
    <m/>
    <m/>
    <x v="29"/>
    <x v="0"/>
    <m/>
    <m/>
    <m/>
    <m/>
    <s v="Aug"/>
    <n v="2014"/>
    <s v="Monthly"/>
    <n v="0"/>
    <s v="No"/>
    <s v="None"/>
    <s v="Other Inc"/>
  </r>
  <r>
    <s v="MasterCard (Capital One)"/>
    <d v="2014-08-27T00:00:00"/>
    <n v="-4.37"/>
    <s v="X"/>
    <s v="Fred Meyer"/>
    <s v="#Kalaloch 2014# Camping fuel"/>
    <s v="Vacation:Food/From Receipt"/>
    <m/>
    <m/>
    <s v="From Receipt"/>
    <x v="23"/>
    <x v="8"/>
    <m/>
    <m/>
    <s v="Kalaloch 2014"/>
    <m/>
    <s v="Aug"/>
    <n v="2014"/>
    <s v="Irregular"/>
    <n v="0"/>
    <s v="No"/>
    <s v="None"/>
    <s v="Vacation|Food"/>
  </r>
  <r>
    <s v="MasterCard (Capital One)"/>
    <d v="2014-08-27T00:00:00"/>
    <n v="-5.5"/>
    <s v="X"/>
    <s v="Ferry Food People"/>
    <s v="#Orcas Island 2014#"/>
    <s v="Vacation:Food/From Receipt"/>
    <m/>
    <m/>
    <s v="From Receipt"/>
    <x v="23"/>
    <x v="8"/>
    <m/>
    <m/>
    <s v="Orcas Island 2014"/>
    <m/>
    <s v="Aug"/>
    <n v="2014"/>
    <s v="Irregular"/>
    <n v="0"/>
    <s v="No"/>
    <s v="None"/>
    <s v="Vacation|Food"/>
  </r>
  <r>
    <s v="MasterCard (Capital One)"/>
    <d v="2014-08-26T00:00:00"/>
    <n v="-1.99"/>
    <s v="X"/>
    <s v="Landmark"/>
    <s v="Ice  #Orcas Island 2014#"/>
    <s v="Vacation:Food/From Receipt"/>
    <m/>
    <m/>
    <s v="From Receipt"/>
    <x v="23"/>
    <x v="8"/>
    <m/>
    <m/>
    <s v="Orcas Island 2014"/>
    <m/>
    <s v="Aug"/>
    <n v="2014"/>
    <s v="Irregular"/>
    <n v="0"/>
    <s v="No"/>
    <s v="None"/>
    <s v="Vacation|Food"/>
  </r>
  <r>
    <s v="MasterCard (Capital One)"/>
    <d v="2014-08-26T00:00:00"/>
    <n v="-6.49"/>
    <s v="X"/>
    <s v="Sq Orcas Adventure"/>
    <s v="#Orcas Island 2014#"/>
    <s v="Vacation:Food"/>
    <m/>
    <m/>
    <m/>
    <x v="23"/>
    <x v="8"/>
    <m/>
    <m/>
    <s v="Orcas Island 2014"/>
    <m/>
    <s v="Aug"/>
    <n v="2014"/>
    <s v="Irregular"/>
    <n v="0"/>
    <s v="No"/>
    <s v="None"/>
    <s v="Vacation|Food"/>
  </r>
  <r>
    <s v="MasterCard (Capital One)"/>
    <d v="2014-08-26T00:00:00"/>
    <n v="-19.420000000000002"/>
    <s v="X"/>
    <s v="Shell"/>
    <s v="#Orcas Island 2014#"/>
    <s v="Vacation:Transportation"/>
    <m/>
    <m/>
    <m/>
    <x v="23"/>
    <x v="26"/>
    <m/>
    <m/>
    <s v="Orcas Island 2014"/>
    <m/>
    <s v="Aug"/>
    <n v="2014"/>
    <s v="Irregular"/>
    <n v="0"/>
    <s v="No"/>
    <s v="None"/>
    <s v="Vacation|Transportation"/>
  </r>
  <r>
    <s v="MasterCard (Capital One)"/>
    <d v="2014-08-26T00:00:00"/>
    <n v="-32.69"/>
    <s v="X"/>
    <s v="Orcas Landing Hotel"/>
    <s v="#Orcas Island 2014#"/>
    <s v="Vacation:Food"/>
    <m/>
    <m/>
    <m/>
    <x v="23"/>
    <x v="8"/>
    <m/>
    <m/>
    <s v="Orcas Island 2014"/>
    <m/>
    <s v="Aug"/>
    <n v="2014"/>
    <s v="Irregular"/>
    <n v="0"/>
    <s v="No"/>
    <s v="None"/>
    <s v="Vacation|Food"/>
  </r>
  <r>
    <s v="First Tech - Checking (5544)"/>
    <d v="2014-08-25T00:00:00"/>
    <n v="-88.17"/>
    <s v="X"/>
    <s v="American Express (Autopay)"/>
    <s v="ACH Debit--AMEX EPayment AM - ACH PMT"/>
    <s v="[American Express (Costco)]"/>
    <m/>
    <m/>
    <m/>
    <x v="20"/>
    <x v="0"/>
    <m/>
    <m/>
    <m/>
    <m/>
    <s v="Aug"/>
    <n v="2014"/>
    <s v="Account"/>
    <n v="0"/>
    <s v="No"/>
    <s v="None"/>
    <s v="[American Express (Costco)]"/>
  </r>
  <r>
    <s v="First Tech - Checking (5544)"/>
    <d v="2014-08-25T00:00:00"/>
    <n v="-394.2"/>
    <s v="X"/>
    <s v="Caesar's Gardens"/>
    <s v="ACH Debit--CATHLEEN CAESAR  - ONLINE PMT"/>
    <s v="Projects:Landscaping"/>
    <m/>
    <m/>
    <m/>
    <x v="39"/>
    <x v="47"/>
    <m/>
    <m/>
    <m/>
    <m/>
    <s v="Aug"/>
    <n v="2014"/>
    <s v="Unplanned"/>
    <n v="0"/>
    <s v="No"/>
    <s v="None"/>
    <s v="Projects|Landscaping"/>
  </r>
  <r>
    <s v="Koolikai - Checking XX2129"/>
    <d v="2014-08-25T00:00:00"/>
    <n v="-146.97999999999999"/>
    <s v="X"/>
    <s v="Chase - Koolikai (Autopay)"/>
    <s v="ACH Debit--CHASE  - AUTOPAYBUS"/>
    <s v="[Koolikai Credit Card]"/>
    <m/>
    <m/>
    <m/>
    <x v="9"/>
    <x v="0"/>
    <m/>
    <m/>
    <m/>
    <m/>
    <s v="Aug"/>
    <n v="2014"/>
    <s v="Account"/>
    <n v="0"/>
    <s v="No"/>
    <s v="None"/>
    <s v="[Koolikai Credit Card]"/>
  </r>
  <r>
    <s v="American Express (Costco)"/>
    <d v="2014-08-25T00:00:00"/>
    <n v="88.17"/>
    <s v="X"/>
    <s v="American Express (Autopay)"/>
    <s v="ACH Debit--AMEX EPayment AM - ACH PMT"/>
    <s v="[First Tech - Checking (5544)]"/>
    <m/>
    <m/>
    <m/>
    <x v="21"/>
    <x v="0"/>
    <m/>
    <m/>
    <m/>
    <m/>
    <s v="Aug"/>
    <n v="2014"/>
    <s v="Account"/>
    <n v="0"/>
    <s v="No"/>
    <s v="None"/>
    <s v="[First Tech - Checking (5544)]"/>
  </r>
  <r>
    <s v="MasterCard (Capital One)"/>
    <d v="2014-08-25T00:00:00"/>
    <n v="-64.05"/>
    <s v="X"/>
    <s v="Wsferries Anacortes"/>
    <s v="#Orcas Island 2014#"/>
    <s v="Vacation:Transportation"/>
    <m/>
    <m/>
    <m/>
    <x v="23"/>
    <x v="26"/>
    <m/>
    <m/>
    <s v="Orcas Island 2014"/>
    <m/>
    <s v="Aug"/>
    <n v="2014"/>
    <s v="Irregular"/>
    <n v="0"/>
    <s v="No"/>
    <s v="None"/>
    <s v="Vacation|Transportation"/>
  </r>
  <r>
    <s v="MasterCard (Capital One)"/>
    <d v="2014-08-25T00:00:00"/>
    <n v="-211.4"/>
    <s v="X"/>
    <s v="Orcas Landing Hotel"/>
    <s v="#Orcas Island 2014#"/>
    <s v="Vacation:Lodging/From Receipt"/>
    <m/>
    <m/>
    <s v="From Receipt"/>
    <x v="23"/>
    <x v="9"/>
    <m/>
    <m/>
    <s v="Orcas Island 2014"/>
    <m/>
    <s v="Aug"/>
    <n v="2014"/>
    <s v="Irregular"/>
    <n v="0"/>
    <s v="No"/>
    <s v="None"/>
    <s v="Vacation|Lodging"/>
  </r>
  <r>
    <s v="MasterCard (Capital One)"/>
    <d v="2014-08-24T00:00:00"/>
    <n v="14.77"/>
    <s v="X"/>
    <s v="Amazon Services Kindle"/>
    <s v="Accidental purchase of arduino book on Kindle"/>
    <s v="Shopping:Books/From Receipt"/>
    <m/>
    <m/>
    <s v="From Receipt"/>
    <x v="13"/>
    <x v="51"/>
    <m/>
    <m/>
    <m/>
    <m/>
    <s v="Aug"/>
    <n v="2014"/>
    <s v="Unplanned"/>
    <n v="0"/>
    <s v="No"/>
    <s v="None"/>
    <s v="Shopping|Books"/>
  </r>
  <r>
    <s v="MasterCard (Capital One)"/>
    <d v="2014-08-24T00:00:00"/>
    <n v="25.93"/>
    <s v="X"/>
    <s v="Home Depot"/>
    <s v="Returned unnecessary items for roof repair"/>
    <s v="Business Expenses (Koolikai):Repairs/7231:From Receipt"/>
    <m/>
    <m/>
    <s v="7231:From Receipt"/>
    <x v="36"/>
    <x v="41"/>
    <m/>
    <m/>
    <m/>
    <m/>
    <s v="Aug"/>
    <n v="2014"/>
    <s v="Irregular"/>
    <n v="0"/>
    <s v="No"/>
    <s v="None"/>
    <s v="Business Expenses (Koolikai)|Repairs"/>
  </r>
  <r>
    <s v="MasterCard (Capital One)"/>
    <d v="2014-08-24T00:00:00"/>
    <n v="-7.49"/>
    <s v="X"/>
    <s v="Fred Meyer"/>
    <m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24T00:00:00"/>
    <n v="-14.77"/>
    <s v="X"/>
    <s v="Amazon Services Kindle"/>
    <s v="Accidental purchase of arduino book on Kindle"/>
    <s v="Shopping:Books/From Receipt"/>
    <m/>
    <m/>
    <s v="From Receipt"/>
    <x v="13"/>
    <x v="51"/>
    <m/>
    <m/>
    <m/>
    <m/>
    <s v="Aug"/>
    <n v="2014"/>
    <s v="Unplanned"/>
    <n v="0"/>
    <s v="No"/>
    <s v="None"/>
    <s v="Shopping|Books"/>
  </r>
  <r>
    <s v="MasterCard (Capital One)"/>
    <d v="2014-08-24T00:00:00"/>
    <n v="-27.3"/>
    <s v="X"/>
    <s v="Top Ten Toys"/>
    <m/>
    <s v="Gifts/From Receipt"/>
    <m/>
    <m/>
    <s v="From Receipt"/>
    <x v="28"/>
    <x v="0"/>
    <m/>
    <m/>
    <m/>
    <m/>
    <s v="Aug"/>
    <n v="2014"/>
    <s v="Monthly"/>
    <n v="0"/>
    <s v="No"/>
    <s v="None"/>
    <s v="Gifts"/>
  </r>
  <r>
    <s v="MasterCard (Capital One)"/>
    <d v="2014-08-24T00:00:00"/>
    <n v="-29.41"/>
    <s v="X"/>
    <s v="Fred Meyer"/>
    <m/>
    <s v="Kids:Clothing"/>
    <m/>
    <m/>
    <m/>
    <x v="27"/>
    <x v="1"/>
    <m/>
    <m/>
    <m/>
    <m/>
    <s v="Aug"/>
    <n v="2014"/>
    <s v="Monthly"/>
    <n v="0"/>
    <s v="No"/>
    <s v="None"/>
    <s v="Kids|Clothing"/>
  </r>
  <r>
    <s v="MasterCard (Capital One)"/>
    <d v="2014-08-24T00:00:00"/>
    <n v="-34"/>
    <s v="X"/>
    <s v="Rudys Barber Shop"/>
    <m/>
    <s v="Personal Care:Hair"/>
    <m/>
    <m/>
    <m/>
    <x v="31"/>
    <x v="16"/>
    <m/>
    <m/>
    <m/>
    <m/>
    <s v="Aug"/>
    <n v="2014"/>
    <s v="Monthly"/>
    <n v="0"/>
    <s v="No"/>
    <s v="None"/>
    <s v="Personal Care|Hair"/>
  </r>
  <r>
    <s v="MasterCard (Capital One)"/>
    <d v="2014-08-24T00:00:00"/>
    <n v="-45.53"/>
    <s v="X"/>
    <s v="Home Depot"/>
    <s v="Bathroom Sink repairs at 7231"/>
    <s v="Business Expenses (Koolikai):Repairs/7231"/>
    <m/>
    <m/>
    <n v="7231"/>
    <x v="36"/>
    <x v="41"/>
    <m/>
    <m/>
    <m/>
    <m/>
    <s v="Aug"/>
    <n v="2014"/>
    <s v="Irregular"/>
    <n v="0"/>
    <s v="No"/>
    <s v="None"/>
    <s v="Business Expenses (Koolikai)|Repairs"/>
  </r>
  <r>
    <s v="MasterCard (Capital One)"/>
    <d v="2014-08-23T00:00:00"/>
    <n v="-2.74"/>
    <s v="X"/>
    <s v="Fred Meyer"/>
    <m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23T00:00:00"/>
    <n v="-26.61"/>
    <s v="X"/>
    <s v="Fred Meyer"/>
    <m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23T00:00:00"/>
    <n v="-104.63"/>
    <s v="X"/>
    <s v="Fred Meyer"/>
    <s v="#Kalaloch 2014#"/>
    <s v="Vacation:Food/From Receipt"/>
    <m/>
    <m/>
    <s v="From Receipt"/>
    <x v="23"/>
    <x v="8"/>
    <m/>
    <m/>
    <s v="Kalaloch 2014"/>
    <m/>
    <s v="Aug"/>
    <n v="2014"/>
    <s v="Irregular"/>
    <n v="0"/>
    <s v="No"/>
    <s v="None"/>
    <s v="Vacation|Food"/>
  </r>
  <r>
    <s v="Koolikai Credit Card"/>
    <d v="2014-08-22T00:00:00"/>
    <n v="146.97999999999999"/>
    <s v="X"/>
    <s v="Chase - Koolikai (Autopay)"/>
    <m/>
    <s v="[Koolikai - Checking XX2129]"/>
    <m/>
    <m/>
    <m/>
    <x v="25"/>
    <x v="0"/>
    <m/>
    <m/>
    <m/>
    <m/>
    <s v="Aug"/>
    <n v="2014"/>
    <s v="Account"/>
    <n v="0"/>
    <s v="No"/>
    <s v="None"/>
    <s v="[Koolikai - Checking XX2129]"/>
  </r>
  <r>
    <s v="First Tech - Checking (5544)"/>
    <d v="2014-08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Aug"/>
    <n v="2014"/>
    <s v="Monthly"/>
    <n v="0"/>
    <s v="No"/>
    <s v="None"/>
    <s v="Auto &amp; Transport|Auto Lease Payment"/>
  </r>
  <r>
    <s v="MasterCard (Capital One)"/>
    <d v="2014-08-21T00:00:00"/>
    <n v="-24.14"/>
    <s v="X"/>
    <s v="Fred Meyer"/>
    <s v="#CRAB Breakfast# Bagels, juice"/>
    <s v="Work Expense:Reimbursable expense/From Receipt"/>
    <m/>
    <s v="Split"/>
    <s v="From Receipt"/>
    <x v="19"/>
    <x v="21"/>
    <m/>
    <m/>
    <s v="CRAB Breakfast"/>
    <m/>
    <s v="Aug"/>
    <n v="2014"/>
    <s v="Irregular"/>
    <n v="0"/>
    <s v="No"/>
    <s v="None"/>
    <s v="Work Expense|Reimbursable expense"/>
  </r>
  <r>
    <s v="MasterCard (Capital One)"/>
    <d v="2014-08-21T00:00:00"/>
    <n v="-1.27"/>
    <s v="X"/>
    <s v="Fred Meyer"/>
    <s v="Pencil box"/>
    <s v="Kids:Toys/From Receipt"/>
    <m/>
    <s v="Split"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20T00:00:00"/>
    <n v="-5.73"/>
    <s v="X"/>
    <s v="Ken Market"/>
    <m/>
    <s v="Food &amp; Dining:Groceries"/>
    <m/>
    <m/>
    <m/>
    <x v="15"/>
    <x v="3"/>
    <m/>
    <m/>
    <m/>
    <m/>
    <s v="Aug"/>
    <n v="2014"/>
    <s v="Monthly"/>
    <n v="0"/>
    <s v="No"/>
    <s v="None"/>
    <s v="Food &amp; Dining|Groceries"/>
  </r>
  <r>
    <s v="Chase Freedom XX9381"/>
    <d v="2014-08-19T00:00:00"/>
    <n v="-8.5299999999999994"/>
    <s v="X"/>
    <s v="Amazon"/>
    <s v="Voltage regulator and key pad"/>
    <s v="Shopping:Electronics &amp; Software"/>
    <m/>
    <m/>
    <m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19T00:00:00"/>
    <n v="-64"/>
    <s v="X"/>
    <s v="Beach Comber Kids Cuts"/>
    <s v="2011: BEACHCOMBER KIDS CUT SEATTLE WA 981030000 USA"/>
    <s v="Personal Care:Hair"/>
    <m/>
    <m/>
    <m/>
    <x v="31"/>
    <x v="16"/>
    <m/>
    <m/>
    <m/>
    <m/>
    <s v="Aug"/>
    <n v="2014"/>
    <s v="Monthly"/>
    <n v="0"/>
    <s v="No"/>
    <s v="None"/>
    <s v="Personal Care|Hair"/>
  </r>
  <r>
    <s v="First Tech - Checking (5544)"/>
    <d v="2014-08-18T00:00:00"/>
    <n v="-10000"/>
    <s v="X"/>
    <s v="Internal Revenue Service"/>
    <s v="ACH Debit--IRS  - USATAXPYMT"/>
    <s v="Tax:Fed"/>
    <m/>
    <m/>
    <m/>
    <x v="47"/>
    <x v="54"/>
    <m/>
    <m/>
    <m/>
    <m/>
    <s v="Aug"/>
    <n v="2014"/>
    <s v="Unplanned"/>
    <n v="0"/>
    <s v="No"/>
    <s v="None"/>
    <s v="Tax|Fed"/>
  </r>
  <r>
    <s v="MasterCard (Capital One)"/>
    <d v="2014-08-18T00:00:00"/>
    <n v="-4.8"/>
    <s v="X"/>
    <s v="Amazon"/>
    <s v="Multimeter"/>
    <s v="Shopping:Electronics &amp; Software/From Receipt"/>
    <m/>
    <m/>
    <s v="From Receipt"/>
    <x v="13"/>
    <x v="20"/>
    <m/>
    <m/>
    <m/>
    <m/>
    <s v="Aug"/>
    <n v="2014"/>
    <s v="Annual"/>
    <n v="0"/>
    <s v="No"/>
    <s v="None"/>
    <s v="Shopping|Electronics &amp; Software"/>
  </r>
  <r>
    <s v="Chase Freedom XX9381"/>
    <d v="2014-08-17T00:00:00"/>
    <n v="-3.54"/>
    <s v="X"/>
    <s v="Amazon"/>
    <s v="Photo resistors"/>
    <s v="Shopping:Electronics &amp; Software"/>
    <m/>
    <m/>
    <m/>
    <x v="13"/>
    <x v="20"/>
    <m/>
    <m/>
    <m/>
    <m/>
    <s v="Aug"/>
    <n v="2014"/>
    <s v="Annual"/>
    <n v="0"/>
    <s v="No"/>
    <s v="None"/>
    <s v="Shopping|Electronics &amp; Software"/>
  </r>
  <r>
    <s v="Chase Freedom XX9381"/>
    <d v="2014-08-17T00:00:00"/>
    <n v="-15.01"/>
    <s v="X"/>
    <s v="Amazon"/>
    <s v="Jumper wires"/>
    <s v="Shopping:Electronics &amp; Software"/>
    <m/>
    <m/>
    <m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17T00:00:00"/>
    <n v="27.34"/>
    <s v="X"/>
    <s v="Home Depot"/>
    <s v="Returned 10 year smoke alarm"/>
    <s v="Home:Home Improvement/From Receipt"/>
    <m/>
    <m/>
    <s v="From Receipt"/>
    <x v="14"/>
    <x v="19"/>
    <m/>
    <m/>
    <m/>
    <m/>
    <s v="Aug"/>
    <n v="2014"/>
    <s v="Irregular"/>
    <n v="0"/>
    <s v="No"/>
    <s v="None"/>
    <s v="Home|Home Improvement"/>
  </r>
  <r>
    <s v="MasterCard (Capital One)"/>
    <d v="2014-08-17T00:00:00"/>
    <n v="-5.75"/>
    <s v="X"/>
    <s v="Amazon"/>
    <s v="Distance sensor"/>
    <s v="Shopping:Electronics &amp; Software/From Receipt"/>
    <m/>
    <m/>
    <s v="From Receipt"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17T00:00:00"/>
    <n v="-8.19"/>
    <s v="X"/>
    <s v="Amazon"/>
    <s v="Multimeter"/>
    <s v="Shopping:Electronics &amp; Software/From Receipt"/>
    <m/>
    <m/>
    <s v="From Receipt"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17T00:00:00"/>
    <n v="-8.73"/>
    <s v="X"/>
    <s v="Mcdonald's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7T00:00:00"/>
    <n v="-105.25"/>
    <s v="X"/>
    <s v="Home Depot"/>
    <s v="Garage repairs at 7231"/>
    <s v="Business Expenses (Koolikai):Repairs/7231:From Receipt"/>
    <m/>
    <m/>
    <s v="7231:From Receipt"/>
    <x v="36"/>
    <x v="41"/>
    <m/>
    <m/>
    <m/>
    <m/>
    <s v="Aug"/>
    <n v="2014"/>
    <s v="Irregular"/>
    <n v="0"/>
    <s v="No"/>
    <s v="None"/>
    <s v="Business Expenses (Koolikai)|Repairs"/>
  </r>
  <r>
    <s v="MasterCard (Capital One)"/>
    <d v="2014-08-16T00:00:00"/>
    <n v="-7.78"/>
    <s v="X"/>
    <s v="Imagine Children Mus"/>
    <s v="Bouncy lights"/>
    <s v="Kids:Toys/From Receipt"/>
    <m/>
    <m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16T00:00:00"/>
    <n v="-12.77"/>
    <s v="X"/>
    <s v="Dairy Queen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6T00:00:00"/>
    <n v="-17.02"/>
    <s v="X"/>
    <s v="Trader Joe's"/>
    <m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16T00:00:00"/>
    <n v="-24.93"/>
    <s v="X"/>
    <s v="Spartas Pizza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6T00:00:00"/>
    <n v="-71.05"/>
    <s v="X"/>
    <s v="Fred Meyer"/>
    <m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First Tech - Checking (5544)"/>
    <d v="2014-08-15T00:00:00"/>
    <n v="3221.49"/>
    <s v="X"/>
    <s v="Microsoft (Paystub)"/>
    <s v="ACH Deposit--MICROSOFT  - EDIPAYMENT"/>
    <s v="Net Salary"/>
    <m/>
    <m/>
    <m/>
    <x v="35"/>
    <x v="0"/>
    <m/>
    <m/>
    <m/>
    <m/>
    <s v="Aug"/>
    <n v="2014"/>
    <s v="Monthly"/>
    <n v="0"/>
    <s v="No"/>
    <s v="None"/>
    <s v="Net Salary"/>
  </r>
  <r>
    <s v="MasterCard (Capital One)"/>
    <d v="2014-08-15T00:00:00"/>
    <n v="-4.93"/>
    <s v="X"/>
    <s v="7-Eleven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5T00:00:00"/>
    <n v="-6"/>
    <s v="X"/>
    <s v="Park"/>
    <m/>
    <s v="Auto &amp; Transport:Parking"/>
    <m/>
    <m/>
    <m/>
    <x v="17"/>
    <x v="11"/>
    <m/>
    <m/>
    <m/>
    <m/>
    <s v="Aug"/>
    <n v="2014"/>
    <s v="Monthly"/>
    <n v="0"/>
    <s v="No"/>
    <s v="None"/>
    <s v="Auto &amp; Transport|Parking"/>
  </r>
  <r>
    <s v="MasterCard (Capital One)"/>
    <d v="2014-08-15T00:00:00"/>
    <n v="-8"/>
    <s v="X"/>
    <s v="Impark"/>
    <m/>
    <s v="Auto &amp; Transport:Parking"/>
    <m/>
    <m/>
    <m/>
    <x v="17"/>
    <x v="11"/>
    <m/>
    <m/>
    <m/>
    <m/>
    <s v="Aug"/>
    <n v="2014"/>
    <s v="Monthly"/>
    <n v="0"/>
    <s v="No"/>
    <s v="None"/>
    <s v="Auto &amp; Transport|Parking"/>
  </r>
  <r>
    <s v="First Tech - Checking (5544)"/>
    <d v="2014-08-13T00:00:00"/>
    <n v="-45.2"/>
    <s v="X"/>
    <s v="Puget Sound Energy"/>
    <s v="ACH Debit--PUGET SOUND ENER DIRECT DEBITING - PSE BILL  45000438"/>
    <s v="Bills &amp; Utilities:Utilities"/>
    <m/>
    <m/>
    <m/>
    <x v="34"/>
    <x v="18"/>
    <m/>
    <m/>
    <m/>
    <m/>
    <s v="Aug"/>
    <n v="2014"/>
    <s v="Monthly"/>
    <n v="0"/>
    <s v="No"/>
    <s v="None"/>
    <s v="Bills &amp; Utilities|Utilities"/>
  </r>
  <r>
    <s v="MasterCard (Capital One)"/>
    <d v="2014-08-13T00:00:00"/>
    <n v="-12.95"/>
    <s v="X"/>
    <s v="Dragonfish Asian Cafe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3T00:00:00"/>
    <n v="-42.13"/>
    <s v="X"/>
    <s v="Oliver Twist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3T00:00:00"/>
    <n v="-8.08"/>
    <s v="X"/>
    <s v="Fred Meyer"/>
    <m/>
    <s v="Gifts/From Receipt"/>
    <m/>
    <s v="Split"/>
    <s v="From Receipt"/>
    <x v="28"/>
    <x v="0"/>
    <m/>
    <m/>
    <m/>
    <m/>
    <s v="Aug"/>
    <n v="2014"/>
    <s v="Monthly"/>
    <n v="0"/>
    <s v="No"/>
    <s v="None"/>
    <s v="Gifts"/>
  </r>
  <r>
    <s v="MasterCard (Capital One)"/>
    <d v="2014-08-13T00:00:00"/>
    <n v="-81.5"/>
    <s v="X"/>
    <s v="Fred Meyer"/>
    <m/>
    <s v="Food &amp; Dining:Groceries/From Receipt"/>
    <m/>
    <s v="Split"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13T00:00:00"/>
    <n v="-3.93"/>
    <s v="X"/>
    <s v="Fresh Table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13T00:00:00"/>
    <n v="-93"/>
    <s v="X"/>
    <s v="Seattle Shakespeare"/>
    <s v="Twelfth night"/>
    <s v="Entertainment"/>
    <m/>
    <m/>
    <m/>
    <x v="30"/>
    <x v="0"/>
    <m/>
    <m/>
    <m/>
    <m/>
    <s v="Aug"/>
    <n v="2014"/>
    <s v="Monthly"/>
    <n v="0"/>
    <s v="No"/>
    <s v="None"/>
    <s v="Entertainment"/>
  </r>
  <r>
    <s v="Chase Freedom XX9381"/>
    <d v="2014-08-12T00:00:00"/>
    <n v="-3.63"/>
    <s v="X"/>
    <s v="Amazon"/>
    <s v="More blind repair materials"/>
    <s v="Home:Home Improvement"/>
    <m/>
    <m/>
    <m/>
    <x v="14"/>
    <x v="19"/>
    <m/>
    <m/>
    <m/>
    <m/>
    <s v="Aug"/>
    <n v="2014"/>
    <s v="Irregular"/>
    <n v="0"/>
    <s v="No"/>
    <s v="None"/>
    <s v="Home|Home Improvement"/>
  </r>
  <r>
    <s v="Chase Freedom XX9381"/>
    <d v="2014-08-12T00:00:00"/>
    <n v="-43.37"/>
    <s v="X"/>
    <s v="Valero"/>
    <m/>
    <s v="Auto &amp; Transport:Gas &amp; Fuel"/>
    <m/>
    <m/>
    <m/>
    <x v="17"/>
    <x v="37"/>
    <m/>
    <m/>
    <m/>
    <m/>
    <s v="Aug"/>
    <n v="2014"/>
    <s v="Monthly"/>
    <n v="0"/>
    <s v="No"/>
    <s v="None"/>
    <s v="Auto &amp; Transport|Gas &amp; Fuel"/>
  </r>
  <r>
    <s v="Koolikai Credit Card"/>
    <d v="2014-08-12T00:00:00"/>
    <n v="-146.91999999999999"/>
    <s v="X"/>
    <s v="Verizon Wireless"/>
    <m/>
    <s v="Business Expenses (Koolikai):Cell Phone"/>
    <m/>
    <m/>
    <m/>
    <x v="36"/>
    <x v="22"/>
    <m/>
    <m/>
    <m/>
    <m/>
    <s v="Aug"/>
    <n v="2014"/>
    <s v="Monthly"/>
    <n v="0"/>
    <s v="No"/>
    <s v="None"/>
    <s v="Business Expenses (Koolikai)|Cell Phone"/>
  </r>
  <r>
    <s v="MasterCard (Capital One)"/>
    <d v="2014-08-12T00:00:00"/>
    <n v="-103.19"/>
    <s v="X"/>
    <s v="Parts Express"/>
    <s v="Arduino kit"/>
    <s v="Shopping:Electronics &amp; Software"/>
    <m/>
    <m/>
    <m/>
    <x v="13"/>
    <x v="20"/>
    <m/>
    <m/>
    <m/>
    <m/>
    <s v="Aug"/>
    <n v="2014"/>
    <s v="Annual"/>
    <n v="0"/>
    <s v="No"/>
    <s v="None"/>
    <s v="Shopping|Electronics &amp; Software"/>
  </r>
  <r>
    <s v="MasterCard (Capital One)"/>
    <d v="2014-08-11T00:00:00"/>
    <n v="-37.72"/>
    <s v="X"/>
    <s v="Fred Meyer"/>
    <m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11T00:00:00"/>
    <n v="-50"/>
    <s v="X"/>
    <s v="National MS Society"/>
    <m/>
    <s v="Charity:Charity (Cash)"/>
    <m/>
    <m/>
    <m/>
    <x v="22"/>
    <x v="7"/>
    <m/>
    <m/>
    <m/>
    <m/>
    <s v="Aug"/>
    <n v="2014"/>
    <s v="Annual"/>
    <n v="0"/>
    <s v="No"/>
    <s v="None"/>
    <s v="Charity|Charity (Cash)"/>
  </r>
  <r>
    <s v="MasterCard (Capital One)"/>
    <d v="2014-08-11T00:00:00"/>
    <n v="-136"/>
    <s v="X"/>
    <s v="Seattle Parks And Recreation"/>
    <s v="Swimming lessons for Zach and Josh"/>
    <s v="Kids:Kids Activities"/>
    <m/>
    <m/>
    <m/>
    <x v="27"/>
    <x v="12"/>
    <m/>
    <m/>
    <m/>
    <m/>
    <s v="Aug"/>
    <n v="2014"/>
    <s v="Monthly"/>
    <n v="0"/>
    <s v="No"/>
    <s v="None"/>
    <s v="Kids|Kids Activities"/>
  </r>
  <r>
    <s v="First Tech - Checking (5544)"/>
    <d v="2014-08-10T00:00:00"/>
    <n v="100"/>
    <s v="X"/>
    <s v="EFI Rebate Processing"/>
    <s v="Rebate for purchase of washing machine"/>
    <s v="Projects:Appliances"/>
    <m/>
    <m/>
    <m/>
    <x v="39"/>
    <x v="36"/>
    <m/>
    <m/>
    <m/>
    <m/>
    <s v="Aug"/>
    <n v="2014"/>
    <s v="Unplanned"/>
    <n v="0"/>
    <s v="No"/>
    <s v="None"/>
    <s v="Projects|Appliances"/>
  </r>
  <r>
    <s v="Chase Freedom XX9381"/>
    <d v="2014-08-10T00:00:00"/>
    <n v="-36.78"/>
    <s v="X"/>
    <s v="Shell"/>
    <m/>
    <s v="Auto &amp; Transport:Gas &amp; Fuel"/>
    <m/>
    <m/>
    <m/>
    <x v="17"/>
    <x v="37"/>
    <m/>
    <m/>
    <m/>
    <m/>
    <s v="Aug"/>
    <n v="2014"/>
    <s v="Monthly"/>
    <n v="0"/>
    <s v="No"/>
    <s v="None"/>
    <s v="Auto &amp; Transport|Gas &amp; Fuel"/>
  </r>
  <r>
    <s v="MasterCard (Capital One)"/>
    <d v="2014-08-10T00:00:00"/>
    <n v="-20.420000000000002"/>
    <s v="X"/>
    <s v="Wendy's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First Tech - Checking (5544)"/>
    <d v="2014-08-08T00:00:00"/>
    <n v="-60.35"/>
    <s v="X"/>
    <s v="Target (Autopay)"/>
    <s v="ACH Debit--TARGET CARD SRVC 001 - AUTO PYMT"/>
    <s v="[Target Red Card]"/>
    <m/>
    <m/>
    <m/>
    <x v="12"/>
    <x v="0"/>
    <m/>
    <m/>
    <m/>
    <m/>
    <s v="Aug"/>
    <n v="2014"/>
    <s v="Account"/>
    <n v="0"/>
    <s v="No"/>
    <s v="None"/>
    <s v="[Target Red Card]"/>
  </r>
  <r>
    <s v="Chase Freedom XX9381"/>
    <d v="2014-08-08T00:00:00"/>
    <n v="-20.329999999999998"/>
    <s v="X"/>
    <s v="Amazon"/>
    <s v="Rechargeable batteries"/>
    <s v="Kids:Toys"/>
    <m/>
    <m/>
    <m/>
    <x v="27"/>
    <x v="14"/>
    <m/>
    <m/>
    <m/>
    <m/>
    <s v="Aug"/>
    <n v="2014"/>
    <s v="Monthly"/>
    <n v="0"/>
    <s v="No"/>
    <s v="None"/>
    <s v="Kids|Toys"/>
  </r>
  <r>
    <s v="Target Red Card"/>
    <d v="2014-08-08T00:00:00"/>
    <n v="60.35"/>
    <s v="X"/>
    <s v="Target (Autopay)"/>
    <s v="ACH Debit--TARGET CARD SRVC 001 - AUTO PYMT"/>
    <s v="[First Tech - Checking (5544)]"/>
    <m/>
    <m/>
    <m/>
    <x v="21"/>
    <x v="0"/>
    <m/>
    <m/>
    <m/>
    <m/>
    <s v="Aug"/>
    <n v="2014"/>
    <s v="Account"/>
    <n v="0"/>
    <s v="No"/>
    <s v="None"/>
    <s v="[First Tech - Checking (5544)]"/>
  </r>
  <r>
    <s v="MasterCard (Capital One)"/>
    <d v="2014-08-07T00:00:00"/>
    <n v="-7.65"/>
    <s v="X"/>
    <s v="Fred Meyer"/>
    <s v="Water gun"/>
    <s v="Kids:Toys/From Receipt"/>
    <m/>
    <s v="Split"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07T00:00:00"/>
    <n v="-43.79"/>
    <s v="X"/>
    <s v="Fred Meyer"/>
    <s v="Air pump"/>
    <s v="Shopping:Hobbies:Camping Equipment/From Receipt"/>
    <m/>
    <s v="Split"/>
    <s v="From Receipt"/>
    <x v="13"/>
    <x v="48"/>
    <s v="Camping Equipment"/>
    <m/>
    <m/>
    <m/>
    <s v="Aug"/>
    <n v="2014"/>
    <s v="Annual"/>
    <n v="0"/>
    <s v="No"/>
    <s v="None"/>
    <s v="Shopping|Hobbies"/>
  </r>
  <r>
    <s v="MasterCard (Capital One)"/>
    <d v="2014-08-07T00:00:00"/>
    <n v="-10.94"/>
    <s v="X"/>
    <s v="Fred Meyer"/>
    <s v="Batteries"/>
    <s v="Kids:Toys/From Receipt"/>
    <m/>
    <s v="Split"/>
    <s v="From Receipt"/>
    <x v="27"/>
    <x v="14"/>
    <m/>
    <m/>
    <m/>
    <m/>
    <s v="Aug"/>
    <n v="2014"/>
    <s v="Monthly"/>
    <n v="0"/>
    <s v="No"/>
    <s v="None"/>
    <s v="Kids|Toys"/>
  </r>
  <r>
    <s v="MasterCard (Capital One)"/>
    <d v="2014-08-07T00:00:00"/>
    <n v="-10.86"/>
    <s v="X"/>
    <s v="KFC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Schwab - Checking (9784)"/>
    <d v="2014-08-06T00:00:00"/>
    <n v="-40"/>
    <s v="X"/>
    <s v="First Tech 154th"/>
    <s v="Cash for lunches, etc."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06T00:00:00"/>
    <n v="-6"/>
    <s v="X"/>
    <s v="Fred Meyer"/>
    <s v="Mini biners and mantel"/>
    <s v="Shopping:Hobbies:Camping Equipment/From Receipt"/>
    <m/>
    <s v="Split"/>
    <s v="From Receipt"/>
    <x v="13"/>
    <x v="48"/>
    <s v="Camping Equipment"/>
    <m/>
    <m/>
    <m/>
    <s v="Aug"/>
    <n v="2014"/>
    <s v="Annual"/>
    <n v="0"/>
    <s v="No"/>
    <s v="None"/>
    <s v="Shopping|Hobbies"/>
  </r>
  <r>
    <s v="MasterCard (Capital One)"/>
    <d v="2014-08-06T00:00:00"/>
    <n v="-67.77"/>
    <s v="X"/>
    <s v="Fred Meyer"/>
    <m/>
    <s v="Food &amp; Dining:Groceries/From Receipt"/>
    <m/>
    <s v="Split"/>
    <s v="From Receipt"/>
    <x v="15"/>
    <x v="3"/>
    <m/>
    <m/>
    <m/>
    <m/>
    <s v="Aug"/>
    <n v="2014"/>
    <s v="Monthly"/>
    <n v="0"/>
    <s v="No"/>
    <s v="None"/>
    <s v="Food &amp; Dining|Groceries"/>
  </r>
  <r>
    <s v="First Tech - Checking (5544)"/>
    <d v="2014-08-05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Aug"/>
    <n v="2014"/>
    <s v="Monthly"/>
    <n v="0"/>
    <s v="No"/>
    <s v="None"/>
    <s v="Kids|American Funds 529A"/>
  </r>
  <r>
    <s v="First Tech - Checking (5544)"/>
    <d v="2014-08-05T00:00:00"/>
    <n v="-3864.19"/>
    <s v="X"/>
    <s v="Wells Fargo Home Mortgage"/>
    <s v="ACH Debit--WF HOME MTG ACH - AUTO PAY"/>
    <s v="Home:Mortgage"/>
    <m/>
    <m/>
    <m/>
    <x v="14"/>
    <x v="27"/>
    <m/>
    <m/>
    <m/>
    <m/>
    <s v="Aug"/>
    <n v="2014"/>
    <s v="Monthly"/>
    <n v="0"/>
    <s v="No"/>
    <s v="None"/>
    <s v="Home|Mortgage"/>
  </r>
  <r>
    <s v="First Tech - Checking (5544)"/>
    <d v="2014-08-05T00:00:00"/>
    <n v="-70"/>
    <s v="X"/>
    <s v="Patricia Anderson"/>
    <s v="Check--"/>
    <s v="Kids:Babysitter"/>
    <n v="2133"/>
    <m/>
    <m/>
    <x v="27"/>
    <x v="13"/>
    <m/>
    <m/>
    <m/>
    <m/>
    <s v="Aug"/>
    <n v="2014"/>
    <s v="Monthly"/>
    <n v="0"/>
    <s v="No"/>
    <s v="None"/>
    <s v="Kids|Babysitter"/>
  </r>
  <r>
    <s v="MasterCard (Capital One)"/>
    <d v="2014-08-05T00:00:00"/>
    <n v="25"/>
    <s v="X"/>
    <s v="Capital One (Cash Back)"/>
    <s v="2011: CREDIT-CASH BACK REWARD"/>
    <s v="Other Inc"/>
    <m/>
    <m/>
    <m/>
    <x v="29"/>
    <x v="0"/>
    <m/>
    <m/>
    <m/>
    <m/>
    <s v="Aug"/>
    <n v="2014"/>
    <s v="Monthly"/>
    <n v="0"/>
    <s v="No"/>
    <s v="None"/>
    <s v="Other Inc"/>
  </r>
  <r>
    <s v="MasterCard (Capital One)"/>
    <d v="2014-08-05T00:00:00"/>
    <n v="-14.22"/>
    <s v="X"/>
    <s v="Amazon"/>
    <s v="Camping lantern"/>
    <s v="Shopping:Hobbies:Camping Equipment/From Receipt"/>
    <m/>
    <m/>
    <s v="From Receipt"/>
    <x v="13"/>
    <x v="48"/>
    <s v="Camping Equipment"/>
    <m/>
    <m/>
    <m/>
    <s v="Aug"/>
    <n v="2014"/>
    <s v="Annual"/>
    <n v="0"/>
    <s v="No"/>
    <s v="None"/>
    <s v="Shopping|Hobbies"/>
  </r>
  <r>
    <s v="MasterCard (Capital One)"/>
    <d v="2014-08-05T00:00:00"/>
    <n v="-2.25"/>
    <s v="X"/>
    <s v="Park"/>
    <m/>
    <s v="Auto &amp; Transport:Parking"/>
    <m/>
    <m/>
    <m/>
    <x v="17"/>
    <x v="11"/>
    <m/>
    <m/>
    <m/>
    <m/>
    <s v="Aug"/>
    <n v="2014"/>
    <s v="Monthly"/>
    <n v="0"/>
    <s v="No"/>
    <s v="None"/>
    <s v="Auto &amp; Transport|Parking"/>
  </r>
  <r>
    <s v="MasterCard (Capital One)"/>
    <d v="2014-08-05T00:00:00"/>
    <n v="-29.09"/>
    <s v="X"/>
    <s v="Barrio"/>
    <m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First Tech - Checking (5544)"/>
    <d v="2014-08-04T00:00:00"/>
    <n v="632.09"/>
    <s v="X"/>
    <s v="Bryndel Swift"/>
    <s v="Deposit--Shared Branch Mobile Deposit          First Tech FC CA"/>
    <s v="Projects:Fence/7231"/>
    <m/>
    <m/>
    <n v="7231"/>
    <x v="39"/>
    <x v="55"/>
    <m/>
    <m/>
    <m/>
    <m/>
    <s v="Aug"/>
    <n v="2014"/>
    <s v="Unplanned"/>
    <n v="0"/>
    <s v="No"/>
    <s v="None"/>
    <s v="Projects|Fence"/>
  </r>
  <r>
    <s v="First Tech - Checking (5544)"/>
    <d v="2014-08-04T00:00:00"/>
    <n v="1000"/>
    <s v="X"/>
    <s v="Fred Hutchinson"/>
    <s v="Compensation for Angela participating in round table"/>
    <s v="Other Inc"/>
    <m/>
    <m/>
    <m/>
    <x v="29"/>
    <x v="0"/>
    <m/>
    <m/>
    <m/>
    <m/>
    <s v="Aug"/>
    <n v="2014"/>
    <s v="Monthly"/>
    <n v="0"/>
    <s v="No"/>
    <s v="None"/>
    <s v="Other Inc"/>
  </r>
  <r>
    <s v="First Tech - Checking (5544)"/>
    <d v="2014-08-04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Aug"/>
    <n v="2014"/>
    <s v="Monthly"/>
    <n v="0"/>
    <s v="No"/>
    <s v="None"/>
    <s v="Business Expenses (Koolikai)|Mortgage (Business)"/>
  </r>
  <r>
    <s v="First Tech - Checking (5544)"/>
    <d v="2014-08-04T00:00:00"/>
    <n v="-2837.01"/>
    <s v="X"/>
    <s v="Capital One (Autopay)"/>
    <s v="ACH Debit--CAPITAL ONE  - CRCARDPMT"/>
    <s v="[MasterCard (Capital One)]"/>
    <m/>
    <m/>
    <m/>
    <x v="38"/>
    <x v="0"/>
    <m/>
    <m/>
    <m/>
    <m/>
    <s v="Aug"/>
    <n v="2014"/>
    <s v="Account"/>
    <n v="0"/>
    <s v="No"/>
    <s v="None"/>
    <s v="[MasterCard (Capital One)]"/>
  </r>
  <r>
    <s v="First Tech - Checking (5544)"/>
    <d v="2014-08-04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Aug"/>
    <n v="2014"/>
    <s v="Monthly"/>
    <n v="0"/>
    <s v="No"/>
    <s v="None"/>
    <s v="Business Expenses (Koolikai)|Mortgage (Business)"/>
  </r>
  <r>
    <s v="Koolikai - Checking XX2129"/>
    <d v="2014-08-04T00:00:00"/>
    <n v="2295"/>
    <s v="X"/>
    <s v="Aaron Ausland"/>
    <s v="Deposit--Shared Branch Mobile Deposit          First Tech FC CA"/>
    <s v="Business Income (Koolikai):Rent/7231:From Receipt"/>
    <m/>
    <m/>
    <s v="7231:From Receipt"/>
    <x v="37"/>
    <x v="25"/>
    <m/>
    <m/>
    <m/>
    <m/>
    <s v="Aug"/>
    <n v="2014"/>
    <s v="Monthly"/>
    <n v="0"/>
    <s v="No"/>
    <s v="None"/>
    <s v="Business Income (Koolikai)|Rent"/>
  </r>
  <r>
    <s v="MasterCard (Capital One)"/>
    <d v="2014-08-04T00:00:00"/>
    <n v="-23.9"/>
    <s v="X"/>
    <s v="Amazon"/>
    <s v="Camping toaster and griddle"/>
    <s v="Shopping:Hobbies:Camping Equipment/From Receipt"/>
    <m/>
    <m/>
    <s v="From Receipt"/>
    <x v="13"/>
    <x v="48"/>
    <s v="Camping Equipment"/>
    <m/>
    <m/>
    <m/>
    <s v="Aug"/>
    <n v="2014"/>
    <s v="Annual"/>
    <n v="0"/>
    <s v="No"/>
    <s v="None"/>
    <s v="Shopping|Hobbies"/>
  </r>
  <r>
    <s v="MasterCard (Capital One)"/>
    <d v="2014-08-04T00:00:00"/>
    <n v="-32.85"/>
    <s v="X"/>
    <s v="Groundspeak Membership Groundspeak"/>
    <s v="2011: Groundspeak Membership 866-436-2224 WA 98103 USA"/>
    <s v="Shopping:Hobbies"/>
    <m/>
    <m/>
    <m/>
    <x v="13"/>
    <x v="48"/>
    <m/>
    <m/>
    <m/>
    <m/>
    <s v="Aug"/>
    <n v="2014"/>
    <s v="Annual"/>
    <n v="0"/>
    <s v="No"/>
    <s v="None"/>
    <s v="Shopping|Hobbies"/>
  </r>
  <r>
    <s v="Chase Freedom XX9381"/>
    <d v="2014-08-03T00:00:00"/>
    <n v="-249.21"/>
    <s v="X"/>
    <s v="Amazon"/>
    <s v="Smoke detectors"/>
    <s v="Home:Home Improvement"/>
    <m/>
    <m/>
    <m/>
    <x v="14"/>
    <x v="19"/>
    <m/>
    <m/>
    <m/>
    <m/>
    <s v="Aug"/>
    <n v="2014"/>
    <s v="Irregular"/>
    <n v="0"/>
    <s v="No"/>
    <s v="None"/>
    <s v="Home|Home Improvement"/>
  </r>
  <r>
    <s v="MasterCard (Capital One)"/>
    <d v="2014-08-03T00:00:00"/>
    <n v="-8.75"/>
    <s v="X"/>
    <s v="Netflix"/>
    <s v="2011: NETFLIX.COM NETFLIX.COM CA 95032 USA"/>
    <s v="Entertainment:Movies &amp; DVDs"/>
    <m/>
    <m/>
    <m/>
    <x v="30"/>
    <x v="43"/>
    <m/>
    <m/>
    <m/>
    <m/>
    <s v="Aug"/>
    <n v="2014"/>
    <s v="Unplanned"/>
    <n v="0"/>
    <s v="No"/>
    <s v="None"/>
    <s v="Entertainment|Movies &amp; DVDs"/>
  </r>
  <r>
    <s v="MasterCard (Capital One)"/>
    <d v="2014-08-03T00:00:00"/>
    <n v="-12.97"/>
    <s v="X"/>
    <s v="Taco Del Mar"/>
    <s v="2011: TACO DEL MAR GREENWOOD SEATTLE WA 98103 USA"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03T00:00:00"/>
    <n v="-37.04"/>
    <s v="X"/>
    <s v="Trader Joe's"/>
    <s v="2011: TRADER JOE'S #147 QPS SEATTLE WA 98107 USA"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03T00:00:00"/>
    <n v="-78.959999999999994"/>
    <s v="X"/>
    <s v="Fred Meyer"/>
    <s v="@BAL:2459.96@@CAT:@"/>
    <s v="Food &amp; Dining:Groceries/From Receipt"/>
    <m/>
    <m/>
    <s v="From Receipt"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02T00:00:00"/>
    <n v="-0.6"/>
    <s v="X"/>
    <s v="Seattle Park Seattle"/>
    <s v="2011: SEATTLE 684-PARK SEATTLE WA 98104 USA"/>
    <s v="Auto &amp; Transport:Parking"/>
    <m/>
    <m/>
    <m/>
    <x v="17"/>
    <x v="11"/>
    <m/>
    <m/>
    <m/>
    <m/>
    <s v="Aug"/>
    <n v="2014"/>
    <s v="Monthly"/>
    <n v="0"/>
    <s v="No"/>
    <s v="None"/>
    <s v="Auto &amp; Transport|Parking"/>
  </r>
  <r>
    <s v="MasterCard (Capital One)"/>
    <d v="2014-08-02T00:00:00"/>
    <n v="-8.15"/>
    <s v="X"/>
    <s v="J Aime Les Crepes"/>
    <s v="2011: J'AIME LES CREPES KINGSTON WA 98346 USA"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MasterCard (Capital One)"/>
    <d v="2014-08-02T00:00:00"/>
    <n v="-16"/>
    <s v="X"/>
    <s v="Wsferries Ed Seattle"/>
    <s v="2011: WSFERRIES-ED 888087971 SEATTLE WA 98121 USA"/>
    <s v="Kids:Kids Activities"/>
    <m/>
    <m/>
    <m/>
    <x v="27"/>
    <x v="12"/>
    <m/>
    <m/>
    <m/>
    <m/>
    <s v="Aug"/>
    <n v="2014"/>
    <s v="Monthly"/>
    <n v="0"/>
    <s v="No"/>
    <s v="None"/>
    <s v="Kids|Kids Activities"/>
  </r>
  <r>
    <s v="MasterCard (Capital One)"/>
    <d v="2014-08-02T00:00:00"/>
    <n v="-20"/>
    <s v="X"/>
    <s v="Ken's Market"/>
    <s v="2011: KEN'S MARKET #75-116 SEATTLE WA 98103 USA"/>
    <s v="Food &amp; Dining:Groceries"/>
    <m/>
    <m/>
    <m/>
    <x v="15"/>
    <x v="3"/>
    <m/>
    <m/>
    <m/>
    <m/>
    <s v="Aug"/>
    <n v="2014"/>
    <s v="Monthly"/>
    <n v="0"/>
    <s v="No"/>
    <s v="None"/>
    <s v="Food &amp; Dining|Groceries"/>
  </r>
  <r>
    <s v="MasterCard (Capital One)"/>
    <d v="2014-08-02T00:00:00"/>
    <n v="-20.98"/>
    <s v="X"/>
    <s v="Comcast"/>
    <s v="2011: COMCAST CABLE COMM 800-COMCAST WA 98087 USA"/>
    <s v="Bills &amp; Utilities:Television"/>
    <m/>
    <s v="Split"/>
    <m/>
    <x v="34"/>
    <x v="32"/>
    <m/>
    <m/>
    <m/>
    <m/>
    <s v="Aug"/>
    <n v="2014"/>
    <s v="Monthly"/>
    <n v="0"/>
    <s v="No"/>
    <s v="None"/>
    <s v="Bills &amp; Utilities|Television"/>
  </r>
  <r>
    <s v="MasterCard (Capital One)"/>
    <d v="2014-08-02T00:00:00"/>
    <n v="-66.53"/>
    <s v="X"/>
    <s v="Comcast"/>
    <m/>
    <s v="Business Expenses (Koolikai):Internet"/>
    <m/>
    <s v="Split"/>
    <m/>
    <x v="36"/>
    <x v="33"/>
    <m/>
    <m/>
    <m/>
    <m/>
    <s v="Aug"/>
    <n v="2014"/>
    <s v="Monthly"/>
    <n v="0"/>
    <s v="No"/>
    <s v="None"/>
    <s v="Business Expenses (Koolikai)|Internet"/>
  </r>
  <r>
    <s v="MasterCard (Capital One)"/>
    <d v="2014-08-02T00:00:00"/>
    <n v="-44.54"/>
    <s v="X"/>
    <s v="Comcast"/>
    <m/>
    <s v="Bills &amp; Utilities:Home Phone"/>
    <m/>
    <s v="Split"/>
    <m/>
    <x v="34"/>
    <x v="34"/>
    <m/>
    <m/>
    <m/>
    <m/>
    <s v="Aug"/>
    <n v="2014"/>
    <s v="Monthly"/>
    <n v="0"/>
    <s v="No"/>
    <s v="None"/>
    <s v="Bills &amp; Utilities|Home Phone"/>
  </r>
  <r>
    <s v="MasterCard (Capital One)"/>
    <d v="2014-08-02T00:00:00"/>
    <n v="-149.38"/>
    <s v="X"/>
    <s v="Volterra"/>
    <s v="2011: VOLTERRA SEATTLE WA 98107 USA"/>
    <s v="Food &amp; Dining:Restaurants"/>
    <m/>
    <m/>
    <m/>
    <x v="15"/>
    <x v="15"/>
    <m/>
    <m/>
    <m/>
    <m/>
    <s v="Aug"/>
    <n v="2014"/>
    <s v="Monthly"/>
    <n v="0"/>
    <s v="No"/>
    <s v="None"/>
    <s v="Food &amp; Dining|Restaurants"/>
  </r>
  <r>
    <s v="First Tech - Checking (5544)"/>
    <d v="2014-08-01T00:00:00"/>
    <n v="-1976"/>
    <s v="X"/>
    <s v="Phinney Ridge Lu 504759859 - Con"/>
    <s v="ACH Debit--PHINNEY RIDGE LU 504759859 - CONTRIBUTN"/>
    <s v="Kids:Daycare"/>
    <m/>
    <m/>
    <m/>
    <x v="27"/>
    <x v="35"/>
    <m/>
    <m/>
    <m/>
    <m/>
    <s v="Aug"/>
    <n v="2014"/>
    <s v="Monthly"/>
    <n v="0"/>
    <s v="No"/>
    <s v="None"/>
    <s v="Kids|Daycare"/>
  </r>
  <r>
    <s v="MasterCard (Capital One)"/>
    <d v="2014-08-01T00:00:00"/>
    <n v="2837.01"/>
    <s v="X"/>
    <s v="Capital One (Autopay)"/>
    <s v="2011: CAPITAL ONE AUTOPAY PYMT AuthDate 06-JUL"/>
    <s v="[First Tech - Checking (5544)]"/>
    <m/>
    <m/>
    <m/>
    <x v="21"/>
    <x v="0"/>
    <m/>
    <m/>
    <m/>
    <m/>
    <s v="Aug"/>
    <n v="2014"/>
    <s v="Account"/>
    <n v="0"/>
    <s v="No"/>
    <s v="None"/>
    <s v="[First Tech - Checking (5544)]"/>
  </r>
  <r>
    <s v="Capital One - Investment (6759)"/>
    <d v="2014-07-31T00:00:00"/>
    <n v="20.04"/>
    <s v="X"/>
    <s v="Capital One (Interest Income)"/>
    <s v="@CAT:@"/>
    <s v="Interest Income"/>
    <s v="INT"/>
    <m/>
    <m/>
    <x v="40"/>
    <x v="0"/>
    <m/>
    <m/>
    <m/>
    <m/>
    <s v="Jul"/>
    <n v="2014"/>
    <s v="Monthly"/>
    <n v="0"/>
    <s v="No"/>
    <s v="None"/>
    <s v="Interest Income"/>
  </r>
  <r>
    <s v="Capital One - Long Term Emergency (1201)"/>
    <d v="2014-07-31T00:00:00"/>
    <n v="50.3"/>
    <s v="X"/>
    <s v="Capital One (Interest Income)"/>
    <m/>
    <s v="Interest Income"/>
    <s v="INT"/>
    <m/>
    <m/>
    <x v="40"/>
    <x v="0"/>
    <m/>
    <m/>
    <m/>
    <m/>
    <s v="Jul"/>
    <n v="2014"/>
    <s v="Monthly"/>
    <n v="0"/>
    <s v="No"/>
    <s v="None"/>
    <s v="Interest Income"/>
  </r>
  <r>
    <s v="Capital One - Secondary Savings (3126)"/>
    <d v="2014-07-31T00:00:00"/>
    <n v="0.02"/>
    <s v="X"/>
    <s v="Capital One (Interest Income)"/>
    <m/>
    <s v="Interest Income"/>
    <s v="INT"/>
    <m/>
    <m/>
    <x v="40"/>
    <x v="0"/>
    <m/>
    <m/>
    <m/>
    <m/>
    <s v="Jul"/>
    <n v="2014"/>
    <s v="Monthly"/>
    <n v="0"/>
    <s v="No"/>
    <s v="None"/>
    <s v="Interest Income"/>
  </r>
  <r>
    <s v="Capital One - Vacation (4959)"/>
    <d v="2014-07-31T00:00:00"/>
    <n v="2.13"/>
    <s v="X"/>
    <s v="Capital One (Interest Income)"/>
    <m/>
    <s v="Interest Income"/>
    <s v="INT"/>
    <m/>
    <m/>
    <x v="40"/>
    <x v="0"/>
    <m/>
    <m/>
    <m/>
    <m/>
    <s v="Jul"/>
    <n v="2014"/>
    <s v="Monthly"/>
    <n v="0"/>
    <s v="No"/>
    <s v="None"/>
    <s v="Interest Income"/>
  </r>
  <r>
    <s v="Koolikai - Checking XX2129"/>
    <d v="2014-07-31T00:00:00"/>
    <n v="2195"/>
    <s v="X"/>
    <s v="John Schaibley"/>
    <s v="Deposit--Shared Branch Mobile Deposit          First Tech FC CA"/>
    <s v="Business Income (Koolikai):Rent/9602:From Receipt"/>
    <m/>
    <m/>
    <s v="9602:From Receipt"/>
    <x v="37"/>
    <x v="25"/>
    <m/>
    <m/>
    <m/>
    <m/>
    <s v="Jul"/>
    <n v="2014"/>
    <s v="Monthly"/>
    <n v="0"/>
    <s v="No"/>
    <s v="None"/>
    <s v="Business Income (Koolikai)|Rent"/>
  </r>
  <r>
    <s v="Koolikai - Sec Dep XX1200"/>
    <d v="2014-07-31T00:00:00"/>
    <n v="0.19"/>
    <s v="X"/>
    <s v="First Tech (Dividend)"/>
    <s v="Credit Dividend--"/>
    <s v="Interest Income"/>
    <m/>
    <m/>
    <m/>
    <x v="40"/>
    <x v="0"/>
    <m/>
    <m/>
    <m/>
    <m/>
    <s v="Jul"/>
    <n v="2014"/>
    <s v="Monthly"/>
    <n v="0"/>
    <s v="No"/>
    <s v="None"/>
    <s v="Interest Income"/>
  </r>
  <r>
    <s v="Schwab - Checking (9784)"/>
    <d v="2014-07-31T00:00:00"/>
    <n v="7.0000000000000007E-2"/>
    <s v="X"/>
    <s v="Interest Paid"/>
    <m/>
    <s v="Interest Income"/>
    <m/>
    <m/>
    <m/>
    <x v="40"/>
    <x v="0"/>
    <m/>
    <m/>
    <m/>
    <m/>
    <s v="Jul"/>
    <n v="2014"/>
    <s v="Monthly"/>
    <n v="0"/>
    <s v="No"/>
    <s v="None"/>
    <s v="Interest Income"/>
  </r>
  <r>
    <s v="Schwab - Checking (9784)"/>
    <d v="2014-07-31T00:00:00"/>
    <n v="5"/>
    <s v="X"/>
    <s v="ATM Fee Refund"/>
    <m/>
    <s v="Bank Fees &amp; Charges:ATM Fee"/>
    <m/>
    <m/>
    <m/>
    <x v="32"/>
    <x v="17"/>
    <m/>
    <m/>
    <m/>
    <m/>
    <s v="Jul"/>
    <n v="2014"/>
    <s v="Monthly"/>
    <n v="0"/>
    <s v="No"/>
    <s v="None"/>
    <s v="Bank Fees &amp; Charges|ATM Fee"/>
  </r>
  <r>
    <s v="American Express (Costco)"/>
    <d v="2014-07-31T00:00:00"/>
    <n v="-26.27"/>
    <s v="X"/>
    <s v="Costco"/>
    <s v="Matress inflator"/>
    <s v="Shopping:Hobbies:Camping Equipment"/>
    <m/>
    <s v="Split"/>
    <m/>
    <x v="13"/>
    <x v="48"/>
    <s v="Camping Equipment"/>
    <m/>
    <m/>
    <m/>
    <s v="Jul"/>
    <n v="2014"/>
    <s v="Annual"/>
    <n v="0"/>
    <s v="No"/>
    <s v="None"/>
    <s v="Shopping|Hobbies"/>
  </r>
  <r>
    <s v="American Express (Costco)"/>
    <d v="2014-07-31T00:00:00"/>
    <n v="-61.9"/>
    <s v="X"/>
    <s v="Costco"/>
    <m/>
    <s v="Food &amp; Dining:Groceries"/>
    <m/>
    <s v="Split"/>
    <m/>
    <x v="15"/>
    <x v="3"/>
    <m/>
    <m/>
    <m/>
    <m/>
    <s v="Jul"/>
    <n v="2014"/>
    <s v="Monthly"/>
    <n v="0"/>
    <s v="No"/>
    <s v="None"/>
    <s v="Food &amp; Dining|Groceries"/>
  </r>
  <r>
    <s v="Chase Freedom XX9381"/>
    <d v="2014-07-31T00:00:00"/>
    <n v="-35.520000000000003"/>
    <s v="X"/>
    <s v="Blinds.Com"/>
    <s v="Repair materials for blinds"/>
    <s v="Home:Home Improvement"/>
    <m/>
    <m/>
    <m/>
    <x v="14"/>
    <x v="19"/>
    <m/>
    <m/>
    <m/>
    <m/>
    <s v="Jul"/>
    <n v="2014"/>
    <s v="Irregular"/>
    <n v="0"/>
    <s v="No"/>
    <s v="None"/>
    <s v="Home|Home Improvement"/>
  </r>
  <r>
    <s v="First Tech - Checking (5544)"/>
    <d v="2014-07-30T00:00:00"/>
    <n v="3159.33"/>
    <s v="X"/>
    <s v="Microsoft (Paystub)"/>
    <s v="ACH Deposit--MICROSOFT  - EDIPAYMENT"/>
    <s v="Net Salary"/>
    <m/>
    <m/>
    <m/>
    <x v="35"/>
    <x v="0"/>
    <m/>
    <m/>
    <m/>
    <m/>
    <s v="Jul"/>
    <n v="2014"/>
    <s v="Monthly"/>
    <n v="0"/>
    <s v="No"/>
    <s v="None"/>
    <s v="Net Salary"/>
  </r>
  <r>
    <s v="First Tech - Checking (5544)"/>
    <d v="2014-07-30T00:00:00"/>
    <n v="6058.12"/>
    <s v="X"/>
    <s v="CRAB (Paystub)"/>
    <s v="@CAT:@;@BAL:36,949.10@"/>
    <s v="Net Salary"/>
    <m/>
    <m/>
    <m/>
    <x v="35"/>
    <x v="0"/>
    <m/>
    <m/>
    <m/>
    <m/>
    <s v="Jul"/>
    <n v="2014"/>
    <s v="Monthly"/>
    <n v="0"/>
    <s v="No"/>
    <s v="None"/>
    <s v="Net Salary"/>
  </r>
  <r>
    <s v="MasterCard (Capital One)"/>
    <d v="2014-07-30T00:00:00"/>
    <n v="-1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30T00:00:00"/>
    <n v="-21.9"/>
    <s v="X"/>
    <s v="Fred Meyer"/>
    <m/>
    <s v="Kids:Clothing/From Receipt"/>
    <m/>
    <s v="Split"/>
    <s v="From Receipt"/>
    <x v="27"/>
    <x v="1"/>
    <m/>
    <m/>
    <m/>
    <m/>
    <s v="Jul"/>
    <n v="2014"/>
    <s v="Monthly"/>
    <n v="0"/>
    <s v="No"/>
    <s v="None"/>
    <s v="Kids|Clothing"/>
  </r>
  <r>
    <s v="First Tech - Checking (5544)"/>
    <d v="2014-07-28T00:00:00"/>
    <n v="-115"/>
    <s v="X"/>
    <s v="Cleaning Authority, The"/>
    <s v="ACH Debit--THE CLEANING AUT  - ONLINE PMT"/>
    <s v="Home:Home Services"/>
    <m/>
    <m/>
    <m/>
    <x v="14"/>
    <x v="46"/>
    <m/>
    <m/>
    <m/>
    <m/>
    <s v="Jul"/>
    <n v="2014"/>
    <s v="Monthly"/>
    <n v="0"/>
    <s v="No"/>
    <s v="None"/>
    <s v="Home|Home Services"/>
  </r>
  <r>
    <s v="First Tech - Checking (5544)"/>
    <d v="2014-07-28T00:00:00"/>
    <n v="-968.25"/>
    <s v="X"/>
    <s v="Chase  - Autopay"/>
    <s v="ACH Debit--CHASE  - AUTOPAY"/>
    <s v="[Chase Freedom XX9381]"/>
    <m/>
    <m/>
    <m/>
    <x v="7"/>
    <x v="0"/>
    <m/>
    <m/>
    <m/>
    <m/>
    <s v="Jul"/>
    <n v="2014"/>
    <e v="#N/A"/>
    <e v="#N/A"/>
    <e v="#N/A"/>
    <e v="#N/A"/>
    <s v="[Chase Freedom XX9381]"/>
  </r>
  <r>
    <s v="Chase Freedom XX9381"/>
    <d v="2014-07-28T00:00:00"/>
    <n v="-20"/>
    <s v="X"/>
    <s v="Safeway"/>
    <m/>
    <s v="Food &amp; Dining:Groceries"/>
    <m/>
    <m/>
    <m/>
    <x v="15"/>
    <x v="3"/>
    <m/>
    <m/>
    <m/>
    <m/>
    <s v="Jul"/>
    <n v="2014"/>
    <s v="Monthly"/>
    <n v="0"/>
    <s v="No"/>
    <s v="None"/>
    <s v="Food &amp; Dining|Groceries"/>
  </r>
  <r>
    <s v="Chase Freedom XX9381"/>
    <d v="2014-07-28T00:00:00"/>
    <n v="-47.4"/>
    <s v="X"/>
    <s v="Safeway"/>
    <s v="#Deception Pass 2014#"/>
    <s v="Vacation:Food/From Receipt"/>
    <m/>
    <m/>
    <s v="From Receipt"/>
    <x v="23"/>
    <x v="8"/>
    <m/>
    <m/>
    <s v="Deception Pass 2014"/>
    <m/>
    <s v="Jul"/>
    <n v="2014"/>
    <s v="Irregular"/>
    <n v="0"/>
    <s v="No"/>
    <s v="None"/>
    <s v="Vacation|Food"/>
  </r>
  <r>
    <s v="MasterCard (Capital One)"/>
    <d v="2014-07-28T00:00:00"/>
    <n v="-53.65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28T00:00:00"/>
    <n v="-9.84"/>
    <s v="X"/>
    <s v="Fred Meyer"/>
    <s v="Camping fuel #Kalaloch 2014#"/>
    <s v="Vacation:Food/From Receipt"/>
    <m/>
    <s v="Split"/>
    <s v="From Receipt"/>
    <x v="23"/>
    <x v="8"/>
    <m/>
    <m/>
    <s v="Kalaloch 2014"/>
    <m/>
    <s v="Jul"/>
    <n v="2014"/>
    <s v="Irregular"/>
    <n v="0"/>
    <s v="No"/>
    <s v="None"/>
    <s v="Vacation|Food"/>
  </r>
  <r>
    <s v="Capital One - Long Term Emergency (1201)"/>
    <d v="2014-07-25T00:00:00"/>
    <n v="14.75"/>
    <s v="X"/>
    <s v="Quarterly Bonus Int"/>
    <m/>
    <s v="Interest Income"/>
    <m/>
    <m/>
    <m/>
    <x v="40"/>
    <x v="0"/>
    <m/>
    <m/>
    <m/>
    <m/>
    <s v="Jul"/>
    <n v="2014"/>
    <s v="Monthly"/>
    <n v="0"/>
    <s v="No"/>
    <s v="None"/>
    <s v="Interest Income"/>
  </r>
  <r>
    <s v="Chase Freedom XX9381"/>
    <d v="2014-07-25T00:00:00"/>
    <n v="968.25"/>
    <s v="X"/>
    <s v="Chase Autopay (Freedom)"/>
    <m/>
    <s v="[First Tech - Checking (5544)]"/>
    <m/>
    <m/>
    <m/>
    <x v="21"/>
    <x v="0"/>
    <m/>
    <m/>
    <m/>
    <m/>
    <s v="Jul"/>
    <n v="2014"/>
    <s v="Account"/>
    <n v="0"/>
    <s v="No"/>
    <s v="None"/>
    <s v="[First Tech - Checking (5544)]"/>
  </r>
  <r>
    <s v="First Tech - Checking (5544)"/>
    <d v="2014-07-24T00:00:00"/>
    <n v="16.41"/>
    <s v="X"/>
    <s v="Stay Fit Credit"/>
    <s v="#Stay Fit# ACH Deposit--STAY FIT MICROSO 304254681"/>
    <s v="Health &amp; Fitness:Sports"/>
    <m/>
    <m/>
    <m/>
    <x v="18"/>
    <x v="23"/>
    <m/>
    <m/>
    <s v="Stay Fit"/>
    <m/>
    <s v="Jul"/>
    <n v="2014"/>
    <s v="Irregular"/>
    <n v="0"/>
    <s v="No"/>
    <s v="None"/>
    <s v="Health &amp; Fitness|Sports"/>
  </r>
  <r>
    <s v="Koolikai - Checking XX2129"/>
    <d v="2014-07-24T00:00:00"/>
    <n v="-231.67"/>
    <s v="X"/>
    <s v="Chase - Koolikai (Autopay)"/>
    <s v="ACH Debit--CHASE  - AUTOPAYBUS"/>
    <s v="[Koolikai Credit Card]"/>
    <m/>
    <m/>
    <m/>
    <x v="9"/>
    <x v="0"/>
    <m/>
    <m/>
    <m/>
    <m/>
    <s v="Jul"/>
    <n v="2014"/>
    <s v="Account"/>
    <n v="0"/>
    <s v="No"/>
    <s v="None"/>
    <s v="[Koolikai Credit Card]"/>
  </r>
  <r>
    <s v="MasterCard (Capital One)"/>
    <d v="2014-07-24T00:00:00"/>
    <n v="-122.1"/>
    <s v="X"/>
    <s v="Fred Meyer"/>
    <s v="2011: FRED-MEYER #0122 SEATTLE WA 98117 USA"/>
    <s v="Food &amp; Dining:Groceries"/>
    <m/>
    <s v="Split"/>
    <m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24T00:00:00"/>
    <n v="-5.46"/>
    <s v="X"/>
    <s v="Fred Meyer"/>
    <s v="Glow sticks"/>
    <s v="Kids:Toys/From Receipt"/>
    <m/>
    <s v="Split"/>
    <s v="From Receipt"/>
    <x v="27"/>
    <x v="14"/>
    <m/>
    <m/>
    <m/>
    <m/>
    <s v="Jul"/>
    <n v="2014"/>
    <s v="Monthly"/>
    <n v="0"/>
    <s v="No"/>
    <s v="None"/>
    <s v="Kids|Toys"/>
  </r>
  <r>
    <s v="First Tech - Checking (5544)"/>
    <d v="2014-07-23T00:00:00"/>
    <n v="-75.19"/>
    <s v="X"/>
    <s v="American Express (Autopay)"/>
    <s v="ACH Debit--AMEX EPayment AM - ACH PMT"/>
    <s v="[American Express (Costco)]"/>
    <m/>
    <m/>
    <m/>
    <x v="20"/>
    <x v="0"/>
    <m/>
    <m/>
    <m/>
    <m/>
    <s v="Jul"/>
    <n v="2014"/>
    <s v="Account"/>
    <n v="0"/>
    <s v="No"/>
    <s v="None"/>
    <s v="[American Express (Costco)]"/>
  </r>
  <r>
    <s v="First Tech - Checking (5544)"/>
    <d v="2014-07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Jul"/>
    <n v="2014"/>
    <s v="Monthly"/>
    <n v="0"/>
    <s v="No"/>
    <s v="None"/>
    <s v="Auto &amp; Transport|Auto Lease Payment"/>
  </r>
  <r>
    <s v="American Express (Costco)"/>
    <d v="2014-07-23T00:00:00"/>
    <n v="75.19"/>
    <s v="X"/>
    <s v="American Express (Autopay)"/>
    <s v="ACH Debit--AMEX EPayment AM - ACH PMT"/>
    <s v="[First Tech - Checking (5544)]"/>
    <m/>
    <m/>
    <m/>
    <x v="21"/>
    <x v="0"/>
    <m/>
    <m/>
    <m/>
    <m/>
    <s v="Jul"/>
    <n v="2014"/>
    <s v="Account"/>
    <n v="0"/>
    <s v="No"/>
    <s v="None"/>
    <s v="[First Tech - Checking (5544)]"/>
  </r>
  <r>
    <s v="Koolikai Credit Card"/>
    <d v="2014-07-23T00:00:00"/>
    <n v="231.67"/>
    <s v="X"/>
    <s v="Chase - Koolikai (Autopay)"/>
    <m/>
    <s v="[Koolikai - Checking XX2129]"/>
    <m/>
    <m/>
    <m/>
    <x v="25"/>
    <x v="0"/>
    <m/>
    <m/>
    <m/>
    <m/>
    <s v="Jul"/>
    <n v="2014"/>
    <s v="Account"/>
    <n v="0"/>
    <s v="No"/>
    <s v="None"/>
    <s v="[Koolikai - Checking XX2129]"/>
  </r>
  <r>
    <s v="Schwab - Checking (9784)"/>
    <d v="2014-07-22T00:00:00"/>
    <n v="-26.66"/>
    <s v="X"/>
    <s v="Fred Meyer"/>
    <m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Schwab - Checking (9784)"/>
    <d v="2014-07-22T00:00:00"/>
    <n v="-20"/>
    <s v="X"/>
    <s v="Fred Meyer"/>
    <s v="Cash back"/>
    <s v="Food &amp; Dining:Restaurants/From Receipt"/>
    <m/>
    <s v="Split"/>
    <s v="From Receipt"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20T00:00:00"/>
    <n v="-11.83"/>
    <s v="X"/>
    <s v="Pie Seattle Center"/>
    <s v="2011: PIE - SEATTLE CENTER SEATTLE WA 98109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20T00:00:00"/>
    <n v="-12"/>
    <s v="X"/>
    <s v="Children's Museum"/>
    <s v="2011: THE CHILDRENS MUSEUM S 206-4411768 WA 981094623 USA"/>
    <s v="Kids:Kids Activities"/>
    <m/>
    <m/>
    <m/>
    <x v="27"/>
    <x v="12"/>
    <m/>
    <m/>
    <m/>
    <m/>
    <s v="Jul"/>
    <n v="2014"/>
    <s v="Monthly"/>
    <n v="0"/>
    <s v="No"/>
    <s v="None"/>
    <s v="Kids|Kids Activities"/>
  </r>
  <r>
    <s v="MasterCard (Capital One)"/>
    <d v="2014-07-20T00:00:00"/>
    <n v="-18.23"/>
    <s v="X"/>
    <s v="Mod Superfast Pizza"/>
    <s v="2011: MOD SUPERFAST PIZZA - SEATTLE WA 98109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9T00:00:00"/>
    <n v="-31.68"/>
    <s v="X"/>
    <s v="Home Depot"/>
    <s v="Smoke alarm, tape measures, hole cover"/>
    <s v="Business Expenses (Koolikai):Office Expenses (Business)/From Receipt"/>
    <m/>
    <m/>
    <s v="From Receipt"/>
    <x v="36"/>
    <x v="42"/>
    <m/>
    <m/>
    <m/>
    <m/>
    <s v="Jul"/>
    <n v="2014"/>
    <s v="Monthly"/>
    <n v="0"/>
    <s v="No"/>
    <s v="None"/>
    <s v="Business Expenses (Koolikai)|Office Expenses (Business)"/>
  </r>
  <r>
    <s v="MasterCard (Capital One)"/>
    <d v="2014-07-19T00:00:00"/>
    <n v="-50.03"/>
    <s v="X"/>
    <s v="Lucianos Pizza &amp; Pasta"/>
    <s v="2011: LUCIANOS PIZZA AND PAS SEATTLE WA 98116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9T00:00:00"/>
    <n v="-2.6"/>
    <s v="X"/>
    <s v="Fred Meyer"/>
    <s v="Drawing pad and notebooks"/>
    <s v="Kids:Toys/From Receipt"/>
    <m/>
    <s v="Split"/>
    <s v="From Receipt"/>
    <x v="27"/>
    <x v="14"/>
    <m/>
    <m/>
    <m/>
    <m/>
    <s v="Jul"/>
    <n v="2014"/>
    <s v="Monthly"/>
    <n v="0"/>
    <s v="No"/>
    <s v="None"/>
    <s v="Kids|Toys"/>
  </r>
  <r>
    <s v="MasterCard (Capital One)"/>
    <d v="2014-07-19T00:00:00"/>
    <n v="-70.73"/>
    <s v="X"/>
    <s v="Fred Meyer"/>
    <m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18T00:00:00"/>
    <n v="-6.56"/>
    <s v="X"/>
    <s v="Greenwood Hardware"/>
    <s v="Sprinkler"/>
    <s v="Projects:Landscaping"/>
    <m/>
    <m/>
    <m/>
    <x v="39"/>
    <x v="47"/>
    <m/>
    <m/>
    <m/>
    <m/>
    <s v="Jul"/>
    <n v="2014"/>
    <s v="Unplanned"/>
    <n v="0"/>
    <s v="No"/>
    <s v="None"/>
    <s v="Projects|Landscaping"/>
  </r>
  <r>
    <s v="MasterCard (Capital One)"/>
    <d v="2014-07-17T00:00:00"/>
    <n v="-21.9"/>
    <s v="X"/>
    <s v="Eastside Ski Sport"/>
    <s v="#Stay Fit# Bike repairs"/>
    <s v="Health &amp; Fitness:Sports/From Receipt"/>
    <m/>
    <m/>
    <s v="From Receipt"/>
    <x v="18"/>
    <x v="23"/>
    <m/>
    <m/>
    <s v="Stay Fit"/>
    <m/>
    <s v="Jul"/>
    <n v="2014"/>
    <s v="Irregular"/>
    <n v="0"/>
    <s v="No"/>
    <s v="None"/>
    <s v="Health &amp; Fitness|Sports"/>
  </r>
  <r>
    <s v="MasterCard (Capital One)"/>
    <d v="2014-07-17T00:00:00"/>
    <n v="-42.14"/>
    <s v="X"/>
    <s v="Phinney Market"/>
    <s v="2011: PHINNEY MARKET PUB &amp; E SEATTLE WA 9810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7T00:00:00"/>
    <n v="-46.87"/>
    <s v="X"/>
    <s v="Poquitos"/>
    <s v="2011: POQUITOS SEATTLE WA 98122 USA"/>
    <s v="Food &amp; Dining:Restaurants/From Receipt"/>
    <m/>
    <m/>
    <s v="From Receipt"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7T00:00:00"/>
    <n v="-100"/>
    <s v="X"/>
    <s v="Eurest"/>
    <s v="2011: CAFE 86 11171386 REDMOND WA 98052 USA"/>
    <s v="Food &amp; Dining:Restaurants/From Receipt"/>
    <m/>
    <m/>
    <s v="From Receipt"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7T00:00:00"/>
    <n v="-170.77"/>
    <s v="X"/>
    <s v="Southwest Inn At Sedona"/>
    <s v="#Sedona#"/>
    <s v="Vacation:Transportation"/>
    <m/>
    <m/>
    <m/>
    <x v="23"/>
    <x v="26"/>
    <m/>
    <m/>
    <s v="Sedona"/>
    <m/>
    <s v="Jul"/>
    <n v="2014"/>
    <s v="Irregular"/>
    <n v="0"/>
    <s v="No"/>
    <s v="None"/>
    <s v="Vacation|Transportation"/>
  </r>
  <r>
    <s v="First Tech - Checking (5544)"/>
    <d v="2014-07-16T00:00:00"/>
    <n v="-65"/>
    <s v="X"/>
    <s v="Sue Schoedal"/>
    <s v="Check--"/>
    <s v="Kids:Babysitter"/>
    <n v="2132"/>
    <m/>
    <m/>
    <x v="27"/>
    <x v="13"/>
    <m/>
    <m/>
    <m/>
    <m/>
    <s v="Jul"/>
    <n v="2014"/>
    <s v="Monthly"/>
    <n v="0"/>
    <s v="No"/>
    <s v="None"/>
    <s v="Kids|Babysitter"/>
  </r>
  <r>
    <s v="First Tech - Checking (5544)"/>
    <d v="2014-07-15T00:00:00"/>
    <n v="-51.08"/>
    <s v="X"/>
    <s v="Puget Sound Energy"/>
    <s v="ACH Debit--PUGET SOUND ENER DIRECT DEBITING - PSE BILL  12504348"/>
    <s v="Bills &amp; Utilities:Utilities"/>
    <m/>
    <m/>
    <m/>
    <x v="34"/>
    <x v="18"/>
    <m/>
    <m/>
    <m/>
    <m/>
    <s v="Jul"/>
    <n v="2014"/>
    <s v="Monthly"/>
    <n v="0"/>
    <s v="No"/>
    <s v="None"/>
    <s v="Bills &amp; Utilities|Utilities"/>
  </r>
  <r>
    <s v="MasterCard (Capital One)"/>
    <d v="2014-07-15T00:00:00"/>
    <n v="25"/>
    <s v="X"/>
    <s v="Capital One (Cash Back)"/>
    <s v="2011: CREDIT-CASH BACK REWARD"/>
    <s v="Other Inc"/>
    <m/>
    <m/>
    <m/>
    <x v="29"/>
    <x v="0"/>
    <m/>
    <m/>
    <m/>
    <m/>
    <s v="Jul"/>
    <n v="2014"/>
    <s v="Monthly"/>
    <n v="0"/>
    <s v="No"/>
    <s v="None"/>
    <s v="Other Inc"/>
  </r>
  <r>
    <s v="MasterCard (Capital One)"/>
    <d v="2014-07-15T00:00:00"/>
    <n v="-298"/>
    <s v="X"/>
    <s v="Alaska Air"/>
    <s v="#Sedona#"/>
    <s v="Vacation:Transportation"/>
    <m/>
    <m/>
    <m/>
    <x v="23"/>
    <x v="26"/>
    <m/>
    <m/>
    <s v="Sedona"/>
    <m/>
    <s v="Jul"/>
    <n v="2014"/>
    <s v="Irregular"/>
    <n v="0"/>
    <s v="No"/>
    <s v="None"/>
    <s v="Vacation|Transportation"/>
  </r>
  <r>
    <s v="First Tech - Checking (5544)"/>
    <d v="2014-07-14T00:00:00"/>
    <n v="3165.2"/>
    <s v="X"/>
    <s v="Microsoft (Paystub)"/>
    <s v="ACH Deposit--MICROSOFT  - EDIPAYMENT"/>
    <s v="Net Salary"/>
    <m/>
    <m/>
    <m/>
    <x v="35"/>
    <x v="0"/>
    <m/>
    <m/>
    <m/>
    <m/>
    <s v="Jul"/>
    <n v="2014"/>
    <s v="Monthly"/>
    <n v="0"/>
    <s v="No"/>
    <s v="None"/>
    <s v="Net Salary"/>
  </r>
  <r>
    <s v="First Tech - Checking (5544)"/>
    <d v="2014-07-14T00:00:00"/>
    <n v="-105.38"/>
    <s v="X"/>
    <s v="Seattle City Light"/>
    <s v="ACH Debit--CITY OF SEATTLE  - 1 - SCL De"/>
    <s v="Bills &amp; Utilities:Utilities"/>
    <m/>
    <m/>
    <m/>
    <x v="34"/>
    <x v="18"/>
    <m/>
    <m/>
    <m/>
    <m/>
    <s v="Jul"/>
    <n v="2014"/>
    <s v="Monthly"/>
    <n v="0"/>
    <s v="No"/>
    <s v="None"/>
    <s v="Bills &amp; Utilities|Utilities"/>
  </r>
  <r>
    <s v="MasterCard (Capital One)"/>
    <d v="2014-07-14T00:00:00"/>
    <n v="-15.86"/>
    <s v="X"/>
    <s v="Diamond Parking"/>
    <s v="2011: DIAMOND PARKING A096 SEATTLE WA 98101 USA"/>
    <s v="Auto &amp; Transport:Parking"/>
    <m/>
    <m/>
    <m/>
    <x v="17"/>
    <x v="11"/>
    <m/>
    <m/>
    <m/>
    <m/>
    <s v="Jul"/>
    <n v="2014"/>
    <s v="Monthly"/>
    <n v="0"/>
    <s v="No"/>
    <s v="None"/>
    <s v="Auto &amp; Transport|Parking"/>
  </r>
  <r>
    <s v="Koolikai Credit Card"/>
    <d v="2014-07-13T00:00:00"/>
    <n v="-146.97999999999999"/>
    <s v="X"/>
    <s v="Verizon Wireless"/>
    <m/>
    <s v="Business Expenses (Koolikai):Cell Phone"/>
    <m/>
    <m/>
    <m/>
    <x v="36"/>
    <x v="22"/>
    <m/>
    <m/>
    <m/>
    <m/>
    <s v="Jul"/>
    <n v="2014"/>
    <s v="Monthly"/>
    <n v="0"/>
    <s v="No"/>
    <s v="None"/>
    <s v="Business Expenses (Koolikai)|Cell Phone"/>
  </r>
  <r>
    <s v="MasterCard (Capital One)"/>
    <d v="2014-07-13T00:00:00"/>
    <n v="-13.13"/>
    <s v="X"/>
    <s v="Bartell Drug"/>
    <s v="Sunscreen"/>
    <s v="Food &amp; Dining:Groceries/From Receipt"/>
    <m/>
    <m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13T00:00:00"/>
    <n v="-16.43"/>
    <s v="X"/>
    <s v="Fred Meyer"/>
    <s v="2011: FRED-MEYER #0122 SEATTLE WA 98117 USA"/>
    <s v="Food &amp; Dining:Groceries/From Receipt"/>
    <m/>
    <m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13T00:00:00"/>
    <n v="-19.510000000000002"/>
    <s v="X"/>
    <s v="Mcdonald's"/>
    <s v="2011: MCDONALD'S F459 SEATTLE WA 98107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3T00:00:00"/>
    <n v="-21.88"/>
    <s v="X"/>
    <s v="Officemax"/>
    <s v="Mesh stacking letter trays"/>
    <s v="Business Expenses (Koolikai):Office Expenses (Business)/From Receipt"/>
    <m/>
    <m/>
    <s v="From Receipt"/>
    <x v="36"/>
    <x v="42"/>
    <m/>
    <m/>
    <m/>
    <m/>
    <s v="Jul"/>
    <n v="2014"/>
    <s v="Monthly"/>
    <n v="0"/>
    <s v="No"/>
    <s v="None"/>
    <s v="Business Expenses (Koolikai)|Office Expenses (Business)"/>
  </r>
  <r>
    <s v="MasterCard (Capital One)"/>
    <d v="2014-07-13T00:00:00"/>
    <n v="-24.16"/>
    <s v="X"/>
    <s v="Trader Joe's"/>
    <s v="2011: TRADER JOE'S #147 QPS SEATTLE WA 98107 USA"/>
    <s v="Food &amp; Dining:Groceries/From Receipt"/>
    <m/>
    <m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13T00:00:00"/>
    <n v="-4.92"/>
    <s v="X"/>
    <s v="Fred Meyer"/>
    <s v="2011: FRED-MEYER #0608 SEATTLE WA 98107 USA"/>
    <s v="Kids:Toys/From Receipt"/>
    <m/>
    <s v="Split"/>
    <s v="From Receipt"/>
    <x v="27"/>
    <x v="14"/>
    <m/>
    <m/>
    <m/>
    <m/>
    <s v="Jul"/>
    <n v="2014"/>
    <s v="Monthly"/>
    <n v="0"/>
    <s v="No"/>
    <s v="None"/>
    <s v="Kids|Toys"/>
  </r>
  <r>
    <s v="MasterCard (Capital One)"/>
    <d v="2014-07-13T00:00:00"/>
    <n v="-3.27"/>
    <s v="X"/>
    <s v="Fred Meyer"/>
    <s v="Gladware"/>
    <s v="Home:Furnishings/From Receipt"/>
    <m/>
    <s v="Split"/>
    <s v="From Receipt"/>
    <x v="14"/>
    <x v="2"/>
    <m/>
    <m/>
    <m/>
    <m/>
    <s v="Jul"/>
    <n v="2014"/>
    <s v="Monthly"/>
    <n v="0"/>
    <s v="No"/>
    <s v="None"/>
    <s v="Home|Furnishings"/>
  </r>
  <r>
    <s v="MasterCard (Capital One)"/>
    <d v="2014-07-13T00:00:00"/>
    <n v="-69.760000000000005"/>
    <s v="X"/>
    <s v="Fred Meyer"/>
    <m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Schwab - Checking (9784)"/>
    <d v="2014-07-12T00:00:00"/>
    <n v="-2"/>
    <s v="X"/>
    <s v="Ken's Market"/>
    <m/>
    <s v="Bank Fees &amp; Charges:ATM Fee/From Receipt"/>
    <m/>
    <s v="Split"/>
    <s v="From Receipt"/>
    <x v="32"/>
    <x v="17"/>
    <m/>
    <m/>
    <m/>
    <m/>
    <s v="Jul"/>
    <n v="2014"/>
    <s v="Monthly"/>
    <n v="0"/>
    <s v="No"/>
    <s v="None"/>
    <s v="Bank Fees &amp; Charges|ATM Fee"/>
  </r>
  <r>
    <s v="Schwab - Checking (9784)"/>
    <d v="2014-07-12T00:00:00"/>
    <n v="-15"/>
    <s v="X"/>
    <s v="Ken's Market"/>
    <s v="Folding table"/>
    <s v="Shopping:Hobbies:Camping Equipment/From Receipt"/>
    <m/>
    <s v="Split"/>
    <s v="From Receipt"/>
    <x v="13"/>
    <x v="48"/>
    <s v="Camping Equipment"/>
    <m/>
    <m/>
    <m/>
    <s v="Jul"/>
    <n v="2014"/>
    <s v="Annual"/>
    <n v="0"/>
    <s v="No"/>
    <s v="None"/>
    <s v="Shopping|Hobbies"/>
  </r>
  <r>
    <s v="Schwab - Checking (9784)"/>
    <d v="2014-07-12T00:00:00"/>
    <n v="-5"/>
    <s v="X"/>
    <s v="Ken's Market"/>
    <m/>
    <s v="Food &amp; Dining:Restaurants/From Receipt"/>
    <m/>
    <s v="Split"/>
    <s v="From Receipt"/>
    <x v="15"/>
    <x v="15"/>
    <m/>
    <m/>
    <m/>
    <m/>
    <s v="Jul"/>
    <n v="2014"/>
    <s v="Monthly"/>
    <n v="0"/>
    <s v="No"/>
    <s v="None"/>
    <s v="Food &amp; Dining|Restaurants"/>
  </r>
  <r>
    <s v="Schwab - Checking (9784)"/>
    <d v="2014-07-12T00:00:00"/>
    <n v="-40"/>
    <s v="X"/>
    <s v="Bank Of America"/>
    <s v="Seattle Science Center, Polish"/>
    <s v="Food &amp; Dining:Restaurants"/>
    <m/>
    <s v="Split"/>
    <m/>
    <x v="15"/>
    <x v="15"/>
    <m/>
    <m/>
    <m/>
    <m/>
    <s v="Jul"/>
    <n v="2014"/>
    <s v="Monthly"/>
    <n v="0"/>
    <s v="No"/>
    <s v="None"/>
    <s v="Food &amp; Dining|Restaurants"/>
  </r>
  <r>
    <s v="Schwab - Checking (9784)"/>
    <d v="2014-07-12T00:00:00"/>
    <n v="-3"/>
    <s v="X"/>
    <s v="Bank Of America"/>
    <m/>
    <s v="Bank Fees &amp; Charges:ATM Fee"/>
    <m/>
    <s v="Split"/>
    <m/>
    <x v="32"/>
    <x v="17"/>
    <m/>
    <m/>
    <m/>
    <m/>
    <s v="Jul"/>
    <n v="2014"/>
    <s v="Monthly"/>
    <n v="0"/>
    <s v="No"/>
    <s v="None"/>
    <s v="Bank Fees &amp; Charges|ATM Fee"/>
  </r>
  <r>
    <s v="MasterCard (Capital One)"/>
    <d v="2014-07-12T00:00:00"/>
    <n v="-1.1000000000000001"/>
    <s v="X"/>
    <s v="City Of Kirkland - Parking"/>
    <s v="2011: CITY KIRKLAND PARKING KIRKLAND WA 98033 USA"/>
    <s v="Auto &amp; Transport:Parking"/>
    <m/>
    <m/>
    <m/>
    <x v="17"/>
    <x v="11"/>
    <m/>
    <m/>
    <m/>
    <m/>
    <s v="Jul"/>
    <n v="2014"/>
    <s v="Monthly"/>
    <n v="0"/>
    <s v="No"/>
    <s v="None"/>
    <s v="Auto &amp; Transport|Parking"/>
  </r>
  <r>
    <s v="MasterCard (Capital One)"/>
    <d v="2014-07-12T00:00:00"/>
    <n v="-3.85"/>
    <s v="X"/>
    <s v="Blue Bird"/>
    <s v="2011: BLUEBIRD ICE CREAM GRE SEATTLE WA 9810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2T00:00:00"/>
    <n v="-85.47"/>
    <s v="X"/>
    <s v="Beehive Salon"/>
    <s v="2011: BEEHIVE SALON SEATTLE WA 981036264 USA"/>
    <s v="Personal Care:Hair"/>
    <m/>
    <m/>
    <m/>
    <x v="31"/>
    <x v="16"/>
    <m/>
    <m/>
    <m/>
    <m/>
    <s v="Jul"/>
    <n v="2014"/>
    <s v="Monthly"/>
    <n v="0"/>
    <s v="No"/>
    <s v="None"/>
    <s v="Personal Care|Hair"/>
  </r>
  <r>
    <s v="MasterCard (Capital One)"/>
    <d v="2014-07-12T00:00:00"/>
    <n v="-115.45"/>
    <s v="X"/>
    <s v="Zig Zag Cafe"/>
    <s v="2011: ZIG ZAG CAFE SEATTLE WA 98101 USA"/>
    <s v="Food &amp; Dining:Restaurants/From Receipt"/>
    <m/>
    <m/>
    <s v="From Receipt"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11T00:00:00"/>
    <n v="-7.2"/>
    <s v="X"/>
    <s v="Good Go Internet"/>
    <s v="2011: GOOD2GO-INTERNET 08669368246 WA 98105 USA"/>
    <s v="Auto &amp; Transport:Tolls"/>
    <m/>
    <m/>
    <m/>
    <x v="17"/>
    <x v="40"/>
    <m/>
    <m/>
    <m/>
    <m/>
    <s v="Jul"/>
    <n v="2014"/>
    <s v="Irregular"/>
    <n v="0"/>
    <s v="No"/>
    <s v="None"/>
    <s v="Auto &amp; Transport|Tolls"/>
  </r>
  <r>
    <s v="MasterCard (Capital One)"/>
    <d v="2014-07-11T00:00:00"/>
    <n v="-17"/>
    <s v="X"/>
    <s v="The Grape Choice"/>
    <s v="2011: THE GRAPE CHOICE KIRKLAND WA 9803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First Tech - Checking (5544)"/>
    <d v="2014-07-10T00:00:00"/>
    <n v="-115"/>
    <s v="X"/>
    <s v="Cleaning Authority, The"/>
    <s v="ACH Debit--THE CLEANING AUT  - ONLINE PMT"/>
    <s v="Home:Home Services"/>
    <m/>
    <m/>
    <m/>
    <x v="14"/>
    <x v="46"/>
    <m/>
    <m/>
    <m/>
    <m/>
    <s v="Jul"/>
    <n v="2014"/>
    <s v="Monthly"/>
    <n v="0"/>
    <s v="No"/>
    <s v="None"/>
    <s v="Home|Home Services"/>
  </r>
  <r>
    <s v="Koolikai - Checking XX2129"/>
    <d v="2014-07-09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s v="Jul"/>
    <n v="2014"/>
    <s v="Monthly"/>
    <n v="0"/>
    <s v="No"/>
    <s v="None"/>
    <s v="Business Income (Koolikai)|Rent"/>
  </r>
  <r>
    <s v="MasterCard (Capital One)"/>
    <d v="2014-07-09T00:00:00"/>
    <n v="-6.55"/>
    <s v="X"/>
    <s v="Greenwood Hardware"/>
    <s v="House keys"/>
    <s v="Business Expenses (Koolikai):Office Expenses (Business)"/>
    <m/>
    <m/>
    <m/>
    <x v="36"/>
    <x v="42"/>
    <m/>
    <m/>
    <m/>
    <m/>
    <s v="Jul"/>
    <n v="2014"/>
    <s v="Monthly"/>
    <n v="0"/>
    <s v="No"/>
    <s v="None"/>
    <s v="Business Expenses (Koolikai)|Office Expenses (Business)"/>
  </r>
  <r>
    <s v="First Tech - Checking (5544)"/>
    <d v="2014-07-08T00:00:00"/>
    <n v="-109.06"/>
    <s v="X"/>
    <s v="Target (Autopay)"/>
    <s v="ACH Debit--TARGET CARD SRVC 001 - AUTO PYMT"/>
    <s v="[Target Red Card]"/>
    <m/>
    <m/>
    <m/>
    <x v="12"/>
    <x v="0"/>
    <m/>
    <m/>
    <m/>
    <m/>
    <s v="Jul"/>
    <n v="2014"/>
    <s v="Account"/>
    <n v="0"/>
    <s v="No"/>
    <s v="None"/>
    <s v="[Target Red Card]"/>
  </r>
  <r>
    <s v="First Tech - Checking (5544)"/>
    <d v="2014-07-08T00:00:00"/>
    <n v="-3748.69"/>
    <s v="X"/>
    <s v="Wells Fargo Home Mortgage"/>
    <s v="ACH Debit--WF HOME MTG ACH - AUTO PAY"/>
    <s v="Home:Mortgage"/>
    <m/>
    <m/>
    <m/>
    <x v="14"/>
    <x v="27"/>
    <m/>
    <m/>
    <m/>
    <m/>
    <s v="Jul"/>
    <n v="2014"/>
    <s v="Monthly"/>
    <n v="0"/>
    <s v="No"/>
    <s v="None"/>
    <s v="Home|Mortgage"/>
  </r>
  <r>
    <s v="Chase Freedom XX9381"/>
    <d v="2014-07-08T00:00:00"/>
    <n v="-5.1100000000000003"/>
    <s v="X"/>
    <s v="Shell"/>
    <s v="#Mt. St. Helens#"/>
    <s v="Vacation:Food"/>
    <m/>
    <m/>
    <m/>
    <x v="23"/>
    <x v="8"/>
    <m/>
    <m/>
    <s v="Mt. St. Helens"/>
    <m/>
    <s v="Jul"/>
    <n v="2014"/>
    <s v="Irregular"/>
    <n v="0"/>
    <s v="No"/>
    <s v="None"/>
    <s v="Vacation|Food"/>
  </r>
  <r>
    <s v="Chase Freedom XX9381"/>
    <d v="2014-07-08T00:00:00"/>
    <n v="-23.44"/>
    <s v="X"/>
    <s v="Shell"/>
    <s v="#Mt. St. Helens#"/>
    <s v="Vacation:Transportation"/>
    <m/>
    <m/>
    <m/>
    <x v="23"/>
    <x v="26"/>
    <m/>
    <m/>
    <s v="Mt. St. Helens"/>
    <m/>
    <s v="Jul"/>
    <n v="2014"/>
    <s v="Irregular"/>
    <n v="0"/>
    <s v="No"/>
    <s v="None"/>
    <s v="Vacation|Transportation"/>
  </r>
  <r>
    <s v="MasterCard (Capital One)"/>
    <d v="2014-07-08T00:00:00"/>
    <n v="-6.13"/>
    <s v="X"/>
    <s v="Bakker's Fine Dry Cleaning"/>
    <s v="2011: BAKKER'S FINE DRYCLEAN SEATTLE WA 98103 USA"/>
    <s v="Shopping:Clothing"/>
    <m/>
    <m/>
    <m/>
    <x v="13"/>
    <x v="1"/>
    <m/>
    <m/>
    <m/>
    <m/>
    <s v="Jul"/>
    <n v="2014"/>
    <s v="Annual"/>
    <n v="0"/>
    <s v="No"/>
    <s v="None"/>
    <s v="Shopping|Clothing"/>
  </r>
  <r>
    <s v="MasterCard (Capital One)"/>
    <d v="2014-07-08T00:00:00"/>
    <n v="-258.27"/>
    <s v="X"/>
    <s v="Alexanders Country Inn"/>
    <s v="#Mt. Rainier 2014#"/>
    <s v="Vacation:Lodging"/>
    <m/>
    <m/>
    <m/>
    <x v="23"/>
    <x v="9"/>
    <m/>
    <m/>
    <s v="Mt. Rainier 2014"/>
    <m/>
    <s v="Jul"/>
    <n v="2014"/>
    <s v="Irregular"/>
    <n v="0"/>
    <s v="No"/>
    <s v="None"/>
    <s v="Vacation|Lodging"/>
  </r>
  <r>
    <s v="Chase Freedom XX9381"/>
    <d v="2014-07-07T00:00:00"/>
    <n v="-1.31"/>
    <s v="X"/>
    <s v="Redbox"/>
    <m/>
    <s v="Entertainment:Movies &amp; DVDs"/>
    <m/>
    <m/>
    <m/>
    <x v="30"/>
    <x v="43"/>
    <m/>
    <m/>
    <m/>
    <m/>
    <s v="Jul"/>
    <n v="2014"/>
    <s v="Unplanned"/>
    <n v="0"/>
    <s v="No"/>
    <s v="None"/>
    <s v="Entertainment|Movies &amp; DVDs"/>
  </r>
  <r>
    <s v="Chase Freedom XX9381"/>
    <d v="2014-07-07T00:00:00"/>
    <n v="-49.58"/>
    <s v="X"/>
    <s v="Shell"/>
    <s v="#Mt. St. Helens#"/>
    <s v="Vacation:Transportation"/>
    <m/>
    <m/>
    <m/>
    <x v="23"/>
    <x v="26"/>
    <m/>
    <m/>
    <s v="Mt. St. Helens"/>
    <m/>
    <s v="Jul"/>
    <n v="2014"/>
    <s v="Irregular"/>
    <n v="0"/>
    <s v="No"/>
    <s v="None"/>
    <s v="Vacation|Transportation"/>
  </r>
  <r>
    <s v="Edward Jones - Investment Account"/>
    <d v="2014-07-07T00:00:00"/>
    <n v="28.8"/>
    <s v="c"/>
    <m/>
    <s v="CASH DIV ON 120 AT $.24 PER SHARE"/>
    <m/>
    <s v="Div"/>
    <m/>
    <m/>
    <x v="26"/>
    <x v="0"/>
    <m/>
    <m/>
    <m/>
    <m/>
    <s v="Jul"/>
    <n v="2014"/>
    <e v="#N/A"/>
    <e v="#N/A"/>
    <e v="#N/A"/>
    <e v="#N/A"/>
    <n v="0"/>
  </r>
  <r>
    <s v="Chase Freedom XX9381"/>
    <d v="2014-07-06T00:00:00"/>
    <n v="-3.93"/>
    <s v="X"/>
    <s v="Arco"/>
    <m/>
    <s v="Auto &amp; Transport:Gas &amp; Fuel"/>
    <m/>
    <m/>
    <m/>
    <x v="17"/>
    <x v="37"/>
    <m/>
    <m/>
    <m/>
    <m/>
    <s v="Jul"/>
    <n v="2014"/>
    <s v="Monthly"/>
    <n v="0"/>
    <s v="No"/>
    <s v="None"/>
    <s v="Auto &amp; Transport|Gas &amp; Fuel"/>
  </r>
  <r>
    <s v="MasterCard (Capital One)"/>
    <d v="2014-07-06T00:00:00"/>
    <n v="-5"/>
    <s v="X"/>
    <s v="Silverlake Visitor Ctr"/>
    <s v="#Mt. St. Helens# Visitor's center"/>
    <s v="Vacation:Activities"/>
    <m/>
    <m/>
    <m/>
    <x v="23"/>
    <x v="39"/>
    <m/>
    <m/>
    <s v="Mt. St. Helens"/>
    <m/>
    <s v="Jul"/>
    <n v="2014"/>
    <s v="Irregular"/>
    <n v="0"/>
    <s v="No"/>
    <s v="None"/>
    <s v="Vacation|Activities"/>
  </r>
  <r>
    <s v="MasterCard (Capital One)"/>
    <d v="2014-07-06T00:00:00"/>
    <n v="-6.3"/>
    <s v="X"/>
    <s v="Subway"/>
    <s v="2011: SUBWAY 00525212 KIRKLAND WA 9803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Target Red Card"/>
    <d v="2014-07-06T00:00:00"/>
    <n v="109.06"/>
    <s v="X"/>
    <s v="Target (Autopay)"/>
    <m/>
    <s v="[First Tech - Checking (5544)]"/>
    <m/>
    <m/>
    <m/>
    <x v="21"/>
    <x v="0"/>
    <m/>
    <m/>
    <m/>
    <m/>
    <s v="Jul"/>
    <n v="2014"/>
    <s v="Account"/>
    <n v="0"/>
    <s v="No"/>
    <s v="None"/>
    <s v="[First Tech - Checking (5544)]"/>
  </r>
  <r>
    <s v="MasterCard (Capital One)"/>
    <d v="2014-07-05T00:00:00"/>
    <n v="19.68"/>
    <s v="X"/>
    <s v="Home Depot"/>
    <s v="@CAT:@ Cat5E expansion board (returned)"/>
    <s v="Business Expenses (Koolikai):Repairs/7231:From Receipt"/>
    <m/>
    <m/>
    <s v="7231:From Receipt"/>
    <x v="36"/>
    <x v="41"/>
    <m/>
    <m/>
    <m/>
    <m/>
    <s v="Jul"/>
    <n v="2014"/>
    <s v="Irregular"/>
    <n v="0"/>
    <s v="No"/>
    <s v="None"/>
    <s v="Business Expenses (Koolikai)|Repairs"/>
  </r>
  <r>
    <s v="MasterCard (Capital One)"/>
    <d v="2014-07-05T00:00:00"/>
    <n v="-6.76"/>
    <s v="X"/>
    <s v="Menchie Frozen Yogurt"/>
    <s v="2011: MENCHIE`S FROZEN YOGUR KIRKLAND WA 9803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05T00:00:00"/>
    <n v="-8.48"/>
    <s v="X"/>
    <s v="Home Depot"/>
    <s v="Office conversion (grommit for cables, shelf supports, etc)"/>
    <s v="Business Expenses (Koolikai):Office Expenses (Business)/From Receipt"/>
    <m/>
    <m/>
    <s v="From Receipt"/>
    <x v="36"/>
    <x v="42"/>
    <m/>
    <m/>
    <m/>
    <m/>
    <s v="Jul"/>
    <n v="2014"/>
    <s v="Monthly"/>
    <n v="0"/>
    <s v="No"/>
    <s v="None"/>
    <s v="Business Expenses (Koolikai)|Office Expenses (Business)"/>
  </r>
  <r>
    <s v="MasterCard (Capital One)"/>
    <d v="2014-07-05T00:00:00"/>
    <n v="-8.67"/>
    <s v="X"/>
    <s v="Home Depot"/>
    <s v="Alligator clips"/>
    <s v="Home:Home Improvement/From Receipt"/>
    <m/>
    <m/>
    <s v="From Receipt"/>
    <x v="14"/>
    <x v="19"/>
    <m/>
    <m/>
    <m/>
    <m/>
    <s v="Jul"/>
    <n v="2014"/>
    <s v="Irregular"/>
    <n v="0"/>
    <s v="No"/>
    <s v="None"/>
    <s v="Home|Home Improvement"/>
  </r>
  <r>
    <s v="MasterCard (Capital One)"/>
    <d v="2014-07-05T00:00:00"/>
    <n v="-26.15"/>
    <s v="X"/>
    <s v="Naked City Brewery"/>
    <s v="2011: NAKED CITY BREWERY SEATTLE WA 9810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04T00:00:00"/>
    <n v="-9.76"/>
    <s v="X"/>
    <s v="Ken's Market"/>
    <s v="2011: KEN'S MARKET #75-116 SEATTLE WA 98103 USA"/>
    <s v="Food &amp; Dining:Groceries"/>
    <m/>
    <m/>
    <m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04T00:00:00"/>
    <n v="-12.81"/>
    <s v="X"/>
    <s v="Lancer"/>
    <s v="Quesedillas at Woodland Park Zoo"/>
    <s v="Food &amp; Dining:Restaurants/From Receipt"/>
    <m/>
    <m/>
    <s v="From Receipt"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04T00:00:00"/>
    <n v="-12.95"/>
    <s v="X"/>
    <s v="Martino's"/>
    <s v="2011: MARTINO'S SEATTLE WA 98103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MasterCard (Capital One)"/>
    <d v="2014-07-04T00:00:00"/>
    <n v="-8.75"/>
    <s v="X"/>
    <s v="Fred Meyer"/>
    <s v="4D Pump... returned for gift c"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04T00:00:00"/>
    <n v="-122.99"/>
    <s v="X"/>
    <s v="Fred Meyer"/>
    <m/>
    <s v="Food &amp; Dining:Groceries/From Receipt"/>
    <m/>
    <s v="Split"/>
    <s v="From Receipt"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03T00:00:00"/>
    <n v="-8.75"/>
    <s v="X"/>
    <s v="Netflix"/>
    <s v="2011: NETFLIX.COM NETFLIX.COM CA 95032 USA"/>
    <s v="Entertainment:Movies &amp; DVDs"/>
    <m/>
    <m/>
    <m/>
    <x v="30"/>
    <x v="43"/>
    <m/>
    <m/>
    <m/>
    <m/>
    <s v="Jul"/>
    <n v="2014"/>
    <s v="Unplanned"/>
    <n v="0"/>
    <s v="No"/>
    <s v="None"/>
    <s v="Entertainment|Movies &amp; DVDs"/>
  </r>
  <r>
    <s v="MasterCard (Capital One)"/>
    <d v="2014-07-03T00:00:00"/>
    <n v="-24.89"/>
    <s v="X"/>
    <s v="Thai Siam Restaurant"/>
    <s v="2011: THAI SIAM RESTAURANT SEATTLE WA 98117 USA"/>
    <s v="Food &amp; Dining:Restaurants"/>
    <m/>
    <m/>
    <m/>
    <x v="15"/>
    <x v="15"/>
    <m/>
    <m/>
    <m/>
    <m/>
    <s v="Jul"/>
    <n v="2014"/>
    <s v="Monthly"/>
    <n v="0"/>
    <s v="No"/>
    <s v="None"/>
    <s v="Food &amp; Dining|Restaurants"/>
  </r>
  <r>
    <s v="First Tech - Checking (5544)"/>
    <d v="2014-07-02T00:00:00"/>
    <n v="903.11"/>
    <s v="X"/>
    <s v="Microsoft (Reimbursement)"/>
    <s v="#Go Cart Racing# with team"/>
    <s v="Work Expense:Reimbursement"/>
    <m/>
    <m/>
    <m/>
    <x v="19"/>
    <x v="6"/>
    <m/>
    <m/>
    <s v="Go Cart Racing"/>
    <m/>
    <s v="Jul"/>
    <n v="2014"/>
    <s v="Irregular"/>
    <n v="0"/>
    <s v="No"/>
    <s v="None"/>
    <s v="Work Expense|Reimbursement"/>
  </r>
  <r>
    <s v="First Tech - Checking (5544)"/>
    <d v="2014-07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Jul"/>
    <n v="2014"/>
    <s v="Monthly"/>
    <n v="0"/>
    <s v="No"/>
    <s v="None"/>
    <s v="Business Expenses (Koolikai)|Mortgage (Business)"/>
  </r>
  <r>
    <s v="First Tech - Checking (5544)"/>
    <d v="2014-07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Jul"/>
    <n v="2014"/>
    <s v="Monthly"/>
    <n v="0"/>
    <s v="No"/>
    <s v="None"/>
    <s v="Business Expenses (Koolikai)|Mortgage (Business)"/>
  </r>
  <r>
    <s v="First Tech - Checking (5544)"/>
    <d v="2014-07-02T00:00:00"/>
    <n v="-4284.17"/>
    <s v="X"/>
    <s v="Capital One (Autopay)"/>
    <s v="ACH Debit--CAPITAL ONE  - CRCARDPMT"/>
    <s v="[MasterCard (Capital One)]"/>
    <m/>
    <m/>
    <m/>
    <x v="38"/>
    <x v="0"/>
    <m/>
    <m/>
    <m/>
    <m/>
    <s v="Jul"/>
    <n v="2014"/>
    <s v="Account"/>
    <n v="0"/>
    <s v="No"/>
    <s v="None"/>
    <s v="[MasterCard (Capital One)]"/>
  </r>
  <r>
    <s v="MasterCard (Capital One)"/>
    <d v="2014-07-02T00:00:00"/>
    <n v="-9.8000000000000007"/>
    <s v="X"/>
    <s v="Ken's Market"/>
    <s v="2011: KEN'S MARKET #75-116 SEATTLE WA 98103 USA"/>
    <s v="Food &amp; Dining:Groceries"/>
    <m/>
    <m/>
    <m/>
    <x v="15"/>
    <x v="3"/>
    <m/>
    <m/>
    <m/>
    <m/>
    <s v="Jul"/>
    <n v="2014"/>
    <s v="Monthly"/>
    <n v="0"/>
    <s v="No"/>
    <s v="None"/>
    <s v="Food &amp; Dining|Groceries"/>
  </r>
  <r>
    <s v="MasterCard (Capital One)"/>
    <d v="2014-07-02T00:00:00"/>
    <n v="-15.86"/>
    <s v="X"/>
    <s v="Diamond Parking"/>
    <s v="2011: DIAMOND PARKING A096 SEATTLE WA 98101 USA"/>
    <s v="Auto &amp; Transport:Parking"/>
    <m/>
    <m/>
    <m/>
    <x v="17"/>
    <x v="11"/>
    <m/>
    <m/>
    <m/>
    <m/>
    <s v="Jul"/>
    <n v="2014"/>
    <s v="Monthly"/>
    <n v="0"/>
    <s v="No"/>
    <s v="None"/>
    <s v="Auto &amp; Transport|Parking"/>
  </r>
  <r>
    <s v="MasterCard (Capital One)"/>
    <d v="2014-07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s v="Jul"/>
    <n v="2014"/>
    <s v="Monthly"/>
    <n v="0"/>
    <s v="No"/>
    <s v="None"/>
    <s v="Bills &amp; Utilities|Television"/>
  </r>
  <r>
    <s v="MasterCard (Capital One)"/>
    <d v="2014-07-02T00:00:00"/>
    <n v="-64.08"/>
    <s v="X"/>
    <s v="Comcast"/>
    <m/>
    <s v="Business Expenses (Koolikai):Internet"/>
    <m/>
    <s v="Split"/>
    <m/>
    <x v="36"/>
    <x v="33"/>
    <m/>
    <m/>
    <m/>
    <m/>
    <s v="Jul"/>
    <n v="2014"/>
    <s v="Monthly"/>
    <n v="0"/>
    <s v="No"/>
    <s v="None"/>
    <s v="Business Expenses (Koolikai)|Internet"/>
  </r>
  <r>
    <s v="MasterCard (Capital One)"/>
    <d v="2014-07-02T00:00:00"/>
    <n v="-44.08"/>
    <s v="X"/>
    <s v="Comcast"/>
    <m/>
    <s v="Bills &amp; Utilities:Home Phone"/>
    <m/>
    <s v="Split"/>
    <m/>
    <x v="34"/>
    <x v="34"/>
    <m/>
    <m/>
    <m/>
    <m/>
    <s v="Jul"/>
    <n v="2014"/>
    <s v="Monthly"/>
    <n v="0"/>
    <s v="No"/>
    <s v="None"/>
    <s v="Bills &amp; Utilities|Home Phone"/>
  </r>
  <r>
    <s v="First Tech - Checking (5544)"/>
    <d v="2014-07-01T00:00:00"/>
    <n v="-1976"/>
    <s v="X"/>
    <s v="Phinney Ridge CDC"/>
    <s v="ACH Debit--PHINNEY RIDGE LU 504759859 - CONTRIBUTN"/>
    <s v="Kids:Daycare"/>
    <m/>
    <m/>
    <m/>
    <x v="27"/>
    <x v="35"/>
    <m/>
    <m/>
    <m/>
    <m/>
    <s v="Jul"/>
    <n v="2014"/>
    <s v="Monthly"/>
    <n v="0"/>
    <s v="No"/>
    <s v="None"/>
    <s v="Kids|Daycare"/>
  </r>
  <r>
    <s v="First Tech - Checking (5544)"/>
    <d v="2014-07-01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Jul"/>
    <n v="2014"/>
    <s v="Monthly"/>
    <n v="0"/>
    <s v="No"/>
    <s v="None"/>
    <s v="Kids|American Funds 529A"/>
  </r>
  <r>
    <s v="MasterCard (Capital One)"/>
    <d v="2014-07-01T00:00:00"/>
    <n v="4284.17"/>
    <s v="X"/>
    <s v="Capital One (Autopay)"/>
    <s v="2011: CAPITAL ONE AUTOPAY PYMT AuthDate 06-JUN"/>
    <s v="[First Tech - Checking (5544)]"/>
    <m/>
    <m/>
    <m/>
    <x v="21"/>
    <x v="0"/>
    <m/>
    <m/>
    <m/>
    <m/>
    <s v="Jul"/>
    <n v="2014"/>
    <s v="Account"/>
    <n v="0"/>
    <s v="No"/>
    <s v="None"/>
    <s v="[First Tech - Checking (5544)]"/>
  </r>
  <r>
    <s v="Capital One - Investment (6759)"/>
    <d v="2014-06-30T00:00:00"/>
    <n v="19.38"/>
    <s v="X"/>
    <s v="Capital One (Interest Income)"/>
    <s v="@CAT:@"/>
    <s v="Interest Income"/>
    <s v="INT"/>
    <m/>
    <m/>
    <x v="40"/>
    <x v="0"/>
    <m/>
    <m/>
    <m/>
    <m/>
    <s v="Jun"/>
    <n v="2014"/>
    <s v="Monthly"/>
    <n v="0"/>
    <s v="No"/>
    <s v="None"/>
    <s v="Interest Income"/>
  </r>
  <r>
    <s v="Capital One - Long Term Emergency (1201)"/>
    <d v="2014-06-30T00:00:00"/>
    <n v="48.65"/>
    <s v="X"/>
    <s v="Capital One (Interest Income)"/>
    <s v="@CAT:@"/>
    <s v="Interest Income"/>
    <s v="INT"/>
    <m/>
    <m/>
    <x v="40"/>
    <x v="0"/>
    <m/>
    <m/>
    <m/>
    <m/>
    <s v="Jun"/>
    <n v="2014"/>
    <s v="Monthly"/>
    <n v="0"/>
    <s v="No"/>
    <s v="None"/>
    <s v="Interest Income"/>
  </r>
  <r>
    <s v="Capital One - Secondary Savings (3126)"/>
    <d v="2014-06-30T00:00:00"/>
    <n v="0.02"/>
    <s v="X"/>
    <s v="Capital One (Interest Income)"/>
    <s v="@CAT:@"/>
    <s v="Interest Income"/>
    <s v="INT"/>
    <m/>
    <m/>
    <x v="40"/>
    <x v="0"/>
    <m/>
    <m/>
    <m/>
    <m/>
    <s v="Jun"/>
    <n v="2014"/>
    <s v="Monthly"/>
    <n v="0"/>
    <s v="No"/>
    <s v="None"/>
    <s v="Interest Income"/>
  </r>
  <r>
    <s v="Capital One - Vacation (4959)"/>
    <d v="2014-06-30T00:00:00"/>
    <n v="2.06"/>
    <s v="X"/>
    <s v="Capital One (Interest Income)"/>
    <s v="@CAT:@"/>
    <s v="Interest Income"/>
    <s v="INT"/>
    <m/>
    <m/>
    <x v="40"/>
    <x v="0"/>
    <m/>
    <m/>
    <m/>
    <m/>
    <s v="Jun"/>
    <n v="2014"/>
    <s v="Monthly"/>
    <n v="0"/>
    <s v="No"/>
    <s v="None"/>
    <s v="Interest Income"/>
  </r>
  <r>
    <s v="First Tech - Checking (5544)"/>
    <d v="2014-06-30T00:00:00"/>
    <n v="-211.95"/>
    <s v="X"/>
    <s v="City Of Seattle"/>
    <s v="@BAL:41495.16@;@CAT:@"/>
    <s v="Bills &amp; Utilities:Utilities"/>
    <m/>
    <m/>
    <m/>
    <x v="34"/>
    <x v="18"/>
    <m/>
    <m/>
    <m/>
    <m/>
    <s v="Jun"/>
    <n v="2014"/>
    <s v="Monthly"/>
    <n v="0"/>
    <s v="No"/>
    <s v="None"/>
    <s v="Bills &amp; Utilities|Utilities"/>
  </r>
  <r>
    <s v="First Tech - Short Term Emergency (5400)"/>
    <d v="2014-06-30T00:00:00"/>
    <n v="1.57"/>
    <s v="X"/>
    <s v="First Tech (Dividend)"/>
    <s v="Credit Dividend--"/>
    <s v="Interest Income"/>
    <m/>
    <m/>
    <m/>
    <x v="40"/>
    <x v="0"/>
    <m/>
    <m/>
    <m/>
    <m/>
    <s v="Jun"/>
    <n v="2014"/>
    <s v="Monthly"/>
    <n v="0"/>
    <s v="No"/>
    <s v="None"/>
    <s v="Interest Income"/>
  </r>
  <r>
    <s v="Koolikai - Sec Dep XX1200"/>
    <d v="2014-06-30T00:00:00"/>
    <n v="0.18"/>
    <s v="X"/>
    <s v="First Tech (Dividend)"/>
    <s v="Credit Dividend--"/>
    <s v="Interest Income"/>
    <m/>
    <m/>
    <m/>
    <x v="40"/>
    <x v="0"/>
    <m/>
    <m/>
    <m/>
    <m/>
    <s v="Jun"/>
    <n v="2014"/>
    <s v="Monthly"/>
    <n v="0"/>
    <s v="No"/>
    <s v="None"/>
    <s v="Interest Income"/>
  </r>
  <r>
    <s v="Schwab - Checking (9784)"/>
    <d v="2014-06-30T00:00:00"/>
    <n v="0.08"/>
    <s v="X"/>
    <s v="Interest Paid"/>
    <m/>
    <s v="Interest Income"/>
    <m/>
    <m/>
    <m/>
    <x v="40"/>
    <x v="0"/>
    <m/>
    <m/>
    <m/>
    <m/>
    <s v="Jun"/>
    <n v="2014"/>
    <s v="Monthly"/>
    <n v="0"/>
    <s v="No"/>
    <s v="None"/>
    <s v="Interest Income"/>
  </r>
  <r>
    <s v="Schwab - Checking (9784)"/>
    <d v="2014-06-30T00:00:00"/>
    <n v="7.25"/>
    <s v="X"/>
    <s v="ATM Fee Refund"/>
    <m/>
    <s v="Bank Fees &amp; Charges:ATM Fee"/>
    <m/>
    <m/>
    <m/>
    <x v="32"/>
    <x v="17"/>
    <m/>
    <m/>
    <m/>
    <m/>
    <s v="Jun"/>
    <n v="2014"/>
    <s v="Monthly"/>
    <n v="0"/>
    <s v="No"/>
    <s v="None"/>
    <s v="Bank Fees &amp; Charges|ATM Fee"/>
  </r>
  <r>
    <s v="MasterCard (Capital One)"/>
    <d v="2014-06-30T00:00:00"/>
    <n v="-27.34"/>
    <s v="X"/>
    <s v="Home Depot"/>
    <s v="Smoke detector"/>
    <s v="Business Expenses (Koolikai):Office Expenses (Business)"/>
    <m/>
    <m/>
    <m/>
    <x v="36"/>
    <x v="42"/>
    <m/>
    <m/>
    <m/>
    <m/>
    <s v="Jun"/>
    <n v="2014"/>
    <s v="Monthly"/>
    <n v="0"/>
    <s v="No"/>
    <s v="None"/>
    <s v="Business Expenses (Koolikai)|Office Expenses (Business)"/>
  </r>
  <r>
    <s v="First Tech - Checking (5544)"/>
    <d v="2014-06-29T00:00:00"/>
    <n v="21.17"/>
    <s v="X"/>
    <s v="Childrens Hospital"/>
    <s v="Deposit--Shared Branch Mobile Deposit          First Tech FC CA"/>
    <s v="Health &amp; Fitness:Doctor"/>
    <m/>
    <m/>
    <m/>
    <x v="18"/>
    <x v="56"/>
    <m/>
    <m/>
    <m/>
    <m/>
    <s v="Jun"/>
    <n v="2014"/>
    <s v="Irregular"/>
    <n v="0"/>
    <s v="No"/>
    <s v="None"/>
    <s v="Health &amp; Fitness|Doctor"/>
  </r>
  <r>
    <s v="First Tech - Checking (5544)"/>
    <d v="2014-06-29T00:00:00"/>
    <n v="3165.19"/>
    <s v="X"/>
    <s v="Microsoft (Paystub)"/>
    <s v="ACH Deposit--MICROSOFT  - EDIPAYMENT"/>
    <s v="Net Salary"/>
    <m/>
    <m/>
    <m/>
    <x v="35"/>
    <x v="0"/>
    <m/>
    <m/>
    <m/>
    <m/>
    <s v="Jun"/>
    <n v="2014"/>
    <s v="Monthly"/>
    <n v="0"/>
    <s v="No"/>
    <s v="None"/>
    <s v="Net Salary"/>
  </r>
  <r>
    <s v="First Tech - Checking (5544)"/>
    <d v="2014-06-29T00:00:00"/>
    <n v="6058.12"/>
    <s v="X"/>
    <s v="CRAB (Paystub)"/>
    <s v="ACH Deposit--Cancer Research  - Payroll"/>
    <s v="Net Salary"/>
    <m/>
    <m/>
    <m/>
    <x v="35"/>
    <x v="0"/>
    <m/>
    <m/>
    <m/>
    <m/>
    <s v="Jun"/>
    <n v="2014"/>
    <s v="Monthly"/>
    <n v="0"/>
    <s v="No"/>
    <s v="None"/>
    <s v="Net Salary"/>
  </r>
  <r>
    <s v="Chase Freedom XX9381"/>
    <d v="2014-06-29T00:00:00"/>
    <n v="-12.9"/>
    <s v="X"/>
    <s v="Burney Brothers Bbq"/>
    <s v="Lunch with Rich and Amy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29T00:00:00"/>
    <n v="-34"/>
    <s v="X"/>
    <s v="Rudys Barber Shop"/>
    <s v="2011: RUDYS BARBER SHOP - PH SEATTLE WA 98103 USA"/>
    <s v="Personal Care:Hair/From Receipt"/>
    <m/>
    <m/>
    <s v="From Receipt"/>
    <x v="31"/>
    <x v="16"/>
    <m/>
    <m/>
    <m/>
    <m/>
    <s v="Jun"/>
    <n v="2014"/>
    <s v="Monthly"/>
    <n v="0"/>
    <s v="No"/>
    <s v="None"/>
    <s v="Personal Care|Hair"/>
  </r>
  <r>
    <s v="MasterCard (Capital One)"/>
    <d v="2014-06-29T00:00:00"/>
    <n v="-99"/>
    <s v="X"/>
    <s v="Amazon"/>
    <s v="Prime membership"/>
    <s v="Subscriptions &amp; Dues"/>
    <m/>
    <m/>
    <m/>
    <x v="33"/>
    <x v="0"/>
    <m/>
    <m/>
    <m/>
    <m/>
    <s v="Jun"/>
    <n v="2014"/>
    <s v="Annual"/>
    <n v="0"/>
    <s v="No"/>
    <s v="None"/>
    <s v="Subscriptions &amp; Dues"/>
  </r>
  <r>
    <s v="MasterCard (Capital One)"/>
    <d v="2014-06-28T00:00:00"/>
    <n v="-6.78"/>
    <s v="X"/>
    <s v="Newegg"/>
    <s v="Network cable"/>
    <s v="Projects:Boy's Room/From Receipt"/>
    <m/>
    <m/>
    <s v="From Receipt"/>
    <x v="39"/>
    <x v="57"/>
    <m/>
    <m/>
    <m/>
    <m/>
    <s v="Jun"/>
    <n v="2014"/>
    <s v="Unplanned"/>
    <n v="0"/>
    <s v="No"/>
    <s v="None"/>
    <s v="Projects|Boy's Room"/>
  </r>
  <r>
    <s v="MasterCard (Capital One)"/>
    <d v="2014-06-28T00:00:00"/>
    <n v="-9.52"/>
    <s v="X"/>
    <s v="Swirl Wine Bar"/>
    <s v="2011: SWIRL SEATTLE WA 98155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28T00:00:00"/>
    <n v="-16.97"/>
    <s v="X"/>
    <s v="Honey Bear Bakery"/>
    <s v="2011: HONEY BEAR BAKERY LAKE FOREST P WA 98155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28T00:00:00"/>
    <n v="-19.68"/>
    <s v="X"/>
    <s v="Home Depot"/>
    <s v="CAT5E Data Port Expansion"/>
    <s v="Business Expenses (Koolikai):Repairs/7231:From Receipt"/>
    <m/>
    <m/>
    <s v="7231:From Receipt"/>
    <x v="36"/>
    <x v="41"/>
    <m/>
    <m/>
    <m/>
    <m/>
    <s v="Jun"/>
    <n v="2014"/>
    <s v="Irregular"/>
    <n v="0"/>
    <s v="No"/>
    <s v="None"/>
    <s v="Business Expenses (Koolikai)|Repairs"/>
  </r>
  <r>
    <s v="First Tech - Checking (5544)"/>
    <d v="2014-06-27T00:00:00"/>
    <n v="-954.76"/>
    <s v="X"/>
    <s v="Chase  - Autopay"/>
    <s v="ACH Debit--CHASE  - AUTOPAY"/>
    <s v="[Chase Freedom XX9381]"/>
    <m/>
    <m/>
    <m/>
    <x v="7"/>
    <x v="0"/>
    <m/>
    <m/>
    <m/>
    <m/>
    <s v="Jun"/>
    <n v="2014"/>
    <e v="#N/A"/>
    <e v="#N/A"/>
    <e v="#N/A"/>
    <e v="#N/A"/>
    <s v="[Chase Freedom XX9381]"/>
  </r>
  <r>
    <s v="Chase Freedom XX9381"/>
    <d v="2014-06-27T00:00:00"/>
    <n v="19.7"/>
    <s v="X"/>
    <s v="Fred Meyer"/>
    <s v="#Stay Fit# Returned bike lock"/>
    <s v="Health &amp; Fitness:Sports/From Receipt"/>
    <m/>
    <m/>
    <s v="From Receipt"/>
    <x v="18"/>
    <x v="23"/>
    <m/>
    <m/>
    <s v="Stay Fit"/>
    <m/>
    <s v="Jun"/>
    <n v="2014"/>
    <s v="Irregular"/>
    <n v="0"/>
    <s v="No"/>
    <s v="None"/>
    <s v="Health &amp; Fitness|Sports"/>
  </r>
  <r>
    <s v="Chase Freedom XX9381"/>
    <d v="2014-06-27T00:00:00"/>
    <n v="-10.91"/>
    <s v="X"/>
    <s v="Lowe's"/>
    <s v="Hose nozzles"/>
    <s v="Home:Home Improvement/From Receipt"/>
    <m/>
    <m/>
    <s v="From Receipt"/>
    <x v="14"/>
    <x v="19"/>
    <m/>
    <m/>
    <m/>
    <m/>
    <s v="Jun"/>
    <n v="2014"/>
    <s v="Irregular"/>
    <n v="0"/>
    <s v="No"/>
    <s v="None"/>
    <s v="Home|Home Improvement"/>
  </r>
  <r>
    <s v="Chase Freedom XX9381"/>
    <d v="2014-06-27T00:00:00"/>
    <n v="-24.05"/>
    <s v="X"/>
    <s v="Zeeks Pizza Phinney"/>
    <m/>
    <s v="Food &amp; Dining:Restaurants/From Receipt"/>
    <m/>
    <m/>
    <s v="From Receipt"/>
    <x v="15"/>
    <x v="15"/>
    <m/>
    <m/>
    <m/>
    <m/>
    <s v="Jun"/>
    <n v="2014"/>
    <s v="Monthly"/>
    <n v="0"/>
    <s v="No"/>
    <s v="None"/>
    <s v="Food &amp; Dining|Restaurants"/>
  </r>
  <r>
    <s v="Chase Freedom XX9381"/>
    <d v="2014-06-27T00:00:00"/>
    <n v="-688.86"/>
    <s v="X"/>
    <s v="Lowe's"/>
    <s v="Washing machine"/>
    <s v="Projects:Appliances"/>
    <m/>
    <m/>
    <m/>
    <x v="39"/>
    <x v="36"/>
    <m/>
    <m/>
    <m/>
    <m/>
    <s v="Jun"/>
    <n v="2014"/>
    <s v="Unplanned"/>
    <n v="0"/>
    <s v="No"/>
    <s v="None"/>
    <s v="Projects|Appliances"/>
  </r>
  <r>
    <s v="MasterCard (Capital One)"/>
    <d v="2014-06-27T00:00:00"/>
    <n v="-10.85"/>
    <s v="X"/>
    <s v="Gymboree"/>
    <s v="2011: GYMBOREE 507350050731 TULALIP WA 98271 USA"/>
    <s v="Kids:Clothing/From Receipt"/>
    <m/>
    <m/>
    <s v="From Receipt"/>
    <x v="27"/>
    <x v="1"/>
    <m/>
    <m/>
    <m/>
    <m/>
    <s v="Jun"/>
    <n v="2014"/>
    <s v="Monthly"/>
    <n v="0"/>
    <s v="No"/>
    <s v="None"/>
    <s v="Kids|Clothing"/>
  </r>
  <r>
    <s v="MasterCard (Capital One)"/>
    <d v="2014-06-27T00:00:00"/>
    <n v="-33.64"/>
    <s v="X"/>
    <s v="Ann Taylor"/>
    <s v="2011: ANN TAYLOR LOFT #2955 TULALIP WA 98271 USA"/>
    <s v="Shopping:Clothing/From Receipt"/>
    <m/>
    <m/>
    <s v="From Receipt"/>
    <x v="13"/>
    <x v="1"/>
    <m/>
    <m/>
    <m/>
    <m/>
    <s v="Jun"/>
    <n v="2014"/>
    <s v="Annual"/>
    <n v="0"/>
    <s v="No"/>
    <s v="None"/>
    <s v="Shopping|Clothing"/>
  </r>
  <r>
    <s v="MasterCard (Capital One)"/>
    <d v="2014-06-27T00:00:00"/>
    <n v="-49.92"/>
    <s v="X"/>
    <s v="Ann Taylor"/>
    <s v="2011: ANN TAYLOR FACTORY #12 TULALIP WA 98271 USA"/>
    <s v="Shopping:Clothing/From Receipt"/>
    <m/>
    <m/>
    <s v="From Receipt"/>
    <x v="13"/>
    <x v="1"/>
    <m/>
    <m/>
    <m/>
    <m/>
    <s v="Jun"/>
    <n v="2014"/>
    <s v="Annual"/>
    <n v="0"/>
    <s v="No"/>
    <s v="None"/>
    <s v="Shopping|Clothing"/>
  </r>
  <r>
    <s v="MasterCard (Capital One)"/>
    <d v="2014-06-27T00:00:00"/>
    <n v="-77.650000000000006"/>
    <s v="X"/>
    <s v="Jockey"/>
    <s v="2011: JOCKEY SEATTLE WA TULALIP WA 98271 USA"/>
    <s v="Shopping:Clothing"/>
    <m/>
    <m/>
    <m/>
    <x v="13"/>
    <x v="1"/>
    <m/>
    <m/>
    <m/>
    <m/>
    <s v="Jun"/>
    <n v="2014"/>
    <s v="Annual"/>
    <n v="0"/>
    <s v="No"/>
    <s v="None"/>
    <s v="Shopping|Clothing"/>
  </r>
  <r>
    <s v="Koolikai - Checking XX2129"/>
    <d v="2014-06-26T00:00:00"/>
    <n v="2195"/>
    <s v="X"/>
    <s v="John Schaibley"/>
    <s v="Deposit--Shared Branch Mobile Deposit          First Tech FC CA"/>
    <s v="Business Income (Koolikai):Rent/9602"/>
    <m/>
    <m/>
    <n v="9602"/>
    <x v="37"/>
    <x v="25"/>
    <m/>
    <m/>
    <m/>
    <m/>
    <s v="Jun"/>
    <n v="2014"/>
    <s v="Monthly"/>
    <n v="0"/>
    <s v="No"/>
    <s v="None"/>
    <s v="Business Income (Koolikai)|Rent"/>
  </r>
  <r>
    <s v="Schwab - Checking (9784)"/>
    <d v="2014-06-26T00:00:00"/>
    <n v="-23.68"/>
    <s v="X"/>
    <s v="Costco"/>
    <s v="Fruit snacks and olive oil"/>
    <s v="Food &amp; Dining:Groceries"/>
    <m/>
    <m/>
    <m/>
    <x v="15"/>
    <x v="3"/>
    <m/>
    <m/>
    <m/>
    <m/>
    <s v="Jun"/>
    <n v="2014"/>
    <s v="Monthly"/>
    <n v="0"/>
    <s v="No"/>
    <s v="None"/>
    <s v="Food &amp; Dining|Groceries"/>
  </r>
  <r>
    <s v="Chase Freedom XX9381"/>
    <d v="2014-06-26T00:00:00"/>
    <n v="954.76"/>
    <s v="X"/>
    <s v="Chase Autopay (Freedom)"/>
    <m/>
    <s v="[First Tech - Checking (5544)]"/>
    <m/>
    <m/>
    <m/>
    <x v="21"/>
    <x v="0"/>
    <m/>
    <m/>
    <m/>
    <m/>
    <s v="Jun"/>
    <n v="2014"/>
    <s v="Account"/>
    <n v="0"/>
    <s v="No"/>
    <s v="None"/>
    <s v="[First Tech - Checking (5544)]"/>
  </r>
  <r>
    <s v="MasterCard (Capital One)"/>
    <d v="2014-06-26T00:00:00"/>
    <n v="27.36"/>
    <s v="X"/>
    <s v="Macy's"/>
    <s v="Returned sharpening steel"/>
    <s v="Home:Furnishings/From Receipt"/>
    <m/>
    <m/>
    <s v="From Receipt"/>
    <x v="14"/>
    <x v="2"/>
    <m/>
    <m/>
    <m/>
    <m/>
    <s v="Jun"/>
    <n v="2014"/>
    <s v="Monthly"/>
    <n v="0"/>
    <s v="No"/>
    <s v="None"/>
    <s v="Home|Furnishings"/>
  </r>
  <r>
    <s v="MasterCard (Capital One)"/>
    <d v="2014-06-26T00:00:00"/>
    <n v="32.83"/>
    <s v="X"/>
    <s v="Childish Things"/>
    <s v="#Scottsdale 2014# Sun hats"/>
    <s v="Kids:Clothing/From Receipt"/>
    <m/>
    <m/>
    <s v="From Receipt"/>
    <x v="27"/>
    <x v="1"/>
    <m/>
    <m/>
    <s v="Scottsdale 2014"/>
    <m/>
    <s v="Jun"/>
    <n v="2014"/>
    <s v="Monthly"/>
    <n v="0"/>
    <s v="No"/>
    <s v="None"/>
    <s v="Kids|Clothing"/>
  </r>
  <r>
    <s v="MasterCard (Capital One)"/>
    <d v="2014-06-26T00:00:00"/>
    <n v="-13"/>
    <s v="X"/>
    <s v="Alaska Air"/>
    <s v="#Scottsdale 2014# Plane food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MasterCard (Capital One)"/>
    <d v="2014-06-26T00:00:00"/>
    <n v="-134.6"/>
    <s v="X"/>
    <s v="Fred Meyer"/>
    <s v="2011: FRED-MEYER #0122 SEATTLE WA 98117 USA"/>
    <s v="Food &amp; Dining:Groceries/From Receipt"/>
    <m/>
    <m/>
    <s v="From Receipt"/>
    <x v="15"/>
    <x v="3"/>
    <m/>
    <m/>
    <m/>
    <m/>
    <s v="Jun"/>
    <n v="2014"/>
    <s v="Monthly"/>
    <n v="0"/>
    <s v="No"/>
    <s v="None"/>
    <s v="Food &amp; Dining|Groceries"/>
  </r>
  <r>
    <s v="Target Red Card"/>
    <d v="2014-06-26T00:00:00"/>
    <n v="15.59"/>
    <s v="X"/>
    <s v="Target"/>
    <s v="#Stay Fit# Return of bike lock"/>
    <s v="Health &amp; Fitness:Sports/From Receipt"/>
    <n v="799999941771"/>
    <m/>
    <s v="From Receipt"/>
    <x v="18"/>
    <x v="23"/>
    <m/>
    <m/>
    <s v="Stay Fit"/>
    <m/>
    <s v="Jun"/>
    <n v="2014"/>
    <s v="Irregular"/>
    <n v="0"/>
    <s v="No"/>
    <s v="None"/>
    <s v="Health &amp; Fitness|Sports"/>
  </r>
  <r>
    <s v="Target Red Card"/>
    <d v="2014-06-26T00:00:00"/>
    <n v="-31.15"/>
    <s v="X"/>
    <s v="Target"/>
    <s v="Sheets for boys room"/>
    <s v="Home:Furnishings/From Receipt"/>
    <n v="799999941771"/>
    <s v="Split"/>
    <s v="From Receipt"/>
    <x v="14"/>
    <x v="2"/>
    <m/>
    <m/>
    <m/>
    <m/>
    <s v="Jun"/>
    <n v="2014"/>
    <s v="Monthly"/>
    <n v="0"/>
    <s v="No"/>
    <s v="None"/>
    <s v="Home|Furnishings"/>
  </r>
  <r>
    <s v="Target Red Card"/>
    <d v="2014-06-26T00:00:00"/>
    <n v="-6.19"/>
    <s v="X"/>
    <s v="Target"/>
    <s v="Birthday card"/>
    <s v="Gifts/From Receipt"/>
    <n v="799999941771"/>
    <s v="Split"/>
    <s v="From Receipt"/>
    <x v="28"/>
    <x v="0"/>
    <m/>
    <m/>
    <m/>
    <m/>
    <s v="Jun"/>
    <n v="2014"/>
    <s v="Monthly"/>
    <n v="0"/>
    <s v="No"/>
    <s v="None"/>
    <s v="Gifts"/>
  </r>
  <r>
    <s v="First Tech - Checking (5544)"/>
    <d v="2014-06-25T00:00:00"/>
    <n v="-200000"/>
    <s v="X"/>
    <s v="Lpl  - Debit"/>
    <s v="ACH Debit--LPL  - DEBIT"/>
    <s v="[LPL Financial]"/>
    <m/>
    <m/>
    <m/>
    <x v="44"/>
    <x v="0"/>
    <m/>
    <m/>
    <m/>
    <m/>
    <s v="Jun"/>
    <n v="2014"/>
    <e v="#N/A"/>
    <e v="#N/A"/>
    <e v="#N/A"/>
    <e v="#N/A"/>
    <s v="[LPL Financial]"/>
  </r>
  <r>
    <s v="Chase Freedom XX9381"/>
    <d v="2014-06-25T00:00:00"/>
    <n v="-45.84"/>
    <s v="X"/>
    <s v="Lowe's"/>
    <m/>
    <s v="Home:Home Improvement"/>
    <m/>
    <m/>
    <m/>
    <x v="14"/>
    <x v="19"/>
    <m/>
    <m/>
    <m/>
    <m/>
    <s v="Jun"/>
    <n v="2014"/>
    <s v="Irregular"/>
    <n v="0"/>
    <s v="No"/>
    <s v="None"/>
    <s v="Home|Home Improvement"/>
  </r>
  <r>
    <s v="MasterCard (Capital One)"/>
    <d v="2014-06-25T00:00:00"/>
    <n v="-55.21"/>
    <s v="X"/>
    <s v="Shuttlepark 2"/>
    <s v="#Scottsdale 2014#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LPL Financial"/>
    <d v="2014-06-25T00:00:00"/>
    <n v="200000"/>
    <m/>
    <s v="Lpl  - Debit"/>
    <s v="ACH Debit--LPL  - DEBIT"/>
    <s v="[First Tech - Checking (5544)]"/>
    <s v="XIn"/>
    <s v="Split"/>
    <m/>
    <x v="21"/>
    <x v="0"/>
    <m/>
    <m/>
    <m/>
    <m/>
    <s v="Jun"/>
    <n v="2014"/>
    <s v="Account"/>
    <n v="0"/>
    <s v="No"/>
    <s v="None"/>
    <s v="[First Tech - Checking (5544)]"/>
  </r>
  <r>
    <s v="Koolikai - Checking XX2129"/>
    <d v="2014-06-24T00:00:00"/>
    <n v="-343.98"/>
    <s v="X"/>
    <s v="Chase - Koolikai (Autopay)"/>
    <s v="ACH Debit--CHASE  - AUTOPAYBUS"/>
    <s v="[Koolikai Credit Card]"/>
    <m/>
    <m/>
    <m/>
    <x v="9"/>
    <x v="0"/>
    <m/>
    <m/>
    <m/>
    <m/>
    <s v="Jun"/>
    <n v="2014"/>
    <s v="Account"/>
    <n v="0"/>
    <s v="No"/>
    <s v="None"/>
    <s v="[Koolikai Credit Card]"/>
  </r>
  <r>
    <s v="MasterCard (Capital One)"/>
    <d v="2014-06-24T00:00:00"/>
    <n v="-25"/>
    <s v="X"/>
    <s v="Alaska Air"/>
    <s v="#Scottsdale 2014# Bag fee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MasterCard (Capital One)"/>
    <d v="2014-06-24T00:00:00"/>
    <n v="-33"/>
    <s v="X"/>
    <s v="Groupon"/>
    <s v="Groupon for Remlinger Farms"/>
    <s v="Kids:Kids Activities"/>
    <m/>
    <m/>
    <m/>
    <x v="27"/>
    <x v="12"/>
    <m/>
    <m/>
    <m/>
    <m/>
    <s v="Jun"/>
    <n v="2014"/>
    <s v="Monthly"/>
    <n v="0"/>
    <s v="No"/>
    <s v="None"/>
    <s v="Kids|Kids Activities"/>
  </r>
  <r>
    <s v="First Tech - Checking (5544)"/>
    <d v="2014-06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Jun"/>
    <n v="2014"/>
    <s v="Monthly"/>
    <n v="0"/>
    <s v="No"/>
    <s v="None"/>
    <s v="Auto &amp; Transport|Auto Lease Payment"/>
  </r>
  <r>
    <s v="First Tech - Checking (5544)"/>
    <d v="2014-06-23T00:00:00"/>
    <n v="-492.75"/>
    <s v="X"/>
    <s v="Caesar's Gardens"/>
    <s v="ACH Debit--CATHLEEN CAESAR  - ONLINE PMT"/>
    <s v="Projects:Landscaping"/>
    <m/>
    <m/>
    <m/>
    <x v="39"/>
    <x v="47"/>
    <m/>
    <m/>
    <m/>
    <m/>
    <s v="Jun"/>
    <n v="2014"/>
    <s v="Unplanned"/>
    <n v="0"/>
    <s v="No"/>
    <s v="None"/>
    <s v="Projects|Landscaping"/>
  </r>
  <r>
    <s v="Schwab - Checking (9784)"/>
    <d v="2014-06-23T00:00:00"/>
    <n v="-63"/>
    <s v="X"/>
    <s v="Bank Of America"/>
    <s v="#Scottsdale 2014#"/>
    <s v="Vacation:Food"/>
    <m/>
    <m/>
    <m/>
    <x v="23"/>
    <x v="8"/>
    <m/>
    <m/>
    <s v="Scottsdale 2014"/>
    <m/>
    <s v="Jun"/>
    <n v="2014"/>
    <s v="Irregular"/>
    <n v="0"/>
    <s v="No"/>
    <s v="None"/>
    <s v="Vacation|Food"/>
  </r>
  <r>
    <s v="Chase Freedom XX9381"/>
    <d v="2014-06-23T00:00:00"/>
    <n v="-18.399999999999999"/>
    <s v="X"/>
    <s v="Target"/>
    <s v="#Scottsdale 2014# Sunglasses"/>
    <s v="Shopping:Clothing:Accessories/From Receipt"/>
    <m/>
    <m/>
    <s v="From Receipt"/>
    <x v="13"/>
    <x v="1"/>
    <s v="Accessories"/>
    <m/>
    <s v="Scottsdale 2014"/>
    <m/>
    <s v="Jun"/>
    <n v="2014"/>
    <s v="Annual"/>
    <n v="0"/>
    <s v="No"/>
    <s v="None"/>
    <s v="Shopping|Clothing"/>
  </r>
  <r>
    <s v="Koolikai Credit Card"/>
    <d v="2014-06-23T00:00:00"/>
    <n v="343.98"/>
    <s v="X"/>
    <s v="Chase - Koolikai (Autopay)"/>
    <m/>
    <s v="[Koolikai - Checking XX2129]"/>
    <m/>
    <m/>
    <m/>
    <x v="25"/>
    <x v="0"/>
    <m/>
    <m/>
    <m/>
    <m/>
    <s v="Jun"/>
    <n v="2014"/>
    <s v="Account"/>
    <n v="0"/>
    <s v="No"/>
    <s v="None"/>
    <s v="[Koolikai - Checking XX2129]"/>
  </r>
  <r>
    <s v="MasterCard (Capital One)"/>
    <d v="2014-06-23T00:00:00"/>
    <n v="-19.940000000000001"/>
    <s v="X"/>
    <s v="Play Factory"/>
    <s v="#Scottsdale 2014#  Play factory (climbing wall, play area)"/>
    <s v="Vacation:Activities"/>
    <m/>
    <m/>
    <m/>
    <x v="23"/>
    <x v="39"/>
    <m/>
    <m/>
    <s v="Scottsdale 2014"/>
    <m/>
    <s v="Jun"/>
    <n v="2014"/>
    <s v="Irregular"/>
    <n v="0"/>
    <s v="No"/>
    <s v="None"/>
    <s v="Vacation|Activities"/>
  </r>
  <r>
    <s v="Chase Freedom XX9381"/>
    <d v="2014-06-22T00:00:00"/>
    <n v="-11.71"/>
    <s v="X"/>
    <s v="Gabb N Sat"/>
    <m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22T00:00:00"/>
    <n v="-32"/>
    <s v="X"/>
    <s v="Act City Mesaactnet"/>
    <s v="#Scottsdale 2014# Dinosaur museum"/>
    <s v="Vacation:Activities"/>
    <m/>
    <m/>
    <m/>
    <x v="23"/>
    <x v="39"/>
    <m/>
    <m/>
    <s v="Scottsdale 2014"/>
    <m/>
    <s v="Jun"/>
    <n v="2014"/>
    <s v="Irregular"/>
    <n v="0"/>
    <s v="No"/>
    <s v="None"/>
    <s v="Vacation|Activities"/>
  </r>
  <r>
    <s v="American Express (Costco)"/>
    <d v="2014-06-21T00:00:00"/>
    <n v="-43.16"/>
    <s v="X"/>
    <s v="Costco"/>
    <s v="Life vests for boys, recat as"/>
    <s v="Food &amp; Dining:Groceries"/>
    <m/>
    <s v="Split"/>
    <m/>
    <x v="15"/>
    <x v="3"/>
    <m/>
    <m/>
    <m/>
    <m/>
    <s v="Jun"/>
    <n v="2014"/>
    <s v="Monthly"/>
    <n v="0"/>
    <s v="No"/>
    <s v="None"/>
    <s v="Food &amp; Dining|Groceries"/>
  </r>
  <r>
    <s v="American Express (Costco)"/>
    <d v="2014-06-21T00:00:00"/>
    <n v="-32.03"/>
    <s v="X"/>
    <s v="Costco"/>
    <s v="#Scottsdale 2014#Groceries at"/>
    <s v="Vacation:Food"/>
    <m/>
    <s v="Split"/>
    <m/>
    <x v="23"/>
    <x v="8"/>
    <m/>
    <m/>
    <s v="Scottsdale 2014"/>
    <m/>
    <s v="Jun"/>
    <n v="2014"/>
    <s v="Irregular"/>
    <n v="0"/>
    <s v="No"/>
    <s v="None"/>
    <s v="Vacation|Food"/>
  </r>
  <r>
    <s v="MasterCard (Capital One)"/>
    <d v="2014-06-21T00:00:00"/>
    <n v="25"/>
    <s v="X"/>
    <s v="Capital One (Cash Back)"/>
    <s v="2011: CREDIT-CASH BACK REWARD"/>
    <s v="Other Inc"/>
    <m/>
    <m/>
    <m/>
    <x v="29"/>
    <x v="0"/>
    <m/>
    <m/>
    <m/>
    <m/>
    <s v="Jun"/>
    <n v="2014"/>
    <s v="Monthly"/>
    <n v="0"/>
    <s v="No"/>
    <s v="None"/>
    <s v="Other Inc"/>
  </r>
  <r>
    <s v="Target Red Card"/>
    <d v="2014-06-21T00:00:00"/>
    <n v="61.51"/>
    <s v="X"/>
    <s v="Target"/>
    <s v="Return of pool vests #Scottsdale 2014#"/>
    <s v="Vacation:Activities/From Receipt"/>
    <n v="799999941721"/>
    <m/>
    <s v="From Receipt"/>
    <x v="23"/>
    <x v="39"/>
    <m/>
    <m/>
    <s v="Scottsdale 2014"/>
    <m/>
    <s v="Jun"/>
    <n v="2014"/>
    <s v="Irregular"/>
    <n v="0"/>
    <s v="No"/>
    <s v="None"/>
    <s v="Vacation|Activities"/>
  </r>
  <r>
    <s v="MasterCard (Capital One)"/>
    <d v="2014-06-20T00:00:00"/>
    <n v="-20"/>
    <s v="X"/>
    <s v="Mc Cormick-stillman Railroad"/>
    <s v="#Scottsdale 2014#"/>
    <s v="Kids:Kids Activities"/>
    <m/>
    <m/>
    <m/>
    <x v="27"/>
    <x v="12"/>
    <m/>
    <m/>
    <s v="Scottsdale 2014"/>
    <m/>
    <s v="Jun"/>
    <n v="2014"/>
    <s v="Monthly"/>
    <n v="0"/>
    <s v="No"/>
    <s v="None"/>
    <s v="Kids|Kids Activities"/>
  </r>
  <r>
    <s v="Target Red Card"/>
    <d v="2014-06-20T00:00:00"/>
    <n v="-2.85"/>
    <s v="X"/>
    <s v="Food Avenue"/>
    <m/>
    <s v="Food &amp; Dining:Restaurants"/>
    <n v="799999941710"/>
    <m/>
    <m/>
    <x v="15"/>
    <x v="15"/>
    <m/>
    <m/>
    <m/>
    <m/>
    <s v="Jun"/>
    <n v="2014"/>
    <s v="Monthly"/>
    <n v="0"/>
    <s v="No"/>
    <s v="None"/>
    <s v="Food &amp; Dining|Restaurants"/>
  </r>
  <r>
    <s v="Target Red Card"/>
    <d v="2014-06-20T00:00:00"/>
    <n v="-4.8"/>
    <s v="X"/>
    <s v="Food Avenue"/>
    <m/>
    <s v="Food &amp; Dining:Restaurants"/>
    <n v="799999941710"/>
    <m/>
    <m/>
    <x v="15"/>
    <x v="15"/>
    <m/>
    <m/>
    <m/>
    <m/>
    <s v="Jun"/>
    <n v="2014"/>
    <s v="Monthly"/>
    <n v="0"/>
    <s v="No"/>
    <s v="None"/>
    <s v="Food &amp; Dining|Restaurants"/>
  </r>
  <r>
    <s v="Target Red Card"/>
    <d v="2014-06-20T00:00:00"/>
    <n v="-1.1000000000000001"/>
    <s v="X"/>
    <s v="Target"/>
    <s v="#Scottsdale 2014#"/>
    <s v="Vacation:Food/From Receipt"/>
    <n v="799999941710"/>
    <s v="Split"/>
    <s v="From Receipt"/>
    <x v="23"/>
    <x v="8"/>
    <m/>
    <m/>
    <s v="Scottsdale 2014"/>
    <m/>
    <s v="Jun"/>
    <n v="2014"/>
    <s v="Irregular"/>
    <n v="0"/>
    <s v="No"/>
    <s v="None"/>
    <s v="Vacation|Food"/>
  </r>
  <r>
    <s v="Target Red Card"/>
    <d v="2014-06-20T00:00:00"/>
    <n v="-77.88"/>
    <s v="X"/>
    <s v="Target"/>
    <s v="#Scottsdale 2014#Pool floats,"/>
    <s v="Vacation:Activities/From Receipt"/>
    <n v="799999941710"/>
    <s v="Split"/>
    <s v="From Receipt"/>
    <x v="23"/>
    <x v="39"/>
    <m/>
    <m/>
    <s v="Scottsdale 2014"/>
    <m/>
    <s v="Jun"/>
    <n v="2014"/>
    <s v="Irregular"/>
    <n v="0"/>
    <s v="No"/>
    <s v="None"/>
    <s v="Vacation|Activities"/>
  </r>
  <r>
    <s v="Target Red Card"/>
    <d v="2014-06-20T00:00:00"/>
    <n v="-13.48"/>
    <s v="X"/>
    <s v="Target"/>
    <s v="#Scottsdale 2014#Glasses and p"/>
    <s v="Vacation:Other/From Receipt"/>
    <n v="799999941710"/>
    <s v="Split"/>
    <s v="From Receipt"/>
    <x v="23"/>
    <x v="58"/>
    <m/>
    <m/>
    <s v="Scottsdale 2014"/>
    <m/>
    <s v="Jun"/>
    <n v="2014"/>
    <s v="Irregular"/>
    <n v="0"/>
    <s v="No"/>
    <s v="None"/>
    <s v="Vacation|Other"/>
  </r>
  <r>
    <s v="First Tech - Checking (5544)"/>
    <d v="2014-06-19T00:00:00"/>
    <n v="100000"/>
    <s v="X"/>
    <s v="Fid Bkg Svc Llc  - Moneyline"/>
    <s v="Fidelity brokerage services"/>
    <s v="[Fideity ESPP and Stock Awards]"/>
    <m/>
    <m/>
    <m/>
    <x v="43"/>
    <x v="0"/>
    <m/>
    <m/>
    <m/>
    <m/>
    <s v="Jun"/>
    <n v="2014"/>
    <e v="#N/A"/>
    <e v="#N/A"/>
    <e v="#N/A"/>
    <e v="#N/A"/>
    <s v="[Fideity ESPP and Stock Awards]"/>
  </r>
  <r>
    <s v="Koolikai Credit Card"/>
    <d v="2014-06-19T00:00:00"/>
    <n v="-12.81"/>
    <s v="X"/>
    <s v="Godaddy.Com"/>
    <m/>
    <s v="Business Expenses (Koolikai):Office Expenses (Business)"/>
    <m/>
    <m/>
    <m/>
    <x v="36"/>
    <x v="42"/>
    <m/>
    <m/>
    <m/>
    <m/>
    <s v="Jun"/>
    <n v="2014"/>
    <s v="Monthly"/>
    <n v="0"/>
    <s v="No"/>
    <s v="None"/>
    <s v="Business Expenses (Koolikai)|Office Expenses (Business)"/>
  </r>
  <r>
    <s v="MasterCard (Capital One)"/>
    <d v="2014-06-19T00:00:00"/>
    <n v="-13"/>
    <s v="X"/>
    <s v="Alaska Air"/>
    <s v="#Scottsdale 2014#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MasterCard (Capital One)"/>
    <d v="2014-06-19T00:00:00"/>
    <n v="-25"/>
    <s v="X"/>
    <s v="Alaska Air"/>
    <s v="#Scottsdale 2014#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Fideity ESPP and Stock Awards"/>
    <d v="2014-06-19T00:00:00"/>
    <n v="100000"/>
    <m/>
    <s v="Fid Bkg Svc Llc  - Moneyline"/>
    <s v="Fidelity brokerage services"/>
    <s v="[First Tech - Checking (5544)]"/>
    <s v="XOut"/>
    <s v="Split"/>
    <m/>
    <x v="21"/>
    <x v="0"/>
    <m/>
    <m/>
    <m/>
    <m/>
    <s v="Jun"/>
    <n v="2014"/>
    <s v="Account"/>
    <n v="0"/>
    <s v="No"/>
    <s v="None"/>
    <s v="[First Tech - Checking (5544)]"/>
  </r>
  <r>
    <s v="Koolikai Credit Card"/>
    <d v="2014-06-18T00:00:00"/>
    <n v="-71.88"/>
    <s v="X"/>
    <s v="Godaddy.Com"/>
    <m/>
    <s v="Business Expenses (Koolikai):Office Expenses (Business)"/>
    <m/>
    <m/>
    <m/>
    <x v="36"/>
    <x v="42"/>
    <m/>
    <m/>
    <m/>
    <m/>
    <s v="Jun"/>
    <n v="2014"/>
    <s v="Monthly"/>
    <n v="0"/>
    <s v="No"/>
    <s v="None"/>
    <s v="Business Expenses (Koolikai)|Office Expenses (Business)"/>
  </r>
  <r>
    <s v="MasterCard (Capital One)"/>
    <d v="2014-06-18T00:00:00"/>
    <n v="-10"/>
    <s v="X"/>
    <s v="Shuttlepark 2"/>
    <s v="#Scottsdale 2014#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MasterCard (Capital One)"/>
    <d v="2014-06-18T00:00:00"/>
    <n v="-15.86"/>
    <s v="X"/>
    <s v="Diamond Parking"/>
    <s v="#Scottsdale 2014#"/>
    <s v="Vacation:Transportation"/>
    <m/>
    <m/>
    <m/>
    <x v="23"/>
    <x v="26"/>
    <m/>
    <m/>
    <s v="Scottsdale 2014"/>
    <m/>
    <s v="Jun"/>
    <n v="2014"/>
    <s v="Irregular"/>
    <n v="0"/>
    <s v="No"/>
    <s v="None"/>
    <s v="Vacation|Transportation"/>
  </r>
  <r>
    <s v="MasterCard (Capital One)"/>
    <d v="2014-06-18T00:00:00"/>
    <n v="-18.63"/>
    <s v="X"/>
    <s v="Highlights"/>
    <s v="2011: HIGHLIGHTS FOR CHILDRE 800-255-9517 OH 43215 USA"/>
    <s v="Kids:Toys"/>
    <m/>
    <m/>
    <m/>
    <x v="27"/>
    <x v="14"/>
    <m/>
    <m/>
    <m/>
    <m/>
    <s v="Jun"/>
    <n v="2014"/>
    <s v="Monthly"/>
    <n v="0"/>
    <s v="No"/>
    <s v="None"/>
    <s v="Kids|Toys"/>
  </r>
  <r>
    <s v="MasterCard (Capital One)"/>
    <d v="2014-06-18T00:00:00"/>
    <n v="-903.11"/>
    <s v="X"/>
    <s v="K 1 Speed"/>
    <s v="#Go Cart Racing# with team"/>
    <s v="Work Expense:Reimbursable expense"/>
    <m/>
    <m/>
    <m/>
    <x v="19"/>
    <x v="21"/>
    <m/>
    <m/>
    <s v="Go Cart Racing"/>
    <m/>
    <s v="Jun"/>
    <n v="2014"/>
    <s v="Irregular"/>
    <n v="0"/>
    <s v="No"/>
    <s v="None"/>
    <s v="Work Expense|Reimbursable expense"/>
  </r>
  <r>
    <s v="First Tech - Checking (5544)"/>
    <d v="2014-06-17T00:00:00"/>
    <n v="38832"/>
    <s v="X"/>
    <s v="Transfer From 5562129, Reducing"/>
    <s v="Consolidating cash"/>
    <s v="[Koolikai - Checking XX2129]"/>
    <m/>
    <m/>
    <m/>
    <x v="25"/>
    <x v="0"/>
    <m/>
    <m/>
    <m/>
    <m/>
    <s v="Jun"/>
    <n v="2014"/>
    <s v="Account"/>
    <n v="0"/>
    <s v="No"/>
    <s v="None"/>
    <s v="[Koolikai - Checking XX2129]"/>
  </r>
  <r>
    <s v="First Tech - Checking (5544)"/>
    <d v="2014-06-17T00:00:00"/>
    <n v="71426"/>
    <s v="X"/>
    <s v="Transfer From 47755400, Reducin"/>
    <s v="Consolidating cash"/>
    <s v="[First Tech - Short Term Emergency (5400)]"/>
    <m/>
    <m/>
    <m/>
    <x v="4"/>
    <x v="0"/>
    <m/>
    <m/>
    <m/>
    <m/>
    <s v="Jun"/>
    <n v="2014"/>
    <s v="Account"/>
    <n v="0"/>
    <s v="No"/>
    <s v="None"/>
    <s v="[First Tech - Short Term Emergency (5400)]"/>
  </r>
  <r>
    <s v="First Tech - Short Term Emergency (5400)"/>
    <d v="2014-06-17T00:00:00"/>
    <n v="-71426"/>
    <s v="X"/>
    <s v="Transfer To 914775544, Reducing"/>
    <s v="Withdrawal-- Transfer to 914775544, reducing cash holdings"/>
    <s v="[First Tech - Checking (5544)]"/>
    <m/>
    <m/>
    <m/>
    <x v="21"/>
    <x v="0"/>
    <m/>
    <m/>
    <m/>
    <m/>
    <s v="Jun"/>
    <n v="2014"/>
    <s v="Account"/>
    <n v="0"/>
    <s v="No"/>
    <s v="None"/>
    <s v="[First Tech - Checking (5544)]"/>
  </r>
  <r>
    <s v="Koolikai - Checking XX2129"/>
    <d v="2014-06-17T00:00:00"/>
    <n v="-38832"/>
    <s v="X"/>
    <s v="Transfer"/>
    <s v="Withdrawal-- Transfer to 914775544, reducing cash holdings"/>
    <s v="[First Tech - Checking (5544)]"/>
    <m/>
    <m/>
    <m/>
    <x v="21"/>
    <x v="0"/>
    <m/>
    <m/>
    <m/>
    <m/>
    <s v="Jun"/>
    <n v="2014"/>
    <s v="Account"/>
    <n v="0"/>
    <s v="No"/>
    <s v="None"/>
    <s v="[First Tech - Checking (5544)]"/>
  </r>
  <r>
    <s v="Chase Freedom XX9381"/>
    <d v="2014-06-17T00:00:00"/>
    <n v="-8.1999999999999993"/>
    <s v="X"/>
    <s v="Fresh Table Cafe"/>
    <s v="2011: FRESH TABLE CAFE MET SEATTLE WA 98101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17T00:00:00"/>
    <n v="-250.75"/>
    <s v="X"/>
    <s v="Vehicle Licensing"/>
    <s v="Leaf"/>
    <s v="Auto &amp; Transport:Registration"/>
    <m/>
    <m/>
    <m/>
    <x v="17"/>
    <x v="4"/>
    <m/>
    <m/>
    <m/>
    <m/>
    <s v="Jun"/>
    <n v="2014"/>
    <s v="Annual"/>
    <n v="0"/>
    <s v="No"/>
    <s v="None"/>
    <s v="Auto &amp; Transport|Registration"/>
  </r>
  <r>
    <s v="Chase Freedom XX9381"/>
    <d v="2014-06-16T00:00:00"/>
    <n v="-6.5"/>
    <s v="X"/>
    <s v="Bluebird Ice Cream"/>
    <m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16T00:00:00"/>
    <n v="-7.83"/>
    <s v="X"/>
    <s v="Amazon"/>
    <s v="Mickey and Friends play set"/>
    <s v="Kids:Toys/From Receipt"/>
    <m/>
    <m/>
    <s v="From Receipt"/>
    <x v="27"/>
    <x v="14"/>
    <m/>
    <m/>
    <m/>
    <m/>
    <s v="Jun"/>
    <n v="2014"/>
    <s v="Monthly"/>
    <n v="0"/>
    <s v="No"/>
    <s v="None"/>
    <s v="Kids|Toys"/>
  </r>
  <r>
    <s v="First Tech - Checking (5544)"/>
    <d v="2014-06-15T00:00:00"/>
    <n v="43"/>
    <s v="X"/>
    <s v="Seattle Children's Hospital"/>
    <s v="Reimbursement -- Don't know why"/>
    <s v="[Premera Health Care Payment]"/>
    <m/>
    <m/>
    <m/>
    <x v="42"/>
    <x v="0"/>
    <m/>
    <m/>
    <m/>
    <m/>
    <s v="Jun"/>
    <n v="2014"/>
    <s v="Account"/>
    <n v="0"/>
    <s v="No"/>
    <s v="None"/>
    <s v="[Premera Health Care Payment]"/>
  </r>
  <r>
    <s v="Schwab - Checking (9784)"/>
    <d v="2014-06-15T00:00:00"/>
    <n v="-20"/>
    <s v="X"/>
    <s v="P N 9201 Holman Road"/>
    <s v="Dicks drive in"/>
    <s v="Food &amp; Dining:Restaurants"/>
    <m/>
    <s v="Split"/>
    <m/>
    <x v="15"/>
    <x v="15"/>
    <m/>
    <m/>
    <m/>
    <m/>
    <s v="Jun"/>
    <n v="2014"/>
    <s v="Monthly"/>
    <n v="0"/>
    <s v="No"/>
    <s v="None"/>
    <s v="Food &amp; Dining|Restaurants"/>
  </r>
  <r>
    <s v="Schwab - Checking (9784)"/>
    <d v="2014-06-15T00:00:00"/>
    <n v="-2.25"/>
    <s v="X"/>
    <s v="P N 9201 Holman Road"/>
    <m/>
    <s v="Bank Fees &amp; Charges:ATM Fee"/>
    <m/>
    <s v="Split"/>
    <m/>
    <x v="32"/>
    <x v="17"/>
    <m/>
    <m/>
    <m/>
    <m/>
    <s v="Jun"/>
    <n v="2014"/>
    <s v="Monthly"/>
    <n v="0"/>
    <s v="No"/>
    <s v="None"/>
    <s v="Bank Fees &amp; Charges|ATM Fee"/>
  </r>
  <r>
    <s v="MasterCard (Capital One)"/>
    <d v="2014-06-15T00:00:00"/>
    <n v="-1.1100000000000001"/>
    <s v="X"/>
    <s v="Barnes &amp; Noble"/>
    <s v="2011: BARNES &amp; NOBLE #2280 SEATTLE WA 98125 USA"/>
    <s v="Shopping:Books"/>
    <m/>
    <m/>
    <m/>
    <x v="13"/>
    <x v="51"/>
    <m/>
    <m/>
    <m/>
    <m/>
    <s v="Jun"/>
    <n v="2014"/>
    <s v="Unplanned"/>
    <n v="0"/>
    <s v="No"/>
    <s v="None"/>
    <s v="Shopping|Books"/>
  </r>
  <r>
    <s v="MasterCard (Capital One)"/>
    <d v="2014-06-15T00:00:00"/>
    <n v="-106.22"/>
    <s v="X"/>
    <s v="Playdate Sea"/>
    <s v="Punchcard"/>
    <s v="Kids:Kids Activities"/>
    <m/>
    <m/>
    <m/>
    <x v="27"/>
    <x v="12"/>
    <m/>
    <m/>
    <m/>
    <m/>
    <s v="Jun"/>
    <n v="2014"/>
    <s v="Monthly"/>
    <n v="0"/>
    <s v="No"/>
    <s v="None"/>
    <s v="Kids|Kids Activities"/>
  </r>
  <r>
    <s v="Premera Health Care Payment"/>
    <d v="2014-06-15T00:00:00"/>
    <n v="-43"/>
    <s v="X"/>
    <s v="Seattle Children's Hospital"/>
    <s v="Reimbursement -- Don't know why"/>
    <s v="[First Tech - Checking (5544)]"/>
    <m/>
    <m/>
    <m/>
    <x v="21"/>
    <x v="0"/>
    <m/>
    <m/>
    <m/>
    <m/>
    <s v="Jun"/>
    <n v="2014"/>
    <s v="Account"/>
    <n v="0"/>
    <s v="No"/>
    <s v="None"/>
    <s v="[First Tech - Checking (5544)]"/>
  </r>
  <r>
    <s v="MasterCard (Capital One)"/>
    <d v="2014-06-14T00:00:00"/>
    <n v="-10"/>
    <s v="X"/>
    <s v="Walgreens"/>
    <s v="Prescription #0834713"/>
    <s v="Health &amp; Fitness:Pharmacy/From Receipt"/>
    <m/>
    <s v="Split"/>
    <s v="From Receipt"/>
    <x v="18"/>
    <x v="38"/>
    <m/>
    <m/>
    <m/>
    <m/>
    <s v="Jun"/>
    <n v="2014"/>
    <s v="Irregular"/>
    <n v="0"/>
    <s v="No"/>
    <s v="None"/>
    <s v="Health &amp; Fitness|Pharmacy"/>
  </r>
  <r>
    <s v="MasterCard (Capital One)"/>
    <d v="2014-06-14T00:00:00"/>
    <n v="-6.56"/>
    <s v="X"/>
    <s v="Walgreens"/>
    <s v="Baby shampoo"/>
    <s v="Food &amp; Dining:Groceries/From Receipt"/>
    <m/>
    <s v="Split"/>
    <s v="From Receipt"/>
    <x v="15"/>
    <x v="3"/>
    <m/>
    <m/>
    <m/>
    <m/>
    <s v="Jun"/>
    <n v="2014"/>
    <s v="Monthly"/>
    <n v="0"/>
    <s v="No"/>
    <s v="None"/>
    <s v="Food &amp; Dining|Groceries"/>
  </r>
  <r>
    <s v="MasterCard (Capital One)"/>
    <d v="2014-06-14T00:00:00"/>
    <n v="-19.05"/>
    <s v="X"/>
    <s v="Top Ten Toys"/>
    <s v="Bulk miniatures, pirate ship stickers, beach stickers"/>
    <s v="Kids:Toys/From Receipt"/>
    <m/>
    <m/>
    <s v="From Receipt"/>
    <x v="27"/>
    <x v="14"/>
    <m/>
    <m/>
    <m/>
    <m/>
    <s v="Jun"/>
    <n v="2014"/>
    <s v="Monthly"/>
    <n v="0"/>
    <s v="No"/>
    <s v="None"/>
    <s v="Kids|Toys"/>
  </r>
  <r>
    <s v="MasterCard (Capital One)"/>
    <d v="2014-06-14T00:00:00"/>
    <n v="-32.83"/>
    <s v="X"/>
    <s v="Childish Things"/>
    <s v="#Scottsdale 2014# Sun hats"/>
    <s v="Kids:Clothing/From Receipt"/>
    <m/>
    <m/>
    <s v="From Receipt"/>
    <x v="27"/>
    <x v="1"/>
    <m/>
    <m/>
    <s v="Scottsdale 2014"/>
    <m/>
    <s v="Jun"/>
    <n v="2014"/>
    <s v="Monthly"/>
    <n v="0"/>
    <s v="No"/>
    <s v="None"/>
    <s v="Kids|Clothing"/>
  </r>
  <r>
    <s v="MasterCard (Capital One)"/>
    <d v="2014-06-14T00:00:00"/>
    <n v="-72.23"/>
    <s v="X"/>
    <s v="Phinney Market"/>
    <s v="2011: PHINNEY MARKET PUB &amp; E SEATTLE WA 98103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14T00:00:00"/>
    <n v="-21.89"/>
    <s v="X"/>
    <s v="Fred Meyer"/>
    <s v="DVD"/>
    <s v="Kids:Toys/From Receipt"/>
    <m/>
    <s v="Split"/>
    <s v="From Receipt"/>
    <x v="27"/>
    <x v="14"/>
    <m/>
    <m/>
    <m/>
    <m/>
    <s v="Jun"/>
    <n v="2014"/>
    <s v="Monthly"/>
    <n v="0"/>
    <s v="No"/>
    <s v="None"/>
    <s v="Kids|Toys"/>
  </r>
  <r>
    <s v="MasterCard (Capital One)"/>
    <d v="2014-06-14T00:00:00"/>
    <n v="-122.95"/>
    <s v="X"/>
    <s v="Fred Meyer"/>
    <m/>
    <s v="Food &amp; Dining:Groceries/From Receipt"/>
    <m/>
    <s v="Split"/>
    <s v="From Receipt"/>
    <x v="15"/>
    <x v="3"/>
    <m/>
    <m/>
    <m/>
    <m/>
    <s v="Jun"/>
    <n v="2014"/>
    <s v="Monthly"/>
    <n v="0"/>
    <s v="No"/>
    <s v="None"/>
    <s v="Food &amp; Dining|Groceries"/>
  </r>
  <r>
    <s v="First Tech - Checking (5544)"/>
    <d v="2014-06-13T00:00:00"/>
    <n v="-60.1"/>
    <s v="X"/>
    <s v="Puget Sound Energy"/>
    <s v="ACH Debit--PUGET SOUND ENER DIRECT DEBITING - PSE BILL  30000387"/>
    <s v="Bills &amp; Utilities:Utilities"/>
    <m/>
    <m/>
    <m/>
    <x v="34"/>
    <x v="18"/>
    <m/>
    <m/>
    <m/>
    <m/>
    <s v="Jun"/>
    <n v="2014"/>
    <s v="Monthly"/>
    <n v="0"/>
    <s v="No"/>
    <s v="None"/>
    <s v="Bills &amp; Utilities|Utilities"/>
  </r>
  <r>
    <s v="Chase Freedom XX9381"/>
    <d v="2014-06-13T00:00:00"/>
    <n v="-25"/>
    <s v="X"/>
    <s v="Oliver Twist"/>
    <m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13T00:00:00"/>
    <n v="-21.16"/>
    <s v="X"/>
    <s v="Hales Ales Ltd"/>
    <s v="2011: HALES ALES LTD SEATTLE WA 981074538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13T00:00:00"/>
    <n v="-65"/>
    <s v="X"/>
    <s v="Beach Comber Kids Cuts"/>
    <s v="2011: BEACHCOMBER KIDS CUT SEATTLE WA 981030000 USA"/>
    <s v="Personal Care:Hair"/>
    <m/>
    <m/>
    <m/>
    <x v="31"/>
    <x v="16"/>
    <m/>
    <m/>
    <m/>
    <m/>
    <s v="Jun"/>
    <n v="2014"/>
    <s v="Monthly"/>
    <n v="0"/>
    <s v="No"/>
    <s v="None"/>
    <s v="Personal Care|Hair"/>
  </r>
  <r>
    <s v="First Tech - Checking (5544)"/>
    <d v="2014-06-12T00:00:00"/>
    <n v="3165.19"/>
    <s v="X"/>
    <s v="Microsoft (Paystub)"/>
    <s v="ACH Deposit--MICROSOFT  - EDIPAYMENT"/>
    <s v="Net Salary"/>
    <m/>
    <m/>
    <m/>
    <x v="35"/>
    <x v="0"/>
    <m/>
    <m/>
    <m/>
    <m/>
    <s v="Jun"/>
    <n v="2014"/>
    <s v="Monthly"/>
    <n v="0"/>
    <s v="No"/>
    <s v="None"/>
    <s v="Net Salary"/>
  </r>
  <r>
    <s v="First Tech - Checking (5544)"/>
    <d v="2014-06-12T00:00:00"/>
    <n v="-1149.6199999999999"/>
    <s v="X"/>
    <s v="Premera Funding  - Hsa-fund  682"/>
    <s v="ACH Debit--PREMERA FUNDING  - HSA-FUND  6823"/>
    <s v="[Premera Health Care Payment]"/>
    <m/>
    <m/>
    <m/>
    <x v="42"/>
    <x v="0"/>
    <m/>
    <m/>
    <m/>
    <m/>
    <s v="Jun"/>
    <n v="2014"/>
    <s v="Account"/>
    <n v="0"/>
    <s v="No"/>
    <s v="None"/>
    <s v="[Premera Health Care Payment]"/>
  </r>
  <r>
    <s v="Koolikai Credit Card"/>
    <d v="2014-06-12T00:00:00"/>
    <n v="-146.97999999999999"/>
    <s v="X"/>
    <s v="Verizon Wireless"/>
    <m/>
    <s v="Business Expenses (Koolikai):Cell Phone"/>
    <m/>
    <m/>
    <m/>
    <x v="36"/>
    <x v="22"/>
    <m/>
    <m/>
    <m/>
    <m/>
    <s v="Jun"/>
    <n v="2014"/>
    <s v="Monthly"/>
    <n v="0"/>
    <s v="No"/>
    <s v="None"/>
    <s v="Business Expenses (Koolikai)|Cell Phone"/>
  </r>
  <r>
    <s v="Premera Health Care Payment"/>
    <d v="2014-06-12T00:00:00"/>
    <n v="1149.6199999999999"/>
    <m/>
    <s v="Premera Funding  - Hsa-fund  682"/>
    <s v="ACH Debit--PREMERA FUNDING  - HSA-FUND  6823"/>
    <s v="[First Tech - Checking (5544)]"/>
    <m/>
    <m/>
    <m/>
    <x v="21"/>
    <x v="0"/>
    <m/>
    <m/>
    <m/>
    <m/>
    <s v="Jun"/>
    <n v="2014"/>
    <s v="Account"/>
    <n v="0"/>
    <s v="No"/>
    <s v="None"/>
    <s v="[First Tech - Checking (5544)]"/>
  </r>
  <r>
    <s v="REI Mastercard (xx1787)"/>
    <d v="2014-06-12T00:00:00"/>
    <n v="62"/>
    <s v="X"/>
    <s v="Recreation.Gov Ballston Spa Ny"/>
    <s v="#Kalaloch 2014#"/>
    <s v="Vacation:Lodging"/>
    <m/>
    <m/>
    <m/>
    <x v="23"/>
    <x v="9"/>
    <m/>
    <m/>
    <s v="Kalaloch 2014"/>
    <m/>
    <s v="Jun"/>
    <n v="2014"/>
    <s v="Irregular"/>
    <n v="0"/>
    <s v="No"/>
    <s v="None"/>
    <s v="Vacation|Lodging"/>
  </r>
  <r>
    <s v="First Tech - Checking (5544)"/>
    <d v="2014-06-11T00:00:00"/>
    <n v="-115"/>
    <s v="X"/>
    <s v="Cleaning Authority, The"/>
    <s v="ACH Debit--THE CLEANING AUT  - ONLINE PMT"/>
    <s v="Home:Home Services"/>
    <m/>
    <m/>
    <m/>
    <x v="14"/>
    <x v="46"/>
    <m/>
    <m/>
    <m/>
    <m/>
    <s v="Jun"/>
    <n v="2014"/>
    <s v="Monthly"/>
    <n v="0"/>
    <s v="No"/>
    <s v="None"/>
    <s v="Home|Home Services"/>
  </r>
  <r>
    <s v="MasterCard (Capital One)"/>
    <d v="2014-06-11T00:00:00"/>
    <n v="25"/>
    <s v="X"/>
    <s v="Capital One (Cash Back)"/>
    <m/>
    <s v="Other Inc"/>
    <m/>
    <m/>
    <m/>
    <x v="29"/>
    <x v="0"/>
    <m/>
    <m/>
    <m/>
    <m/>
    <s v="Jun"/>
    <n v="2014"/>
    <s v="Monthly"/>
    <n v="0"/>
    <s v="No"/>
    <s v="None"/>
    <s v="Other Inc"/>
  </r>
  <r>
    <s v="MasterCard (Capital One)"/>
    <d v="2014-06-11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s v="Jun"/>
    <n v="2014"/>
    <s v="Irregular"/>
    <n v="0"/>
    <s v="No"/>
    <s v="None"/>
    <s v="Auto &amp; Transport|Tolls"/>
  </r>
  <r>
    <s v="MasterCard (Capital One)"/>
    <d v="2014-06-11T00:00:00"/>
    <n v="-43"/>
    <s v="X"/>
    <s v="Runners World"/>
    <m/>
    <s v="Subscriptions &amp; Dues"/>
    <m/>
    <m/>
    <m/>
    <x v="33"/>
    <x v="0"/>
    <m/>
    <m/>
    <m/>
    <m/>
    <s v="Jun"/>
    <n v="2014"/>
    <s v="Annual"/>
    <n v="0"/>
    <s v="No"/>
    <s v="None"/>
    <s v="Subscriptions &amp; Dues"/>
  </r>
  <r>
    <s v="Chase Freedom XX9381"/>
    <d v="2014-06-09T00:00:00"/>
    <n v="-72.73"/>
    <s v="X"/>
    <s v="Twigs"/>
    <m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Schwab - Checking (9784)"/>
    <d v="2014-06-08T00:00:00"/>
    <n v="-45"/>
    <s v="X"/>
    <s v="Ken's Market"/>
    <m/>
    <s v="Kids:Babysitter/From Receipt"/>
    <m/>
    <s v="Split"/>
    <s v="From Receipt"/>
    <x v="27"/>
    <x v="13"/>
    <m/>
    <m/>
    <m/>
    <m/>
    <s v="Jun"/>
    <n v="2014"/>
    <s v="Monthly"/>
    <n v="0"/>
    <s v="No"/>
    <s v="None"/>
    <s v="Kids|Babysitter"/>
  </r>
  <r>
    <s v="Schwab - Checking (9784)"/>
    <d v="2014-06-08T00:00:00"/>
    <n v="-15"/>
    <s v="X"/>
    <s v="Ken's Market"/>
    <m/>
    <s v="Food &amp; Dining:Restaurants/From Receipt"/>
    <m/>
    <s v="Split"/>
    <s v="From Receipt"/>
    <x v="15"/>
    <x v="15"/>
    <m/>
    <m/>
    <m/>
    <m/>
    <s v="Jun"/>
    <n v="2014"/>
    <s v="Monthly"/>
    <n v="0"/>
    <s v="No"/>
    <s v="None"/>
    <s v="Food &amp; Dining|Restaurants"/>
  </r>
  <r>
    <s v="Schwab - Checking (9784)"/>
    <d v="2014-06-08T00:00:00"/>
    <n v="-2"/>
    <s v="X"/>
    <s v="Ken's Market"/>
    <m/>
    <s v="Bank Fees &amp; Charges:ATM Fee/From Receipt"/>
    <m/>
    <s v="Split"/>
    <s v="From Receipt"/>
    <x v="32"/>
    <x v="17"/>
    <m/>
    <m/>
    <m/>
    <m/>
    <s v="Jun"/>
    <n v="2014"/>
    <s v="Monthly"/>
    <n v="0"/>
    <s v="No"/>
    <s v="None"/>
    <s v="Bank Fees &amp; Charges|ATM Fee"/>
  </r>
  <r>
    <s v="MasterCard (Capital One)"/>
    <d v="2014-06-08T00:00:00"/>
    <n v="-13.13"/>
    <s v="X"/>
    <s v="Bartell Drug"/>
    <s v="Sunscreen #Scottsdale 2014#"/>
    <s v="Vacation:Other/From Receipt"/>
    <m/>
    <m/>
    <s v="From Receipt"/>
    <x v="23"/>
    <x v="58"/>
    <m/>
    <m/>
    <s v="Scottsdale 2014"/>
    <m/>
    <s v="Jun"/>
    <n v="2014"/>
    <s v="Irregular"/>
    <n v="0"/>
    <s v="No"/>
    <s v="None"/>
    <s v="Vacation|Other"/>
  </r>
  <r>
    <s v="MasterCard (Capital One)"/>
    <d v="2014-06-08T00:00:00"/>
    <n v="-70.16"/>
    <s v="X"/>
    <s v="Fred Meyer"/>
    <s v="2011: FRED-MEYER #0122 SEATTLE WA 98117 USA"/>
    <s v="Food &amp; Dining:Groceries/From Receipt"/>
    <m/>
    <m/>
    <s v="From Receipt"/>
    <x v="15"/>
    <x v="3"/>
    <m/>
    <m/>
    <m/>
    <m/>
    <s v="Jun"/>
    <n v="2014"/>
    <s v="Monthly"/>
    <n v="0"/>
    <s v="No"/>
    <s v="None"/>
    <s v="Food &amp; Dining|Groceries"/>
  </r>
  <r>
    <s v="MasterCard (Capital One)"/>
    <d v="2014-06-08T00:00:00"/>
    <n v="-132"/>
    <s v="X"/>
    <s v="Woodland Park Zoo"/>
    <s v="Zoo membership"/>
    <s v="Kids:Kids Activities/From Receipt"/>
    <m/>
    <m/>
    <s v="From Receipt"/>
    <x v="27"/>
    <x v="12"/>
    <m/>
    <m/>
    <m/>
    <m/>
    <s v="Jun"/>
    <n v="2014"/>
    <s v="Monthly"/>
    <n v="0"/>
    <s v="No"/>
    <s v="None"/>
    <s v="Kids|Kids Activities"/>
  </r>
  <r>
    <s v="Target Red Card"/>
    <d v="2014-06-08T00:00:00"/>
    <n v="-48.83"/>
    <s v="X"/>
    <s v="Target"/>
    <s v="Shorts and clothes for Scottsd"/>
    <s v="Kids:Clothing/From Receipt"/>
    <n v="799999941591"/>
    <s v="Split"/>
    <s v="From Receipt"/>
    <x v="27"/>
    <x v="1"/>
    <m/>
    <m/>
    <m/>
    <m/>
    <s v="Jun"/>
    <n v="2014"/>
    <s v="Monthly"/>
    <n v="0"/>
    <s v="No"/>
    <s v="None"/>
    <s v="Kids|Clothing"/>
  </r>
  <r>
    <s v="Target Red Card"/>
    <d v="2014-06-08T00:00:00"/>
    <n v="-20.67"/>
    <s v="X"/>
    <s v="Target"/>
    <s v="Sunscreen #Scottsdale 2014#"/>
    <s v="Vacation:Other/From Receipt"/>
    <n v="799999941591"/>
    <s v="Split"/>
    <s v="From Receipt"/>
    <x v="23"/>
    <x v="58"/>
    <m/>
    <m/>
    <s v="Scottsdale 2014"/>
    <m/>
    <s v="Jun"/>
    <n v="2014"/>
    <s v="Irregular"/>
    <n v="0"/>
    <s v="No"/>
    <s v="None"/>
    <s v="Vacation|Other"/>
  </r>
  <r>
    <s v="Target Red Card"/>
    <d v="2014-06-08T00:00:00"/>
    <n v="-16.18"/>
    <s v="X"/>
    <s v="Target"/>
    <s v="Father's day cards"/>
    <s v="Gifts/From Receipt"/>
    <n v="799999941591"/>
    <s v="Split"/>
    <s v="From Receipt"/>
    <x v="28"/>
    <x v="0"/>
    <m/>
    <m/>
    <m/>
    <m/>
    <s v="Jun"/>
    <n v="2014"/>
    <s v="Monthly"/>
    <n v="0"/>
    <s v="No"/>
    <s v="None"/>
    <s v="Gifts"/>
  </r>
  <r>
    <s v="Target Red Card"/>
    <d v="2014-06-08T00:00:00"/>
    <n v="-1.56"/>
    <s v="X"/>
    <s v="Target"/>
    <s v="Water guns"/>
    <s v="Kids:Toys/From Receipt"/>
    <n v="799999941591"/>
    <s v="Split"/>
    <s v="From Receipt"/>
    <x v="27"/>
    <x v="14"/>
    <m/>
    <m/>
    <m/>
    <m/>
    <s v="Jun"/>
    <n v="2014"/>
    <s v="Monthly"/>
    <n v="0"/>
    <s v="No"/>
    <s v="None"/>
    <s v="Kids|Toys"/>
  </r>
  <r>
    <s v="MasterCard (Capital One)"/>
    <d v="2014-06-07T00:00:00"/>
    <n v="-6.03"/>
    <s v="X"/>
    <s v="Home Depot"/>
    <s v="Paint roller covers"/>
    <s v="Business Expenses (Koolikai):Repairs"/>
    <m/>
    <m/>
    <m/>
    <x v="36"/>
    <x v="41"/>
    <m/>
    <m/>
    <m/>
    <m/>
    <s v="Jun"/>
    <n v="2014"/>
    <s v="Irregular"/>
    <n v="0"/>
    <s v="No"/>
    <s v="None"/>
    <s v="Business Expenses (Koolikai)|Repairs"/>
  </r>
  <r>
    <s v="MasterCard (Capital One)"/>
    <d v="2014-06-07T00:00:00"/>
    <n v="-12.02"/>
    <s v="X"/>
    <s v="Greenwood Hardware"/>
    <s v="Painting roller covers"/>
    <s v="Business Expenses (Koolikai):Repairs"/>
    <m/>
    <m/>
    <m/>
    <x v="36"/>
    <x v="41"/>
    <m/>
    <m/>
    <m/>
    <m/>
    <s v="Jun"/>
    <n v="2014"/>
    <s v="Irregular"/>
    <n v="0"/>
    <s v="No"/>
    <s v="None"/>
    <s v="Business Expenses (Koolikai)|Repairs"/>
  </r>
  <r>
    <s v="MasterCard (Capital One)"/>
    <d v="2014-06-06T00:00:00"/>
    <n v="-5.45"/>
    <s v="X"/>
    <s v="Fresh Table Cafe"/>
    <s v="2011: FRESH TABLE CAFE MET SEATTLE WA 98101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06T00:00:00"/>
    <n v="-9.5299999999999994"/>
    <s v="X"/>
    <s v="Fred Meyer"/>
    <s v="2011: FRED-MEYER #0122 SEATTLE WA 98117 USA"/>
    <s v="Food &amp; Dining:Groceries/From Receipt"/>
    <m/>
    <m/>
    <s v="From Receipt"/>
    <x v="15"/>
    <x v="3"/>
    <m/>
    <m/>
    <m/>
    <m/>
    <s v="Jun"/>
    <n v="2014"/>
    <s v="Monthly"/>
    <n v="0"/>
    <s v="No"/>
    <s v="None"/>
    <s v="Food &amp; Dining|Groceries"/>
  </r>
  <r>
    <s v="First Tech - Checking (5544)"/>
    <d v="2014-06-05T00:00:00"/>
    <n v="-3748.69"/>
    <s v="X"/>
    <s v="Wells Fargo Home Mortgage"/>
    <s v="ACH Debit--WF HOME MTG ACH - AUTO PAY"/>
    <s v="Home:Mortgage"/>
    <m/>
    <m/>
    <m/>
    <x v="14"/>
    <x v="27"/>
    <m/>
    <m/>
    <m/>
    <m/>
    <s v="Jun"/>
    <n v="2014"/>
    <s v="Monthly"/>
    <n v="0"/>
    <s v="No"/>
    <s v="None"/>
    <s v="Home|Mortgage"/>
  </r>
  <r>
    <s v="First Tech - Checking (5544)"/>
    <d v="2014-06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Jun"/>
    <n v="2014"/>
    <s v="Monthly"/>
    <n v="0"/>
    <s v="No"/>
    <s v="None"/>
    <s v="Kids|American Funds 529A"/>
  </r>
  <r>
    <s v="First Tech - Checking (5544)"/>
    <d v="2014-06-03T00:00:00"/>
    <n v="-2358.33"/>
    <s v="X"/>
    <s v="Capital One  - Crcardpmt"/>
    <s v="ACH Debit--CAPITAL ONE  - CRCARDPMT"/>
    <s v="[MasterCard (Capital One)]"/>
    <m/>
    <m/>
    <m/>
    <x v="38"/>
    <x v="0"/>
    <m/>
    <m/>
    <m/>
    <m/>
    <s v="Jun"/>
    <n v="2014"/>
    <s v="Account"/>
    <n v="0"/>
    <s v="No"/>
    <s v="None"/>
    <s v="[MasterCard (Capital One)]"/>
  </r>
  <r>
    <s v="Koolikai - Checking XX2129"/>
    <d v="2014-06-03T00:00:00"/>
    <n v="22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s v="Jun"/>
    <n v="2014"/>
    <s v="Monthly"/>
    <n v="0"/>
    <s v="No"/>
    <s v="None"/>
    <s v="Business Income (Koolikai)|Rent"/>
  </r>
  <r>
    <s v="MasterCard (Capital One)"/>
    <d v="2014-06-03T00:00:00"/>
    <n v="-8.75"/>
    <s v="X"/>
    <s v="Netflix"/>
    <s v="2011: NETFLIX.COM NETFLIX.COM CA 95032 USA"/>
    <s v="Entertainment:Movies &amp; DVDs"/>
    <m/>
    <m/>
    <m/>
    <x v="30"/>
    <x v="43"/>
    <m/>
    <m/>
    <m/>
    <m/>
    <s v="Jun"/>
    <n v="2014"/>
    <s v="Unplanned"/>
    <n v="0"/>
    <s v="No"/>
    <s v="None"/>
    <s v="Entertainment|Movies &amp; DVDs"/>
  </r>
  <r>
    <s v="MasterCard (Capital One)"/>
    <d v="2014-06-03T00:00:00"/>
    <n v="-14.27"/>
    <s v="X"/>
    <s v="University Of Washington Medical Center"/>
    <s v="@BAL:$4284.17@ UWMC ONLINE BILL PAY 206-5981950 WA 98195 USA"/>
    <s v="Health &amp; Fitness:Doctor"/>
    <m/>
    <m/>
    <m/>
    <x v="18"/>
    <x v="56"/>
    <m/>
    <m/>
    <m/>
    <m/>
    <s v="Jun"/>
    <n v="2014"/>
    <s v="Irregular"/>
    <n v="0"/>
    <s v="No"/>
    <s v="None"/>
    <s v="Health &amp; Fitness|Doctor"/>
  </r>
  <r>
    <s v="First Tech - Checking (5544)"/>
    <d v="2014-06-02T00:00:00"/>
    <n v="2100"/>
    <s v="X"/>
    <s v="Pierre Kwan"/>
    <s v="Refund of rent and security deposit"/>
    <s v="Business Expenses (Koolikai):Rent"/>
    <m/>
    <s v="Split"/>
    <m/>
    <x v="36"/>
    <x v="25"/>
    <m/>
    <m/>
    <m/>
    <m/>
    <s v="Jun"/>
    <n v="2014"/>
    <e v="#N/A"/>
    <e v="#N/A"/>
    <e v="#N/A"/>
    <e v="#N/A"/>
    <s v="Business Expenses (Koolikai)|Rent"/>
  </r>
  <r>
    <s v="First Tech - Checking (5544)"/>
    <d v="2014-06-02T00:00:00"/>
    <n v="1000"/>
    <s v="X"/>
    <s v="Pierre Kwan"/>
    <m/>
    <s v="Business Expenses (Koolikai):Security Deposit"/>
    <m/>
    <s v="Split"/>
    <m/>
    <x v="36"/>
    <x v="59"/>
    <m/>
    <m/>
    <m/>
    <m/>
    <s v="Jun"/>
    <n v="2014"/>
    <s v="Irregular"/>
    <n v="0"/>
    <s v="No"/>
    <s v="None"/>
    <s v="Business Expenses (Koolikai)|Security Deposit"/>
  </r>
  <r>
    <s v="First Tech - Checking (5544)"/>
    <d v="2014-06-02T00:00:00"/>
    <n v="-1976"/>
    <s v="X"/>
    <s v="Phinney Ridge CDC"/>
    <s v="ACH Debit--PHINNEY RIDGE LU 504759859 - CONTRIBUTN"/>
    <s v="Kids:Daycare"/>
    <m/>
    <m/>
    <m/>
    <x v="27"/>
    <x v="35"/>
    <m/>
    <m/>
    <m/>
    <m/>
    <s v="Jun"/>
    <n v="2014"/>
    <s v="Monthly"/>
    <n v="0"/>
    <s v="No"/>
    <s v="None"/>
    <s v="Kids|Daycare"/>
  </r>
  <r>
    <s v="First Tech - Checking (5544)"/>
    <d v="2014-06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Jun"/>
    <n v="2014"/>
    <s v="Monthly"/>
    <n v="0"/>
    <s v="No"/>
    <s v="None"/>
    <s v="Business Expenses (Koolikai)|Mortgage (Business)"/>
  </r>
  <r>
    <s v="First Tech - Checking (5544)"/>
    <d v="2014-06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Jun"/>
    <n v="2014"/>
    <s v="Monthly"/>
    <n v="0"/>
    <s v="No"/>
    <s v="None"/>
    <s v="Business Expenses (Koolikai)|Mortgage (Business)"/>
  </r>
  <r>
    <s v="First Tech - Checking (5544)"/>
    <d v="2014-06-02T00:00:00"/>
    <n v="-60"/>
    <s v="X"/>
    <s v="Patricia Anderson"/>
    <s v="Check--"/>
    <s v="Kids:Babysitter"/>
    <n v="2131"/>
    <m/>
    <m/>
    <x v="27"/>
    <x v="13"/>
    <m/>
    <m/>
    <m/>
    <m/>
    <s v="Jun"/>
    <n v="2014"/>
    <s v="Monthly"/>
    <n v="0"/>
    <s v="No"/>
    <s v="None"/>
    <s v="Kids|Babysitter"/>
  </r>
  <r>
    <s v="Chase Freedom XX9381"/>
    <d v="2014-06-02T00:00:00"/>
    <n v="-62.85"/>
    <s v="X"/>
    <s v="Razzis Pizzeria"/>
    <m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s v="Jun"/>
    <n v="2014"/>
    <s v="Monthly"/>
    <n v="0"/>
    <s v="No"/>
    <s v="None"/>
    <s v="Bills &amp; Utilities|Television"/>
  </r>
  <r>
    <s v="MasterCard (Capital One)"/>
    <d v="2014-06-02T00:00:00"/>
    <n v="-64.08"/>
    <s v="X"/>
    <s v="Comcast"/>
    <m/>
    <s v="Business Expenses (Koolikai):Internet"/>
    <m/>
    <s v="Split"/>
    <m/>
    <x v="36"/>
    <x v="33"/>
    <m/>
    <m/>
    <m/>
    <m/>
    <s v="Jun"/>
    <n v="2014"/>
    <s v="Monthly"/>
    <n v="0"/>
    <s v="No"/>
    <s v="None"/>
    <s v="Business Expenses (Koolikai)|Internet"/>
  </r>
  <r>
    <s v="MasterCard (Capital One)"/>
    <d v="2014-06-02T00:00:00"/>
    <n v="-44.08"/>
    <s v="X"/>
    <s v="Comcast"/>
    <m/>
    <s v="Bills &amp; Utilities:Home Phone"/>
    <m/>
    <s v="Split"/>
    <m/>
    <x v="34"/>
    <x v="34"/>
    <m/>
    <m/>
    <m/>
    <m/>
    <s v="Jun"/>
    <n v="2014"/>
    <s v="Monthly"/>
    <n v="0"/>
    <s v="No"/>
    <s v="None"/>
    <s v="Bills &amp; Utilities|Home Phone"/>
  </r>
  <r>
    <s v="Chase Freedom XX9381"/>
    <d v="2014-06-01T00:00:00"/>
    <n v="-3.95"/>
    <s v="X"/>
    <s v="Cafe"/>
    <s v="2011: CAFE 86 11171386 REDMOND WA 98052 USA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Chase Freedom XX9381"/>
    <d v="2014-06-01T00:00:00"/>
    <n v="-100"/>
    <s v="X"/>
    <s v="Cafe"/>
    <s v="2011: CAFE 86 11171386 REDMOND WA 98052 USA @BAL:-954.76@"/>
    <s v="Food &amp; Dining:Restaurants"/>
    <m/>
    <m/>
    <m/>
    <x v="15"/>
    <x v="15"/>
    <m/>
    <m/>
    <m/>
    <m/>
    <s v="Jun"/>
    <n v="2014"/>
    <s v="Monthly"/>
    <n v="0"/>
    <s v="No"/>
    <s v="None"/>
    <s v="Food &amp; Dining|Restaurants"/>
  </r>
  <r>
    <s v="MasterCard (Capital One)"/>
    <d v="2014-06-01T00:00:00"/>
    <n v="2358.33"/>
    <s v="X"/>
    <s v="Capital One (Autopay)"/>
    <s v="2011: CAPITAL ONE AUTOPAY PYMT AuthDate 05-MAY"/>
    <s v="[First Tech - Checking (5544)]"/>
    <m/>
    <m/>
    <m/>
    <x v="21"/>
    <x v="0"/>
    <m/>
    <m/>
    <m/>
    <m/>
    <s v="Jun"/>
    <n v="2014"/>
    <s v="Account"/>
    <n v="0"/>
    <s v="No"/>
    <s v="None"/>
    <s v="[First Tech - Checking (5544)]"/>
  </r>
  <r>
    <s v="MasterCard (Capital One)"/>
    <d v="2014-06-01T00:00:00"/>
    <n v="-40.98"/>
    <s v="X"/>
    <s v="Fred Meyer"/>
    <s v="2011: FRED-MEYER #0122 SEATTLE WA 98117 USA"/>
    <s v="Food &amp; Dining:Groceries/From Receipt"/>
    <m/>
    <m/>
    <s v="From Receipt"/>
    <x v="15"/>
    <x v="3"/>
    <m/>
    <m/>
    <m/>
    <m/>
    <s v="Jun"/>
    <n v="2014"/>
    <s v="Monthly"/>
    <n v="0"/>
    <s v="No"/>
    <s v="None"/>
    <s v="Food &amp; Dining|Groceries"/>
  </r>
  <r>
    <s v="First Tech - Short Term Emergency (5400)"/>
    <d v="2014-05-31T00:00:00"/>
    <n v="1.57"/>
    <s v="X"/>
    <s v="First Tech (Dividend)"/>
    <s v="Credit Dividend--"/>
    <s v="Interest Income"/>
    <m/>
    <m/>
    <m/>
    <x v="40"/>
    <x v="0"/>
    <m/>
    <m/>
    <m/>
    <m/>
    <s v="May"/>
    <n v="2014"/>
    <s v="Monthly"/>
    <n v="0"/>
    <s v="No"/>
    <s v="None"/>
    <s v="Interest Income"/>
  </r>
  <r>
    <s v="Koolikai - Sec Dep XX1200"/>
    <d v="2014-05-31T00:00:00"/>
    <n v="0.19"/>
    <s v="X"/>
    <s v="First Tech (Dividend)"/>
    <s v="Credit Dividend--"/>
    <s v="Interest Income"/>
    <m/>
    <m/>
    <m/>
    <x v="40"/>
    <x v="0"/>
    <m/>
    <m/>
    <m/>
    <m/>
    <s v="May"/>
    <n v="2014"/>
    <s v="Monthly"/>
    <n v="0"/>
    <s v="No"/>
    <s v="None"/>
    <s v="Interest Income"/>
  </r>
  <r>
    <s v="MasterCard (Capital One)"/>
    <d v="2014-05-31T00:00:00"/>
    <n v="-49.17"/>
    <s v="X"/>
    <s v="Dsw Designer Shoe Warehouse"/>
    <s v="2011: DSW SEATTLE WA 98125 USA"/>
    <s v="Shopping:Clothing/From Receipt"/>
    <m/>
    <m/>
    <s v="From Receipt"/>
    <x v="13"/>
    <x v="1"/>
    <m/>
    <m/>
    <m/>
    <m/>
    <s v="May"/>
    <n v="2014"/>
    <s v="Annual"/>
    <n v="0"/>
    <s v="No"/>
    <s v="None"/>
    <s v="Shopping|Clothing"/>
  </r>
  <r>
    <s v="MasterCard (Capital One)"/>
    <d v="2014-05-31T00:00:00"/>
    <n v="-167.19"/>
    <s v="X"/>
    <s v="Fred Meyer"/>
    <s v="2011: FRED-MEYER #0608 SEATTLE WA 98107 USA"/>
    <s v="Food &amp; Dining:Groceries/From Receipt"/>
    <m/>
    <s v="Split"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31T00:00:00"/>
    <n v="-17.5"/>
    <s v="X"/>
    <s v="Fred Meyer"/>
    <s v="Sunglasses"/>
    <s v="Kids:Clothing/From Receipt"/>
    <m/>
    <s v="Split"/>
    <s v="From Receipt"/>
    <x v="27"/>
    <x v="1"/>
    <m/>
    <m/>
    <m/>
    <m/>
    <s v="May"/>
    <n v="2014"/>
    <s v="Monthly"/>
    <n v="0"/>
    <s v="No"/>
    <s v="None"/>
    <s v="Kids|Clothing"/>
  </r>
  <r>
    <s v="Target Red Card"/>
    <d v="2014-05-31T00:00:00"/>
    <n v="-6.23"/>
    <s v="X"/>
    <s v="Target"/>
    <s v="Socks"/>
    <s v="Kids:Clothing/From Receipt"/>
    <n v="799999941511"/>
    <s v="Split"/>
    <s v="From Receipt"/>
    <x v="27"/>
    <x v="1"/>
    <m/>
    <m/>
    <m/>
    <m/>
    <s v="May"/>
    <n v="2014"/>
    <s v="Monthly"/>
    <n v="0"/>
    <s v="No"/>
    <s v="None"/>
    <s v="Kids|Clothing"/>
  </r>
  <r>
    <s v="Target Red Card"/>
    <d v="2014-05-31T00:00:00"/>
    <n v="-15.59"/>
    <s v="X"/>
    <s v="Target"/>
    <s v="#Stay Fit# Bike lock"/>
    <s v="Health &amp; Fitness:Sports/From Receipt"/>
    <n v="799999941511"/>
    <s v="Split"/>
    <s v="From Receipt"/>
    <x v="18"/>
    <x v="23"/>
    <m/>
    <m/>
    <s v="Stay Fit"/>
    <m/>
    <s v="May"/>
    <n v="2014"/>
    <s v="Irregular"/>
    <n v="0"/>
    <s v="No"/>
    <s v="None"/>
    <s v="Health &amp; Fitness|Sports"/>
  </r>
  <r>
    <s v="Capital One - Investment (6759)"/>
    <d v="2014-05-30T00:00:00"/>
    <n v="20.02"/>
    <s v="X"/>
    <s v="Capital One (Interest Income)"/>
    <s v="@CAT:@"/>
    <s v="Interest Income"/>
    <s v="INT"/>
    <m/>
    <m/>
    <x v="40"/>
    <x v="0"/>
    <m/>
    <m/>
    <m/>
    <m/>
    <s v="May"/>
    <n v="2014"/>
    <s v="Monthly"/>
    <n v="0"/>
    <s v="No"/>
    <s v="None"/>
    <s v="Interest Income"/>
  </r>
  <r>
    <s v="Capital One - Long Term Emergency (1201)"/>
    <d v="2014-05-30T00:00:00"/>
    <n v="50.26"/>
    <s v="X"/>
    <s v="Capital One (Interest Income)"/>
    <s v="@CAT:@"/>
    <s v="Interest Income"/>
    <s v="INT"/>
    <m/>
    <m/>
    <x v="40"/>
    <x v="0"/>
    <m/>
    <m/>
    <m/>
    <m/>
    <s v="May"/>
    <n v="2014"/>
    <s v="Monthly"/>
    <n v="0"/>
    <s v="No"/>
    <s v="None"/>
    <s v="Interest Income"/>
  </r>
  <r>
    <s v="Capital One - Secondary Savings (3126)"/>
    <d v="2014-05-30T00:00:00"/>
    <n v="0.02"/>
    <s v="X"/>
    <s v="Capital One (Interest Income)"/>
    <s v="@CAT:@"/>
    <s v="Interest Income"/>
    <s v="INT"/>
    <m/>
    <m/>
    <x v="40"/>
    <x v="0"/>
    <m/>
    <m/>
    <m/>
    <m/>
    <s v="May"/>
    <n v="2014"/>
    <s v="Monthly"/>
    <n v="0"/>
    <s v="No"/>
    <s v="None"/>
    <s v="Interest Income"/>
  </r>
  <r>
    <s v="Capital One - Vacation (4959)"/>
    <d v="2014-05-30T00:00:00"/>
    <n v="2.13"/>
    <s v="X"/>
    <s v="Capital One (Interest Income)"/>
    <s v="@CAT:@"/>
    <s v="Interest Income"/>
    <s v="INT"/>
    <m/>
    <m/>
    <x v="40"/>
    <x v="0"/>
    <m/>
    <m/>
    <m/>
    <m/>
    <s v="May"/>
    <n v="2014"/>
    <s v="Monthly"/>
    <n v="0"/>
    <s v="No"/>
    <s v="None"/>
    <s v="Interest Income"/>
  </r>
  <r>
    <s v="Schwab - Checking (9784)"/>
    <d v="2014-05-30T00:00:00"/>
    <n v="0.09"/>
    <s v="X"/>
    <s v="Interest Paid"/>
    <m/>
    <s v="Interest Income"/>
    <m/>
    <m/>
    <m/>
    <x v="40"/>
    <x v="0"/>
    <m/>
    <m/>
    <m/>
    <m/>
    <s v="May"/>
    <n v="2014"/>
    <s v="Monthly"/>
    <n v="0"/>
    <s v="No"/>
    <s v="None"/>
    <s v="Interest Income"/>
  </r>
  <r>
    <s v="Schwab - Checking (9784)"/>
    <d v="2014-05-30T00:00:00"/>
    <n v="2"/>
    <s v="X"/>
    <s v="ATM Fee Refund"/>
    <m/>
    <s v="Bank Fees &amp; Charges:ATM Fee"/>
    <m/>
    <m/>
    <m/>
    <x v="32"/>
    <x v="17"/>
    <m/>
    <m/>
    <m/>
    <m/>
    <s v="May"/>
    <n v="2014"/>
    <s v="Monthly"/>
    <n v="0"/>
    <s v="No"/>
    <s v="None"/>
    <s v="Bank Fees &amp; Charges|ATM Fee"/>
  </r>
  <r>
    <s v="First Tech - Checking (5544)"/>
    <d v="2014-05-29T00:00:00"/>
    <n v="3030.02"/>
    <s v="X"/>
    <s v="Microsoft (Paystub)"/>
    <s v="ACH Deposit--MICROSOFT  - EDIPAYMENT"/>
    <s v="Net Salary"/>
    <m/>
    <m/>
    <m/>
    <x v="35"/>
    <x v="0"/>
    <m/>
    <m/>
    <m/>
    <m/>
    <s v="May"/>
    <n v="2014"/>
    <s v="Monthly"/>
    <n v="0"/>
    <s v="No"/>
    <s v="None"/>
    <s v="Net Salary"/>
  </r>
  <r>
    <s v="First Tech - Checking (5544)"/>
    <d v="2014-05-29T00:00:00"/>
    <n v="6195.6"/>
    <s v="X"/>
    <s v="CRAB (Paystub)"/>
    <s v="@BAL:33,047.10@;@CAT:@"/>
    <s v="Net Salary"/>
    <m/>
    <m/>
    <m/>
    <x v="35"/>
    <x v="0"/>
    <m/>
    <m/>
    <m/>
    <m/>
    <s v="May"/>
    <n v="2014"/>
    <s v="Monthly"/>
    <n v="0"/>
    <s v="No"/>
    <s v="None"/>
    <s v="Net Salary"/>
  </r>
  <r>
    <s v="MasterCard (Capital One)"/>
    <d v="2014-05-28T00:00:00"/>
    <n v="25"/>
    <s v="X"/>
    <s v="Capital One (Cash Back)"/>
    <m/>
    <s v="Other Inc"/>
    <m/>
    <m/>
    <m/>
    <x v="29"/>
    <x v="0"/>
    <m/>
    <m/>
    <m/>
    <m/>
    <s v="May"/>
    <n v="2014"/>
    <s v="Monthly"/>
    <n v="0"/>
    <s v="No"/>
    <s v="None"/>
    <s v="Other Inc"/>
  </r>
  <r>
    <s v="MasterCard (Capital One)"/>
    <d v="2014-05-28T00:00:00"/>
    <n v="-76.599999999999994"/>
    <s v="X"/>
    <s v="Dsw Designer Shoe Warehouse"/>
    <s v="2011: DSW 00999953 COLUMBUS OH 43219 USA"/>
    <s v="Shopping:Clothing/From Receipt"/>
    <m/>
    <m/>
    <s v="From Receipt"/>
    <x v="13"/>
    <x v="1"/>
    <m/>
    <m/>
    <m/>
    <m/>
    <s v="May"/>
    <n v="2014"/>
    <s v="Annual"/>
    <n v="0"/>
    <s v="No"/>
    <s v="None"/>
    <s v="Shopping|Clothing"/>
  </r>
  <r>
    <s v="MasterCard (Capital One)"/>
    <d v="2014-05-28T00:00:00"/>
    <n v="-163.16"/>
    <s v="X"/>
    <s v="Amazon"/>
    <s v="Bed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First Tech - Checking (5544)"/>
    <d v="2014-05-27T00:00:00"/>
    <n v="-523.65"/>
    <s v="X"/>
    <s v="Chase  - Autopay"/>
    <s v="ACH Debit--CHASE  - AUTOPAY"/>
    <s v="[Chase Freedom XX9381]"/>
    <m/>
    <m/>
    <m/>
    <x v="7"/>
    <x v="0"/>
    <m/>
    <m/>
    <m/>
    <m/>
    <s v="May"/>
    <n v="2014"/>
    <e v="#N/A"/>
    <e v="#N/A"/>
    <e v="#N/A"/>
    <e v="#N/A"/>
    <s v="[Chase Freedom XX9381]"/>
  </r>
  <r>
    <s v="Koolikai - Checking XX2129"/>
    <d v="2014-05-27T00:00:00"/>
    <n v="-130.86000000000001"/>
    <s v="X"/>
    <s v="Chase - Koolikai (Autopay)"/>
    <s v="@CAT:@BAL:38537.44@"/>
    <s v="[Koolikai Credit Card]"/>
    <m/>
    <m/>
    <m/>
    <x v="9"/>
    <x v="0"/>
    <m/>
    <m/>
    <m/>
    <m/>
    <s v="May"/>
    <n v="2014"/>
    <s v="Account"/>
    <n v="0"/>
    <s v="No"/>
    <s v="None"/>
    <s v="[Koolikai Credit Card]"/>
  </r>
  <r>
    <s v="Chase Freedom XX9381"/>
    <d v="2014-05-27T00:00:00"/>
    <n v="-8"/>
    <s v="X"/>
    <s v="George Bakery"/>
    <s v="North bend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Chase Freedom XX9381"/>
    <d v="2014-05-27T00:00:00"/>
    <n v="-43.84"/>
    <s v="X"/>
    <s v="Euro Lounge Cafe"/>
    <s v="North bend"/>
    <s v="Food &amp; Dining:Restaurants/From Receipt"/>
    <m/>
    <m/>
    <s v="From Receipt"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27T00:00:00"/>
    <n v="-72.150000000000006"/>
    <s v="X"/>
    <s v="Amazon"/>
    <s v="Night stand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72.150000000000006"/>
    <s v="X"/>
    <s v="Amazon"/>
    <s v="Night stand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6.99"/>
    <s v="X"/>
    <s v="Amazon"/>
    <s v="Train track adaptors"/>
    <s v="Kids:Toys/From Receipt"/>
    <m/>
    <s v="Split"/>
    <s v="From Receipt"/>
    <x v="27"/>
    <x v="14"/>
    <m/>
    <m/>
    <m/>
    <m/>
    <s v="May"/>
    <n v="2014"/>
    <s v="Monthly"/>
    <n v="0"/>
    <s v="No"/>
    <s v="None"/>
    <s v="Kids|Toys"/>
  </r>
  <r>
    <s v="MasterCard (Capital One)"/>
    <d v="2014-05-27T00:00:00"/>
    <n v="-39.9"/>
    <s v="X"/>
    <s v="Amazon"/>
    <s v="Mattress protectors"/>
    <s v="Home:Furnishings/From Receipt"/>
    <m/>
    <s v="Split"/>
    <s v="From Receipt"/>
    <x v="14"/>
    <x v="2"/>
    <m/>
    <m/>
    <m/>
    <m/>
    <s v="May"/>
    <n v="2014"/>
    <s v="Monthly"/>
    <n v="0"/>
    <s v="No"/>
    <s v="None"/>
    <s v="Home|Furnishings"/>
  </r>
  <r>
    <s v="MasterCard (Capital One)"/>
    <d v="2014-05-27T00:00:00"/>
    <n v="-15.83"/>
    <s v="X"/>
    <s v="Amazon"/>
    <s v="Take a walk, 3rd ed"/>
    <s v="Shopping:Books/From Receipt"/>
    <m/>
    <s v="Split"/>
    <s v="From Receipt"/>
    <x v="13"/>
    <x v="51"/>
    <m/>
    <m/>
    <m/>
    <m/>
    <s v="May"/>
    <n v="2014"/>
    <s v="Unplanned"/>
    <n v="0"/>
    <s v="No"/>
    <s v="None"/>
    <s v="Shopping|Books"/>
  </r>
  <r>
    <s v="MasterCard (Capital One)"/>
    <d v="2014-05-27T00:00:00"/>
    <n v="-15.75"/>
    <s v="X"/>
    <s v="Amazon"/>
    <s v="Cars Magic Ink book"/>
    <s v="Kids:Toys/From Receipt"/>
    <m/>
    <s v="Split"/>
    <s v="From Receipt"/>
    <x v="27"/>
    <x v="14"/>
    <m/>
    <m/>
    <m/>
    <m/>
    <s v="May"/>
    <n v="2014"/>
    <s v="Monthly"/>
    <n v="0"/>
    <s v="No"/>
    <s v="None"/>
    <s v="Kids|Toys"/>
  </r>
  <r>
    <s v="MasterCard (Capital One)"/>
    <d v="2014-05-27T00:00:00"/>
    <n v="-22.09"/>
    <s v="X"/>
    <s v="Amazon"/>
    <s v="Train track pack"/>
    <s v="Kids:Toys/From Receipt"/>
    <m/>
    <s v="Split"/>
    <s v="From Receipt"/>
    <x v="27"/>
    <x v="14"/>
    <m/>
    <m/>
    <m/>
    <m/>
    <s v="May"/>
    <n v="2014"/>
    <s v="Monthly"/>
    <n v="0"/>
    <s v="No"/>
    <s v="None"/>
    <s v="Kids|Toys"/>
  </r>
  <r>
    <s v="MasterCard (Capital One)"/>
    <d v="2014-05-27T00:00:00"/>
    <n v="-12.98"/>
    <s v="X"/>
    <s v="Amazon"/>
    <s v="Soccer ball pillow"/>
    <s v="Projects:Boy's Room/From Receipt"/>
    <m/>
    <s v="Split"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114.96"/>
    <s v="X"/>
    <s v="Amazon"/>
    <s v="240Gb SSD"/>
    <s v="Shopping:Electronics &amp; Software/From Receipt"/>
    <m/>
    <m/>
    <s v="From Receipt"/>
    <x v="13"/>
    <x v="20"/>
    <m/>
    <m/>
    <m/>
    <m/>
    <s v="May"/>
    <n v="2014"/>
    <s v="Annual"/>
    <n v="0"/>
    <s v="No"/>
    <s v="None"/>
    <s v="Shopping|Electronics &amp; Software"/>
  </r>
  <r>
    <s v="MasterCard (Capital One)"/>
    <d v="2014-05-27T00:00:00"/>
    <n v="-136.88"/>
    <s v="X"/>
    <s v="Amazon"/>
    <s v="Headboard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136.88"/>
    <s v="X"/>
    <s v="Amazon"/>
    <s v="Headboard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163.16"/>
    <s v="X"/>
    <s v="Amazon"/>
    <s v="Bed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167.52"/>
    <s v="X"/>
    <s v="Amazon"/>
    <s v="Mattress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7T00:00:00"/>
    <n v="-167.52"/>
    <s v="X"/>
    <s v="Amazon"/>
    <s v="Mattress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Chase Freedom XX9381"/>
    <d v="2014-05-26T00:00:00"/>
    <n v="523.65"/>
    <s v="X"/>
    <s v="Chase Autopay (Freedom)"/>
    <m/>
    <s v="[First Tech - Checking (5544)]"/>
    <m/>
    <m/>
    <m/>
    <x v="21"/>
    <x v="0"/>
    <m/>
    <m/>
    <m/>
    <m/>
    <s v="May"/>
    <n v="2014"/>
    <s v="Account"/>
    <n v="0"/>
    <s v="No"/>
    <s v="None"/>
    <s v="[First Tech - Checking (5544)]"/>
  </r>
  <r>
    <s v="Chase Freedom XX9381"/>
    <d v="2014-05-26T00:00:00"/>
    <n v="-23.11"/>
    <s v="X"/>
    <s v="Lunchbox Laboratory"/>
    <m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Chase Freedom XX9381"/>
    <d v="2014-05-26T00:00:00"/>
    <n v="-23.81"/>
    <s v="X"/>
    <s v="Lowe's"/>
    <s v="Paint"/>
    <s v="Home:Home Improvement/From Receipt"/>
    <m/>
    <m/>
    <s v="From Receipt"/>
    <x v="14"/>
    <x v="19"/>
    <m/>
    <m/>
    <m/>
    <m/>
    <s v="May"/>
    <n v="2014"/>
    <s v="Irregular"/>
    <n v="0"/>
    <s v="No"/>
    <s v="None"/>
    <s v="Home|Home Improvement"/>
  </r>
  <r>
    <s v="Chase Freedom XX9381"/>
    <d v="2014-05-26T00:00:00"/>
    <n v="-4.92"/>
    <s v="X"/>
    <s v="Fred Meyer"/>
    <s v="#Stay Fit# Safety mirror"/>
    <s v="Health &amp; Fitness:Sports/From Receipt"/>
    <m/>
    <s v="Split"/>
    <s v="From Receipt"/>
    <x v="18"/>
    <x v="23"/>
    <m/>
    <m/>
    <s v="Stay Fit"/>
    <m/>
    <s v="May"/>
    <n v="2014"/>
    <s v="Irregular"/>
    <n v="0"/>
    <s v="No"/>
    <s v="None"/>
    <s v="Health &amp; Fitness|Sports"/>
  </r>
  <r>
    <s v="Chase Freedom XX9381"/>
    <d v="2014-05-26T00:00:00"/>
    <n v="-6.89"/>
    <s v="X"/>
    <s v="Fred Meyer"/>
    <s v="Kick stand"/>
    <s v="Health &amp; Fitness:Sports/From Receipt"/>
    <m/>
    <s v="Split"/>
    <s v="From Receipt"/>
    <x v="18"/>
    <x v="23"/>
    <m/>
    <m/>
    <m/>
    <m/>
    <s v="May"/>
    <n v="2014"/>
    <s v="Irregular"/>
    <n v="0"/>
    <s v="No"/>
    <s v="None"/>
    <s v="Health &amp; Fitness|Sports"/>
  </r>
  <r>
    <s v="Chase Freedom XX9381"/>
    <d v="2014-05-26T00:00:00"/>
    <n v="-19.7"/>
    <s v="X"/>
    <s v="Fred Meyer"/>
    <s v="#Stay Fit# Bike lock"/>
    <s v="Health &amp; Fitness:Sports/From Receipt"/>
    <m/>
    <s v="Split"/>
    <s v="From Receipt"/>
    <x v="18"/>
    <x v="23"/>
    <m/>
    <m/>
    <s v="Stay Fit"/>
    <m/>
    <s v="May"/>
    <n v="2014"/>
    <s v="Irregular"/>
    <n v="0"/>
    <s v="No"/>
    <s v="None"/>
    <s v="Health &amp; Fitness|Sports"/>
  </r>
  <r>
    <s v="Chase Freedom XX9381"/>
    <d v="2014-05-26T00:00:00"/>
    <n v="-81.81"/>
    <s v="X"/>
    <s v="Fred Meyer"/>
    <m/>
    <s v="Food &amp; Dining:Groceries/From Receipt"/>
    <m/>
    <s v="Split"/>
    <s v="From Receipt"/>
    <x v="15"/>
    <x v="3"/>
    <m/>
    <m/>
    <m/>
    <m/>
    <s v="May"/>
    <n v="2014"/>
    <s v="Monthly"/>
    <n v="0"/>
    <s v="No"/>
    <s v="None"/>
    <s v="Food &amp; Dining|Groceries"/>
  </r>
  <r>
    <s v="Chase Freedom XX9381"/>
    <d v="2014-05-26T00:00:00"/>
    <n v="-290"/>
    <s v="X"/>
    <s v="Canlis"/>
    <m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26T00:00:00"/>
    <n v="-56"/>
    <s v="X"/>
    <s v="Nw Railway Museum"/>
    <s v="Snoqualamie Train Ride"/>
    <s v="Kids:Kids Activities"/>
    <m/>
    <m/>
    <m/>
    <x v="27"/>
    <x v="12"/>
    <m/>
    <m/>
    <m/>
    <m/>
    <s v="May"/>
    <n v="2014"/>
    <s v="Monthly"/>
    <n v="0"/>
    <s v="No"/>
    <s v="None"/>
    <s v="Kids|Kids Activities"/>
  </r>
  <r>
    <s v="MasterCard (Capital One)"/>
    <d v="2014-05-26T00:00:00"/>
    <n v="-155.47999999999999"/>
    <s v="X"/>
    <s v="Amazon"/>
    <s v="Chest of drawers"/>
    <s v="Projects:Boy's Room/From Receipt"/>
    <m/>
    <m/>
    <s v="From Receipt"/>
    <x v="39"/>
    <x v="57"/>
    <m/>
    <m/>
    <m/>
    <m/>
    <s v="May"/>
    <n v="2014"/>
    <s v="Unplanned"/>
    <n v="0"/>
    <s v="No"/>
    <s v="None"/>
    <s v="Projects|Boy's Room"/>
  </r>
  <r>
    <s v="MasterCard (Capital One)"/>
    <d v="2014-05-25T00:00:00"/>
    <n v="-3"/>
    <s v="X"/>
    <s v="Diamond Parking"/>
    <m/>
    <s v="Auto &amp; Transport:Parking"/>
    <m/>
    <m/>
    <m/>
    <x v="17"/>
    <x v="11"/>
    <m/>
    <m/>
    <m/>
    <m/>
    <s v="May"/>
    <n v="2014"/>
    <s v="Monthly"/>
    <n v="0"/>
    <s v="No"/>
    <s v="None"/>
    <s v="Auto &amp; Transport|Parking"/>
  </r>
  <r>
    <s v="MasterCard (Capital One)"/>
    <d v="2014-05-25T00:00:00"/>
    <n v="-31.73"/>
    <s v="X"/>
    <s v="Stacias"/>
    <s v="@CAT:@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25T00:00:00"/>
    <n v="-34"/>
    <s v="X"/>
    <s v="Mount Rainier Scenic"/>
    <s v="#Mt. Rainier 2014# scenic railroad"/>
    <s v="Vacation:Activities"/>
    <m/>
    <m/>
    <m/>
    <x v="23"/>
    <x v="39"/>
    <m/>
    <m/>
    <s v="Mt. Rainier 2014"/>
    <m/>
    <s v="May"/>
    <n v="2014"/>
    <s v="Irregular"/>
    <n v="0"/>
    <s v="No"/>
    <s v="None"/>
    <s v="Vacation|Activities"/>
  </r>
  <r>
    <s v="Edward Jones - Roth IRA"/>
    <d v="2014-05-25T00:00:00"/>
    <m/>
    <m/>
    <m/>
    <s v="25.262 shares added to account"/>
    <m/>
    <s v="ShrsIn"/>
    <m/>
    <m/>
    <x v="26"/>
    <x v="0"/>
    <m/>
    <m/>
    <m/>
    <m/>
    <s v="May"/>
    <n v="2014"/>
    <e v="#N/A"/>
    <e v="#N/A"/>
    <e v="#N/A"/>
    <e v="#N/A"/>
    <n v="0"/>
  </r>
  <r>
    <s v="Edward Jones - Roth IRA"/>
    <d v="2014-05-25T00:00:00"/>
    <m/>
    <m/>
    <m/>
    <s v="108.118 shares added to account"/>
    <m/>
    <s v="ShrsIn"/>
    <m/>
    <m/>
    <x v="26"/>
    <x v="0"/>
    <m/>
    <m/>
    <m/>
    <m/>
    <s v="May"/>
    <n v="2014"/>
    <e v="#N/A"/>
    <e v="#N/A"/>
    <e v="#N/A"/>
    <e v="#N/A"/>
    <n v="0"/>
  </r>
  <r>
    <s v="MasterCard (Capital One)"/>
    <d v="2014-05-24T00:00:00"/>
    <n v="-31"/>
    <s v="X"/>
    <s v="Groupon"/>
    <s v="#Mt. Rainier 2014# Scenic railroad"/>
    <s v="Vacation:Activities"/>
    <m/>
    <m/>
    <m/>
    <x v="23"/>
    <x v="39"/>
    <m/>
    <m/>
    <s v="Mt. Rainier 2014"/>
    <m/>
    <s v="May"/>
    <n v="2014"/>
    <s v="Irregular"/>
    <n v="0"/>
    <s v="No"/>
    <s v="None"/>
    <s v="Vacation|Activities"/>
  </r>
  <r>
    <s v="MasterCard (Capital One)"/>
    <d v="2014-05-24T00:00:00"/>
    <n v="-43.75"/>
    <s v="X"/>
    <s v="Dsw Designer Shoe Warehouse"/>
    <m/>
    <s v="Shopping:Clothing/From Receipt"/>
    <m/>
    <m/>
    <s v="From Receipt"/>
    <x v="13"/>
    <x v="1"/>
    <m/>
    <m/>
    <m/>
    <m/>
    <s v="May"/>
    <n v="2014"/>
    <s v="Annual"/>
    <n v="0"/>
    <s v="No"/>
    <s v="None"/>
    <s v="Shopping|Clothing"/>
  </r>
  <r>
    <s v="Edward Jones - Roth IRA"/>
    <d v="2014-05-24T00:00:00"/>
    <m/>
    <m/>
    <m/>
    <m/>
    <s v="[Edward Jones - Roth IRA]"/>
    <s v="Cash"/>
    <m/>
    <m/>
    <x v="48"/>
    <x v="0"/>
    <m/>
    <m/>
    <m/>
    <m/>
    <s v="May"/>
    <n v="2014"/>
    <e v="#N/A"/>
    <e v="#N/A"/>
    <e v="#N/A"/>
    <e v="#N/A"/>
    <s v="[Edward Jones - Roth IRA]"/>
  </r>
  <r>
    <s v="First Tech - Checking (5544)"/>
    <d v="2014-05-23T00:00:00"/>
    <n v="765.59"/>
    <s v="X"/>
    <s v="CRAB (Reimbursement)"/>
    <s v="#Group meeting Spring# Reimbursement for group meeting"/>
    <s v="Work Expense:Reimbursement"/>
    <m/>
    <m/>
    <m/>
    <x v="19"/>
    <x v="6"/>
    <m/>
    <m/>
    <s v="Group meeting Spring"/>
    <m/>
    <s v="May"/>
    <n v="2014"/>
    <s v="Irregular"/>
    <n v="0"/>
    <s v="No"/>
    <s v="None"/>
    <s v="Work Expense|Reimbursement"/>
  </r>
  <r>
    <s v="Koolikai - Checking XX2129"/>
    <d v="2014-05-23T00:00:00"/>
    <n v="2195"/>
    <s v="X"/>
    <s v="John Shaibley"/>
    <s v="June rent@CAT:@@BAL:38668.30@"/>
    <s v="Business Income (Koolikai):Rent/7231"/>
    <m/>
    <m/>
    <n v="7231"/>
    <x v="37"/>
    <x v="25"/>
    <m/>
    <m/>
    <m/>
    <m/>
    <s v="May"/>
    <n v="2014"/>
    <s v="Monthly"/>
    <n v="0"/>
    <s v="No"/>
    <s v="None"/>
    <s v="Business Income (Koolikai)|Rent"/>
  </r>
  <r>
    <s v="Chase Freedom XX9381"/>
    <d v="2014-05-23T00:00:00"/>
    <n v="-15.69"/>
    <s v="X"/>
    <s v="Paddy Coynes Irish"/>
    <m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Koolikai Credit Card"/>
    <d v="2014-05-23T00:00:00"/>
    <n v="130.86000000000001"/>
    <s v="X"/>
    <s v="Chase - Koolikai (Autopay)"/>
    <m/>
    <s v="[Koolikai - Checking XX2129]"/>
    <m/>
    <m/>
    <m/>
    <x v="25"/>
    <x v="0"/>
    <m/>
    <m/>
    <m/>
    <m/>
    <s v="May"/>
    <n v="2014"/>
    <s v="Account"/>
    <n v="0"/>
    <s v="No"/>
    <s v="None"/>
    <s v="[Koolikai - Checking XX2129]"/>
  </r>
  <r>
    <s v="First Tech - Checking (5544)"/>
    <d v="2014-05-22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May"/>
    <n v="2014"/>
    <s v="Monthly"/>
    <n v="0"/>
    <s v="No"/>
    <s v="None"/>
    <s v="Auto &amp; Transport|Auto Lease Payment"/>
  </r>
  <r>
    <s v="First Tech - Checking (5544)"/>
    <d v="2014-05-22T00:00:00"/>
    <n v="-30"/>
    <s v="X"/>
    <s v="Celina Glassburn"/>
    <s v="Teacher Appreciation Week"/>
    <s v="Kids:Daycare"/>
    <n v="2127"/>
    <m/>
    <m/>
    <x v="27"/>
    <x v="35"/>
    <m/>
    <m/>
    <m/>
    <m/>
    <s v="May"/>
    <n v="2014"/>
    <s v="Monthly"/>
    <n v="0"/>
    <s v="No"/>
    <s v="None"/>
    <s v="Kids|Daycare"/>
  </r>
  <r>
    <s v="MasterCard (Capital One)"/>
    <d v="2014-05-21T00:00:00"/>
    <n v="-7.94"/>
    <s v="X"/>
    <s v="Fred Meyer"/>
    <s v="2011: FRED-MEYER #0122 SEATTLE WA 98117 USA"/>
    <s v="Food &amp; Dining:Groceries/From Receipt"/>
    <m/>
    <m/>
    <s v="From Receipt"/>
    <x v="15"/>
    <x v="3"/>
    <m/>
    <m/>
    <m/>
    <m/>
    <s v="May"/>
    <n v="2014"/>
    <s v="Monthly"/>
    <n v="0"/>
    <s v="No"/>
    <s v="None"/>
    <s v="Food &amp; Dining|Groceries"/>
  </r>
  <r>
    <s v="Chase Freedom XX9381"/>
    <d v="2014-05-19T00:00:00"/>
    <n v="-38.299999999999997"/>
    <s v="X"/>
    <s v="Lowe's"/>
    <s v="Sink fixture"/>
    <s v="Business Expenses (Koolikai):Repairs/7231:From Receipt"/>
    <m/>
    <m/>
    <s v="7231:From Receipt"/>
    <x v="36"/>
    <x v="41"/>
    <m/>
    <m/>
    <m/>
    <m/>
    <s v="May"/>
    <n v="2014"/>
    <s v="Irregular"/>
    <n v="0"/>
    <s v="No"/>
    <s v="None"/>
    <s v="Business Expenses (Koolikai)|Repairs"/>
  </r>
  <r>
    <s v="Chase Freedom XX9381"/>
    <d v="2014-05-19T00:00:00"/>
    <n v="-53.99"/>
    <s v="X"/>
    <s v="Serendipity Cafe"/>
    <s v="@CAT:@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19T00:00:00"/>
    <n v="-6.15"/>
    <s v="X"/>
    <s v="Amazon"/>
    <s v="Coldplay Ghost Stories"/>
    <s v="Entertainment:Music"/>
    <m/>
    <m/>
    <m/>
    <x v="30"/>
    <x v="60"/>
    <m/>
    <m/>
    <m/>
    <m/>
    <s v="May"/>
    <n v="2014"/>
    <s v="Unplanned"/>
    <n v="0"/>
    <s v="No"/>
    <s v="None"/>
    <s v="Entertainment|Music"/>
  </r>
  <r>
    <s v="MasterCard (Capital One)"/>
    <d v="2014-05-19T00:00:00"/>
    <n v="-46.58"/>
    <s v="X"/>
    <s v="Swedish Cent Bus"/>
    <s v="2011: SWEDISH CENT BUS SVCS 206-3204476 WA 981011176 USA"/>
    <s v="Health &amp; Fitness:Doctor"/>
    <m/>
    <m/>
    <m/>
    <x v="18"/>
    <x v="56"/>
    <m/>
    <m/>
    <m/>
    <m/>
    <s v="May"/>
    <n v="2014"/>
    <s v="Irregular"/>
    <n v="0"/>
    <s v="No"/>
    <s v="None"/>
    <s v="Health &amp; Fitness|Doctor"/>
  </r>
  <r>
    <s v="MasterCard (Capital One)"/>
    <d v="2014-05-19T00:00:00"/>
    <n v="-84.5"/>
    <s v="X"/>
    <s v="Wa Parksreservationswe Olympia"/>
    <s v="#Seaquest#"/>
    <s v="Vacation:Lodging"/>
    <m/>
    <m/>
    <m/>
    <x v="23"/>
    <x v="9"/>
    <m/>
    <m/>
    <s v="Seaquest"/>
    <m/>
    <s v="May"/>
    <n v="2014"/>
    <s v="Irregular"/>
    <n v="0"/>
    <s v="No"/>
    <s v="None"/>
    <s v="Vacation|Lodging"/>
  </r>
  <r>
    <s v="Schwab - Checking (9784)"/>
    <d v="2014-05-18T00:00:00"/>
    <n v="-116"/>
    <s v="X"/>
    <s v="Costco"/>
    <s v="@CAT:@@BAL:$1020.21@"/>
    <s v="Food &amp; Dining:Groceries/From Receipt"/>
    <m/>
    <s v="Split"/>
    <s v="From Receipt"/>
    <x v="15"/>
    <x v="3"/>
    <m/>
    <m/>
    <m/>
    <m/>
    <s v="May"/>
    <n v="2014"/>
    <s v="Monthly"/>
    <n v="0"/>
    <s v="No"/>
    <s v="None"/>
    <s v="Food &amp; Dining|Groceries"/>
  </r>
  <r>
    <s v="Schwab - Checking (9784)"/>
    <d v="2014-05-18T00:00:00"/>
    <n v="-43.78"/>
    <s v="X"/>
    <s v="Costco"/>
    <s v="Life vests for Arizona"/>
    <s v="Health &amp; Fitness:Sports/From Receipt"/>
    <m/>
    <s v="Split"/>
    <s v="From Receipt"/>
    <x v="18"/>
    <x v="23"/>
    <m/>
    <m/>
    <m/>
    <m/>
    <s v="May"/>
    <n v="2014"/>
    <s v="Irregular"/>
    <n v="0"/>
    <s v="No"/>
    <s v="None"/>
    <s v="Health &amp; Fitness|Sports"/>
  </r>
  <r>
    <s v="MasterCard (Capital One)"/>
    <d v="2014-05-17T00:00:00"/>
    <n v="-21.79"/>
    <s v="X"/>
    <s v="Top Ten Toys"/>
    <s v="2011: TOP TEN TOYS SEATTLE WA 98103 USA"/>
    <s v="Kids:Toys/From Receipt"/>
    <m/>
    <m/>
    <s v="From Receipt"/>
    <x v="27"/>
    <x v="14"/>
    <m/>
    <m/>
    <m/>
    <m/>
    <s v="May"/>
    <n v="2014"/>
    <s v="Monthly"/>
    <n v="0"/>
    <s v="No"/>
    <s v="None"/>
    <s v="Kids|Toys"/>
  </r>
  <r>
    <s v="MasterCard (Capital One)"/>
    <d v="2014-05-17T00:00:00"/>
    <n v="-26.28"/>
    <s v="X"/>
    <s v="Sq Sustudio Jewelry"/>
    <s v="Earings at the street fair"/>
    <s v="Shopping:Clothing/From Receipt"/>
    <m/>
    <m/>
    <s v="From Receipt"/>
    <x v="13"/>
    <x v="1"/>
    <m/>
    <m/>
    <m/>
    <m/>
    <s v="May"/>
    <n v="2014"/>
    <s v="Annual"/>
    <n v="0"/>
    <s v="No"/>
    <s v="None"/>
    <s v="Shopping|Clothing"/>
  </r>
  <r>
    <s v="MasterCard (Capital One)"/>
    <d v="2014-05-17T00:00:00"/>
    <n v="-34"/>
    <s v="X"/>
    <s v="Rudys Barber Shop"/>
    <s v="2011: RUDYS BARBER SHOP - PH SEATTLE WA 98103 USA"/>
    <s v="Personal Care:Hair"/>
    <m/>
    <m/>
    <m/>
    <x v="31"/>
    <x v="16"/>
    <m/>
    <m/>
    <m/>
    <m/>
    <s v="May"/>
    <n v="2014"/>
    <s v="Monthly"/>
    <n v="0"/>
    <s v="No"/>
    <s v="None"/>
    <s v="Personal Care|Hair"/>
  </r>
  <r>
    <s v="MasterCard (Capital One)"/>
    <d v="2014-05-17T00:00:00"/>
    <n v="-84.79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17T00:00:00"/>
    <n v="-7.64"/>
    <s v="X"/>
    <s v="Fred Meyer"/>
    <s v="Bubble guns"/>
    <s v="Kids:Toys/From Receipt"/>
    <m/>
    <s v="Split"/>
    <s v="From Receipt"/>
    <x v="27"/>
    <x v="14"/>
    <m/>
    <m/>
    <m/>
    <m/>
    <s v="May"/>
    <n v="2014"/>
    <s v="Monthly"/>
    <n v="0"/>
    <s v="No"/>
    <s v="None"/>
    <s v="Kids|Toys"/>
  </r>
  <r>
    <s v="First Tech - Checking (5544)"/>
    <d v="2014-05-16T00:00:00"/>
    <n v="-115"/>
    <s v="X"/>
    <s v="Cleaning Authority, The"/>
    <s v="ACH Debit--THE CLEANING AUT  - ONLINE PMT"/>
    <s v="Home:Home Services"/>
    <m/>
    <m/>
    <m/>
    <x v="14"/>
    <x v="46"/>
    <m/>
    <m/>
    <m/>
    <m/>
    <s v="May"/>
    <n v="2014"/>
    <s v="Monthly"/>
    <n v="0"/>
    <s v="No"/>
    <s v="None"/>
    <s v="Home|Home Services"/>
  </r>
  <r>
    <s v="First Tech - Short Term Emergency (5400)"/>
    <d v="2014-05-16T00:00:00"/>
    <n v="71250.350000000006"/>
    <s v="X"/>
    <s v="Edward Jones"/>
    <s v="CHECK NUMBER: 133471432"/>
    <s v="[Edward Jones - Investment Account]"/>
    <m/>
    <m/>
    <m/>
    <x v="49"/>
    <x v="0"/>
    <m/>
    <m/>
    <m/>
    <m/>
    <s v="May"/>
    <n v="2014"/>
    <e v="#N/A"/>
    <e v="#N/A"/>
    <e v="#N/A"/>
    <e v="#N/A"/>
    <s v="[Edward Jones - Investment Account]"/>
  </r>
  <r>
    <s v="MasterCard (Capital One)"/>
    <d v="2014-05-16T00:00:00"/>
    <n v="-8.1999999999999993"/>
    <s v="X"/>
    <s v="Fresh Table Cafe"/>
    <s v="2011: FRESH TABLE CAFE MET SEATTLE WA 98101 USA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16T00:00:00"/>
    <n v="-60"/>
    <s v="X"/>
    <s v="Starbucks"/>
    <s v="Teacher appreciation gifts"/>
    <s v="Gifts/From Receipt"/>
    <m/>
    <m/>
    <s v="From Receipt"/>
    <x v="28"/>
    <x v="0"/>
    <m/>
    <m/>
    <m/>
    <m/>
    <s v="May"/>
    <n v="2014"/>
    <s v="Monthly"/>
    <n v="0"/>
    <s v="No"/>
    <s v="None"/>
    <s v="Gifts"/>
  </r>
  <r>
    <s v="Edward Jones - Investment Account"/>
    <d v="2014-05-16T00:00:00"/>
    <n v="71250.350000000006"/>
    <m/>
    <s v="Edward Jones"/>
    <s v="CHECK NUMBER: 133471432"/>
    <s v="[First Tech - Short Term Emergency (5400)]"/>
    <s v="XOut"/>
    <s v="Split"/>
    <m/>
    <x v="4"/>
    <x v="0"/>
    <m/>
    <m/>
    <m/>
    <m/>
    <s v="May"/>
    <n v="2014"/>
    <s v="Account"/>
    <n v="0"/>
    <s v="No"/>
    <s v="None"/>
    <s v="[First Tech - Short Term Emergency (5400)]"/>
  </r>
  <r>
    <s v="First Tech - Checking (5544)"/>
    <d v="2014-05-15T00:00:00"/>
    <n v="-110.13"/>
    <s v="X"/>
    <s v="Seattle City Light"/>
    <s v="ACH Debit--CITY OF SEATTLE  - 1 - SCL De"/>
    <s v="Bills &amp; Utilities:Utilities"/>
    <m/>
    <m/>
    <m/>
    <x v="34"/>
    <x v="18"/>
    <m/>
    <m/>
    <m/>
    <m/>
    <s v="May"/>
    <n v="2014"/>
    <s v="Monthly"/>
    <n v="0"/>
    <s v="No"/>
    <s v="None"/>
    <s v="Bills &amp; Utilities|Utilities"/>
  </r>
  <r>
    <s v="MasterCard (Capital One)"/>
    <d v="2014-05-15T00:00:00"/>
    <n v="-6.56"/>
    <s v="X"/>
    <s v="Fred Meyer"/>
    <s v="Seasonal VLM... no idea what this is"/>
    <s v="Kids:Clothing/From Receipt"/>
    <m/>
    <m/>
    <s v="From Receipt"/>
    <x v="27"/>
    <x v="1"/>
    <m/>
    <m/>
    <m/>
    <m/>
    <s v="May"/>
    <n v="2014"/>
    <s v="Monthly"/>
    <n v="0"/>
    <s v="No"/>
    <s v="None"/>
    <s v="Kids|Clothing"/>
  </r>
  <r>
    <s v="First Tech - Checking (5544)"/>
    <d v="2014-05-14T00:00:00"/>
    <n v="3165.21"/>
    <s v="X"/>
    <s v="Microsoft (Paystub)"/>
    <s v="ACH Deposit--MICROSOFT  - EDIPAYMENT"/>
    <s v="Net Salary"/>
    <m/>
    <m/>
    <m/>
    <x v="35"/>
    <x v="0"/>
    <m/>
    <m/>
    <m/>
    <m/>
    <s v="May"/>
    <n v="2014"/>
    <s v="Monthly"/>
    <n v="0"/>
    <s v="No"/>
    <s v="None"/>
    <s v="Net Salary"/>
  </r>
  <r>
    <s v="MasterCard (Capital One)"/>
    <d v="2014-05-14T00:00:00"/>
    <n v="-2.89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14T00:00:00"/>
    <n v="-6.56"/>
    <s v="X"/>
    <s v="Fred Meyer"/>
    <s v="Seasonal VLM... no idea what t"/>
    <s v="Kids:Toys/From Receipt"/>
    <m/>
    <s v="Split"/>
    <s v="From Receipt"/>
    <x v="27"/>
    <x v="14"/>
    <m/>
    <m/>
    <m/>
    <m/>
    <s v="May"/>
    <n v="2014"/>
    <s v="Monthly"/>
    <n v="0"/>
    <s v="No"/>
    <s v="None"/>
    <s v="Kids|Toys"/>
  </r>
  <r>
    <s v="First Tech - Checking (5544)"/>
    <d v="2014-05-13T00:00:00"/>
    <n v="-81.430000000000007"/>
    <s v="X"/>
    <s v="Puget Sound Energy"/>
    <s v="ACH Debit--PUGET SOUND ENER DIRECT DEBITING - PSE BILL  12500371"/>
    <s v="Bills &amp; Utilities:Utilities"/>
    <m/>
    <m/>
    <m/>
    <x v="34"/>
    <x v="18"/>
    <m/>
    <m/>
    <m/>
    <m/>
    <s v="May"/>
    <n v="2014"/>
    <s v="Monthly"/>
    <n v="0"/>
    <s v="No"/>
    <s v="None"/>
    <s v="Bills &amp; Utilities|Utilities"/>
  </r>
  <r>
    <s v="MasterCard (Capital One)"/>
    <d v="2014-05-13T00:00:00"/>
    <n v="-7.97"/>
    <s v="X"/>
    <s v="Ken's Market"/>
    <s v="2011: KEN'S MARKET #75-116 SEATTLE WA 98103 USA"/>
    <s v="Food &amp; Dining:Groceries"/>
    <m/>
    <m/>
    <m/>
    <x v="15"/>
    <x v="3"/>
    <m/>
    <m/>
    <m/>
    <m/>
    <s v="May"/>
    <n v="2014"/>
    <s v="Monthly"/>
    <n v="0"/>
    <s v="No"/>
    <s v="None"/>
    <s v="Food &amp; Dining|Groceries"/>
  </r>
  <r>
    <s v="First Tech - Checking (5544)"/>
    <d v="2014-05-12T00:00:00"/>
    <n v="12"/>
    <s v="X"/>
    <s v="Old Republic Title"/>
    <s v="Deposit--Shared Branch Mobile Deposit          First Tech FC CA"/>
    <s v="Other Inc"/>
    <m/>
    <m/>
    <m/>
    <x v="29"/>
    <x v="0"/>
    <m/>
    <m/>
    <m/>
    <m/>
    <s v="May"/>
    <n v="2014"/>
    <s v="Monthly"/>
    <n v="0"/>
    <s v="No"/>
    <s v="None"/>
    <s v="Other Inc"/>
  </r>
  <r>
    <s v="Koolikai - Checking XX2129"/>
    <d v="2014-05-12T00:00:00"/>
    <n v="-19.57"/>
    <s v="X"/>
    <s v="John Shaibley"/>
    <s v="Hinges for door"/>
    <s v="Business Expenses (Koolikai):Repairs"/>
    <n v="1092"/>
    <m/>
    <m/>
    <x v="36"/>
    <x v="41"/>
    <m/>
    <m/>
    <m/>
    <m/>
    <s v="May"/>
    <n v="2014"/>
    <s v="Irregular"/>
    <n v="0"/>
    <s v="No"/>
    <s v="None"/>
    <s v="Business Expenses (Koolikai)|Repairs"/>
  </r>
  <r>
    <s v="Koolikai - Checking XX2129"/>
    <d v="2014-05-12T00:00:00"/>
    <n v="-49.1"/>
    <s v="X"/>
    <s v="John Shaibley"/>
    <s v="Parts for washing machine"/>
    <s v="Business Expenses (Koolikai):Repairs"/>
    <n v="1093"/>
    <m/>
    <m/>
    <x v="36"/>
    <x v="41"/>
    <m/>
    <m/>
    <m/>
    <m/>
    <s v="May"/>
    <n v="2014"/>
    <s v="Irregular"/>
    <n v="0"/>
    <s v="No"/>
    <s v="None"/>
    <s v="Business Expenses (Koolikai)|Repairs"/>
  </r>
  <r>
    <s v="Chase Freedom XX9381"/>
    <d v="2014-05-12T00:00:00"/>
    <n v="-178.3"/>
    <s v="X"/>
    <s v="Vios Cafe 3rd"/>
    <m/>
    <s v="Food &amp; Dining:Restaurants/From Receipt"/>
    <m/>
    <m/>
    <s v="From Receipt"/>
    <x v="15"/>
    <x v="15"/>
    <m/>
    <m/>
    <m/>
    <m/>
    <s v="May"/>
    <n v="2014"/>
    <s v="Monthly"/>
    <n v="0"/>
    <s v="No"/>
    <s v="None"/>
    <s v="Food &amp; Dining|Restaurants"/>
  </r>
  <r>
    <s v="Koolikai Credit Card"/>
    <d v="2014-05-12T00:00:00"/>
    <n v="-146.97999999999999"/>
    <s v="X"/>
    <s v="Verizon Wireless"/>
    <m/>
    <s v="Business Expenses (Koolikai):Cell Phone"/>
    <m/>
    <m/>
    <m/>
    <x v="36"/>
    <x v="22"/>
    <m/>
    <m/>
    <m/>
    <m/>
    <s v="May"/>
    <n v="2014"/>
    <s v="Monthly"/>
    <n v="0"/>
    <s v="No"/>
    <s v="None"/>
    <s v="Business Expenses (Koolikai)|Cell Phone"/>
  </r>
  <r>
    <s v="MasterCard (Capital One)"/>
    <d v="2014-05-12T00:00:00"/>
    <n v="-94.61"/>
    <s v="X"/>
    <s v="Trader Joe's"/>
    <s v="2011: TRADER JOE'S #147 QPS SEATTLE WA 98107 USA"/>
    <s v="Food &amp; Dining:Groceries/From Receipt"/>
    <m/>
    <m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11T00:00:00"/>
    <n v="-4.2300000000000004"/>
    <s v="X"/>
    <s v="Amazon"/>
    <s v="Coldplay Ghost Stories"/>
    <s v="Entertainment:Music"/>
    <m/>
    <m/>
    <m/>
    <x v="30"/>
    <x v="60"/>
    <m/>
    <m/>
    <m/>
    <m/>
    <s v="May"/>
    <n v="2014"/>
    <s v="Unplanned"/>
    <n v="0"/>
    <s v="No"/>
    <s v="None"/>
    <s v="Entertainment|Music"/>
  </r>
  <r>
    <s v="MasterCard (Capital One)"/>
    <d v="2014-05-11T00:00:00"/>
    <n v="-13.69"/>
    <s v="X"/>
    <s v="Recycled Cycles"/>
    <s v="#Stay Fit# Bike tune up on Angela's bike"/>
    <s v="Health &amp; Fitness:Sports"/>
    <m/>
    <m/>
    <m/>
    <x v="18"/>
    <x v="23"/>
    <m/>
    <m/>
    <s v="Stay Fit"/>
    <m/>
    <s v="May"/>
    <n v="2014"/>
    <s v="Irregular"/>
    <n v="0"/>
    <s v="No"/>
    <s v="None"/>
    <s v="Health &amp; Fitness|Sports"/>
  </r>
  <r>
    <s v="MasterCard (Capital One)"/>
    <d v="2014-05-11T00:00:00"/>
    <n v="-16.41"/>
    <s v="X"/>
    <s v="Gregg's Greenlake Cycle"/>
    <s v="#Stay Fit# Bike mirror"/>
    <s v="Health &amp; Fitness:Sports/From Receipt"/>
    <m/>
    <m/>
    <s v="From Receipt"/>
    <x v="18"/>
    <x v="23"/>
    <m/>
    <m/>
    <s v="Stay Fit"/>
    <m/>
    <s v="May"/>
    <n v="2014"/>
    <s v="Irregular"/>
    <n v="0"/>
    <s v="No"/>
    <s v="None"/>
    <s v="Health &amp; Fitness|Sports"/>
  </r>
  <r>
    <s v="MasterCard (Capital One)"/>
    <d v="2014-05-11T00:00:00"/>
    <n v="-142.9"/>
    <s v="X"/>
    <s v="Super Jock n Jill"/>
    <s v="#Stay Fit# Shoes and Inserts"/>
    <s v="Health &amp; Fitness:Sports"/>
    <m/>
    <m/>
    <m/>
    <x v="18"/>
    <x v="23"/>
    <m/>
    <m/>
    <s v="Stay Fit"/>
    <m/>
    <s v="May"/>
    <n v="2014"/>
    <s v="Irregular"/>
    <n v="0"/>
    <s v="No"/>
    <s v="None"/>
    <s v="Health &amp; Fitness|Sports"/>
  </r>
  <r>
    <s v="MasterCard (Capital One)"/>
    <d v="2014-05-10T00:00:00"/>
    <n v="-17.5"/>
    <s v="X"/>
    <s v="Third Place Books"/>
    <s v="2011: THIRD PLACE BOOKS SEATTLE WA 98115 USA"/>
    <s v="Shopping:Books"/>
    <m/>
    <m/>
    <m/>
    <x v="13"/>
    <x v="51"/>
    <m/>
    <m/>
    <m/>
    <m/>
    <s v="May"/>
    <n v="2014"/>
    <s v="Unplanned"/>
    <n v="0"/>
    <s v="No"/>
    <s v="None"/>
    <s v="Shopping|Books"/>
  </r>
  <r>
    <s v="MasterCard (Capital One)"/>
    <d v="2014-05-10T00:00:00"/>
    <n v="-72.349999999999994"/>
    <s v="X"/>
    <s v="Fred Meyer"/>
    <s v="2011: FRED-MEYER #0122 SEATTLE WA 98117 USA"/>
    <s v="Food &amp; Dining:Groceries/From Receipt"/>
    <m/>
    <s v="Split"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10T00:00:00"/>
    <n v="-6.01"/>
    <s v="X"/>
    <s v="Fred Meyer"/>
    <s v="Mother's Day Card"/>
    <s v="Gifts/From Receipt"/>
    <m/>
    <s v="Split"/>
    <s v="From Receipt"/>
    <x v="28"/>
    <x v="0"/>
    <m/>
    <m/>
    <m/>
    <m/>
    <s v="May"/>
    <n v="2014"/>
    <s v="Monthly"/>
    <n v="0"/>
    <s v="No"/>
    <s v="None"/>
    <s v="Gifts"/>
  </r>
  <r>
    <s v="MasterCard (Capital One)"/>
    <d v="2014-05-10T00:00:00"/>
    <n v="-21.89"/>
    <s v="X"/>
    <s v="Fred Meyer"/>
    <s v="Sunglasses"/>
    <s v="Shopping:Clothing:Accessories/From Receipt"/>
    <m/>
    <s v="Split"/>
    <s v="From Receipt"/>
    <x v="13"/>
    <x v="1"/>
    <s v="Accessories"/>
    <m/>
    <m/>
    <m/>
    <s v="May"/>
    <n v="2014"/>
    <s v="Annual"/>
    <n v="0"/>
    <s v="No"/>
    <s v="None"/>
    <s v="Shopping|Clothing"/>
  </r>
  <r>
    <s v="Schwab - Checking (9784)"/>
    <d v="2014-05-09T00:00:00"/>
    <n v="-2"/>
    <s v="X"/>
    <s v="Ken's Market"/>
    <m/>
    <s v="Bank Fees &amp; Charges:ATM Fee"/>
    <m/>
    <s v="Split"/>
    <m/>
    <x v="32"/>
    <x v="17"/>
    <m/>
    <m/>
    <m/>
    <m/>
    <s v="May"/>
    <n v="2014"/>
    <s v="Monthly"/>
    <n v="0"/>
    <s v="No"/>
    <s v="None"/>
    <s v="Bank Fees &amp; Charges|ATM Fee"/>
  </r>
  <r>
    <s v="Schwab - Checking (9784)"/>
    <d v="2014-05-09T00:00:00"/>
    <n v="-30"/>
    <s v="X"/>
    <s v="Ken's Market"/>
    <m/>
    <s v="Kids:Babysitter"/>
    <m/>
    <s v="Split"/>
    <m/>
    <x v="27"/>
    <x v="13"/>
    <m/>
    <m/>
    <m/>
    <m/>
    <s v="May"/>
    <n v="2014"/>
    <s v="Monthly"/>
    <n v="0"/>
    <s v="No"/>
    <s v="None"/>
    <s v="Kids|Babysitter"/>
  </r>
  <r>
    <s v="Schwab - Checking (9784)"/>
    <d v="2014-05-09T00:00:00"/>
    <n v="-10"/>
    <s v="X"/>
    <s v="Ken's Market"/>
    <m/>
    <s v="Food &amp; Dining:Restaurants"/>
    <m/>
    <s v="Split"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09T00:00:00"/>
    <n v="25"/>
    <s v="X"/>
    <s v="Capital One (Cash Back)"/>
    <s v="2011: CREDIT-CASH BACK REWARD"/>
    <s v="Other Inc"/>
    <m/>
    <m/>
    <m/>
    <x v="29"/>
    <x v="0"/>
    <m/>
    <m/>
    <m/>
    <m/>
    <s v="May"/>
    <n v="2014"/>
    <s v="Monthly"/>
    <n v="0"/>
    <s v="No"/>
    <s v="None"/>
    <s v="Other Inc"/>
  </r>
  <r>
    <s v="Koolikai Credit Card"/>
    <d v="2014-05-08T00:00:00"/>
    <n v="-42"/>
    <s v="X"/>
    <s v="Bob Oates Sewer &amp; Rooter"/>
    <m/>
    <s v="Business Expenses (Koolikai):Repairs/7231"/>
    <m/>
    <m/>
    <n v="7231"/>
    <x v="36"/>
    <x v="41"/>
    <m/>
    <m/>
    <m/>
    <m/>
    <s v="May"/>
    <n v="2014"/>
    <s v="Irregular"/>
    <n v="0"/>
    <s v="No"/>
    <s v="None"/>
    <s v="Business Expenses (Koolikai)|Repairs"/>
  </r>
  <r>
    <s v="MasterCard (Capital One)"/>
    <d v="2014-05-08T00:00:00"/>
    <n v="-5.78"/>
    <s v="X"/>
    <s v="Ken's Market"/>
    <s v="2011: KEN'S MARKET #75-116 SEATTLE WA 98103 USA"/>
    <s v="Food &amp; Dining:Groceries/From Receipt"/>
    <m/>
    <m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08T00:00:00"/>
    <n v="-13.51"/>
    <s v="X"/>
    <s v="Taco Del Mar"/>
    <s v="2011: TACO DEL MAR GREENWOOD SEATTLE WA 98103 USA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07T00:00:00"/>
    <n v="-585"/>
    <s v="X"/>
    <s v="Stockwell Associat Lynnwood"/>
    <s v="2011: STOCKWELL AND ASSOCIAT LYNNWOOD WA 98036 USA"/>
    <s v="Business Expenses (Koolikai):Prof and Legal Fees"/>
    <m/>
    <m/>
    <m/>
    <x v="36"/>
    <x v="61"/>
    <m/>
    <m/>
    <m/>
    <m/>
    <s v="May"/>
    <n v="2014"/>
    <s v="Annual"/>
    <n v="0"/>
    <s v="No"/>
    <s v="None"/>
    <s v="Business Expenses (Koolikai)|Prof and Legal Fees"/>
  </r>
  <r>
    <s v="First Tech - Checking (5544)"/>
    <d v="2014-05-06T00:00:00"/>
    <n v="-3748.69"/>
    <s v="X"/>
    <s v="Wells Fargo Home Mortgage"/>
    <s v="ACH Debit--WF HOME MTG ACH - AUTO PAY"/>
    <s v="Home:Mortgage"/>
    <m/>
    <m/>
    <m/>
    <x v="14"/>
    <x v="27"/>
    <m/>
    <m/>
    <m/>
    <m/>
    <s v="May"/>
    <n v="2014"/>
    <s v="Monthly"/>
    <n v="0"/>
    <s v="No"/>
    <s v="None"/>
    <s v="Home|Mortgage"/>
  </r>
  <r>
    <s v="First Tech - Checking (5544)"/>
    <d v="2014-05-06T00:00:00"/>
    <n v="-15487.26"/>
    <s v="X"/>
    <s v="Lincoln Mutual Insurance"/>
    <s v="Life insurance policy"/>
    <s v="Financial:Life Insurance"/>
    <m/>
    <m/>
    <m/>
    <x v="50"/>
    <x v="62"/>
    <m/>
    <m/>
    <m/>
    <m/>
    <s v="May"/>
    <n v="2014"/>
    <s v="Monthly"/>
    <n v="0"/>
    <s v="No"/>
    <s v="None"/>
    <s v="Financial|Life Insurance"/>
  </r>
  <r>
    <s v="Koolikai Credit Card"/>
    <d v="2014-05-06T00:00:00"/>
    <n v="15.84"/>
    <s v="X"/>
    <s v="Lowes #00252*"/>
    <s v="Sink fixture repair parts"/>
    <s v="Business Expenses (Koolikai):Repairs/9602:From Receipt"/>
    <m/>
    <m/>
    <s v="9602:From Receipt"/>
    <x v="36"/>
    <x v="41"/>
    <m/>
    <m/>
    <m/>
    <m/>
    <s v="May"/>
    <n v="2014"/>
    <s v="Irregular"/>
    <n v="0"/>
    <s v="No"/>
    <s v="None"/>
    <s v="Business Expenses (Koolikai)|Repairs"/>
  </r>
  <r>
    <s v="MasterCard (Capital One)"/>
    <d v="2014-05-06T00:00:00"/>
    <n v="-3.89"/>
    <s v="X"/>
    <s v="Ken's Market"/>
    <s v="2011: KEN'S MARKET #75-116 SEATTLE WA 98103 USA"/>
    <s v="Food &amp; Dining:Groceries"/>
    <m/>
    <m/>
    <m/>
    <x v="15"/>
    <x v="3"/>
    <m/>
    <m/>
    <m/>
    <m/>
    <s v="May"/>
    <n v="2014"/>
    <s v="Monthly"/>
    <n v="0"/>
    <s v="No"/>
    <s v="None"/>
    <s v="Food &amp; Dining|Groceries"/>
  </r>
  <r>
    <s v="First Tech - Checking (5544)"/>
    <d v="2014-05-05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May"/>
    <n v="2014"/>
    <s v="Monthly"/>
    <n v="0"/>
    <s v="No"/>
    <s v="None"/>
    <s v="Kids|American Funds 529A"/>
  </r>
  <r>
    <s v="Chase Freedom XX9381"/>
    <d v="2014-05-05T00:00:00"/>
    <n v="-62.45"/>
    <s v="X"/>
    <s v="Barking Dog Alehouse"/>
    <m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Koolikai Credit Card"/>
    <d v="2014-05-04T00:00:00"/>
    <n v="-155"/>
    <s v="X"/>
    <s v="Groupon"/>
    <s v="Bob Oates $200 for $155 deal"/>
    <s v="Business Expenses (Koolikai):Repairs/7231"/>
    <m/>
    <m/>
    <n v="7231"/>
    <x v="36"/>
    <x v="41"/>
    <m/>
    <m/>
    <m/>
    <m/>
    <s v="May"/>
    <n v="2014"/>
    <s v="Irregular"/>
    <n v="0"/>
    <s v="No"/>
    <s v="None"/>
    <s v="Business Expenses (Koolikai)|Repairs"/>
  </r>
  <r>
    <s v="MasterCard (Capital One)"/>
    <d v="2014-05-04T00:00:00"/>
    <n v="-2.4900000000000002"/>
    <s v="X"/>
    <s v="Ken's Market"/>
    <s v="2011: KEN'S MARKET #75-116 SEATTLE WA 98103 USA"/>
    <s v="Food &amp; Dining:Groceries/From Receipt"/>
    <m/>
    <m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04T00:00:00"/>
    <n v="-6.3"/>
    <s v="X"/>
    <s v="Playdate Cafe"/>
    <s v="2011: SQ *PLAYDATE CAFE Lynnwood WA 98036 USA"/>
    <s v="Kids:Kids Activities"/>
    <m/>
    <m/>
    <m/>
    <x v="27"/>
    <x v="12"/>
    <m/>
    <m/>
    <m/>
    <m/>
    <s v="May"/>
    <n v="2014"/>
    <s v="Monthly"/>
    <n v="0"/>
    <s v="No"/>
    <s v="None"/>
    <s v="Kids|Kids Activities"/>
  </r>
  <r>
    <s v="MasterCard (Capital One)"/>
    <d v="2014-05-04T00:00:00"/>
    <n v="-7.66"/>
    <s v="X"/>
    <s v="Playdate Cafe"/>
    <s v="2011: SQ *PLAYDATE CAFE Lynnwood WA 98036 USA"/>
    <s v="Kids:Kids Activities"/>
    <m/>
    <m/>
    <m/>
    <x v="27"/>
    <x v="12"/>
    <m/>
    <m/>
    <m/>
    <m/>
    <s v="May"/>
    <n v="2014"/>
    <s v="Monthly"/>
    <n v="0"/>
    <s v="No"/>
    <s v="None"/>
    <s v="Kids|Kids Activities"/>
  </r>
  <r>
    <s v="MasterCard (Capital One)"/>
    <d v="2014-05-04T00:00:00"/>
    <n v="-8.75"/>
    <s v="X"/>
    <s v="Netflix"/>
    <s v="2011: NETFLIX.COM NETFLIX.COM CA 95032 USA"/>
    <s v="Entertainment:Movies &amp; DVDs"/>
    <m/>
    <m/>
    <m/>
    <x v="30"/>
    <x v="43"/>
    <m/>
    <m/>
    <m/>
    <m/>
    <s v="May"/>
    <n v="2014"/>
    <s v="Unplanned"/>
    <n v="0"/>
    <s v="No"/>
    <s v="None"/>
    <s v="Entertainment|Movies &amp; DVDs"/>
  </r>
  <r>
    <s v="MasterCard (Capital One)"/>
    <d v="2014-05-04T00:00:00"/>
    <n v="-9.31"/>
    <s v="X"/>
    <s v="Playdate Cafe"/>
    <s v="2011: SQ *PLAYDATE CAFE Lynnwood WA 98036 USA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04T00:00:00"/>
    <n v="-38"/>
    <s v="X"/>
    <s v="Paypal"/>
    <s v="2011: PAYPAL *THISTLETHEA @BAL:3115.35@"/>
    <s v="Kids:Kids Activities"/>
    <m/>
    <m/>
    <m/>
    <x v="27"/>
    <x v="12"/>
    <m/>
    <m/>
    <m/>
    <m/>
    <s v="May"/>
    <n v="2014"/>
    <s v="Monthly"/>
    <n v="0"/>
    <s v="No"/>
    <s v="None"/>
    <s v="Kids|Kids Activities"/>
  </r>
  <r>
    <s v="Koolikai - Checking XX2129"/>
    <d v="2014-05-03T00:00:00"/>
    <n v="2295"/>
    <s v="X"/>
    <s v="Aaron Ausland"/>
    <s v="Deposit--Shared Branch Mobile Deposit          First Tech FC CA"/>
    <s v="Business Income (Koolikai):Rent"/>
    <m/>
    <s v="Split"/>
    <m/>
    <x v="37"/>
    <x v="25"/>
    <m/>
    <m/>
    <m/>
    <m/>
    <s v="May"/>
    <n v="2014"/>
    <s v="Monthly"/>
    <n v="0"/>
    <s v="No"/>
    <s v="None"/>
    <s v="Business Income (Koolikai)|Rent"/>
  </r>
  <r>
    <s v="Koolikai - Checking XX2129"/>
    <d v="2014-05-03T00:00:00"/>
    <n v="88.66"/>
    <s v="X"/>
    <s v="Aaron Ausland"/>
    <m/>
    <s v="Business Expenses (Koolikai):Utilities (Business)"/>
    <m/>
    <s v="Split"/>
    <m/>
    <x v="36"/>
    <x v="63"/>
    <m/>
    <m/>
    <m/>
    <m/>
    <s v="May"/>
    <n v="2014"/>
    <s v="Monthly"/>
    <n v="0"/>
    <s v="No"/>
    <s v="None"/>
    <s v="Business Expenses (Koolikai)|Utilities (Business)"/>
  </r>
  <r>
    <s v="MasterCard (Capital One)"/>
    <d v="2014-05-03T00:00:00"/>
    <n v="-103.39"/>
    <s v="X"/>
    <s v="Fred Meyer"/>
    <s v="2011: FRED-MEYER #0608 SEATTLE WA 98107 USA"/>
    <s v="Food &amp; Dining:Groceries/From Receipt"/>
    <m/>
    <m/>
    <s v="From Receipt"/>
    <x v="15"/>
    <x v="3"/>
    <m/>
    <m/>
    <m/>
    <m/>
    <s v="May"/>
    <n v="2014"/>
    <s v="Monthly"/>
    <n v="0"/>
    <s v="No"/>
    <s v="None"/>
    <s v="Food &amp; Dining|Groceries"/>
  </r>
  <r>
    <s v="First Tech - Checking (5544)"/>
    <d v="2014-05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May"/>
    <n v="2014"/>
    <s v="Monthly"/>
    <n v="0"/>
    <s v="No"/>
    <s v="None"/>
    <s v="Business Expenses (Koolikai)|Mortgage (Business)"/>
  </r>
  <r>
    <s v="First Tech - Checking (5544)"/>
    <d v="2014-05-02T00:00:00"/>
    <n v="-2480.02"/>
    <s v="X"/>
    <s v="Capital One (Autopay)"/>
    <s v="ACH Debit--CAPITAL ONE  - CRCARDPMT"/>
    <s v="[MasterCard (Capital One)]"/>
    <m/>
    <m/>
    <m/>
    <x v="38"/>
    <x v="0"/>
    <m/>
    <m/>
    <m/>
    <m/>
    <s v="May"/>
    <n v="2014"/>
    <s v="Account"/>
    <n v="0"/>
    <s v="No"/>
    <s v="None"/>
    <s v="[MasterCard (Capital One)]"/>
  </r>
  <r>
    <s v="First Tech - Checking (5544)"/>
    <d v="2014-05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May"/>
    <n v="2014"/>
    <s v="Monthly"/>
    <n v="0"/>
    <s v="No"/>
    <s v="None"/>
    <s v="Business Expenses (Koolikai)|Mortgage (Business)"/>
  </r>
  <r>
    <s v="MasterCard (Capital One)"/>
    <d v="2014-05-02T00:00:00"/>
    <n v="2480.02"/>
    <s v="X"/>
    <s v="Capital One (Autopay)"/>
    <s v="ACH Debit--CAPITAL ONE  - CRCARDPMT"/>
    <s v="[First Tech - Checking (5544)]"/>
    <m/>
    <m/>
    <m/>
    <x v="21"/>
    <x v="0"/>
    <m/>
    <m/>
    <m/>
    <m/>
    <s v="May"/>
    <n v="2014"/>
    <s v="Account"/>
    <n v="0"/>
    <s v="No"/>
    <s v="None"/>
    <s v="[First Tech - Checking (5544)]"/>
  </r>
  <r>
    <s v="MasterCard (Capital One)"/>
    <d v="2014-05-02T00:00:00"/>
    <n v="-11.24"/>
    <s v="X"/>
    <s v="Ken's Market"/>
    <s v="@CAT:@"/>
    <s v="Food &amp; Dining:Groceries"/>
    <m/>
    <m/>
    <m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02T00:00:00"/>
    <n v="-21.89"/>
    <s v="X"/>
    <s v="Fred Meyer"/>
    <s v="2011: FRED-MEYER #0023 BELLEVUE WA 98007 USA"/>
    <s v="Food &amp; Dining:Groceries/From Receipt"/>
    <m/>
    <m/>
    <s v="From Receipt"/>
    <x v="15"/>
    <x v="3"/>
    <m/>
    <m/>
    <m/>
    <m/>
    <s v="May"/>
    <n v="2014"/>
    <s v="Monthly"/>
    <n v="0"/>
    <s v="No"/>
    <s v="None"/>
    <s v="Food &amp; Dining|Groceries"/>
  </r>
  <r>
    <s v="MasterCard (Capital One)"/>
    <d v="2014-05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s v="May"/>
    <n v="2014"/>
    <s v="Monthly"/>
    <n v="0"/>
    <s v="No"/>
    <s v="None"/>
    <s v="Bills &amp; Utilities|Television"/>
  </r>
  <r>
    <s v="MasterCard (Capital One)"/>
    <d v="2014-05-02T00:00:00"/>
    <n v="-64.08"/>
    <s v="X"/>
    <s v="Comcast"/>
    <m/>
    <s v="Business Expenses (Koolikai):Internet"/>
    <m/>
    <s v="Split"/>
    <m/>
    <x v="36"/>
    <x v="33"/>
    <m/>
    <m/>
    <m/>
    <m/>
    <s v="May"/>
    <n v="2014"/>
    <s v="Monthly"/>
    <n v="0"/>
    <s v="No"/>
    <s v="None"/>
    <s v="Business Expenses (Koolikai)|Internet"/>
  </r>
  <r>
    <s v="MasterCard (Capital One)"/>
    <d v="2014-05-02T00:00:00"/>
    <n v="-44.08"/>
    <s v="X"/>
    <s v="Comcast"/>
    <m/>
    <s v="Bills &amp; Utilities:Home Phone"/>
    <m/>
    <s v="Split"/>
    <m/>
    <x v="34"/>
    <x v="34"/>
    <m/>
    <m/>
    <m/>
    <m/>
    <s v="May"/>
    <n v="2014"/>
    <s v="Monthly"/>
    <n v="0"/>
    <s v="No"/>
    <s v="None"/>
    <s v="Bills &amp; Utilities|Home Phone"/>
  </r>
  <r>
    <s v="MasterCard (Capital One)"/>
    <d v="2014-05-02T00:00:00"/>
    <n v="-569.88"/>
    <s v="X"/>
    <s v="Hyatt"/>
    <s v="#Group meeting Spring#"/>
    <s v="Work Expense:Reimbursable expense"/>
    <m/>
    <m/>
    <m/>
    <x v="19"/>
    <x v="21"/>
    <m/>
    <m/>
    <s v="Group meeting Spring"/>
    <m/>
    <s v="May"/>
    <n v="2014"/>
    <s v="Irregular"/>
    <n v="0"/>
    <s v="No"/>
    <s v="None"/>
    <s v="Work Expense|Reimbursable expense"/>
  </r>
  <r>
    <s v="First Tech - Checking (5544)"/>
    <d v="2014-05-01T00:00:00"/>
    <n v="-1976"/>
    <s v="X"/>
    <s v="Phinney Ridge CDC"/>
    <s v="ACH Debit--PHINNEY RIDGE LU 504759859 - CONTRIBUTN"/>
    <s v="Kids:Daycare"/>
    <m/>
    <m/>
    <m/>
    <x v="27"/>
    <x v="35"/>
    <m/>
    <m/>
    <m/>
    <m/>
    <s v="May"/>
    <n v="2014"/>
    <s v="Monthly"/>
    <n v="0"/>
    <s v="No"/>
    <s v="None"/>
    <s v="Kids|Daycare"/>
  </r>
  <r>
    <s v="Schwab - Checking (9784)"/>
    <d v="2014-05-01T00:00:00"/>
    <n v="-8.65"/>
    <s v="X"/>
    <s v="Bartell Drugs"/>
    <s v="2011: 09 BARTELL DRUGS SEATTLE WA 98103 USA"/>
    <s v="Food &amp; Dining:Groceries"/>
    <m/>
    <m/>
    <m/>
    <x v="15"/>
    <x v="3"/>
    <m/>
    <m/>
    <m/>
    <m/>
    <s v="May"/>
    <n v="2014"/>
    <s v="Monthly"/>
    <n v="0"/>
    <s v="No"/>
    <s v="None"/>
    <s v="Food &amp; Dining|Groceries"/>
  </r>
  <r>
    <s v="Chase Freedom XX9381"/>
    <d v="2014-05-01T00:00:00"/>
    <n v="-2.4500000000000002"/>
    <s v="X"/>
    <s v="Breaking Bread"/>
    <s v="#Group meeting Spring#"/>
    <s v="Work Expense:Reimbursable expense"/>
    <m/>
    <m/>
    <m/>
    <x v="19"/>
    <x v="21"/>
    <m/>
    <m/>
    <s v="Group meeting Spring"/>
    <m/>
    <s v="May"/>
    <n v="2014"/>
    <s v="Irregular"/>
    <n v="0"/>
    <s v="No"/>
    <s v="None"/>
    <s v="Work Expense|Reimbursable expense"/>
  </r>
  <r>
    <s v="Chase Freedom XX9381"/>
    <d v="2014-05-01T00:00:00"/>
    <n v="-4.12"/>
    <s v="X"/>
    <s v="Taco Del Mar"/>
    <s v="2011: TACO DEL MAR GREENWOOD SEATTLE WA 98103 USA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Chase Freedom XX9381"/>
    <d v="2014-05-01T00:00:00"/>
    <n v="-10.95"/>
    <s v="X"/>
    <s v="Breaking Bread"/>
    <s v="#Group meeting Spring#"/>
    <s v="Work Expense:Reimbursable expense/From Receipt"/>
    <m/>
    <m/>
    <s v="From Receipt"/>
    <x v="19"/>
    <x v="21"/>
    <m/>
    <m/>
    <s v="Group meeting Spring"/>
    <m/>
    <s v="May"/>
    <n v="2014"/>
    <s v="Irregular"/>
    <n v="0"/>
    <s v="No"/>
    <s v="None"/>
    <s v="Work Expense|Reimbursable expense"/>
  </r>
  <r>
    <s v="Chase Freedom XX9381"/>
    <d v="2014-05-01T00:00:00"/>
    <n v="-53.63"/>
    <s v="X"/>
    <s v="Marketbar"/>
    <s v="#Group meeting Spring#"/>
    <s v="Work Expense:Reimbursable expense"/>
    <m/>
    <m/>
    <m/>
    <x v="19"/>
    <x v="21"/>
    <m/>
    <m/>
    <s v="Group meeting Spring"/>
    <m/>
    <s v="May"/>
    <n v="2014"/>
    <s v="Irregular"/>
    <n v="0"/>
    <s v="No"/>
    <s v="None"/>
    <s v="Work Expense|Reimbursable expense"/>
  </r>
  <r>
    <s v="Chase Freedom XX9381"/>
    <d v="2014-05-01T00:00:00"/>
    <n v="-54.93"/>
    <s v="X"/>
    <s v="Perbacco"/>
    <s v="#Group meeting Spring#"/>
    <s v="Work Expense:Reimbursable expense/From Receipt"/>
    <m/>
    <m/>
    <s v="From Receipt"/>
    <x v="19"/>
    <x v="21"/>
    <m/>
    <m/>
    <s v="Group meeting Spring"/>
    <m/>
    <s v="May"/>
    <n v="2014"/>
    <s v="Irregular"/>
    <n v="0"/>
    <s v="No"/>
    <s v="None"/>
    <s v="Work Expense|Reimbursable expense"/>
  </r>
  <r>
    <s v="Chase Freedom XX9381"/>
    <d v="2014-05-01T00:00:00"/>
    <n v="-100"/>
    <s v="X"/>
    <s v="Cafe"/>
    <s v="2011: CAFE 86 11171386 REDMOND WA 98052 USA"/>
    <s v="Food &amp; Dining:Restaurants"/>
    <m/>
    <m/>
    <m/>
    <x v="15"/>
    <x v="15"/>
    <m/>
    <m/>
    <m/>
    <m/>
    <s v="May"/>
    <n v="2014"/>
    <s v="Monthly"/>
    <n v="0"/>
    <s v="No"/>
    <s v="None"/>
    <s v="Food &amp; Dining|Restaurants"/>
  </r>
  <r>
    <s v="MasterCard (Capital One)"/>
    <d v="2014-05-01T00:00:00"/>
    <n v="-21.36"/>
    <s v="X"/>
    <s v="Napa Farms"/>
    <s v="#Group meeting Spring# Meal at airport"/>
    <s v="Work Expense:Reimbursable expense/From Receipt"/>
    <m/>
    <m/>
    <s v="From Receipt"/>
    <x v="19"/>
    <x v="21"/>
    <m/>
    <m/>
    <s v="Group meeting Spring"/>
    <m/>
    <s v="May"/>
    <n v="2014"/>
    <s v="Irregular"/>
    <n v="0"/>
    <s v="No"/>
    <s v="None"/>
    <s v="Work Expense|Reimbursable expense"/>
  </r>
  <r>
    <s v="MasterCard (Capital One)"/>
    <d v="2014-05-01T00:00:00"/>
    <n v="-30.89"/>
    <s v="X"/>
    <s v="Shuttlepark 2"/>
    <s v="#Group meeting Spring# Parking for group meeting"/>
    <s v="Work Expense:Reimbursable expense"/>
    <m/>
    <m/>
    <m/>
    <x v="19"/>
    <x v="21"/>
    <m/>
    <m/>
    <s v="Group meeting Spring"/>
    <m/>
    <s v="May"/>
    <n v="2014"/>
    <s v="Irregular"/>
    <n v="0"/>
    <s v="No"/>
    <s v="None"/>
    <s v="Work Expense|Reimbursable expense"/>
  </r>
  <r>
    <s v="MasterCard (Capital One)"/>
    <d v="2014-05-01T00:00:00"/>
    <n v="-35"/>
    <s v="X"/>
    <s v="Bigtentgroups Ma Bigtentgroups"/>
    <s v="SFOM membership fee"/>
    <s v="Subscriptions &amp; Dues"/>
    <m/>
    <m/>
    <m/>
    <x v="33"/>
    <x v="0"/>
    <m/>
    <m/>
    <m/>
    <m/>
    <s v="May"/>
    <n v="2014"/>
    <s v="Annual"/>
    <n v="0"/>
    <s v="No"/>
    <s v="None"/>
    <s v="Subscriptions &amp; Dues"/>
  </r>
  <r>
    <s v="Capital One - Investment (6759)"/>
    <d v="2014-04-30T00:00:00"/>
    <n v="19.37"/>
    <s v="X"/>
    <s v="Capital One (Interest Income)"/>
    <s v="@CAT:@"/>
    <s v="Interest Income"/>
    <s v="INT"/>
    <m/>
    <m/>
    <x v="40"/>
    <x v="0"/>
    <m/>
    <m/>
    <m/>
    <m/>
    <s v="Apr"/>
    <n v="2014"/>
    <s v="Monthly"/>
    <n v="0"/>
    <s v="No"/>
    <s v="None"/>
    <s v="Interest Income"/>
  </r>
  <r>
    <s v="Capital One - Long Term Emergency (1201)"/>
    <d v="2014-04-30T00:00:00"/>
    <n v="48.61"/>
    <s v="X"/>
    <s v="Capital One (Interest Income)"/>
    <s v="@CAT:@"/>
    <s v="Interest Income"/>
    <s v="INT"/>
    <m/>
    <m/>
    <x v="40"/>
    <x v="0"/>
    <m/>
    <m/>
    <m/>
    <m/>
    <s v="Apr"/>
    <n v="2014"/>
    <s v="Monthly"/>
    <n v="0"/>
    <s v="No"/>
    <s v="None"/>
    <s v="Interest Income"/>
  </r>
  <r>
    <s v="Capital One - Secondary Savings (3126)"/>
    <d v="2014-04-30T00:00:00"/>
    <n v="0.02"/>
    <s v="X"/>
    <s v="Capital One (Interest Income)"/>
    <s v="@CAT:@"/>
    <s v="Interest Income"/>
    <s v="INT"/>
    <m/>
    <m/>
    <x v="40"/>
    <x v="0"/>
    <m/>
    <m/>
    <m/>
    <m/>
    <s v="Apr"/>
    <n v="2014"/>
    <s v="Monthly"/>
    <n v="0"/>
    <s v="No"/>
    <s v="None"/>
    <s v="Interest Income"/>
  </r>
  <r>
    <s v="Capital One - Vacation (4959)"/>
    <d v="2014-04-30T00:00:00"/>
    <n v="2.06"/>
    <s v="X"/>
    <s v="Capital One (Interest Income)"/>
    <s v="@CAT:@"/>
    <s v="Interest Income"/>
    <s v="INT"/>
    <m/>
    <m/>
    <x v="40"/>
    <x v="0"/>
    <m/>
    <m/>
    <m/>
    <m/>
    <s v="Apr"/>
    <n v="2014"/>
    <s v="Monthly"/>
    <n v="0"/>
    <s v="No"/>
    <s v="None"/>
    <s v="Interest Income"/>
  </r>
  <r>
    <s v="First Tech - Short Term Emergency (5400)"/>
    <d v="2014-04-30T00:00:00"/>
    <n v="0.01"/>
    <s v="X"/>
    <s v="First Tech (Dividend)"/>
    <s v="Credit Dividend--"/>
    <s v="Interest Income"/>
    <m/>
    <m/>
    <m/>
    <x v="40"/>
    <x v="0"/>
    <m/>
    <m/>
    <m/>
    <m/>
    <s v="Apr"/>
    <n v="2014"/>
    <s v="Monthly"/>
    <n v="0"/>
    <s v="No"/>
    <s v="None"/>
    <s v="Interest Income"/>
  </r>
  <r>
    <s v="Koolikai - Sec Dep XX1200"/>
    <d v="2014-04-30T00:00:00"/>
    <n v="0.18"/>
    <s v="X"/>
    <s v="First Tech (Dividend)"/>
    <s v="Credit Dividend--"/>
    <s v="Interest Income"/>
    <m/>
    <m/>
    <m/>
    <x v="40"/>
    <x v="0"/>
    <m/>
    <m/>
    <m/>
    <m/>
    <s v="Apr"/>
    <n v="2014"/>
    <s v="Monthly"/>
    <n v="0"/>
    <s v="No"/>
    <s v="None"/>
    <s v="Interest Income"/>
  </r>
  <r>
    <s v="Schwab - Checking (9784)"/>
    <d v="2014-04-30T00:00:00"/>
    <n v="0.11"/>
    <s v="X"/>
    <s v="Interest Paid"/>
    <m/>
    <s v="Interest Income"/>
    <m/>
    <m/>
    <m/>
    <x v="40"/>
    <x v="0"/>
    <m/>
    <m/>
    <m/>
    <m/>
    <s v="Apr"/>
    <n v="2014"/>
    <s v="Monthly"/>
    <n v="0"/>
    <s v="No"/>
    <s v="None"/>
    <s v="Interest Income"/>
  </r>
  <r>
    <s v="Schwab - Checking (9784)"/>
    <d v="2014-04-30T00:00:00"/>
    <n v="3"/>
    <s v="X"/>
    <s v="ATM Fee Refund"/>
    <s v="@BAL:$1230.64@"/>
    <s v="Bank Fees &amp; Charges:ATM Fee"/>
    <m/>
    <m/>
    <m/>
    <x v="32"/>
    <x v="17"/>
    <m/>
    <m/>
    <m/>
    <m/>
    <s v="Apr"/>
    <n v="2014"/>
    <s v="Monthly"/>
    <n v="0"/>
    <s v="No"/>
    <s v="None"/>
    <s v="Bank Fees &amp; Charges|ATM Fee"/>
  </r>
  <r>
    <s v="Chase Freedom XX9381"/>
    <d v="2014-04-30T00:00:00"/>
    <n v="-2.25"/>
    <s v="X"/>
    <s v="Oasis Grill"/>
    <m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Chase Freedom XX9381"/>
    <d v="2014-04-30T00:00:00"/>
    <n v="-5.95"/>
    <s v="X"/>
    <s v="Cafe"/>
    <s v="2011: CAFE 86 11171386 REDMOND WA 98052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Chase Freedom XX9381"/>
    <d v="2014-04-30T00:00:00"/>
    <n v="-10.86"/>
    <s v="X"/>
    <s v="Oasis Grill"/>
    <s v="#Group meeting Spring#"/>
    <s v="Work Expense:Reimbursable expense/From Receipt"/>
    <m/>
    <m/>
    <s v="From Receipt"/>
    <x v="19"/>
    <x v="21"/>
    <m/>
    <m/>
    <s v="Group meeting Spring"/>
    <m/>
    <s v="Apr"/>
    <n v="2014"/>
    <s v="Irregular"/>
    <n v="0"/>
    <s v="No"/>
    <s v="None"/>
    <s v="Work Expense|Reimbursable expense"/>
  </r>
  <r>
    <s v="First Tech - Checking (5544)"/>
    <d v="2014-04-29T00:00:00"/>
    <n v="3165.19"/>
    <s v="X"/>
    <s v="Microsoft (Paystub)"/>
    <s v="ACH Deposit--MICROSOFT  - EDIPAYMENT"/>
    <s v="Net Salary"/>
    <m/>
    <m/>
    <m/>
    <x v="35"/>
    <x v="0"/>
    <m/>
    <m/>
    <m/>
    <m/>
    <s v="Apr"/>
    <n v="2014"/>
    <s v="Monthly"/>
    <n v="0"/>
    <s v="No"/>
    <s v="None"/>
    <s v="Net Salary"/>
  </r>
  <r>
    <s v="First Tech - Checking (5544)"/>
    <d v="2014-04-29T00:00:00"/>
    <n v="6195.6"/>
    <s v="X"/>
    <s v="CRAB (Paystub)"/>
    <s v="ACH Deposit--Cancer Research  - Payroll"/>
    <s v="Net Salary"/>
    <m/>
    <m/>
    <m/>
    <x v="35"/>
    <x v="0"/>
    <m/>
    <m/>
    <m/>
    <m/>
    <s v="Apr"/>
    <n v="2014"/>
    <s v="Monthly"/>
    <n v="0"/>
    <s v="No"/>
    <s v="None"/>
    <s v="Net Salary"/>
  </r>
  <r>
    <s v="First Tech - Checking (5544)"/>
    <d v="2014-04-29T00:00:00"/>
    <n v="11977"/>
    <s v="X"/>
    <s v="IRS"/>
    <s v="ACH Deposit--IRS  TREAS 310  -   TAX REF"/>
    <s v="Tax:Fed"/>
    <m/>
    <m/>
    <m/>
    <x v="47"/>
    <x v="54"/>
    <m/>
    <m/>
    <m/>
    <m/>
    <s v="Apr"/>
    <n v="2014"/>
    <s v="Unplanned"/>
    <n v="0"/>
    <s v="No"/>
    <s v="None"/>
    <s v="Tax|Fed"/>
  </r>
  <r>
    <s v="First Tech - Checking (5544)"/>
    <d v="2014-04-29T00:00:00"/>
    <n v="-211.72"/>
    <s v="X"/>
    <s v="Seattle Public Utilities"/>
    <s v="@BAL:50666.27@;@CAT:@"/>
    <s v="Bills &amp; Utilities:Utilities"/>
    <m/>
    <m/>
    <m/>
    <x v="34"/>
    <x v="18"/>
    <m/>
    <m/>
    <m/>
    <m/>
    <s v="Apr"/>
    <n v="2014"/>
    <s v="Monthly"/>
    <n v="0"/>
    <s v="No"/>
    <s v="None"/>
    <s v="Bills &amp; Utilities|Utilities"/>
  </r>
  <r>
    <s v="Schwab - Checking (9784)"/>
    <d v="2014-04-29T00:00:00"/>
    <n v="-34.83"/>
    <s v="X"/>
    <s v="US Bank"/>
    <s v="Cash for group meeting?"/>
    <s v="Food &amp; Dining:Restaurants"/>
    <m/>
    <s v="Split"/>
    <m/>
    <x v="15"/>
    <x v="15"/>
    <m/>
    <m/>
    <m/>
    <m/>
    <s v="Apr"/>
    <n v="2014"/>
    <s v="Monthly"/>
    <n v="0"/>
    <s v="No"/>
    <s v="None"/>
    <s v="Food &amp; Dining|Restaurants"/>
  </r>
  <r>
    <s v="Schwab - Checking (9784)"/>
    <d v="2014-04-29T00:00:00"/>
    <n v="-3"/>
    <s v="X"/>
    <s v="US Bank"/>
    <m/>
    <s v="Bank Fees &amp; Charges:ATM Fee"/>
    <m/>
    <s v="Split"/>
    <m/>
    <x v="32"/>
    <x v="17"/>
    <m/>
    <m/>
    <m/>
    <m/>
    <s v="Apr"/>
    <n v="2014"/>
    <s v="Monthly"/>
    <n v="0"/>
    <s v="No"/>
    <s v="None"/>
    <s v="Bank Fees &amp; Charges|ATM Fee"/>
  </r>
  <r>
    <s v="Schwab - Checking (9784)"/>
    <d v="2014-04-29T00:00:00"/>
    <n v="-5.17"/>
    <s v="X"/>
    <s v="US Bank"/>
    <s v="Limeaide, Spinach"/>
    <s v="Food &amp; Dining:Groceries"/>
    <m/>
    <s v="Split"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29T00:00:00"/>
    <n v="-8.65"/>
    <s v="X"/>
    <s v="Bart"/>
    <s v="#Group meeting Spring#"/>
    <s v="Work Expense:Reimbursable expense"/>
    <m/>
    <m/>
    <m/>
    <x v="19"/>
    <x v="21"/>
    <m/>
    <m/>
    <s v="Group meeting Spring"/>
    <m/>
    <s v="Apr"/>
    <n v="2014"/>
    <s v="Irregular"/>
    <n v="0"/>
    <s v="No"/>
    <s v="None"/>
    <s v="Work Expense|Reimbursable expense"/>
  </r>
  <r>
    <s v="First Tech - Checking (5544)"/>
    <d v="2014-04-28T00:00:00"/>
    <n v="-100"/>
    <s v="X"/>
    <s v="Chase Freedom"/>
    <s v="ACH Debit--CHASE  - AUTOPAY"/>
    <s v="[Chase Freedom XX9381]"/>
    <m/>
    <m/>
    <m/>
    <x v="7"/>
    <x v="0"/>
    <m/>
    <m/>
    <m/>
    <m/>
    <s v="Apr"/>
    <n v="2014"/>
    <e v="#N/A"/>
    <e v="#N/A"/>
    <e v="#N/A"/>
    <e v="#N/A"/>
    <s v="[Chase Freedom XX9381]"/>
  </r>
  <r>
    <s v="First Tech - Checking (5544)"/>
    <d v="2014-04-28T00:00:00"/>
    <n v="-115"/>
    <s v="X"/>
    <s v="Cleaning Authority, The"/>
    <s v="ACH Debit--THE CLEANING AUT  - ONLINE PMT"/>
    <s v="Home:Home Services"/>
    <m/>
    <m/>
    <m/>
    <x v="14"/>
    <x v="46"/>
    <m/>
    <m/>
    <m/>
    <m/>
    <s v="Apr"/>
    <n v="2014"/>
    <s v="Monthly"/>
    <n v="0"/>
    <s v="No"/>
    <s v="None"/>
    <s v="Home|Home Services"/>
  </r>
  <r>
    <s v="Chase Freedom XX9381"/>
    <d v="2014-04-28T00:00:00"/>
    <n v="100"/>
    <s v="X"/>
    <s v="Chase Autopay (Freedom)"/>
    <s v="@BAL:$100.00@@CAT:@"/>
    <s v="[First Tech - Checking (5544)]"/>
    <m/>
    <m/>
    <m/>
    <x v="21"/>
    <x v="0"/>
    <m/>
    <m/>
    <m/>
    <m/>
    <s v="Apr"/>
    <n v="2014"/>
    <s v="Account"/>
    <n v="0"/>
    <s v="No"/>
    <s v="None"/>
    <s v="[First Tech - Checking (5544)]"/>
  </r>
  <r>
    <s v="Chase Freedom XX9381"/>
    <d v="2014-04-28T00:00:00"/>
    <n v="-32.44"/>
    <s v="X"/>
    <s v="Purple Cafe"/>
    <m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28T00:00:00"/>
    <n v="-7.05"/>
    <s v="X"/>
    <s v="Amazon"/>
    <s v="LR-44 Batteries"/>
    <s v="Kids:Toys"/>
    <m/>
    <m/>
    <m/>
    <x v="27"/>
    <x v="14"/>
    <m/>
    <m/>
    <m/>
    <m/>
    <s v="Apr"/>
    <n v="2014"/>
    <s v="Monthly"/>
    <n v="0"/>
    <s v="No"/>
    <s v="None"/>
    <s v="Kids|Toys"/>
  </r>
  <r>
    <s v="MasterCard (Capital One)"/>
    <d v="2014-04-27T00:00:00"/>
    <n v="-3"/>
    <s v="X"/>
    <s v="Diamond Parking"/>
    <s v="2011: DIAMOND PARKING WE09 EVERETT WA 98106 USA"/>
    <s v="Auto &amp; Transport:Parking"/>
    <m/>
    <m/>
    <m/>
    <x v="17"/>
    <x v="11"/>
    <m/>
    <m/>
    <m/>
    <m/>
    <s v="Apr"/>
    <n v="2014"/>
    <s v="Monthly"/>
    <n v="0"/>
    <s v="No"/>
    <s v="None"/>
    <s v="Auto &amp; Transport|Parking"/>
  </r>
  <r>
    <s v="MasterCard (Capital One)"/>
    <d v="2014-04-27T00:00:00"/>
    <n v="-19"/>
    <s v="X"/>
    <s v="Imagine Childrens Museum"/>
    <s v="Upgraded membership to get guest passes"/>
    <s v="Kids:Kids Activities"/>
    <m/>
    <m/>
    <m/>
    <x v="27"/>
    <x v="12"/>
    <m/>
    <m/>
    <m/>
    <m/>
    <s v="Apr"/>
    <n v="2014"/>
    <s v="Monthly"/>
    <n v="0"/>
    <s v="No"/>
    <s v="None"/>
    <s v="Kids|Kids Activities"/>
  </r>
  <r>
    <s v="American Express (Costco)"/>
    <d v="2014-04-26T00:00:00"/>
    <n v="0"/>
    <s v="X"/>
    <s v="Balanced"/>
    <s v="@BAL:$0.00@"/>
    <s v="[American Express (Costco)]"/>
    <m/>
    <m/>
    <m/>
    <x v="20"/>
    <x v="0"/>
    <m/>
    <m/>
    <m/>
    <m/>
    <s v="Apr"/>
    <n v="2014"/>
    <s v="Account"/>
    <n v="0"/>
    <s v="No"/>
    <s v="None"/>
    <s v="[American Express (Costco)]"/>
  </r>
  <r>
    <s v="MasterCard (Capital One)"/>
    <d v="2014-04-26T00:00:00"/>
    <n v="-99.29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First Tech - Checking (5544)"/>
    <d v="2014-04-25T00:00:00"/>
    <n v="-90"/>
    <s v="X"/>
    <s v="Sue Shoedel"/>
    <s v="Check--"/>
    <s v="Kids:Babysitter"/>
    <n v="2130"/>
    <m/>
    <m/>
    <x v="27"/>
    <x v="13"/>
    <m/>
    <m/>
    <m/>
    <m/>
    <s v="Apr"/>
    <n v="2014"/>
    <s v="Monthly"/>
    <n v="0"/>
    <s v="No"/>
    <s v="None"/>
    <s v="Kids|Babysitter"/>
  </r>
  <r>
    <s v="MasterCard (Capital One)"/>
    <d v="2014-04-25T00:00:00"/>
    <n v="-3.69"/>
    <s v="X"/>
    <s v="Safeway"/>
    <s v="2011: SAFEWAY STORE 00018457 SEATTLE WA 98103 USA"/>
    <s v="Food &amp; Dining:Groceries"/>
    <m/>
    <m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25T00:00:00"/>
    <n v="-5.49"/>
    <s v="X"/>
    <s v="Walgreens"/>
    <s v="2011: WALGREENS #3515 SEATTLE WA 98103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Capital One - Long Term Emergency (1201)"/>
    <d v="2014-04-24T00:00:00"/>
    <n v="20.82"/>
    <s v="X"/>
    <s v="Quarterly Bonus Int"/>
    <m/>
    <s v="Interest Income"/>
    <m/>
    <m/>
    <m/>
    <x v="40"/>
    <x v="0"/>
    <m/>
    <m/>
    <m/>
    <m/>
    <s v="Apr"/>
    <n v="2014"/>
    <s v="Monthly"/>
    <n v="0"/>
    <s v="No"/>
    <s v="None"/>
    <s v="Interest Income"/>
  </r>
  <r>
    <s v="First Tech - Checking (5544)"/>
    <d v="2014-04-24T00:00:00"/>
    <n v="216.17"/>
    <s v="X"/>
    <s v="Seattle Families Of Multiples"/>
    <s v="#SFOM Spring Sale#"/>
    <s v="Work Expense:Reimbursable expense"/>
    <m/>
    <m/>
    <m/>
    <x v="19"/>
    <x v="21"/>
    <m/>
    <m/>
    <s v="SFOM Spring Sale"/>
    <m/>
    <s v="Apr"/>
    <n v="2014"/>
    <s v="Irregular"/>
    <n v="0"/>
    <s v="No"/>
    <s v="None"/>
    <s v="Work Expense|Reimbursable expense"/>
  </r>
  <r>
    <s v="Koolikai - Checking XX2129"/>
    <d v="2014-04-24T00:00:00"/>
    <n v="2195"/>
    <s v="X"/>
    <s v="Valerie Shaibley"/>
    <s v="Deposit--Shared Branch Mobile Deposit          First Tech FC CA"/>
    <s v="Business Income (Koolikai):Rent/9602"/>
    <m/>
    <m/>
    <n v="9602"/>
    <x v="37"/>
    <x v="25"/>
    <m/>
    <m/>
    <m/>
    <m/>
    <s v="Apr"/>
    <n v="2014"/>
    <s v="Monthly"/>
    <n v="0"/>
    <s v="No"/>
    <s v="None"/>
    <s v="Business Income (Koolikai)|Rent"/>
  </r>
  <r>
    <s v="Koolikai - Checking XX2129"/>
    <d v="2014-04-24T00:00:00"/>
    <n v="-146.69999999999999"/>
    <s v="X"/>
    <s v="Chase - Koolikai (Autopay)"/>
    <s v="@CAT:@"/>
    <s v="[Koolikai Credit Card]"/>
    <m/>
    <m/>
    <m/>
    <x v="9"/>
    <x v="0"/>
    <m/>
    <m/>
    <m/>
    <m/>
    <s v="Apr"/>
    <n v="2014"/>
    <s v="Account"/>
    <n v="0"/>
    <s v="No"/>
    <s v="None"/>
    <s v="[Koolikai Credit Card]"/>
  </r>
  <r>
    <s v="Koolikai Credit Card"/>
    <d v="2014-04-24T00:00:00"/>
    <n v="146.69999999999999"/>
    <s v="X"/>
    <s v="Chase - Koolikai (Autopay)"/>
    <m/>
    <s v="[Koolikai - Checking XX2129]"/>
    <m/>
    <m/>
    <m/>
    <x v="25"/>
    <x v="0"/>
    <m/>
    <m/>
    <m/>
    <m/>
    <s v="Apr"/>
    <n v="2014"/>
    <s v="Account"/>
    <n v="0"/>
    <s v="No"/>
    <s v="None"/>
    <s v="[Koolikai - Checking XX2129]"/>
  </r>
  <r>
    <s v="MasterCard (Capital One)"/>
    <d v="2014-04-24T00:00:00"/>
    <n v="-7.62"/>
    <s v="X"/>
    <s v="Subway"/>
    <s v="2011: SUBWAY 00249680 SEATTLE WA 98101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First Tech - Checking (5544)"/>
    <d v="2014-04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Apr"/>
    <n v="2014"/>
    <s v="Monthly"/>
    <n v="0"/>
    <s v="No"/>
    <s v="None"/>
    <s v="Auto &amp; Transport|Auto Lease Payment"/>
  </r>
  <r>
    <s v="First Tech - Checking (5544)"/>
    <d v="2014-04-23T00:00:00"/>
    <n v="-185.36"/>
    <s v="X"/>
    <s v="Amex Epayment Am - Ach Pmt"/>
    <s v="ACH Debit--AMEX EPayment AM - ACH PMT"/>
    <s v="[American Express (Costco)]"/>
    <m/>
    <m/>
    <m/>
    <x v="20"/>
    <x v="0"/>
    <m/>
    <m/>
    <m/>
    <m/>
    <s v="Apr"/>
    <n v="2014"/>
    <s v="Account"/>
    <n v="0"/>
    <s v="No"/>
    <s v="None"/>
    <s v="[American Express (Costco)]"/>
  </r>
  <r>
    <s v="MasterCard (Capital One)"/>
    <d v="2014-04-23T00:00:00"/>
    <n v="25"/>
    <s v="X"/>
    <s v="Capital One (Cash Back)"/>
    <s v="@CAT:@"/>
    <s v="Other Inc"/>
    <m/>
    <m/>
    <m/>
    <x v="29"/>
    <x v="0"/>
    <m/>
    <m/>
    <m/>
    <m/>
    <s v="Apr"/>
    <n v="2014"/>
    <s v="Monthly"/>
    <n v="0"/>
    <s v="No"/>
    <s v="None"/>
    <s v="Other Inc"/>
  </r>
  <r>
    <s v="American Express (Costco)"/>
    <d v="2014-04-22T00:00:00"/>
    <n v="185.36"/>
    <s v="X"/>
    <s v="Autopay Thank You"/>
    <s v="@CAT:@"/>
    <s v="[First Tech - Checking (5544)]"/>
    <m/>
    <m/>
    <m/>
    <x v="21"/>
    <x v="0"/>
    <m/>
    <m/>
    <m/>
    <m/>
    <s v="Apr"/>
    <n v="2014"/>
    <s v="Account"/>
    <n v="0"/>
    <s v="No"/>
    <s v="None"/>
    <s v="[First Tech - Checking (5544)]"/>
  </r>
  <r>
    <s v="Chase Freedom XX9381"/>
    <d v="2014-04-22T00:00:00"/>
    <n v="-45.28"/>
    <s v="X"/>
    <s v="Pesos"/>
    <m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22T00:00:00"/>
    <n v="-8.98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First Tech - Checking (5544)"/>
    <d v="2014-04-21T00:00:00"/>
    <n v="-1000"/>
    <s v="X"/>
    <s v="Pierre Kwan"/>
    <m/>
    <s v="Business Expenses (Koolikai):Security Deposit"/>
    <n v="2128"/>
    <m/>
    <m/>
    <x v="36"/>
    <x v="59"/>
    <m/>
    <m/>
    <m/>
    <m/>
    <s v="Apr"/>
    <n v="2014"/>
    <s v="Irregular"/>
    <n v="0"/>
    <s v="No"/>
    <s v="None"/>
    <s v="Business Expenses (Koolikai)|Security Deposit"/>
  </r>
  <r>
    <s v="First Tech - Checking (5544)"/>
    <d v="2014-04-21T00:00:00"/>
    <n v="-2100"/>
    <s v="X"/>
    <s v="Pierre Kwan"/>
    <m/>
    <s v="Business Expenses (Koolikai):Rent"/>
    <n v="2129"/>
    <m/>
    <m/>
    <x v="36"/>
    <x v="25"/>
    <m/>
    <m/>
    <m/>
    <m/>
    <s v="Apr"/>
    <n v="2014"/>
    <e v="#N/A"/>
    <e v="#N/A"/>
    <e v="#N/A"/>
    <e v="#N/A"/>
    <s v="Business Expenses (Koolikai)|Rent"/>
  </r>
  <r>
    <s v="Chase Freedom XX9381"/>
    <d v="2014-04-21T00:00:00"/>
    <n v="-48.21"/>
    <s v="X"/>
    <s v="Arco"/>
    <m/>
    <s v="Auto &amp; Transport:Gas &amp; Fuel"/>
    <m/>
    <m/>
    <m/>
    <x v="17"/>
    <x v="37"/>
    <m/>
    <m/>
    <m/>
    <m/>
    <s v="Apr"/>
    <n v="2014"/>
    <s v="Monthly"/>
    <n v="0"/>
    <s v="No"/>
    <s v="None"/>
    <s v="Auto &amp; Transport|Gas &amp; Fuel"/>
  </r>
  <r>
    <s v="MasterCard (Capital One)"/>
    <d v="2014-04-20T00:00:00"/>
    <n v="-2.99"/>
    <s v="X"/>
    <s v="Ken's Market"/>
    <s v="2011: KEN'S MARKET #75-116 SEATTLE WA 98103 USA"/>
    <s v="Food &amp; Dining:Groceries"/>
    <m/>
    <m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20T00:00:00"/>
    <n v="-121.53"/>
    <s v="X"/>
    <s v="O'reilly Auto Parts"/>
    <s v="Battery for RAV"/>
    <s v="Auto &amp; Transport:Service &amp; Parts/From Receipt"/>
    <m/>
    <m/>
    <s v="From Receipt"/>
    <x v="17"/>
    <x v="64"/>
    <m/>
    <m/>
    <m/>
    <m/>
    <s v="Apr"/>
    <n v="2014"/>
    <s v="Unplanned"/>
    <n v="0"/>
    <s v="No"/>
    <s v="None"/>
    <s v="Auto &amp; Transport|Service &amp; Parts"/>
  </r>
  <r>
    <s v="First Tech - Checking (5544)"/>
    <d v="2014-04-19T00:00:00"/>
    <n v="145.35"/>
    <s v="X"/>
    <s v="Seattle Families Of Multiples"/>
    <s v="Deposit--Shared Branch Mobile Deposit          First Tech FC CA"/>
    <s v="Kids:Clothing"/>
    <m/>
    <s v="Split"/>
    <m/>
    <x v="27"/>
    <x v="1"/>
    <m/>
    <m/>
    <m/>
    <m/>
    <s v="Apr"/>
    <n v="2014"/>
    <s v="Monthly"/>
    <n v="0"/>
    <s v="No"/>
    <s v="None"/>
    <s v="Kids|Clothing"/>
  </r>
  <r>
    <s v="First Tech - Checking (5544)"/>
    <d v="2014-04-19T00:00:00"/>
    <n v="145.35"/>
    <s v="X"/>
    <s v="Seattle Families Of Multiples"/>
    <m/>
    <s v="Kids:Toys"/>
    <m/>
    <s v="Split"/>
    <m/>
    <x v="27"/>
    <x v="14"/>
    <m/>
    <m/>
    <m/>
    <m/>
    <s v="Apr"/>
    <n v="2014"/>
    <s v="Monthly"/>
    <n v="0"/>
    <s v="No"/>
    <s v="None"/>
    <s v="Kids|Toys"/>
  </r>
  <r>
    <s v="MasterCard (Capital One)"/>
    <d v="2014-04-19T00:00:00"/>
    <n v="-3.1"/>
    <s v="X"/>
    <s v="Seattle Park Seattle"/>
    <s v="2011: SEATTLE 684-PARK SEATTLE WA 98104 USA"/>
    <s v="Auto &amp; Transport:Parking"/>
    <m/>
    <m/>
    <m/>
    <x v="17"/>
    <x v="11"/>
    <m/>
    <m/>
    <m/>
    <m/>
    <s v="Apr"/>
    <n v="2014"/>
    <s v="Monthly"/>
    <n v="0"/>
    <s v="No"/>
    <s v="None"/>
    <s v="Auto &amp; Transport|Parking"/>
  </r>
  <r>
    <s v="MasterCard (Capital One)"/>
    <d v="2014-04-19T00:00:00"/>
    <n v="-36"/>
    <s v="X"/>
    <s v="Bright Horizons"/>
    <s v="2011: BRIGHT HORIZONS 6176738000 MA 02472 USA"/>
    <s v="Kids:Daycare"/>
    <m/>
    <m/>
    <m/>
    <x v="27"/>
    <x v="35"/>
    <m/>
    <m/>
    <m/>
    <m/>
    <s v="Apr"/>
    <n v="2014"/>
    <s v="Monthly"/>
    <n v="0"/>
    <s v="No"/>
    <s v="None"/>
    <s v="Kids|Daycare"/>
  </r>
  <r>
    <s v="MasterCard (Capital One)"/>
    <d v="2014-04-19T00:00:00"/>
    <n v="-53"/>
    <s v="X"/>
    <s v="Beehive Salon"/>
    <s v="2011: BEEHIVE SALON SEATTLE WA 981036264 USA"/>
    <s v="Personal Care:Hair"/>
    <m/>
    <m/>
    <m/>
    <x v="31"/>
    <x v="16"/>
    <m/>
    <m/>
    <m/>
    <m/>
    <s v="Apr"/>
    <n v="2014"/>
    <s v="Monthly"/>
    <n v="0"/>
    <s v="No"/>
    <s v="None"/>
    <s v="Personal Care|Hair"/>
  </r>
  <r>
    <s v="MasterCard (Capital One)"/>
    <d v="2014-04-19T00:00:00"/>
    <n v="-2"/>
    <s v="X"/>
    <s v="Fred Meyer"/>
    <s v="Hot wheels"/>
    <s v="Kids:Toys/From Receipt"/>
    <m/>
    <s v="Split"/>
    <s v="From Receipt"/>
    <x v="27"/>
    <x v="14"/>
    <m/>
    <m/>
    <m/>
    <m/>
    <s v="Apr"/>
    <n v="2014"/>
    <s v="Monthly"/>
    <n v="0"/>
    <s v="No"/>
    <s v="None"/>
    <s v="Kids|Toys"/>
  </r>
  <r>
    <s v="MasterCard (Capital One)"/>
    <d v="2014-04-19T00:00:00"/>
    <n v="-113.57"/>
    <s v="X"/>
    <s v="Fred Meyer"/>
    <m/>
    <s v="Food &amp; Dining:Groceries/From Receipt"/>
    <m/>
    <s v="Split"/>
    <s v="From Receipt"/>
    <x v="15"/>
    <x v="3"/>
    <m/>
    <m/>
    <m/>
    <m/>
    <s v="Apr"/>
    <n v="2014"/>
    <s v="Monthly"/>
    <n v="0"/>
    <s v="No"/>
    <s v="None"/>
    <s v="Food &amp; Dining|Groceries"/>
  </r>
  <r>
    <s v="Schwab - Checking (9784)"/>
    <d v="2014-04-18T00:00:00"/>
    <n v="-3.34"/>
    <s v="X"/>
    <s v="Costco"/>
    <s v="Photos"/>
    <s v="Home:Furnishings/From Receipt"/>
    <m/>
    <m/>
    <s v="From Receipt"/>
    <x v="14"/>
    <x v="2"/>
    <m/>
    <m/>
    <m/>
    <m/>
    <s v="Apr"/>
    <n v="2014"/>
    <s v="Monthly"/>
    <n v="0"/>
    <s v="No"/>
    <s v="None"/>
    <s v="Home|Furnishings"/>
  </r>
  <r>
    <s v="MasterCard (Capital One)"/>
    <d v="2014-04-18T00:00:00"/>
    <n v="-3.82"/>
    <s v="X"/>
    <s v="Officemax"/>
    <s v="Envelopes"/>
    <s v="Business Expenses (Koolikai):Office Expenses (Business)/From Receipt"/>
    <m/>
    <m/>
    <s v="From Receipt"/>
    <x v="36"/>
    <x v="42"/>
    <m/>
    <m/>
    <m/>
    <m/>
    <s v="Apr"/>
    <n v="2014"/>
    <s v="Monthly"/>
    <n v="0"/>
    <s v="No"/>
    <s v="None"/>
    <s v="Business Expenses (Koolikai)|Office Expenses (Business)"/>
  </r>
  <r>
    <s v="MasterCard (Capital One)"/>
    <d v="2014-04-18T00:00:00"/>
    <n v="-10.26"/>
    <s v="X"/>
    <s v="Hales Ales Ltd"/>
    <s v="2011: HALES ALES LTD SEATTLE WA 981074538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18T00:00:00"/>
    <n v="-17.07"/>
    <s v="X"/>
    <s v="Fred Meyer"/>
    <s v="2011: FRED-MEYER #0608 SEATTLE WA 98107 USA"/>
    <s v="Food &amp; Dining:Groceries/From Receipt"/>
    <m/>
    <s v="Split"/>
    <s v="From Receipt"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18T00:00:00"/>
    <n v="-4.37"/>
    <s v="X"/>
    <s v="Fred Meyer"/>
    <m/>
    <s v="Home:Furnishings/From Receipt"/>
    <m/>
    <s v="Split"/>
    <s v="From Receipt"/>
    <x v="14"/>
    <x v="2"/>
    <m/>
    <m/>
    <m/>
    <m/>
    <s v="Apr"/>
    <n v="2014"/>
    <s v="Monthly"/>
    <n v="0"/>
    <s v="No"/>
    <s v="None"/>
    <s v="Home|Furnishings"/>
  </r>
  <r>
    <s v="MasterCard (Capital One)"/>
    <d v="2014-04-18T00:00:00"/>
    <n v="-208.8"/>
    <s v="X"/>
    <s v="Sct Box Office"/>
    <s v="2011: SCT BOX OFFICE 206-4430807 WA 981094555 USA"/>
    <s v="Kids:Kids Activities"/>
    <m/>
    <m/>
    <m/>
    <x v="27"/>
    <x v="12"/>
    <m/>
    <m/>
    <m/>
    <m/>
    <s v="Apr"/>
    <n v="2014"/>
    <s v="Monthly"/>
    <n v="0"/>
    <s v="No"/>
    <s v="None"/>
    <s v="Kids|Kids Activities"/>
  </r>
  <r>
    <s v="MasterCard (Capital One)"/>
    <d v="2014-04-17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s v="Apr"/>
    <n v="2014"/>
    <s v="Monthly"/>
    <n v="0"/>
    <s v="No"/>
    <s v="None"/>
    <s v="Auto &amp; Transport|Parking"/>
  </r>
  <r>
    <s v="MasterCard (Capital One)"/>
    <d v="2014-04-17T00:00:00"/>
    <n v="-344"/>
    <s v="X"/>
    <s v="Seattle Repertory Theater"/>
    <s v="Season tickets"/>
    <s v="Entertainment"/>
    <m/>
    <m/>
    <m/>
    <x v="30"/>
    <x v="0"/>
    <m/>
    <m/>
    <m/>
    <m/>
    <s v="Apr"/>
    <n v="2014"/>
    <s v="Monthly"/>
    <n v="0"/>
    <s v="No"/>
    <s v="None"/>
    <s v="Entertainment"/>
  </r>
  <r>
    <s v="MasterCard (Capital One)"/>
    <d v="2014-04-15T00:00:00"/>
    <n v="-47.67"/>
    <s v="X"/>
    <s v="Esi Pharm Columbus 08002822881 O"/>
    <s v="2011: ESI PHARM COLUMBUS 08002822881 OH 43228 USA"/>
    <s v="Health &amp; Fitness:Pharmacy"/>
    <m/>
    <m/>
    <m/>
    <x v="18"/>
    <x v="38"/>
    <m/>
    <m/>
    <m/>
    <m/>
    <s v="Apr"/>
    <n v="2014"/>
    <s v="Irregular"/>
    <n v="0"/>
    <s v="No"/>
    <s v="None"/>
    <s v="Health &amp; Fitness|Pharmacy"/>
  </r>
  <r>
    <s v="MasterCard (Capital One)"/>
    <d v="2014-04-15T00:00:00"/>
    <n v="-65"/>
    <s v="X"/>
    <s v="Beach Comber Kids Cuts"/>
    <s v="2011: BEACHCOMBER KIDS CUT SEATTLE WA 981030000 USA"/>
    <s v="Personal Care:Hair"/>
    <m/>
    <m/>
    <m/>
    <x v="31"/>
    <x v="16"/>
    <m/>
    <m/>
    <m/>
    <m/>
    <s v="Apr"/>
    <n v="2014"/>
    <s v="Monthly"/>
    <n v="0"/>
    <s v="No"/>
    <s v="None"/>
    <s v="Personal Care|Hair"/>
  </r>
  <r>
    <s v="First Tech - Checking (5544)"/>
    <d v="2014-04-14T00:00:00"/>
    <n v="3165.19"/>
    <s v="X"/>
    <s v="Microsoft (Paystub)"/>
    <s v="ACH Deposit--MICROSOFT  - EDIPAYMENT"/>
    <s v="Net Salary"/>
    <m/>
    <m/>
    <m/>
    <x v="35"/>
    <x v="0"/>
    <m/>
    <m/>
    <m/>
    <m/>
    <s v="Apr"/>
    <n v="2014"/>
    <s v="Monthly"/>
    <n v="0"/>
    <s v="No"/>
    <s v="None"/>
    <s v="Net Salary"/>
  </r>
  <r>
    <s v="First Tech - Checking (5544)"/>
    <d v="2014-04-14T00:00:00"/>
    <n v="-111.93"/>
    <s v="X"/>
    <s v="Puget Sound Energy"/>
    <s v="ACH Debit--PUGET SOUND ENER DIRECT DEBITING - PSE BILL  26250337"/>
    <s v="Bills &amp; Utilities:Utilities"/>
    <m/>
    <m/>
    <m/>
    <x v="34"/>
    <x v="18"/>
    <m/>
    <m/>
    <m/>
    <m/>
    <s v="Apr"/>
    <n v="2014"/>
    <s v="Monthly"/>
    <n v="0"/>
    <s v="No"/>
    <s v="None"/>
    <s v="Bills &amp; Utilities|Utilities"/>
  </r>
  <r>
    <s v="Chase Freedom XX9381"/>
    <d v="2014-04-14T00:00:00"/>
    <n v="-64.180000000000007"/>
    <s v="X"/>
    <s v="Luisas Mexican Grill"/>
    <m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14T00:00:00"/>
    <n v="-4.93"/>
    <s v="X"/>
    <s v="Fresh Table Cafe"/>
    <s v="2011: FRESH TABLE CAFE MET SEATTLE WA 98101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Chase Freedom XX9381"/>
    <d v="2014-04-13T00:00:00"/>
    <n v="-12.84"/>
    <s v="X"/>
    <s v="Fogon Cocina Mexicana"/>
    <m/>
    <s v="Food &amp; Dining:Restaurants/From Receipt"/>
    <m/>
    <m/>
    <s v="From Receipt"/>
    <x v="15"/>
    <x v="15"/>
    <m/>
    <m/>
    <m/>
    <m/>
    <s v="Apr"/>
    <n v="2014"/>
    <s v="Monthly"/>
    <n v="0"/>
    <s v="No"/>
    <s v="None"/>
    <s v="Food &amp; Dining|Restaurants"/>
  </r>
  <r>
    <s v="Koolikai Credit Card"/>
    <d v="2014-04-13T00:00:00"/>
    <n v="-146.69999999999999"/>
    <s v="X"/>
    <s v="Verizon Wireless"/>
    <m/>
    <s v="Business Expenses (Koolikai):Cell Phone"/>
    <m/>
    <m/>
    <m/>
    <x v="36"/>
    <x v="22"/>
    <m/>
    <m/>
    <m/>
    <m/>
    <s v="Apr"/>
    <n v="2014"/>
    <s v="Monthly"/>
    <n v="0"/>
    <s v="No"/>
    <s v="None"/>
    <s v="Business Expenses (Koolikai)|Cell Phone"/>
  </r>
  <r>
    <s v="MasterCard (Capital One)"/>
    <d v="2014-04-13T00:00:00"/>
    <n v="-5.98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13T00:00:00"/>
    <n v="-15"/>
    <s v="X"/>
    <s v="Clowns Unlimited"/>
    <s v="Seattle Center bouncy house exhibition"/>
    <s v="Kids:Kids Activities"/>
    <m/>
    <m/>
    <m/>
    <x v="27"/>
    <x v="12"/>
    <m/>
    <m/>
    <m/>
    <m/>
    <s v="Apr"/>
    <n v="2014"/>
    <s v="Monthly"/>
    <n v="0"/>
    <s v="No"/>
    <s v="None"/>
    <s v="Kids|Kids Activities"/>
  </r>
  <r>
    <s v="MasterCard (Capital One)"/>
    <d v="2014-04-13T00:00:00"/>
    <n v="-128.63999999999999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11T00:00:00"/>
    <n v="-2.89"/>
    <s v="X"/>
    <s v="Safeway"/>
    <s v="2011: SAFEWAY STORE00014779 SEATTLE WA 98121 USA"/>
    <s v="Food &amp; Dining:Groceries"/>
    <m/>
    <m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10T00:00:00"/>
    <n v="-3.5"/>
    <s v="X"/>
    <s v="Ken's Market"/>
    <s v="2011: KEN'S MARKET #75-116 SEATTLE WA 98103 USA"/>
    <s v="Food &amp; Dining:Groceries"/>
    <m/>
    <m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10T00:00:00"/>
    <n v="-8.3800000000000008"/>
    <s v="X"/>
    <s v="Ken's Market"/>
    <s v="2011: KEN'S MARKET #75-116 SEATTLE WA 98103 USA"/>
    <s v="Food &amp; Dining:Groceries"/>
    <m/>
    <m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10T00:00:00"/>
    <n v="-11.95"/>
    <s v="X"/>
    <s v="T-mobile"/>
    <s v="2011: VESTA *T-MOBILE 888-278-3397 OR 97223 USA"/>
    <s v="Bills &amp; Utilities:Mobile Phone"/>
    <m/>
    <m/>
    <m/>
    <x v="34"/>
    <x v="24"/>
    <m/>
    <m/>
    <m/>
    <m/>
    <s v="Apr"/>
    <n v="2014"/>
    <s v="Hidden"/>
    <n v="0"/>
    <s v="No"/>
    <s v="None"/>
    <s v="Bills &amp; Utilities|Mobile Phone"/>
  </r>
  <r>
    <s v="First Tech - Checking (5544)"/>
    <d v="2014-04-09T00:00:00"/>
    <n v="-10"/>
    <s v="X"/>
    <s v="Seattle Families Of Multiples"/>
    <s v="Check--"/>
    <s v="Kids:Clothing"/>
    <n v="2125"/>
    <m/>
    <m/>
    <x v="27"/>
    <x v="1"/>
    <m/>
    <m/>
    <m/>
    <m/>
    <s v="Apr"/>
    <n v="2014"/>
    <s v="Monthly"/>
    <n v="0"/>
    <s v="No"/>
    <s v="None"/>
    <s v="Kids|Clothing"/>
  </r>
  <r>
    <s v="First Tech - Checking (5544)"/>
    <d v="2014-04-09T00:00:00"/>
    <n v="-10.5"/>
    <s v="X"/>
    <s v="Seattle Families Of Multiples"/>
    <s v="Check--"/>
    <s v="Kids:Toys"/>
    <n v="2126"/>
    <m/>
    <m/>
    <x v="27"/>
    <x v="14"/>
    <m/>
    <m/>
    <m/>
    <m/>
    <s v="Apr"/>
    <n v="2014"/>
    <s v="Monthly"/>
    <n v="0"/>
    <s v="No"/>
    <s v="None"/>
    <s v="Kids|Toys"/>
  </r>
  <r>
    <s v="First Tech - Checking (5544)"/>
    <d v="2014-04-09T00:00:00"/>
    <n v="-91"/>
    <s v="X"/>
    <s v="Seattle Families Of Multiples"/>
    <m/>
    <s v="Kids:Toys"/>
    <n v="2299"/>
    <s v="Split"/>
    <m/>
    <x v="27"/>
    <x v="14"/>
    <m/>
    <m/>
    <m/>
    <m/>
    <s v="Apr"/>
    <n v="2014"/>
    <s v="Monthly"/>
    <n v="0"/>
    <s v="No"/>
    <s v="None"/>
    <s v="Kids|Toys"/>
  </r>
  <r>
    <s v="First Tech - Checking (5544)"/>
    <d v="2014-04-09T00:00:00"/>
    <n v="-91"/>
    <s v="X"/>
    <s v="Seattle Families Of Multiples"/>
    <m/>
    <s v="Food &amp; Dining:Groceries"/>
    <n v="2299"/>
    <s v="Split"/>
    <m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09T00:00:00"/>
    <n v="-36"/>
    <s v="X"/>
    <s v="Bright Horizons"/>
    <s v="2011: BRIGHT HORIZONS 6176738000 MA 02472 USA"/>
    <s v="Kids:Daycare"/>
    <m/>
    <m/>
    <m/>
    <x v="27"/>
    <x v="35"/>
    <m/>
    <m/>
    <m/>
    <m/>
    <s v="Apr"/>
    <n v="2014"/>
    <s v="Monthly"/>
    <n v="0"/>
    <s v="No"/>
    <s v="None"/>
    <s v="Kids|Daycare"/>
  </r>
  <r>
    <s v="First Tech - Checking (5544)"/>
    <d v="2014-04-08T00:00:00"/>
    <n v="-352.62"/>
    <s v="X"/>
    <s v="Target"/>
    <s v="ACH Debit--TARGET CARD SRVC 001 - AUTO PYMT"/>
    <s v="[Target Red Card]"/>
    <m/>
    <m/>
    <m/>
    <x v="12"/>
    <x v="0"/>
    <m/>
    <m/>
    <m/>
    <m/>
    <s v="Apr"/>
    <n v="2014"/>
    <s v="Account"/>
    <n v="0"/>
    <s v="No"/>
    <s v="None"/>
    <s v="[Target Red Card]"/>
  </r>
  <r>
    <s v="MasterCard (Capital One)"/>
    <d v="2014-04-08T00:00:00"/>
    <n v="25"/>
    <s v="X"/>
    <s v="Capital One (Cash Back)"/>
    <s v="@CAT:@"/>
    <s v="Other Inc"/>
    <m/>
    <m/>
    <m/>
    <x v="29"/>
    <x v="0"/>
    <m/>
    <m/>
    <m/>
    <m/>
    <s v="Apr"/>
    <n v="2014"/>
    <s v="Monthly"/>
    <n v="0"/>
    <s v="No"/>
    <s v="None"/>
    <s v="Other Inc"/>
  </r>
  <r>
    <s v="MasterCard (Capital One)"/>
    <d v="2014-04-08T00:00:00"/>
    <n v="-23.26"/>
    <s v="X"/>
    <s v="Fred Meyer"/>
    <s v="Josh Shoes"/>
    <s v="Kids:Clothing/From Receipt"/>
    <m/>
    <m/>
    <s v="From Receipt"/>
    <x v="27"/>
    <x v="1"/>
    <m/>
    <m/>
    <m/>
    <m/>
    <s v="Apr"/>
    <n v="2014"/>
    <s v="Monthly"/>
    <n v="0"/>
    <s v="No"/>
    <s v="None"/>
    <s v="Kids|Clothing"/>
  </r>
  <r>
    <s v="MasterCard (Capital One)"/>
    <d v="2014-04-08T00:00:00"/>
    <n v="-13.11"/>
    <s v="X"/>
    <s v="Fred Meyer"/>
    <s v="2011: FRED-MEYER #0122 SEATTLE WA 98117 USA"/>
    <s v="Gifts/From Receipt"/>
    <m/>
    <s v="Split"/>
    <s v="From Receipt"/>
    <x v="28"/>
    <x v="0"/>
    <m/>
    <m/>
    <m/>
    <m/>
    <s v="Apr"/>
    <n v="2014"/>
    <s v="Monthly"/>
    <n v="0"/>
    <s v="No"/>
    <s v="None"/>
    <s v="Gifts"/>
  </r>
  <r>
    <s v="MasterCard (Capital One)"/>
    <d v="2014-04-08T00:00:00"/>
    <n v="-13.87"/>
    <s v="X"/>
    <s v="Fred Meyer"/>
    <m/>
    <s v="Food &amp; Dining:Groceries/From Receipt"/>
    <m/>
    <s v="Split"/>
    <s v="From Receipt"/>
    <x v="15"/>
    <x v="3"/>
    <m/>
    <m/>
    <m/>
    <m/>
    <s v="Apr"/>
    <n v="2014"/>
    <s v="Monthly"/>
    <n v="0"/>
    <s v="No"/>
    <s v="None"/>
    <s v="Food &amp; Dining|Groceries"/>
  </r>
  <r>
    <s v="First Tech - Checking (5544)"/>
    <d v="2014-04-07T00:00:00"/>
    <n v="-3748.69"/>
    <s v="X"/>
    <s v="Wells Fargo Home Mortgage"/>
    <s v="ACH Debit--WF HOME MTG ACH - AUTO PAY"/>
    <s v="Home:Mortgage"/>
    <m/>
    <m/>
    <m/>
    <x v="14"/>
    <x v="27"/>
    <m/>
    <m/>
    <m/>
    <m/>
    <s v="Apr"/>
    <n v="2014"/>
    <s v="Monthly"/>
    <n v="0"/>
    <s v="No"/>
    <s v="None"/>
    <s v="Home|Mortgage"/>
  </r>
  <r>
    <s v="Chase Freedom XX9381"/>
    <d v="2014-04-07T00:00:00"/>
    <n v="-75.56"/>
    <s v="X"/>
    <s v="Razzis Pizzeria"/>
    <m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07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s v="Apr"/>
    <n v="2014"/>
    <s v="Monthly"/>
    <n v="0"/>
    <s v="No"/>
    <s v="None"/>
    <s v="Auto &amp; Transport|Parking"/>
  </r>
  <r>
    <s v="MasterCard (Capital One)"/>
    <d v="2014-04-07T00:00:00"/>
    <n v="-73.8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06T00:00:00"/>
    <n v="-18.989999999999998"/>
    <s v="X"/>
    <s v="Amazon"/>
    <s v="Blue tooth receiver"/>
    <s v="Shopping:Electronics &amp; Software"/>
    <m/>
    <m/>
    <m/>
    <x v="13"/>
    <x v="20"/>
    <m/>
    <m/>
    <m/>
    <m/>
    <s v="Apr"/>
    <n v="2014"/>
    <s v="Annual"/>
    <n v="0"/>
    <s v="No"/>
    <s v="None"/>
    <s v="Shopping|Electronics &amp; Software"/>
  </r>
  <r>
    <s v="MasterCard (Capital One)"/>
    <d v="2014-04-06T00:00:00"/>
    <n v="-54.95"/>
    <s v="X"/>
    <s v="Time Magazine"/>
    <s v="2011: TWX*TIME MAGAZINE 800-843-TIME NY 10019 USA"/>
    <s v="Subscriptions &amp; Dues/Tax Related"/>
    <m/>
    <m/>
    <s v="Tax Related"/>
    <x v="33"/>
    <x v="0"/>
    <m/>
    <m/>
    <m/>
    <m/>
    <s v="Apr"/>
    <n v="2014"/>
    <s v="Annual"/>
    <n v="0"/>
    <s v="No"/>
    <s v="None"/>
    <s v="Subscriptions &amp; Dues"/>
  </r>
  <r>
    <s v="Target Red Card"/>
    <d v="2014-04-06T00:00:00"/>
    <n v="352.62"/>
    <s v="X"/>
    <s v="Target (Autopay)"/>
    <m/>
    <s v="[First Tech - Checking (5544)]"/>
    <m/>
    <m/>
    <m/>
    <x v="21"/>
    <x v="0"/>
    <m/>
    <m/>
    <m/>
    <m/>
    <s v="Apr"/>
    <n v="2014"/>
    <s v="Account"/>
    <n v="0"/>
    <s v="No"/>
    <s v="None"/>
    <s v="[First Tech - Checking (5544)]"/>
  </r>
  <r>
    <s v="MasterCard (Capital One)"/>
    <d v="2014-04-05T00:00:00"/>
    <n v="-21.35"/>
    <s v="X"/>
    <s v="Jersey Great Food"/>
    <s v="2011: JERSEY'S GREAT FOOD AN SHORELINE WA 98133 USA"/>
    <s v="Food &amp; Dining:Restaurants/From Receipt"/>
    <m/>
    <m/>
    <s v="From Receipt"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05T00:00:00"/>
    <n v="-63.18"/>
    <s v="X"/>
    <s v="Nissan"/>
    <s v="Programming for replacement key fob"/>
    <s v="Auto &amp; Transport:Service &amp; Parts"/>
    <m/>
    <m/>
    <m/>
    <x v="17"/>
    <x v="64"/>
    <m/>
    <m/>
    <m/>
    <m/>
    <s v="Apr"/>
    <n v="2014"/>
    <s v="Unplanned"/>
    <n v="0"/>
    <s v="No"/>
    <s v="None"/>
    <s v="Auto &amp; Transport|Service &amp; Parts"/>
  </r>
  <r>
    <s v="MasterCard (Capital One)"/>
    <d v="2014-04-05T00:00:00"/>
    <n v="-167.44"/>
    <s v="X"/>
    <s v="Nissan"/>
    <s v="Replacement key fob"/>
    <s v="Auto &amp; Transport:Service &amp; Parts"/>
    <m/>
    <m/>
    <m/>
    <x v="17"/>
    <x v="64"/>
    <m/>
    <m/>
    <m/>
    <m/>
    <s v="Apr"/>
    <n v="2014"/>
    <s v="Unplanned"/>
    <n v="0"/>
    <s v="No"/>
    <s v="None"/>
    <s v="Auto &amp; Transport|Service &amp; Parts"/>
  </r>
  <r>
    <s v="Koolikai - Checking XX2129"/>
    <d v="2014-04-04T00:00:00"/>
    <n v="2295"/>
    <s v="X"/>
    <s v="Aaron Ausland"/>
    <s v="Deposit--Shared Branch Mobile Deposit          First Tech FC CA"/>
    <s v="Business Income (Koolikai):Rent"/>
    <m/>
    <s v="Split"/>
    <m/>
    <x v="37"/>
    <x v="25"/>
    <m/>
    <m/>
    <m/>
    <m/>
    <s v="Apr"/>
    <n v="2014"/>
    <s v="Monthly"/>
    <n v="0"/>
    <s v="No"/>
    <s v="None"/>
    <s v="Business Income (Koolikai)|Rent"/>
  </r>
  <r>
    <s v="Koolikai - Checking XX2129"/>
    <d v="2014-04-04T00:00:00"/>
    <n v="100"/>
    <s v="X"/>
    <s v="Aaron Ausland"/>
    <m/>
    <s v="Business Expenses (Koolikai):Utilities (Business)"/>
    <m/>
    <s v="Split"/>
    <m/>
    <x v="36"/>
    <x v="63"/>
    <m/>
    <m/>
    <m/>
    <m/>
    <s v="Apr"/>
    <n v="2014"/>
    <s v="Monthly"/>
    <n v="0"/>
    <s v="No"/>
    <s v="None"/>
    <s v="Business Expenses (Koolikai)|Utilities (Business)"/>
  </r>
  <r>
    <s v="MasterCard (Capital One)"/>
    <d v="2014-04-04T00:00:00"/>
    <n v="-4.92"/>
    <s v="X"/>
    <s v="Fresh Table Met"/>
    <s v="2011: FRESH TABLE-MET PARK SEATTLE WA 98101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04T00:00:00"/>
    <n v="-8.1999999999999993"/>
    <s v="X"/>
    <s v="Fresh Table Met"/>
    <s v="2011: FRESH TABLE-MET PARK SEATTLE WA 98101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04T00:00:00"/>
    <n v="-12"/>
    <s v="X"/>
    <s v="Lifetouch"/>
    <s v="School Pictures"/>
    <s v="Home:Furnishings"/>
    <m/>
    <m/>
    <m/>
    <x v="14"/>
    <x v="2"/>
    <m/>
    <m/>
    <m/>
    <m/>
    <s v="Apr"/>
    <n v="2014"/>
    <s v="Monthly"/>
    <n v="0"/>
    <s v="No"/>
    <s v="None"/>
    <s v="Home|Furnishings"/>
  </r>
  <r>
    <s v="MasterCard (Capital One)"/>
    <d v="2014-04-04T00:00:00"/>
    <n v="-12"/>
    <s v="X"/>
    <s v="Lifetouch"/>
    <s v="School Pictures"/>
    <s v="Home:Furnishings"/>
    <m/>
    <m/>
    <m/>
    <x v="14"/>
    <x v="2"/>
    <m/>
    <m/>
    <m/>
    <m/>
    <s v="Apr"/>
    <n v="2014"/>
    <s v="Monthly"/>
    <n v="0"/>
    <s v="No"/>
    <s v="None"/>
    <s v="Home|Furnishings"/>
  </r>
  <r>
    <s v="MasterCard (Capital One)"/>
    <d v="2014-04-04T00:00:00"/>
    <n v="-13.43"/>
    <s v="X"/>
    <s v="Diamond Parking"/>
    <s v="2011: DIAMOND PARKING A176 SEATTLE WA 98121 USA"/>
    <s v="Auto &amp; Transport:Parking"/>
    <m/>
    <m/>
    <m/>
    <x v="17"/>
    <x v="11"/>
    <m/>
    <m/>
    <m/>
    <m/>
    <s v="Apr"/>
    <n v="2014"/>
    <s v="Monthly"/>
    <n v="0"/>
    <s v="No"/>
    <s v="None"/>
    <s v="Auto &amp; Transport|Parking"/>
  </r>
  <r>
    <s v="MasterCard (Capital One)"/>
    <d v="2014-04-04T00:00:00"/>
    <n v="-25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04T00:00:00"/>
    <n v="-27.38"/>
    <s v="X"/>
    <s v="Company Store"/>
    <s v="Office for Frank"/>
    <s v="Gifts"/>
    <m/>
    <m/>
    <m/>
    <x v="28"/>
    <x v="0"/>
    <m/>
    <m/>
    <m/>
    <m/>
    <s v="Apr"/>
    <n v="2014"/>
    <s v="Monthly"/>
    <n v="0"/>
    <s v="No"/>
    <s v="None"/>
    <s v="Gifts"/>
  </r>
  <r>
    <s v="MasterCard (Capital One)"/>
    <d v="2014-04-04T00:00:00"/>
    <n v="-27.95"/>
    <s v="X"/>
    <s v="Lifetouch"/>
    <s v="School Pictures"/>
    <s v="Home:Furnishings"/>
    <m/>
    <m/>
    <m/>
    <x v="14"/>
    <x v="2"/>
    <m/>
    <m/>
    <m/>
    <m/>
    <s v="Apr"/>
    <n v="2014"/>
    <s v="Monthly"/>
    <n v="0"/>
    <s v="No"/>
    <s v="None"/>
    <s v="Home|Furnishings"/>
  </r>
  <r>
    <s v="MasterCard (Capital One)"/>
    <d v="2014-04-04T00:00:00"/>
    <n v="-34.86"/>
    <s v="X"/>
    <s v="Federal Express"/>
    <s v="#SFOM Spring Sale# Signs for SFOM @BAL:2759.01@"/>
    <s v="Work Expense:Reimbursable expense"/>
    <m/>
    <m/>
    <m/>
    <x v="19"/>
    <x v="21"/>
    <m/>
    <m/>
    <s v="SFOM Spring Sale"/>
    <m/>
    <s v="Apr"/>
    <n v="2014"/>
    <s v="Irregular"/>
    <n v="0"/>
    <s v="No"/>
    <s v="None"/>
    <s v="Work Expense|Reimbursable expense"/>
  </r>
  <r>
    <s v="First Tech - Checking (5544)"/>
    <d v="2014-04-03T00:00:00"/>
    <n v="-115"/>
    <s v="X"/>
    <s v="Cleaning Authority, The"/>
    <s v="ACH Debit--THE CLEANING AUT  - ONLINE PMT"/>
    <s v="Home:Home Services"/>
    <m/>
    <m/>
    <m/>
    <x v="14"/>
    <x v="46"/>
    <m/>
    <m/>
    <m/>
    <m/>
    <s v="Apr"/>
    <n v="2014"/>
    <s v="Monthly"/>
    <n v="0"/>
    <s v="No"/>
    <s v="None"/>
    <s v="Home|Home Services"/>
  </r>
  <r>
    <s v="First Tech - Checking (5544)"/>
    <d v="2014-04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Apr"/>
    <n v="2014"/>
    <s v="Monthly"/>
    <n v="0"/>
    <s v="No"/>
    <s v="None"/>
    <s v="Kids|American Funds 529A"/>
  </r>
  <r>
    <s v="Schwab - Checking (9784)"/>
    <d v="2014-04-03T00:00:00"/>
    <n v="-34.770000000000003"/>
    <s v="X"/>
    <s v="Costco"/>
    <m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Schwab - Checking (9784)"/>
    <d v="2014-04-03T00:00:00"/>
    <n v="-181.31"/>
    <s v="X"/>
    <s v="Costco"/>
    <s v="#SFOM Spring Sale# SFOM Sale"/>
    <s v="Work Expense:Reimbursable expense"/>
    <m/>
    <m/>
    <m/>
    <x v="19"/>
    <x v="21"/>
    <m/>
    <m/>
    <s v="SFOM Spring Sale"/>
    <m/>
    <s v="Apr"/>
    <n v="2014"/>
    <s v="Irregular"/>
    <n v="0"/>
    <s v="No"/>
    <s v="None"/>
    <s v="Work Expense|Reimbursable expense"/>
  </r>
  <r>
    <s v="MasterCard (Capital One)"/>
    <d v="2014-04-03T00:00:00"/>
    <n v="-3.25"/>
    <s v="X"/>
    <s v="Cafe Redmond Wa"/>
    <s v="2011: CAFE 86 11171386 REDMOND WA 98052 USA"/>
    <s v="Food &amp; Dining:Restaurants"/>
    <m/>
    <m/>
    <m/>
    <x v="15"/>
    <x v="15"/>
    <m/>
    <m/>
    <m/>
    <m/>
    <s v="Apr"/>
    <n v="2014"/>
    <s v="Monthly"/>
    <n v="0"/>
    <s v="No"/>
    <s v="None"/>
    <s v="Food &amp; Dining|Restaurants"/>
  </r>
  <r>
    <s v="MasterCard (Capital One)"/>
    <d v="2014-04-03T00:00:00"/>
    <n v="-10"/>
    <s v="X"/>
    <s v="Walgreens"/>
    <s v="2011: WALGREENS #3515 SEATTLE WA 98103 USA"/>
    <s v="Health &amp; Fitness:Pharmacy/From Receipt"/>
    <m/>
    <m/>
    <s v="From Receipt"/>
    <x v="18"/>
    <x v="38"/>
    <m/>
    <m/>
    <m/>
    <m/>
    <s v="Apr"/>
    <n v="2014"/>
    <s v="Irregular"/>
    <n v="0"/>
    <s v="No"/>
    <s v="None"/>
    <s v="Health &amp; Fitness|Pharmacy"/>
  </r>
  <r>
    <s v="MasterCard (Capital One)"/>
    <d v="2014-04-03T00:00:00"/>
    <n v="-10.95"/>
    <s v="X"/>
    <s v="Fred Meyer"/>
    <s v="2011: FRED-MEYER #0122 SEATTLE WA 98117 USA"/>
    <s v="Food &amp; Dining:Groceries/From Receipt"/>
    <m/>
    <m/>
    <s v="From Receipt"/>
    <x v="15"/>
    <x v="3"/>
    <m/>
    <m/>
    <m/>
    <m/>
    <s v="Apr"/>
    <n v="2014"/>
    <s v="Monthly"/>
    <n v="0"/>
    <s v="No"/>
    <s v="None"/>
    <s v="Food &amp; Dining|Groceries"/>
  </r>
  <r>
    <s v="MasterCard (Capital One)"/>
    <d v="2014-04-03T00:00:00"/>
    <n v="-100"/>
    <s v="X"/>
    <s v="Eurest"/>
    <s v="2011: CAFE 86 11171386 REDMOND WA 98052 USA"/>
    <s v="Food &amp; Dining:Restaurants/From Receipt"/>
    <m/>
    <m/>
    <s v="From Receipt"/>
    <x v="15"/>
    <x v="15"/>
    <m/>
    <m/>
    <m/>
    <m/>
    <s v="Apr"/>
    <n v="2014"/>
    <s v="Monthly"/>
    <n v="0"/>
    <s v="No"/>
    <s v="None"/>
    <s v="Food &amp; Dining|Restaurants"/>
  </r>
  <r>
    <s v="First Tech - Checking (5544)"/>
    <d v="2014-04-02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Apr"/>
    <n v="2014"/>
    <s v="Monthly"/>
    <n v="0"/>
    <s v="No"/>
    <s v="None"/>
    <s v="Business Expenses (Koolikai)|Mortgage (Business)"/>
  </r>
  <r>
    <s v="First Tech - Checking (5544)"/>
    <d v="2014-04-02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Apr"/>
    <n v="2014"/>
    <s v="Monthly"/>
    <n v="0"/>
    <s v="No"/>
    <s v="None"/>
    <s v="Business Expenses (Koolikai)|Mortgage (Business)"/>
  </r>
  <r>
    <s v="First Tech - Checking (5544)"/>
    <d v="2014-04-02T00:00:00"/>
    <n v="-6892.04"/>
    <s v="X"/>
    <s v="Capital One (Autopay)"/>
    <s v="@CAT:@"/>
    <s v="[MasterCard (Capital One)]"/>
    <m/>
    <m/>
    <m/>
    <x v="38"/>
    <x v="0"/>
    <m/>
    <m/>
    <m/>
    <m/>
    <s v="Apr"/>
    <n v="2014"/>
    <s v="Account"/>
    <n v="0"/>
    <s v="No"/>
    <s v="None"/>
    <s v="[MasterCard (Capital One)]"/>
  </r>
  <r>
    <s v="MasterCard (Capital One)"/>
    <d v="2014-04-02T00:00:00"/>
    <n v="6892.04"/>
    <s v="X"/>
    <s v="Capital One (Autopay)"/>
    <s v="@CAT:@"/>
    <s v="[First Tech - Checking (5544)]"/>
    <m/>
    <m/>
    <m/>
    <x v="21"/>
    <x v="0"/>
    <m/>
    <m/>
    <m/>
    <m/>
    <s v="Apr"/>
    <n v="2014"/>
    <s v="Account"/>
    <n v="0"/>
    <s v="No"/>
    <s v="None"/>
    <s v="[First Tech - Checking (5544)]"/>
  </r>
  <r>
    <s v="MasterCard (Capital One)"/>
    <d v="2014-04-02T00:00:00"/>
    <n v="-22.03"/>
    <s v="X"/>
    <s v="Comcast"/>
    <s v="2011: COMCAST CABLE COMM 800-COMCAST WA 98103 USA"/>
    <s v="Bills &amp; Utilities:Television"/>
    <m/>
    <s v="Split"/>
    <m/>
    <x v="34"/>
    <x v="32"/>
    <m/>
    <m/>
    <m/>
    <m/>
    <s v="Apr"/>
    <n v="2014"/>
    <s v="Monthly"/>
    <n v="0"/>
    <s v="No"/>
    <s v="None"/>
    <s v="Bills &amp; Utilities|Television"/>
  </r>
  <r>
    <s v="MasterCard (Capital One)"/>
    <d v="2014-04-02T00:00:00"/>
    <n v="-64.08"/>
    <s v="X"/>
    <s v="Comcast"/>
    <m/>
    <s v="Business Expenses (Koolikai):Internet"/>
    <m/>
    <s v="Split"/>
    <m/>
    <x v="36"/>
    <x v="33"/>
    <m/>
    <m/>
    <m/>
    <m/>
    <s v="Apr"/>
    <n v="2014"/>
    <s v="Monthly"/>
    <n v="0"/>
    <s v="No"/>
    <s v="None"/>
    <s v="Business Expenses (Koolikai)|Internet"/>
  </r>
  <r>
    <s v="MasterCard (Capital One)"/>
    <d v="2014-04-02T00:00:00"/>
    <n v="-44.05"/>
    <s v="X"/>
    <s v="Comcast"/>
    <m/>
    <s v="Bills &amp; Utilities:Home Phone"/>
    <m/>
    <s v="Split"/>
    <m/>
    <x v="34"/>
    <x v="34"/>
    <m/>
    <m/>
    <m/>
    <m/>
    <s v="Apr"/>
    <n v="2014"/>
    <s v="Monthly"/>
    <n v="0"/>
    <s v="No"/>
    <s v="None"/>
    <s v="Bills &amp; Utilities|Home Phone"/>
  </r>
  <r>
    <s v="First Tech - Checking (5544)"/>
    <d v="2014-04-01T00:00:00"/>
    <n v="46.58"/>
    <s v="X"/>
    <s v="Premera Funding  - Cyc-claims"/>
    <s v="ACH Deposit--PREMERA FUNDING  - CYC-CLAIMS"/>
    <s v="[Premera Health Care Payment]"/>
    <m/>
    <m/>
    <m/>
    <x v="42"/>
    <x v="0"/>
    <m/>
    <m/>
    <m/>
    <m/>
    <s v="Apr"/>
    <n v="2014"/>
    <s v="Account"/>
    <n v="0"/>
    <s v="No"/>
    <s v="None"/>
    <s v="[Premera Health Care Payment]"/>
  </r>
  <r>
    <s v="First Tech - Checking (5544)"/>
    <d v="2014-04-01T00:00:00"/>
    <n v="-1976"/>
    <s v="X"/>
    <s v="Phinney Ridge CDC"/>
    <s v="ACH Debit--PHINNEY RIDGE LU 504759859 - CONTRIBUTN"/>
    <s v="Kids:Daycare"/>
    <m/>
    <m/>
    <m/>
    <x v="27"/>
    <x v="35"/>
    <m/>
    <m/>
    <m/>
    <m/>
    <s v="Apr"/>
    <n v="2014"/>
    <s v="Monthly"/>
    <n v="0"/>
    <s v="No"/>
    <s v="None"/>
    <s v="Kids|Daycare"/>
  </r>
  <r>
    <s v="Koolikai - Checking XX2129"/>
    <d v="2014-04-01T00:00:00"/>
    <n v="2195"/>
    <s v="X"/>
    <s v="Valerie Shaibley"/>
    <m/>
    <s v="Business Income (Koolikai):Rent/9602"/>
    <m/>
    <m/>
    <n v="9602"/>
    <x v="37"/>
    <x v="25"/>
    <m/>
    <m/>
    <m/>
    <m/>
    <s v="Apr"/>
    <n v="2014"/>
    <s v="Monthly"/>
    <n v="0"/>
    <s v="No"/>
    <s v="None"/>
    <s v="Business Income (Koolikai)|Rent"/>
  </r>
  <r>
    <s v="MasterCard (Capital One)"/>
    <d v="2014-04-01T00:00:00"/>
    <n v="-18.66"/>
    <s v="X"/>
    <s v="Scholastic"/>
    <s v="2011: SCHOLASTIC BOOK FAIRS LAKE MARY FL 32746 USA"/>
    <s v="Shopping:Books"/>
    <m/>
    <m/>
    <m/>
    <x v="13"/>
    <x v="51"/>
    <m/>
    <m/>
    <m/>
    <m/>
    <s v="Apr"/>
    <n v="2014"/>
    <s v="Unplanned"/>
    <n v="0"/>
    <s v="No"/>
    <s v="None"/>
    <s v="Shopping|Books"/>
  </r>
  <r>
    <s v="Premera Health Care Payment"/>
    <d v="2014-04-01T00:00:00"/>
    <n v="-46.58"/>
    <m/>
    <s v="Premera Funding  - Cyc-claims"/>
    <s v="ACH Deposit--PREMERA FUNDING  - CYC-CLAIMS"/>
    <s v="[First Tech - Checking (5544)]"/>
    <m/>
    <m/>
    <m/>
    <x v="21"/>
    <x v="0"/>
    <m/>
    <m/>
    <m/>
    <m/>
    <s v="Apr"/>
    <n v="2014"/>
    <s v="Account"/>
    <n v="0"/>
    <s v="No"/>
    <s v="None"/>
    <s v="[First Tech - Checking (5544)]"/>
  </r>
  <r>
    <s v="Capital One - Investment (6759)"/>
    <d v="2014-03-31T00:00:00"/>
    <n v="20"/>
    <s v="X"/>
    <s v="Capital One (Interest Income)"/>
    <s v="@CAT:@"/>
    <s v="Interest Income"/>
    <s v="INT"/>
    <m/>
    <m/>
    <x v="40"/>
    <x v="0"/>
    <m/>
    <m/>
    <m/>
    <m/>
    <s v="Mar"/>
    <n v="2014"/>
    <s v="Monthly"/>
    <n v="0"/>
    <s v="No"/>
    <s v="None"/>
    <s v="Interest Income"/>
  </r>
  <r>
    <s v="Capital One - Long Term Emergency (1201)"/>
    <d v="2014-03-31T00:00:00"/>
    <n v="50.2"/>
    <s v="X"/>
    <s v="Capital One (Interest Income)"/>
    <s v="@CAT:@"/>
    <s v="Interest Income"/>
    <s v="INT"/>
    <m/>
    <m/>
    <x v="40"/>
    <x v="0"/>
    <m/>
    <m/>
    <m/>
    <m/>
    <s v="Mar"/>
    <n v="2014"/>
    <s v="Monthly"/>
    <n v="0"/>
    <s v="No"/>
    <s v="None"/>
    <s v="Interest Income"/>
  </r>
  <r>
    <s v="Capital One - Secondary Savings (3126)"/>
    <d v="2014-03-31T00:00:00"/>
    <n v="0.02"/>
    <s v="X"/>
    <s v="Capital One (Interest Income)"/>
    <s v="@CAT:@"/>
    <s v="Interest Income"/>
    <s v="INT"/>
    <m/>
    <m/>
    <x v="40"/>
    <x v="0"/>
    <m/>
    <m/>
    <m/>
    <m/>
    <s v="Mar"/>
    <n v="2014"/>
    <s v="Monthly"/>
    <n v="0"/>
    <s v="No"/>
    <s v="None"/>
    <s v="Interest Income"/>
  </r>
  <r>
    <s v="Capital One - Vacation (4959)"/>
    <d v="2014-03-31T00:00:00"/>
    <n v="2.13"/>
    <s v="X"/>
    <s v="Capital One (Interest Income)"/>
    <s v="@CAT:@"/>
    <s v="Interest Income"/>
    <s v="INT"/>
    <m/>
    <m/>
    <x v="40"/>
    <x v="0"/>
    <m/>
    <m/>
    <m/>
    <m/>
    <s v="Mar"/>
    <n v="2014"/>
    <s v="Monthly"/>
    <n v="0"/>
    <s v="No"/>
    <s v="None"/>
    <s v="Interest Income"/>
  </r>
  <r>
    <s v="First Tech - Short Term Emergency (5400)"/>
    <d v="2014-03-31T00:00:00"/>
    <n v="0.01"/>
    <s v="X"/>
    <s v="First Tech (Dividend)"/>
    <s v="@CAT:@"/>
    <s v="Interest Income"/>
    <m/>
    <m/>
    <m/>
    <x v="40"/>
    <x v="0"/>
    <m/>
    <m/>
    <m/>
    <m/>
    <s v="Mar"/>
    <n v="2014"/>
    <s v="Monthly"/>
    <n v="0"/>
    <s v="No"/>
    <s v="None"/>
    <s v="Interest Income"/>
  </r>
  <r>
    <s v="Koolikai - Sec Dep XX1200"/>
    <d v="2014-03-31T00:00:00"/>
    <n v="0.19"/>
    <s v="X"/>
    <s v="First Tech (Dividend)"/>
    <s v="@CAT:@"/>
    <s v="Interest Income"/>
    <m/>
    <m/>
    <m/>
    <x v="40"/>
    <x v="0"/>
    <m/>
    <m/>
    <m/>
    <m/>
    <s v="Mar"/>
    <n v="2014"/>
    <s v="Monthly"/>
    <n v="0"/>
    <s v="No"/>
    <s v="None"/>
    <s v="Interest Income"/>
  </r>
  <r>
    <s v="Schwab - Checking (9784)"/>
    <d v="2014-03-31T00:00:00"/>
    <n v="0.13"/>
    <s v="X"/>
    <s v="Interest Paid"/>
    <m/>
    <s v="Interest Income"/>
    <m/>
    <m/>
    <m/>
    <x v="40"/>
    <x v="0"/>
    <m/>
    <m/>
    <m/>
    <m/>
    <s v="Mar"/>
    <n v="2014"/>
    <s v="Monthly"/>
    <n v="0"/>
    <s v="No"/>
    <s v="None"/>
    <s v="Interest Income"/>
  </r>
  <r>
    <s v="Schwab - Checking (9784)"/>
    <d v="2014-03-31T00:00:00"/>
    <n v="2"/>
    <s v="X"/>
    <s v="ATM Fee Refund"/>
    <s v="@CAT:@@BAL:$1489.95@"/>
    <s v="Bank Fees &amp; Charges:ATM Fee"/>
    <m/>
    <m/>
    <m/>
    <x v="32"/>
    <x v="17"/>
    <m/>
    <m/>
    <m/>
    <m/>
    <s v="Mar"/>
    <n v="2014"/>
    <s v="Monthly"/>
    <n v="0"/>
    <s v="No"/>
    <s v="None"/>
    <s v="Bank Fees &amp; Charges|ATM Fee"/>
  </r>
  <r>
    <s v="First Tech - Checking (5544)"/>
    <d v="2014-03-30T00:00:00"/>
    <n v="3165.2"/>
    <s v="X"/>
    <s v="Microsoft (Paystub)"/>
    <s v="ACH Deposit--MICROSOFT  - EDIPAYMENT"/>
    <s v="Net Salary"/>
    <m/>
    <m/>
    <m/>
    <x v="35"/>
    <x v="0"/>
    <m/>
    <m/>
    <m/>
    <m/>
    <s v="Mar"/>
    <n v="2014"/>
    <s v="Monthly"/>
    <n v="0"/>
    <s v="No"/>
    <s v="None"/>
    <s v="Net Salary"/>
  </r>
  <r>
    <s v="First Tech - Checking (5544)"/>
    <d v="2014-03-30T00:00:00"/>
    <n v="6195.6"/>
    <s v="X"/>
    <s v="CRAB (Paystub)"/>
    <s v="ACH Deposit--Cancer Research  - Payroll"/>
    <s v="Net Salary"/>
    <m/>
    <m/>
    <m/>
    <x v="35"/>
    <x v="0"/>
    <m/>
    <m/>
    <m/>
    <m/>
    <s v="Mar"/>
    <n v="2014"/>
    <s v="Monthly"/>
    <n v="0"/>
    <s v="No"/>
    <s v="None"/>
    <s v="Net Salary"/>
  </r>
  <r>
    <s v="MasterCard (Capital One)"/>
    <d v="2014-03-30T00:00:00"/>
    <n v="-34"/>
    <s v="X"/>
    <s v="Rudys Barber Shop"/>
    <s v="2011: RUDYS BARBER SHOP - PH SEATTLE WA 98103 USA"/>
    <s v="Personal Care:Hair"/>
    <m/>
    <m/>
    <m/>
    <x v="31"/>
    <x v="16"/>
    <m/>
    <m/>
    <m/>
    <m/>
    <s v="Mar"/>
    <n v="2014"/>
    <s v="Monthly"/>
    <n v="0"/>
    <s v="No"/>
    <s v="None"/>
    <s v="Personal Care|Hair"/>
  </r>
  <r>
    <s v="MasterCard (Capital One)"/>
    <d v="2014-03-29T00:00:00"/>
    <n v="-54.5"/>
    <s v="X"/>
    <s v="Wa Parksreservationswe Olympia"/>
    <s v="#Moran State Park#"/>
    <s v="Vacation:Lodging"/>
    <m/>
    <m/>
    <m/>
    <x v="23"/>
    <x v="9"/>
    <m/>
    <m/>
    <s v="Moran State Park"/>
    <m/>
    <s v="Mar"/>
    <n v="2014"/>
    <s v="Irregular"/>
    <n v="0"/>
    <s v="No"/>
    <s v="None"/>
    <s v="Vacation|Lodging"/>
  </r>
  <r>
    <s v="MasterCard (Capital One)"/>
    <d v="2014-03-29T00:00:00"/>
    <n v="-63.93"/>
    <s v="X"/>
    <s v="Hecho Seattle Wa"/>
    <s v="2011: HECHO SEATTLE WA 98103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29T00:00:00"/>
    <n v="-19.260000000000002"/>
    <s v="X"/>
    <s v="Fred Meyer"/>
    <s v="2011: FRED-MEYER #0122 SEATTLE WA 98117 USA"/>
    <s v="Gifts/From Receipt"/>
    <m/>
    <s v="Split"/>
    <s v="From Receipt"/>
    <x v="28"/>
    <x v="0"/>
    <m/>
    <m/>
    <m/>
    <m/>
    <s v="Mar"/>
    <n v="2014"/>
    <s v="Monthly"/>
    <n v="0"/>
    <s v="No"/>
    <s v="None"/>
    <s v="Gifts"/>
  </r>
  <r>
    <s v="MasterCard (Capital One)"/>
    <d v="2014-03-29T00:00:00"/>
    <n v="-104.07"/>
    <s v="X"/>
    <s v="Fred Meyer"/>
    <m/>
    <s v="Food &amp; Dining:Groceries/From Receipt"/>
    <m/>
    <s v="Split"/>
    <s v="From Receipt"/>
    <x v="15"/>
    <x v="3"/>
    <m/>
    <m/>
    <m/>
    <m/>
    <s v="Mar"/>
    <n v="2014"/>
    <s v="Monthly"/>
    <n v="0"/>
    <s v="No"/>
    <s v="None"/>
    <s v="Food &amp; Dining|Groceries"/>
  </r>
  <r>
    <s v="First Tech - Checking (5544)"/>
    <d v="2014-03-28T00:00:00"/>
    <n v="-60"/>
    <s v="X"/>
    <s v="Sue Shoedel"/>
    <s v="Check--"/>
    <s v="Kids:Babysitter"/>
    <n v="2298"/>
    <m/>
    <m/>
    <x v="27"/>
    <x v="13"/>
    <m/>
    <m/>
    <m/>
    <m/>
    <s v="Mar"/>
    <n v="2014"/>
    <s v="Monthly"/>
    <n v="0"/>
    <s v="No"/>
    <s v="None"/>
    <s v="Kids|Babysitter"/>
  </r>
  <r>
    <s v="MasterCard (Capital One)"/>
    <d v="2014-03-28T00:00:00"/>
    <n v="-13.43"/>
    <s v="X"/>
    <s v="Diamond Parking"/>
    <s v="2011: DIAMOND PARKING A176 SEATTLE WA 98121 USA"/>
    <s v="Auto &amp; Transport:Parking"/>
    <m/>
    <m/>
    <m/>
    <x v="17"/>
    <x v="11"/>
    <m/>
    <m/>
    <m/>
    <m/>
    <s v="Mar"/>
    <n v="2014"/>
    <s v="Monthly"/>
    <n v="0"/>
    <s v="No"/>
    <s v="None"/>
    <s v="Auto &amp; Transport|Parking"/>
  </r>
  <r>
    <s v="MasterCard (Capital One)"/>
    <d v="2014-03-27T00:00:00"/>
    <n v="-4"/>
    <s v="X"/>
    <s v="Premier Parking"/>
    <s v="2011: PREMIER PARKING MARION NASHVILLE TN 372093602 USA"/>
    <s v="Auto &amp; Transport:Parking/From Receipt"/>
    <m/>
    <m/>
    <s v="From Receipt"/>
    <x v="17"/>
    <x v="11"/>
    <m/>
    <m/>
    <m/>
    <m/>
    <s v="Mar"/>
    <n v="2014"/>
    <s v="Monthly"/>
    <n v="0"/>
    <s v="No"/>
    <s v="None"/>
    <s v="Auto &amp; Transport|Parking"/>
  </r>
  <r>
    <s v="MasterCard (Capital One)"/>
    <d v="2014-03-27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s v="Mar"/>
    <n v="2014"/>
    <s v="Irregular"/>
    <n v="0"/>
    <s v="No"/>
    <s v="None"/>
    <s v="Auto &amp; Transport|Tolls"/>
  </r>
  <r>
    <s v="MasterCard (Capital One)"/>
    <d v="2014-03-26T00:00:00"/>
    <n v="-163.13"/>
    <s v="X"/>
    <s v="Esi Pharm Columbus 08002822881 O"/>
    <s v="2011: ESI PHARM COLUMBUS 08002822881 OH 43228 USA"/>
    <s v="Health &amp; Fitness:Pharmacy"/>
    <m/>
    <m/>
    <m/>
    <x v="18"/>
    <x v="38"/>
    <m/>
    <m/>
    <m/>
    <m/>
    <s v="Mar"/>
    <n v="2014"/>
    <s v="Irregular"/>
    <n v="0"/>
    <s v="No"/>
    <s v="None"/>
    <s v="Health &amp; Fitness|Pharmacy"/>
  </r>
  <r>
    <s v="MasterCard (Capital One)"/>
    <d v="2014-03-26T00:00:00"/>
    <n v="-3.5"/>
    <s v="X"/>
    <s v="Seattle Park Seattle"/>
    <s v="2011: SEATTLE 684-PARK SEATTLE WA 98104 USA"/>
    <s v="Auto &amp; Transport:Parking"/>
    <m/>
    <m/>
    <m/>
    <x v="17"/>
    <x v="11"/>
    <m/>
    <m/>
    <m/>
    <m/>
    <s v="Mar"/>
    <n v="2014"/>
    <s v="Monthly"/>
    <n v="0"/>
    <s v="No"/>
    <s v="None"/>
    <s v="Auto &amp; Transport|Parking"/>
  </r>
  <r>
    <s v="MasterCard (Capital One)"/>
    <d v="2014-03-25T00:00:00"/>
    <n v="-10.029999999999999"/>
    <s v="X"/>
    <s v="Taco Del Mar Greenwood Seattle W"/>
    <s v="2011: TACO DEL MAR GREENWOOD SEATTLE WA 98103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First Tech - Checking (5544)"/>
    <d v="2014-03-24T00:00:00"/>
    <n v="-7.65"/>
    <s v="X"/>
    <s v="Discover Dc Pymnts"/>
    <s v="ACH Debit--DISCOVER DC PYMNTS DCIDPIINT - E-PAYMENT"/>
    <s v="[Discover Card]"/>
    <m/>
    <m/>
    <m/>
    <x v="24"/>
    <x v="0"/>
    <m/>
    <m/>
    <m/>
    <m/>
    <s v="Mar"/>
    <n v="2014"/>
    <s v="Account"/>
    <n v="0"/>
    <s v="No"/>
    <s v="None"/>
    <s v="[Discover Card]"/>
  </r>
  <r>
    <s v="First Tech - Checking (5544)"/>
    <d v="2014-03-24T00:00:00"/>
    <n v="-40"/>
    <s v="X"/>
    <s v="Edward Jones"/>
    <s v="ACH Debit--EDWARD JONES  - INVESTMENT"/>
    <s v="Financial:Financial Advisor"/>
    <m/>
    <m/>
    <m/>
    <x v="50"/>
    <x v="65"/>
    <m/>
    <m/>
    <m/>
    <m/>
    <s v="Mar"/>
    <n v="2014"/>
    <s v="Irregular"/>
    <n v="0"/>
    <s v="No"/>
    <s v="None"/>
    <s v="Financial|Financial Advisor"/>
  </r>
  <r>
    <s v="Koolikai - Checking XX2129"/>
    <d v="2014-03-24T00:00:00"/>
    <n v="-321.12"/>
    <s v="X"/>
    <s v="Chase - Koolikai (Autopay)"/>
    <s v="ACH Debit--CHASE  - AUTOPAYBUS"/>
    <s v="[Koolikai Credit Card]"/>
    <m/>
    <m/>
    <m/>
    <x v="9"/>
    <x v="0"/>
    <m/>
    <m/>
    <m/>
    <m/>
    <s v="Mar"/>
    <n v="2014"/>
    <s v="Account"/>
    <n v="0"/>
    <s v="No"/>
    <s v="None"/>
    <s v="[Koolikai Credit Card]"/>
  </r>
  <r>
    <s v="Koolikai Credit Card"/>
    <d v="2014-03-24T00:00:00"/>
    <n v="321.12"/>
    <s v="X"/>
    <s v="Chase - Koolikai (Autopay)"/>
    <s v="ACH Debit--CHASE  - AUTOPAYBUS"/>
    <s v="[Koolikai - Checking XX2129]"/>
    <m/>
    <m/>
    <m/>
    <x v="25"/>
    <x v="0"/>
    <m/>
    <m/>
    <m/>
    <m/>
    <s v="Mar"/>
    <n v="2014"/>
    <s v="Account"/>
    <n v="0"/>
    <s v="No"/>
    <s v="None"/>
    <s v="[Koolikai - Checking XX2129]"/>
  </r>
  <r>
    <s v="MasterCard (Capital One)"/>
    <d v="2014-03-24T00:00:00"/>
    <n v="-116.5"/>
    <s v="X"/>
    <s v="Raceit Beat Blerc"/>
    <s v="#Stay Fit# Beat the Blerch Run"/>
    <s v="Health &amp; Fitness:Sports"/>
    <m/>
    <m/>
    <m/>
    <x v="18"/>
    <x v="23"/>
    <m/>
    <m/>
    <s v="Stay Fit"/>
    <m/>
    <s v="Mar"/>
    <n v="2014"/>
    <s v="Irregular"/>
    <n v="0"/>
    <s v="No"/>
    <s v="None"/>
    <s v="Health &amp; Fitness|Sports"/>
  </r>
  <r>
    <s v="Discover Card"/>
    <d v="2014-03-23T00:00:00"/>
    <n v="7.65"/>
    <s v="X"/>
    <s v="Directpay Full Balance"/>
    <m/>
    <s v="[First Tech - Checking (5544)]"/>
    <m/>
    <m/>
    <m/>
    <x v="21"/>
    <x v="0"/>
    <m/>
    <m/>
    <m/>
    <m/>
    <s v="Mar"/>
    <n v="2014"/>
    <s v="Account"/>
    <n v="0"/>
    <s v="No"/>
    <s v="None"/>
    <s v="[First Tech - Checking (5544)]"/>
  </r>
  <r>
    <s v="MasterCard (Capital One)"/>
    <d v="2014-03-23T00:00:00"/>
    <n v="25"/>
    <s v="X"/>
    <s v="Capital One (Cash Back)"/>
    <s v="Cash back credit entered manually"/>
    <s v="Other Inc"/>
    <m/>
    <m/>
    <m/>
    <x v="29"/>
    <x v="0"/>
    <m/>
    <m/>
    <m/>
    <m/>
    <s v="Mar"/>
    <n v="2014"/>
    <s v="Monthly"/>
    <n v="0"/>
    <s v="No"/>
    <s v="None"/>
    <s v="Other Inc"/>
  </r>
  <r>
    <s v="MasterCard (Capital One)"/>
    <d v="2014-03-23T00:00:00"/>
    <n v="-11.45"/>
    <s v="X"/>
    <s v="Bluebird Ice Cream"/>
    <m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22T00:00:00"/>
    <n v="-3.14"/>
    <s v="X"/>
    <s v="Seattle Park Seattle"/>
    <s v="2011: SEATTLE 684-PARK SEATTLE WA 98104 USA"/>
    <s v="Auto &amp; Transport:Parking"/>
    <m/>
    <m/>
    <m/>
    <x v="17"/>
    <x v="11"/>
    <m/>
    <m/>
    <m/>
    <m/>
    <s v="Mar"/>
    <n v="2014"/>
    <s v="Monthly"/>
    <n v="0"/>
    <s v="No"/>
    <s v="None"/>
    <s v="Auto &amp; Transport|Parking"/>
  </r>
  <r>
    <s v="MasterCard (Capital One)"/>
    <d v="2014-03-22T00:00:00"/>
    <n v="-60.35"/>
    <s v="X"/>
    <s v="Pesos Seattle Wa"/>
    <m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22T00:00:00"/>
    <n v="-79.819999999999993"/>
    <s v="X"/>
    <s v="Fred Meyer"/>
    <m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First Tech - Checking (5544)"/>
    <d v="2014-03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Mar"/>
    <n v="2014"/>
    <s v="Monthly"/>
    <n v="0"/>
    <s v="No"/>
    <s v="None"/>
    <s v="Auto &amp; Transport|Auto Lease Payment"/>
  </r>
  <r>
    <s v="MasterCard (Capital One)"/>
    <d v="2014-03-21T00:00:00"/>
    <n v="-455"/>
    <s v="X"/>
    <s v="Seattle Gymnastic Academy"/>
    <s v="2011: SEATTLE GYMNASTIC COLU 02067087497 WA 98118 USA"/>
    <s v="Kids:Kids Activities"/>
    <m/>
    <m/>
    <m/>
    <x v="27"/>
    <x v="12"/>
    <m/>
    <m/>
    <m/>
    <m/>
    <s v="Mar"/>
    <n v="2014"/>
    <s v="Monthly"/>
    <n v="0"/>
    <s v="No"/>
    <s v="None"/>
    <s v="Kids|Kids Activities"/>
  </r>
  <r>
    <s v="MasterCard (Capital One)"/>
    <d v="2014-03-21T00:00:00"/>
    <n v="-16.41"/>
    <s v="X"/>
    <s v="Fred Meyer"/>
    <m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21T00:00:00"/>
    <n v="-72.28"/>
    <s v="X"/>
    <s v="Barking Dog Alehouse"/>
    <m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20T00:00:00"/>
    <n v="-12.71"/>
    <s v="X"/>
    <s v="Fred Meyer"/>
    <s v="2011: FRED-MEYER #0122 SEATTLE WA 98117 USA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20T00:00:00"/>
    <n v="-10.93"/>
    <s v="X"/>
    <s v="Walgreens"/>
    <s v="2011: WALGREENS #3515 SEATTLE WA 98103 USA"/>
    <s v="Business Expenses (Koolikai):Supplies (Business)/From Receipt"/>
    <m/>
    <s v="Split"/>
    <s v="From Receipt"/>
    <x v="36"/>
    <x v="66"/>
    <m/>
    <m/>
    <m/>
    <m/>
    <s v="Mar"/>
    <n v="2014"/>
    <s v="Irregular"/>
    <n v="0"/>
    <s v="No"/>
    <s v="None"/>
    <s v="Business Expenses (Koolikai)|Supplies (Business)"/>
  </r>
  <r>
    <s v="MasterCard (Capital One)"/>
    <d v="2014-03-20T00:00:00"/>
    <n v="-10"/>
    <s v="X"/>
    <s v="Walgreens"/>
    <m/>
    <s v="Health &amp; Fitness:Pharmacy/From Receipt"/>
    <m/>
    <s v="Split"/>
    <s v="From Receipt"/>
    <x v="18"/>
    <x v="38"/>
    <m/>
    <m/>
    <m/>
    <m/>
    <s v="Mar"/>
    <n v="2014"/>
    <s v="Irregular"/>
    <n v="0"/>
    <s v="No"/>
    <s v="None"/>
    <s v="Health &amp; Fitness|Pharmacy"/>
  </r>
  <r>
    <s v="First Tech - Checking (5544)"/>
    <d v="2014-03-19T00:00:00"/>
    <n v="0"/>
    <s v="X"/>
    <s v="Balanced"/>
    <s v="@CAT:@"/>
    <s v="[First Tech - Checking (5544)]"/>
    <m/>
    <m/>
    <m/>
    <x v="21"/>
    <x v="0"/>
    <m/>
    <m/>
    <m/>
    <m/>
    <s v="Mar"/>
    <n v="2014"/>
    <s v="Account"/>
    <n v="0"/>
    <s v="No"/>
    <s v="None"/>
    <s v="[First Tech - Checking (5544)]"/>
  </r>
  <r>
    <s v="MasterCard (Capital One)"/>
    <d v="2014-03-19T00:00:00"/>
    <n v="-18.96"/>
    <s v="X"/>
    <s v="Fred Meyer"/>
    <s v="2011: FRED-MEYER #0122 SEATTLE WA 98117 USA"/>
    <s v="Business Expenses (Koolikai):Supplies (Business)/From Receipt"/>
    <m/>
    <s v="Split"/>
    <s v="From Receipt"/>
    <x v="36"/>
    <x v="66"/>
    <m/>
    <m/>
    <m/>
    <m/>
    <s v="Mar"/>
    <n v="2014"/>
    <s v="Irregular"/>
    <n v="0"/>
    <s v="No"/>
    <s v="None"/>
    <s v="Business Expenses (Koolikai)|Supplies (Business)"/>
  </r>
  <r>
    <s v="MasterCard (Capital One)"/>
    <d v="2014-03-19T00:00:00"/>
    <n v="-48.16"/>
    <s v="X"/>
    <s v="Fred Meyer"/>
    <m/>
    <s v="Food &amp; Dining:Groceries/From Receipt"/>
    <m/>
    <s v="Split"/>
    <s v="From Receipt"/>
    <x v="15"/>
    <x v="3"/>
    <m/>
    <m/>
    <m/>
    <m/>
    <s v="Mar"/>
    <n v="2014"/>
    <s v="Monthly"/>
    <n v="0"/>
    <s v="No"/>
    <s v="None"/>
    <s v="Food &amp; Dining|Groceries"/>
  </r>
  <r>
    <s v="First Tech - Checking (5544)"/>
    <d v="2014-03-18T00:00:00"/>
    <n v="-177.29"/>
    <s v="X"/>
    <s v="Seattle City Light"/>
    <s v="ACH Debit--CITY OF SEATTLE  - 1 - SCL De"/>
    <s v="Bills &amp; Utilities:Utilities"/>
    <m/>
    <m/>
    <m/>
    <x v="34"/>
    <x v="18"/>
    <m/>
    <m/>
    <m/>
    <m/>
    <s v="Mar"/>
    <n v="2014"/>
    <s v="Monthly"/>
    <n v="0"/>
    <s v="No"/>
    <s v="None"/>
    <s v="Bills &amp; Utilities|Utilities"/>
  </r>
  <r>
    <s v="First Tech - Checking (5544)"/>
    <d v="2014-03-17T00:00:00"/>
    <n v="-115"/>
    <s v="X"/>
    <s v="Cleaning Authority, The"/>
    <s v="ACH Debit--THE CLEANING AUT  - ONLINE PMT"/>
    <s v="Home:Home Services"/>
    <m/>
    <m/>
    <m/>
    <x v="14"/>
    <x v="46"/>
    <m/>
    <m/>
    <m/>
    <m/>
    <s v="Mar"/>
    <n v="2014"/>
    <s v="Monthly"/>
    <n v="0"/>
    <s v="No"/>
    <s v="None"/>
    <s v="Home|Home Services"/>
  </r>
  <r>
    <s v="MasterCard (Capital One)"/>
    <d v="2014-03-17T00:00:00"/>
    <n v="-6.23"/>
    <s v="X"/>
    <s v="Ken's Market"/>
    <s v="2011: KEN'S MARKET #75-116 SEATTLE WA 98103 USA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Chase Freedom XX9381"/>
    <d v="2014-03-16T00:00:00"/>
    <n v="-100"/>
    <s v="X"/>
    <s v="Starbucks"/>
    <s v="2011: STARBUCKS #00104 SEATT Seattle WA 981011448 USA"/>
    <s v="Food &amp; Dining:Restaurants/From Receipt"/>
    <m/>
    <m/>
    <s v="From Receipt"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6T00:00:00"/>
    <n v="-15.75"/>
    <s v="X"/>
    <s v="Haggen"/>
    <s v="2011: HAGGEN FOOD #43 BELLINGHAM WA 98225 USA"/>
    <s v="Food &amp; Dining:Restaurants/From Receipt"/>
    <m/>
    <m/>
    <s v="From Receipt"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5T00:00:00"/>
    <n v="-14.08"/>
    <s v="X"/>
    <s v="Carter's"/>
    <s v="2011: CARTER'S #663 BURLINGTON WA 98233 USA"/>
    <s v="Kids:Clothing/From Receipt"/>
    <m/>
    <m/>
    <s v="From Receipt"/>
    <x v="27"/>
    <x v="1"/>
    <m/>
    <m/>
    <m/>
    <m/>
    <s v="Mar"/>
    <n v="2014"/>
    <s v="Monthly"/>
    <n v="0"/>
    <s v="No"/>
    <s v="None"/>
    <s v="Kids|Clothing"/>
  </r>
  <r>
    <s v="MasterCard (Capital One)"/>
    <d v="2014-03-15T00:00:00"/>
    <n v="-17.22"/>
    <s v="X"/>
    <s v="Taco Time"/>
    <s v="2011: TACO TIME LYNDEN LYNDEN WA 98264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5T00:00:00"/>
    <n v="-22.52"/>
    <s v="X"/>
    <s v="Osh Kosh"/>
    <s v="2011: OSH KOSH #198 BURLINGTON WA 98233 USA"/>
    <s v="Kids:Clothing/From Receipt"/>
    <m/>
    <m/>
    <s v="From Receipt"/>
    <x v="27"/>
    <x v="1"/>
    <m/>
    <m/>
    <m/>
    <m/>
    <s v="Mar"/>
    <n v="2014"/>
    <s v="Monthly"/>
    <n v="0"/>
    <s v="No"/>
    <s v="None"/>
    <s v="Kids|Clothing"/>
  </r>
  <r>
    <s v="First Tech - Checking (5544)"/>
    <d v="2014-03-14T00:00:00"/>
    <n v="-150.02000000000001"/>
    <s v="X"/>
    <s v="Puget Sound Energy"/>
    <s v="ACH Debit--PUGET SOUND ENER DIRECT DEBITING - PSE BILL  10000317"/>
    <s v="Bills &amp; Utilities:Utilities"/>
    <m/>
    <m/>
    <m/>
    <x v="34"/>
    <x v="18"/>
    <m/>
    <m/>
    <m/>
    <m/>
    <s v="Mar"/>
    <n v="2014"/>
    <s v="Monthly"/>
    <n v="0"/>
    <s v="No"/>
    <s v="None"/>
    <s v="Bills &amp; Utilities|Utilities"/>
  </r>
  <r>
    <s v="Chase Freedom XX9381"/>
    <d v="2014-03-14T00:00:00"/>
    <n v="0"/>
    <s v="X"/>
    <s v="Opening Balance"/>
    <m/>
    <s v="[Chase Freedom XX9381]"/>
    <m/>
    <m/>
    <m/>
    <x v="7"/>
    <x v="0"/>
    <m/>
    <m/>
    <m/>
    <m/>
    <s v="Mar"/>
    <n v="2014"/>
    <e v="#N/A"/>
    <e v="#N/A"/>
    <e v="#N/A"/>
    <e v="#N/A"/>
    <s v="[Chase Freedom XX9381]"/>
  </r>
  <r>
    <s v="MasterCard (Capital One)"/>
    <d v="2014-03-14T00:00:00"/>
    <n v="-5.42"/>
    <s v="X"/>
    <s v="Twirl Play Cafe"/>
    <s v="2011: TWIRL PLAY CAFE SEATTLE WA 98119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4T00:00:00"/>
    <n v="-30.28"/>
    <s v="X"/>
    <s v="Twirl Play Cafe"/>
    <s v="2011: TWIRL PLAY CAFE SEATTLE WA 98119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4T00:00:00"/>
    <n v="-31.83"/>
    <s v="X"/>
    <s v="The Hi-life Restaurant"/>
    <s v="2011: THEHILIFE SEATTLE WA 98107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4T00:00:00"/>
    <n v="-71.88"/>
    <s v="X"/>
    <s v="Top Ten Toys"/>
    <s v="2011: TOP TEN TOYS SEATTLE WA 98103 USA"/>
    <s v="Kids:Toys"/>
    <m/>
    <m/>
    <m/>
    <x v="27"/>
    <x v="14"/>
    <m/>
    <m/>
    <m/>
    <m/>
    <s v="Mar"/>
    <n v="2014"/>
    <s v="Monthly"/>
    <n v="0"/>
    <s v="No"/>
    <s v="None"/>
    <s v="Kids|Toys"/>
  </r>
  <r>
    <s v="First Tech - Checking (5544)"/>
    <d v="2014-03-13T00:00:00"/>
    <n v="3165.19"/>
    <s v="X"/>
    <s v="Microsoft (Paystub)"/>
    <s v="ACH Deposit--MICROSOFT  - EDIPAYMENT"/>
    <s v="Net Salary"/>
    <m/>
    <m/>
    <m/>
    <x v="35"/>
    <x v="0"/>
    <m/>
    <m/>
    <m/>
    <m/>
    <s v="Mar"/>
    <n v="2014"/>
    <s v="Monthly"/>
    <n v="0"/>
    <s v="No"/>
    <s v="None"/>
    <s v="Net Salary"/>
  </r>
  <r>
    <s v="MasterCard (Capital One)"/>
    <d v="2014-03-13T00:00:00"/>
    <n v="-3.99"/>
    <s v="X"/>
    <s v="Ken's Market"/>
    <s v="2011: KEN'S MARKET #75-116 SEATTLE WA 98103 USA"/>
    <s v="Food &amp; Dining:Groceries"/>
    <m/>
    <m/>
    <m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13T00:00:00"/>
    <n v="-10.84"/>
    <s v="X"/>
    <s v="D Ambrosio Gelato"/>
    <s v="2011: D AMBROSIO GELATO SEATTLE WA 98107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3T00:00:00"/>
    <n v="-18.329999999999998"/>
    <s v="X"/>
    <s v="Skillet Diner Seattle"/>
    <s v="2011: SKILLET DINER SEATTLE WA 98107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Koolikai Credit Card"/>
    <d v="2014-03-12T00:00:00"/>
    <n v="-146.69999999999999"/>
    <s v="X"/>
    <s v="Verizon Wireless"/>
    <m/>
    <s v="Business Expenses (Koolikai):Cell Phone"/>
    <m/>
    <m/>
    <m/>
    <x v="36"/>
    <x v="22"/>
    <m/>
    <m/>
    <m/>
    <m/>
    <s v="Mar"/>
    <n v="2014"/>
    <s v="Monthly"/>
    <n v="0"/>
    <s v="No"/>
    <s v="None"/>
    <s v="Business Expenses (Koolikai)|Cell Phone"/>
  </r>
  <r>
    <s v="MasterCard (Capital One)"/>
    <d v="2014-03-12T00:00:00"/>
    <n v="-10.94"/>
    <s v="X"/>
    <s v="Fresh Table Met"/>
    <s v="2011: FRESH TABLE-MET PARK SEATTLE WA 98101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12T00:00:00"/>
    <n v="-20"/>
    <s v="X"/>
    <s v="Starbucks"/>
    <s v="2011: STARBUCKS #00104 SEATT Seattle WA 981011448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American Express (Costco)"/>
    <d v="2014-03-10T00:00:00"/>
    <n v="-75.36"/>
    <s v="X"/>
    <s v="Costco"/>
    <s v="Confirmed as groceries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10T00:00:00"/>
    <n v="-74.42"/>
    <s v="X"/>
    <s v="Phinney Market"/>
    <s v="2011: PHINNEY MARKET PUB &amp; E SEATTLE WA 98103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Schwab - Checking (9784)"/>
    <d v="2014-03-09T00:00:00"/>
    <n v="-40"/>
    <s v="X"/>
    <s v="Ken's Market"/>
    <s v="Babysitter money for date night"/>
    <s v="Kids:Babysitter"/>
    <m/>
    <s v="Split"/>
    <m/>
    <x v="27"/>
    <x v="13"/>
    <m/>
    <m/>
    <m/>
    <m/>
    <s v="Mar"/>
    <n v="2014"/>
    <s v="Monthly"/>
    <n v="0"/>
    <s v="No"/>
    <s v="None"/>
    <s v="Kids|Babysitter"/>
  </r>
  <r>
    <s v="Schwab - Checking (9784)"/>
    <d v="2014-03-09T00:00:00"/>
    <n v="-2"/>
    <s v="X"/>
    <s v="Ken's Market"/>
    <m/>
    <s v="Bank Fees &amp; Charges:ATM Fee"/>
    <m/>
    <s v="Split"/>
    <m/>
    <x v="32"/>
    <x v="17"/>
    <m/>
    <m/>
    <m/>
    <m/>
    <s v="Mar"/>
    <n v="2014"/>
    <s v="Monthly"/>
    <n v="0"/>
    <s v="No"/>
    <s v="None"/>
    <s v="Bank Fees &amp; Charges|ATM Fee"/>
  </r>
  <r>
    <s v="American Express (Costco)"/>
    <d v="2014-03-09T00:00:00"/>
    <n v="-55"/>
    <s v="X"/>
    <s v="Costco"/>
    <s v="Cash refund appli"/>
    <s v="Food &amp; Dining:Groceries"/>
    <m/>
    <s v="Split"/>
    <m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09T00:00:00"/>
    <n v="-5.25"/>
    <s v="X"/>
    <s v="Bartell Drug"/>
    <s v="2011: 09 BARTELL DRUGS SEATTLE WA 98103 USA"/>
    <s v="Food &amp; Dining:Groceries"/>
    <m/>
    <m/>
    <m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09T00:00:00"/>
    <n v="-7.61"/>
    <s v="X"/>
    <s v="Fred Meyer"/>
    <s v="Gift for Madison"/>
    <s v="Gifts/From Receipt"/>
    <m/>
    <m/>
    <s v="From Receipt"/>
    <x v="28"/>
    <x v="0"/>
    <m/>
    <m/>
    <m/>
    <m/>
    <s v="Mar"/>
    <n v="2014"/>
    <s v="Monthly"/>
    <n v="0"/>
    <s v="No"/>
    <s v="None"/>
    <s v="Gifts"/>
  </r>
  <r>
    <s v="MasterCard (Capital One)"/>
    <d v="2014-03-09T00:00:00"/>
    <n v="-10.49"/>
    <s v="X"/>
    <s v="Kidd Valley"/>
    <s v="2011: 808 AURORA KIDD VA SEATTLE WA 98133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09T00:00:00"/>
    <n v="-16.91"/>
    <s v="X"/>
    <s v="Fred Meyer"/>
    <s v="2011: FRED-MEYER #0122 SEATTLE WA 98117 USA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Target Red Card"/>
    <d v="2014-03-09T00:00:00"/>
    <n v="-3.12"/>
    <s v="X"/>
    <s v="Target"/>
    <s v="fans"/>
    <s v="Kids:Toys/From Receipt"/>
    <n v="799999940681"/>
    <m/>
    <s v="From Receipt"/>
    <x v="27"/>
    <x v="14"/>
    <m/>
    <m/>
    <m/>
    <m/>
    <s v="Mar"/>
    <n v="2014"/>
    <s v="Monthly"/>
    <n v="0"/>
    <s v="No"/>
    <s v="None"/>
    <s v="Kids|Toys"/>
  </r>
  <r>
    <s v="Target Red Card"/>
    <d v="2014-03-09T00:00:00"/>
    <n v="-12.53"/>
    <s v="X"/>
    <s v="Target"/>
    <s v="Grammy CD"/>
    <s v="Entertainment/From Receipt"/>
    <n v="799999940681"/>
    <s v="Split"/>
    <s v="From Receipt"/>
    <x v="30"/>
    <x v="0"/>
    <m/>
    <m/>
    <m/>
    <m/>
    <s v="Mar"/>
    <n v="2014"/>
    <s v="Monthly"/>
    <n v="0"/>
    <s v="No"/>
    <s v="None"/>
    <s v="Entertainment"/>
  </r>
  <r>
    <s v="Target Red Card"/>
    <d v="2014-03-09T00:00:00"/>
    <n v="-26.07"/>
    <s v="X"/>
    <s v="Target"/>
    <m/>
    <s v="Kids:Toys/From Receipt"/>
    <n v="799999940681"/>
    <s v="Split"/>
    <s v="From Receipt"/>
    <x v="27"/>
    <x v="14"/>
    <m/>
    <m/>
    <m/>
    <m/>
    <s v="Mar"/>
    <n v="2014"/>
    <s v="Monthly"/>
    <n v="0"/>
    <s v="No"/>
    <s v="None"/>
    <s v="Kids|Toys"/>
  </r>
  <r>
    <s v="Target Red Card"/>
    <d v="2014-03-09T00:00:00"/>
    <n v="-102.76"/>
    <s v="X"/>
    <s v="Target"/>
    <s v="vacuum cleaner"/>
    <s v="Business Expenses (Koolikai):Tools/From Receipt:Tax Related"/>
    <n v="799999940681"/>
    <s v="Split"/>
    <s v="From Receipt:Tax Related"/>
    <x v="36"/>
    <x v="49"/>
    <m/>
    <m/>
    <m/>
    <m/>
    <s v="Mar"/>
    <n v="2014"/>
    <s v="Irregular"/>
    <n v="0"/>
    <s v="No"/>
    <s v="None"/>
    <s v="Business Expenses (Koolikai)|Tools"/>
  </r>
  <r>
    <s v="MasterCard (Capital One)"/>
    <d v="2014-03-08T00:00:00"/>
    <n v="-15.64"/>
    <s v="X"/>
    <s v="Twigs"/>
    <s v="2011: TWIGS NORTHGATE, L SEATTLE WA 98125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08T00:00:00"/>
    <n v="-76.319999999999993"/>
    <s v="X"/>
    <s v="Crepe Cafe &amp; Wine Bar"/>
    <s v="2011: THE CREPE CAFE AND WIN SEATTLE WA 98115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08T00:00:00"/>
    <n v="-303.58999999999997"/>
    <s v="X"/>
    <s v="Playdate Cafe"/>
    <s v="2011: SQ *PLAYDATE CAFE Lynnwood WA 98036 USA"/>
    <s v="Parties/From Receipt"/>
    <m/>
    <m/>
    <s v="From Receipt"/>
    <x v="16"/>
    <x v="0"/>
    <m/>
    <m/>
    <m/>
    <m/>
    <s v="Mar"/>
    <n v="2014"/>
    <s v="Annual"/>
    <n v="0"/>
    <s v="No"/>
    <s v="None"/>
    <s v="Parties"/>
  </r>
  <r>
    <s v="MasterCard (Capital One)"/>
    <d v="2014-03-07T00:00:00"/>
    <n v="-6.12"/>
    <s v="X"/>
    <s v="Fresh Table Met"/>
    <s v="2011: FRESH TABLE-MET PARK SEATTLE WA 98101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07T00:00:00"/>
    <n v="-7.11"/>
    <s v="X"/>
    <s v="Fresh Table Met"/>
    <s v="2011: FRESH TABLE-MET PARK SEATTLE WA 98101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MasterCard (Capital One)"/>
    <d v="2014-03-07T00:00:00"/>
    <n v="-26.35"/>
    <s v="X"/>
    <s v="Fred Meyer"/>
    <s v="@CAT:@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First Tech - Checking (5544)"/>
    <d v="2014-03-06T00:00:00"/>
    <n v="-58.28"/>
    <s v="X"/>
    <s v="Target (Autopay)"/>
    <s v="ACH Debit--TARGET CARD SRVC 001 - AUTO PYMT"/>
    <s v="[Target Red Card]"/>
    <m/>
    <m/>
    <m/>
    <x v="12"/>
    <x v="0"/>
    <m/>
    <m/>
    <m/>
    <m/>
    <s v="Mar"/>
    <n v="2014"/>
    <s v="Account"/>
    <n v="0"/>
    <s v="No"/>
    <s v="None"/>
    <s v="[Target Red Card]"/>
  </r>
  <r>
    <s v="First Tech - Short Term Emergency (5400)"/>
    <d v="2014-03-06T00:00:00"/>
    <n v="180"/>
    <s v="X"/>
    <s v="Taylor &amp; Francis Group"/>
    <s v="Angela's book royalty"/>
    <s v="Morale Money"/>
    <m/>
    <m/>
    <m/>
    <x v="46"/>
    <x v="0"/>
    <m/>
    <m/>
    <m/>
    <m/>
    <s v="Mar"/>
    <n v="2014"/>
    <e v="#N/A"/>
    <e v="#N/A"/>
    <e v="#N/A"/>
    <e v="#N/A"/>
    <s v="Morale Money"/>
  </r>
  <r>
    <s v="MasterCard (Capital One)"/>
    <d v="2014-03-06T00:00:00"/>
    <n v="-3.68"/>
    <s v="X"/>
    <s v="Safeway"/>
    <s v="2011: SAFEWAY STORE 00018457 SEATTLE WA 98103 USA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Target Red Card"/>
    <d v="2014-03-06T00:00:00"/>
    <n v="58.28"/>
    <s v="X"/>
    <s v="Target (Autopay)"/>
    <m/>
    <s v="[First Tech - Checking (5544)]"/>
    <m/>
    <m/>
    <m/>
    <x v="21"/>
    <x v="0"/>
    <m/>
    <m/>
    <m/>
    <m/>
    <s v="Mar"/>
    <n v="2014"/>
    <s v="Account"/>
    <n v="0"/>
    <s v="No"/>
    <s v="None"/>
    <s v="[First Tech - Checking (5544)]"/>
  </r>
  <r>
    <s v="First Tech - Checking (5544)"/>
    <d v="2014-03-05T00:00:00"/>
    <n v="14.27"/>
    <s v="X"/>
    <s v="Premera Funding Cyc"/>
    <s v="ACH Deposit--PREMERA FUNDING  - CYC-CLAIMS"/>
    <s v="[Premera Health Care Payment]"/>
    <m/>
    <m/>
    <m/>
    <x v="42"/>
    <x v="0"/>
    <m/>
    <m/>
    <m/>
    <m/>
    <s v="Mar"/>
    <n v="2014"/>
    <s v="Account"/>
    <n v="0"/>
    <s v="No"/>
    <s v="None"/>
    <s v="[Premera Health Care Payment]"/>
  </r>
  <r>
    <s v="First Tech - Checking (5544)"/>
    <d v="2014-03-05T00:00:00"/>
    <n v="-3748.69"/>
    <s v="X"/>
    <s v="Wells Fargo Home Mortgage"/>
    <s v="ACH Debit--WF HOME MTG ACH - AUTO PAY"/>
    <s v="Home:Mortgage"/>
    <m/>
    <m/>
    <m/>
    <x v="14"/>
    <x v="27"/>
    <m/>
    <m/>
    <m/>
    <m/>
    <s v="Mar"/>
    <n v="2014"/>
    <s v="Monthly"/>
    <n v="0"/>
    <s v="No"/>
    <s v="None"/>
    <s v="Home|Mortgage"/>
  </r>
  <r>
    <s v="Koolikai - Checking XX2129"/>
    <d v="2014-03-05T00:00:00"/>
    <n v="2295"/>
    <s v="X"/>
    <s v="Aaron Ausland"/>
    <s v="Deposit--Shared Branch Mobile Deposit          First Tech FC CA"/>
    <s v="Business Income (Koolikai):Rent/7231"/>
    <m/>
    <s v="Split"/>
    <n v="7231"/>
    <x v="37"/>
    <x v="25"/>
    <m/>
    <m/>
    <m/>
    <m/>
    <s v="Mar"/>
    <n v="2014"/>
    <s v="Monthly"/>
    <n v="0"/>
    <s v="No"/>
    <s v="None"/>
    <s v="Business Income (Koolikai)|Rent"/>
  </r>
  <r>
    <s v="Koolikai - Checking XX2129"/>
    <d v="2014-03-05T00:00:00"/>
    <n v="100"/>
    <s v="X"/>
    <s v="Aaron Ausland"/>
    <m/>
    <s v="Business Expenses (Koolikai):Utilities (Business)/7231"/>
    <m/>
    <s v="Split"/>
    <n v="7231"/>
    <x v="36"/>
    <x v="63"/>
    <m/>
    <m/>
    <m/>
    <m/>
    <s v="Mar"/>
    <n v="2014"/>
    <s v="Monthly"/>
    <n v="0"/>
    <s v="No"/>
    <s v="None"/>
    <s v="Business Expenses (Koolikai)|Utilities (Business)"/>
  </r>
  <r>
    <s v="MasterCard (Capital One)"/>
    <d v="2014-03-05T00:00:00"/>
    <n v="-9.33"/>
    <s v="X"/>
    <s v="Amazon"/>
    <s v="Itty Bitty"/>
    <s v="Kids:Toys"/>
    <m/>
    <s v="Split"/>
    <m/>
    <x v="27"/>
    <x v="14"/>
    <m/>
    <m/>
    <m/>
    <m/>
    <s v="Mar"/>
    <n v="2014"/>
    <s v="Monthly"/>
    <n v="0"/>
    <s v="No"/>
    <s v="None"/>
    <s v="Kids|Toys"/>
  </r>
  <r>
    <s v="MasterCard (Capital One)"/>
    <d v="2014-03-05T00:00:00"/>
    <n v="-21.77"/>
    <s v="X"/>
    <s v="Amazon"/>
    <s v="Hot air popper"/>
    <s v="Home:Furnishings"/>
    <m/>
    <s v="Split"/>
    <m/>
    <x v="14"/>
    <x v="2"/>
    <m/>
    <m/>
    <m/>
    <m/>
    <s v="Mar"/>
    <n v="2014"/>
    <s v="Monthly"/>
    <n v="0"/>
    <s v="No"/>
    <s v="None"/>
    <s v="Home|Furnishings"/>
  </r>
  <r>
    <s v="MasterCard (Capital One)"/>
    <d v="2014-03-05T00:00:00"/>
    <n v="-19.190000000000001"/>
    <s v="X"/>
    <s v="Fred Meyer"/>
    <s v="2011: FRED-MEYER #0122 SEATTLE WA 98117 USA"/>
    <s v="Parties/From Receipt"/>
    <m/>
    <s v="Split"/>
    <s v="From Receipt"/>
    <x v="16"/>
    <x v="0"/>
    <m/>
    <m/>
    <m/>
    <m/>
    <s v="Mar"/>
    <n v="2014"/>
    <s v="Annual"/>
    <n v="0"/>
    <s v="No"/>
    <s v="None"/>
    <s v="Parties"/>
  </r>
  <r>
    <s v="MasterCard (Capital One)"/>
    <d v="2014-03-05T00:00:00"/>
    <n v="-18.399999999999999"/>
    <s v="X"/>
    <s v="Fred Meyer"/>
    <m/>
    <s v="Food &amp; Dining:Groceries/From Receipt"/>
    <m/>
    <s v="Split"/>
    <s v="From Receipt"/>
    <x v="15"/>
    <x v="3"/>
    <m/>
    <m/>
    <m/>
    <m/>
    <s v="Mar"/>
    <n v="2014"/>
    <s v="Monthly"/>
    <n v="0"/>
    <s v="No"/>
    <s v="None"/>
    <s v="Food &amp; Dining|Groceries"/>
  </r>
  <r>
    <s v="Premera Health Care Payment"/>
    <d v="2014-03-05T00:00:00"/>
    <n v="-14.27"/>
    <m/>
    <s v="Premera Funding Cyc"/>
    <s v="ACH Deposit--PREMERA FUNDING  - CYC-CLAIMS"/>
    <s v="[First Tech - Checking (5544)]"/>
    <m/>
    <m/>
    <m/>
    <x v="21"/>
    <x v="0"/>
    <m/>
    <m/>
    <m/>
    <m/>
    <s v="Mar"/>
    <n v="2014"/>
    <s v="Account"/>
    <n v="0"/>
    <s v="No"/>
    <s v="None"/>
    <s v="[First Tech - Checking (5544)]"/>
  </r>
  <r>
    <s v="First Tech - Checking (5544)"/>
    <d v="2014-03-04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Mar"/>
    <n v="2014"/>
    <s v="Monthly"/>
    <n v="0"/>
    <s v="No"/>
    <s v="None"/>
    <s v="Kids|American Funds 529A"/>
  </r>
  <r>
    <s v="First Tech - Checking (5544)"/>
    <d v="2014-03-03T00:00:00"/>
    <n v="-1976"/>
    <s v="X"/>
    <s v="Phinney Ridge CDC"/>
    <s v="ACH Debit--PHINNEY RIDGE LU 504759859 - CONTRIBUTN"/>
    <s v="Kids:Daycare"/>
    <m/>
    <m/>
    <m/>
    <x v="27"/>
    <x v="35"/>
    <m/>
    <m/>
    <m/>
    <m/>
    <s v="Mar"/>
    <n v="2014"/>
    <s v="Monthly"/>
    <n v="0"/>
    <s v="No"/>
    <s v="None"/>
    <s v="Kids|Daycare"/>
  </r>
  <r>
    <s v="First Tech - Checking (5544)"/>
    <d v="2014-03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Mar"/>
    <n v="2014"/>
    <s v="Monthly"/>
    <n v="0"/>
    <s v="No"/>
    <s v="None"/>
    <s v="Business Expenses (Koolikai)|Mortgage (Business)"/>
  </r>
  <r>
    <s v="First Tech - Checking (5544)"/>
    <d v="2014-03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Mar"/>
    <n v="2014"/>
    <s v="Monthly"/>
    <n v="0"/>
    <s v="No"/>
    <s v="None"/>
    <s v="Business Expenses (Koolikai)|Mortgage (Business)"/>
  </r>
  <r>
    <s v="First Tech - Checking (5544)"/>
    <d v="2014-03-03T00:00:00"/>
    <n v="-126"/>
    <m/>
    <s v="Rei (Autopay)"/>
    <s v="@CAT:@@BAL:$0.00@"/>
    <s v="[REI Mastercard (xx1787)]"/>
    <m/>
    <m/>
    <m/>
    <x v="11"/>
    <x v="0"/>
    <m/>
    <m/>
    <m/>
    <m/>
    <s v="Mar"/>
    <n v="2014"/>
    <e v="#N/A"/>
    <e v="#N/A"/>
    <e v="#N/A"/>
    <e v="#N/A"/>
    <s v="[REI Mastercard (xx1787)]"/>
  </r>
  <r>
    <s v="MasterCard (Capital One)"/>
    <d v="2014-03-03T00:00:00"/>
    <n v="-8.1999999999999993"/>
    <s v="X"/>
    <s v="Fresh Table Met"/>
    <s v="2011: FRESH TABLE-MET PARK SEATTLE WA 98101 USA"/>
    <s v="Food &amp; Dining:Restaurants"/>
    <m/>
    <m/>
    <m/>
    <x v="15"/>
    <x v="15"/>
    <m/>
    <m/>
    <m/>
    <m/>
    <s v="Mar"/>
    <n v="2014"/>
    <s v="Monthly"/>
    <n v="0"/>
    <s v="No"/>
    <s v="None"/>
    <s v="Food &amp; Dining|Restaurants"/>
  </r>
  <r>
    <s v="REI Mastercard (xx1787)"/>
    <d v="2014-03-03T00:00:00"/>
    <n v="126"/>
    <s v="X"/>
    <s v="Rei (Autopay)"/>
    <s v="@CAT:@@BAL:$0.00@"/>
    <s v="[First Tech - Checking (5544)]"/>
    <s v="TXFR"/>
    <m/>
    <m/>
    <x v="21"/>
    <x v="0"/>
    <m/>
    <m/>
    <m/>
    <m/>
    <s v="Mar"/>
    <n v="2014"/>
    <s v="Account"/>
    <n v="0"/>
    <s v="No"/>
    <s v="None"/>
    <s v="[First Tech - Checking (5544)]"/>
  </r>
  <r>
    <s v="Capital One - Long Term Emergency (1201)"/>
    <d v="2014-03-02T00:00:00"/>
    <n v="0"/>
    <s v="X"/>
    <s v="Balanced"/>
    <s v="@BAL:118199.00@@CAT:@"/>
    <s v="[Capital One - Long Term Emergency (1201)]"/>
    <m/>
    <m/>
    <m/>
    <x v="1"/>
    <x v="0"/>
    <m/>
    <m/>
    <m/>
    <m/>
    <s v="Mar"/>
    <n v="2014"/>
    <s v="Account"/>
    <n v="0"/>
    <s v="No"/>
    <s v="None"/>
    <s v="[Capital One - Long Term Emergency (1201)]"/>
  </r>
  <r>
    <s v="Capital One - Long Term Emergency (1201)"/>
    <d v="2014-03-02T00:00:00"/>
    <n v="0"/>
    <s v="X"/>
    <s v="Balanced"/>
    <s v="@BAL:-6591.33@@CAT:@"/>
    <s v="[MasterCard (Capital One)]"/>
    <m/>
    <m/>
    <m/>
    <x v="38"/>
    <x v="0"/>
    <m/>
    <m/>
    <m/>
    <m/>
    <s v="Mar"/>
    <n v="2014"/>
    <s v="Account"/>
    <n v="0"/>
    <s v="No"/>
    <s v="None"/>
    <s v="[MasterCard (Capital One)]"/>
  </r>
  <r>
    <s v="Capital One - Secondary Savings (3126)"/>
    <d v="2014-03-02T00:00:00"/>
    <n v="0"/>
    <s v="X"/>
    <s v="Balanced"/>
    <s v="@BAL:123.04@@CAT:@"/>
    <s v="[Capital One - Secondary Savings (3126)]"/>
    <m/>
    <m/>
    <m/>
    <x v="2"/>
    <x v="0"/>
    <m/>
    <m/>
    <m/>
    <m/>
    <s v="Mar"/>
    <n v="2014"/>
    <s v="Account"/>
    <n v="0"/>
    <s v="No"/>
    <s v="None"/>
    <s v="[Capital One - Secondary Savings (3126)]"/>
  </r>
  <r>
    <s v="Capital One - Vacation (4959)"/>
    <d v="2014-03-02T00:00:00"/>
    <n v="0"/>
    <s v="X"/>
    <s v="Balanced"/>
    <s v="@BAL:5010.40@@CAT:@"/>
    <s v="[Capital One - Vacation (4959)]"/>
    <m/>
    <m/>
    <m/>
    <x v="3"/>
    <x v="0"/>
    <m/>
    <m/>
    <m/>
    <m/>
    <s v="Mar"/>
    <n v="2014"/>
    <s v="Account"/>
    <n v="0"/>
    <s v="No"/>
    <s v="None"/>
    <s v="[Capital One - Vacation (4959)]"/>
  </r>
  <r>
    <s v="First Tech - Checking (5544)"/>
    <d v="2014-03-02T00:00:00"/>
    <n v="0"/>
    <s v="X"/>
    <s v="Balanced"/>
    <s v="@CAT:@;@BAL:53225.77"/>
    <s v="[First Tech - Checking (5544)]"/>
    <m/>
    <m/>
    <m/>
    <x v="21"/>
    <x v="0"/>
    <m/>
    <m/>
    <m/>
    <m/>
    <s v="Mar"/>
    <n v="2014"/>
    <s v="Account"/>
    <n v="0"/>
    <s v="No"/>
    <s v="None"/>
    <s v="[First Tech - Checking (5544)]"/>
  </r>
  <r>
    <s v="First Tech - Short Term Emergency (5400)"/>
    <d v="2014-03-02T00:00:00"/>
    <n v="0"/>
    <s v="X"/>
    <s v="Balanced"/>
    <s v="@CAT:@@BAL:5.00@"/>
    <s v="[First Tech - Short Term Emergency (5400)]"/>
    <m/>
    <m/>
    <m/>
    <x v="4"/>
    <x v="0"/>
    <m/>
    <m/>
    <m/>
    <m/>
    <s v="Mar"/>
    <n v="2014"/>
    <s v="Account"/>
    <n v="0"/>
    <s v="No"/>
    <s v="None"/>
    <s v="[First Tech - Short Term Emergency (5400)]"/>
  </r>
  <r>
    <s v="Schwab - Checking (9784)"/>
    <d v="2014-03-02T00:00:00"/>
    <n v="0"/>
    <s v="X"/>
    <s v="Balanced"/>
    <s v="@BAL:$1529.82@@CAT:@"/>
    <s v="[Schwab - Checking (9784)]"/>
    <m/>
    <m/>
    <m/>
    <x v="5"/>
    <x v="0"/>
    <m/>
    <m/>
    <m/>
    <m/>
    <s v="Mar"/>
    <n v="2014"/>
    <s v="Account"/>
    <n v="0"/>
    <s v="No"/>
    <s v="None"/>
    <s v="[Schwab - Checking (9784)]"/>
  </r>
  <r>
    <s v="American Express (Costco)"/>
    <d v="2014-03-02T00:00:00"/>
    <n v="0"/>
    <s v="X"/>
    <s v="Balanced"/>
    <s v="@BAL:-110.00@@CAT:@"/>
    <s v="[American Express (Costco)]"/>
    <m/>
    <m/>
    <m/>
    <x v="20"/>
    <x v="0"/>
    <m/>
    <m/>
    <m/>
    <m/>
    <s v="Mar"/>
    <n v="2014"/>
    <s v="Account"/>
    <n v="0"/>
    <s v="No"/>
    <s v="None"/>
    <s v="[American Express (Costco)]"/>
  </r>
  <r>
    <s v="Discover Card"/>
    <d v="2014-03-02T00:00:00"/>
    <n v="0"/>
    <s v="X"/>
    <s v="Balanced"/>
    <s v="@BAL:-7.65@@CAT:@"/>
    <s v="[Discover Card]"/>
    <m/>
    <m/>
    <m/>
    <x v="24"/>
    <x v="0"/>
    <m/>
    <m/>
    <m/>
    <m/>
    <s v="Mar"/>
    <n v="2014"/>
    <s v="Account"/>
    <n v="0"/>
    <s v="No"/>
    <s v="None"/>
    <s v="[Discover Card]"/>
  </r>
  <r>
    <s v="MasterCard (Capital One)"/>
    <d v="2014-03-02T00:00:00"/>
    <n v="0"/>
    <s v="X"/>
    <s v="Balanced"/>
    <s v="@BAL:-6591.33@@CAT:@"/>
    <s v="[Capital One - Long Term Emergency (1201)]"/>
    <m/>
    <m/>
    <m/>
    <x v="1"/>
    <x v="0"/>
    <m/>
    <m/>
    <m/>
    <m/>
    <s v="Mar"/>
    <n v="2014"/>
    <s v="Account"/>
    <n v="0"/>
    <s v="No"/>
    <s v="None"/>
    <s v="[Capital One - Long Term Emergency (1201)]"/>
  </r>
  <r>
    <s v="MasterCard (Capital One)"/>
    <d v="2014-03-02T00:00:00"/>
    <n v="-9.64"/>
    <s v="X"/>
    <s v="Kleins Deli San"/>
    <s v="#Sheryl's wedding#"/>
    <s v="Vacation:Food"/>
    <m/>
    <m/>
    <m/>
    <x v="23"/>
    <x v="8"/>
    <m/>
    <m/>
    <s v="Sheryl's wedding"/>
    <m/>
    <s v="Mar"/>
    <n v="2014"/>
    <s v="Irregular"/>
    <n v="0"/>
    <s v="No"/>
    <s v="None"/>
    <s v="Vacation|Food"/>
  </r>
  <r>
    <s v="MasterCard (Capital One)"/>
    <d v="2014-03-02T00:00:00"/>
    <n v="-100.76"/>
    <s v="X"/>
    <s v="Fred Meyer"/>
    <s v="2011: FRED-MEYER #0122 SEATTLE WA 98117 USA"/>
    <s v="Food &amp; Dining:Groceries/From Receipt"/>
    <m/>
    <m/>
    <s v="From Receipt"/>
    <x v="15"/>
    <x v="3"/>
    <m/>
    <m/>
    <m/>
    <m/>
    <s v="Mar"/>
    <n v="2014"/>
    <s v="Monthly"/>
    <n v="0"/>
    <s v="No"/>
    <s v="None"/>
    <s v="Food &amp; Dining|Groceries"/>
  </r>
  <r>
    <s v="MasterCard (Capital One)"/>
    <d v="2014-03-02T00:00:00"/>
    <n v="-20.39"/>
    <s v="X"/>
    <s v="Comcast"/>
    <s v="@BAL:-6892.04@@CAT:@"/>
    <s v="Bills &amp; Utilities:Television"/>
    <m/>
    <s v="Split"/>
    <m/>
    <x v="34"/>
    <x v="32"/>
    <m/>
    <m/>
    <m/>
    <m/>
    <s v="Mar"/>
    <n v="2014"/>
    <s v="Monthly"/>
    <n v="0"/>
    <s v="No"/>
    <s v="None"/>
    <s v="Bills &amp; Utilities|Television"/>
  </r>
  <r>
    <s v="MasterCard (Capital One)"/>
    <d v="2014-03-02T00:00:00"/>
    <n v="-62.48"/>
    <s v="X"/>
    <s v="Comcast"/>
    <m/>
    <s v="Business Expenses (Koolikai):Internet"/>
    <m/>
    <s v="Split"/>
    <m/>
    <x v="36"/>
    <x v="33"/>
    <m/>
    <m/>
    <m/>
    <m/>
    <s v="Mar"/>
    <n v="2014"/>
    <s v="Monthly"/>
    <n v="0"/>
    <s v="No"/>
    <s v="None"/>
    <s v="Business Expenses (Koolikai)|Internet"/>
  </r>
  <r>
    <s v="MasterCard (Capital One)"/>
    <d v="2014-03-02T00:00:00"/>
    <n v="-42.4"/>
    <s v="X"/>
    <s v="Comcast"/>
    <m/>
    <s v="Bills &amp; Utilities:Home Phone"/>
    <m/>
    <s v="Split"/>
    <m/>
    <x v="34"/>
    <x v="34"/>
    <m/>
    <m/>
    <m/>
    <m/>
    <s v="Mar"/>
    <n v="2014"/>
    <s v="Monthly"/>
    <n v="0"/>
    <s v="No"/>
    <s v="None"/>
    <s v="Bills &amp; Utilities|Home Phone"/>
  </r>
  <r>
    <s v="REI Mastercard (xx1787)"/>
    <d v="2014-03-02T00:00:00"/>
    <n v="0"/>
    <s v="X"/>
    <s v="Balanced"/>
    <s v="@BAL:-126.00@CAT:@"/>
    <s v="[REI Mastercard (xx1787)]"/>
    <m/>
    <m/>
    <m/>
    <x v="11"/>
    <x v="0"/>
    <m/>
    <m/>
    <m/>
    <m/>
    <s v="Mar"/>
    <n v="2014"/>
    <e v="#N/A"/>
    <e v="#N/A"/>
    <e v="#N/A"/>
    <e v="#N/A"/>
    <s v="[REI Mastercard (xx1787)]"/>
  </r>
  <r>
    <s v="Target Red Card"/>
    <d v="2014-03-02T00:00:00"/>
    <n v="0"/>
    <s v="X"/>
    <s v="Balanced"/>
    <s v="@BAL:-$266.42@@CAT:@"/>
    <s v="[Target Red Card]"/>
    <m/>
    <m/>
    <m/>
    <x v="12"/>
    <x v="0"/>
    <m/>
    <m/>
    <m/>
    <m/>
    <s v="Mar"/>
    <n v="2014"/>
    <s v="Account"/>
    <n v="0"/>
    <s v="No"/>
    <s v="None"/>
    <s v="[Target Red Card]"/>
  </r>
  <r>
    <s v="First Tech - Checking (5544)"/>
    <d v="2014-03-01T00:00:00"/>
    <n v="-4025.58"/>
    <s v="X"/>
    <s v="Capital One (Autopay)"/>
    <s v="ACH Debit--CAPITAL ONE  - CRCARDPMT"/>
    <s v="[MasterCard (Capital One)]"/>
    <m/>
    <m/>
    <m/>
    <x v="38"/>
    <x v="0"/>
    <m/>
    <m/>
    <m/>
    <m/>
    <s v="Mar"/>
    <n v="2014"/>
    <s v="Account"/>
    <n v="0"/>
    <s v="No"/>
    <s v="None"/>
    <s v="[MasterCard (Capital One)]"/>
  </r>
  <r>
    <s v="Koolikai - Checking XX2129"/>
    <d v="2014-03-01T00:00:00"/>
    <n v="2195"/>
    <s v="X"/>
    <s v="Valerie Shaibley"/>
    <m/>
    <s v="Business Income (Koolikai):Rent/9602"/>
    <m/>
    <m/>
    <n v="9602"/>
    <x v="37"/>
    <x v="25"/>
    <m/>
    <m/>
    <m/>
    <m/>
    <s v="Mar"/>
    <n v="2014"/>
    <s v="Monthly"/>
    <n v="0"/>
    <s v="No"/>
    <s v="None"/>
    <s v="Business Income (Koolikai)|Rent"/>
  </r>
  <r>
    <s v="American Express (Costco)"/>
    <d v="2014-03-01T00:00:00"/>
    <n v="-110"/>
    <s v="X"/>
    <s v="Costco"/>
    <s v="COSTCO MEMBER RENEWAL"/>
    <s v="Subscriptions &amp; Dues"/>
    <m/>
    <m/>
    <m/>
    <x v="33"/>
    <x v="0"/>
    <m/>
    <m/>
    <m/>
    <m/>
    <s v="Mar"/>
    <n v="2014"/>
    <s v="Annual"/>
    <n v="0"/>
    <s v="No"/>
    <s v="None"/>
    <s v="Subscriptions &amp; Dues"/>
  </r>
  <r>
    <s v="Mastercard (Angela)"/>
    <d v="2014-03-01T00:00:00"/>
    <n v="0"/>
    <s v="X"/>
    <s v="Balanced"/>
    <s v="@BAL:$0.00@"/>
    <s v="[Mastercard (Angela)]"/>
    <m/>
    <m/>
    <m/>
    <x v="10"/>
    <x v="0"/>
    <m/>
    <m/>
    <m/>
    <m/>
    <s v="Mar"/>
    <n v="2014"/>
    <s v="Account"/>
    <n v="0"/>
    <s v="No"/>
    <s v="None"/>
    <s v="[Mastercard (Angela)]"/>
  </r>
  <r>
    <s v="MasterCard (Capital One)"/>
    <d v="2014-03-01T00:00:00"/>
    <n v="4025.58"/>
    <s v="X"/>
    <s v="Capital One (Autopay)"/>
    <s v="ACH Debit--CAPITAL ONE  - CRCARDPMT"/>
    <s v="[First Tech - Checking (5544)]"/>
    <m/>
    <m/>
    <m/>
    <x v="21"/>
    <x v="0"/>
    <m/>
    <m/>
    <m/>
    <m/>
    <s v="Mar"/>
    <n v="2014"/>
    <s v="Account"/>
    <n v="0"/>
    <s v="No"/>
    <s v="None"/>
    <s v="[First Tech - Checking (5544)]"/>
  </r>
  <r>
    <s v="MasterCard (Capital One)"/>
    <d v="2014-03-01T00:00:00"/>
    <n v="-10.5"/>
    <s v="X"/>
    <s v="Union 76 (San Bruno)"/>
    <s v="#Sheryl's wedding#"/>
    <s v="Vacation:Transportation/From Receipt"/>
    <m/>
    <m/>
    <s v="From Receipt"/>
    <x v="23"/>
    <x v="26"/>
    <m/>
    <m/>
    <s v="Sheryl's wedding"/>
    <m/>
    <s v="Mar"/>
    <n v="2014"/>
    <s v="Irregular"/>
    <n v="0"/>
    <s v="No"/>
    <s v="None"/>
    <s v="Vacation|Transportation"/>
  </r>
  <r>
    <s v="MasterCard (Capital One)"/>
    <d v="2014-03-01T00:00:00"/>
    <n v="-38.79"/>
    <s v="X"/>
    <s v="Budget Rent"/>
    <s v="#Sheryl's wedding#"/>
    <s v="Vacation:Transportation/From Receipt"/>
    <m/>
    <m/>
    <s v="From Receipt"/>
    <x v="23"/>
    <x v="26"/>
    <m/>
    <m/>
    <s v="Sheryl's wedding"/>
    <m/>
    <s v="Mar"/>
    <n v="2014"/>
    <s v="Irregular"/>
    <n v="0"/>
    <s v="No"/>
    <s v="None"/>
    <s v="Vacation|Transportation"/>
  </r>
  <r>
    <s v="Capital One - Investment (6759)"/>
    <d v="2014-02-28T00:00:00"/>
    <n v="18.059999999999999"/>
    <s v="X"/>
    <s v="Capital One (Interest Income)"/>
    <s v="@BAL:47097.33@@CAT:@"/>
    <s v="Interest Income"/>
    <s v="INT"/>
    <m/>
    <m/>
    <x v="40"/>
    <x v="0"/>
    <m/>
    <m/>
    <m/>
    <m/>
    <s v="Feb"/>
    <n v="2014"/>
    <s v="Monthly"/>
    <n v="0"/>
    <s v="No"/>
    <s v="None"/>
    <s v="Interest Income"/>
  </r>
  <r>
    <s v="Capital One - Long Term Emergency (1201)"/>
    <d v="2014-02-28T00:00:00"/>
    <n v="72.61"/>
    <s v="X"/>
    <s v="Capital One (Interest Income)"/>
    <m/>
    <s v="Interest Income"/>
    <s v="INT"/>
    <m/>
    <m/>
    <x v="40"/>
    <x v="0"/>
    <m/>
    <m/>
    <m/>
    <m/>
    <s v="Feb"/>
    <n v="2014"/>
    <s v="Monthly"/>
    <n v="0"/>
    <s v="No"/>
    <s v="None"/>
    <s v="Interest Income"/>
  </r>
  <r>
    <s v="Capital One - Secondary Savings (3126)"/>
    <d v="2014-02-28T00:00:00"/>
    <n v="34.65"/>
    <s v="X"/>
    <s v="Capital One (Interest Income)"/>
    <m/>
    <s v="Interest Income"/>
    <s v="INT"/>
    <m/>
    <m/>
    <x v="40"/>
    <x v="0"/>
    <m/>
    <m/>
    <m/>
    <m/>
    <s v="Feb"/>
    <n v="2014"/>
    <s v="Monthly"/>
    <n v="0"/>
    <s v="No"/>
    <s v="None"/>
    <s v="Interest Income"/>
  </r>
  <r>
    <s v="Capital One - Vacation (4959)"/>
    <d v="2014-02-28T00:00:00"/>
    <n v="1.92"/>
    <s v="X"/>
    <s v="Capital One (Interest Income)"/>
    <m/>
    <s v="Interest Income"/>
    <s v="INT"/>
    <m/>
    <m/>
    <x v="40"/>
    <x v="0"/>
    <m/>
    <m/>
    <m/>
    <m/>
    <s v="Feb"/>
    <n v="2014"/>
    <s v="Monthly"/>
    <n v="0"/>
    <s v="No"/>
    <s v="None"/>
    <s v="Interest Income"/>
  </r>
  <r>
    <s v="First Tech - Checking (5544)"/>
    <d v="2014-02-28T00:00:00"/>
    <n v="-223.3"/>
    <s v="X"/>
    <s v="Seattle Public Utilities"/>
    <s v="ACH Debit--CITY OF SEATTLE  - 2 - SPU De"/>
    <s v="Bills &amp; Utilities:Utilities"/>
    <m/>
    <m/>
    <m/>
    <x v="34"/>
    <x v="18"/>
    <m/>
    <m/>
    <m/>
    <m/>
    <s v="Feb"/>
    <n v="2014"/>
    <s v="Monthly"/>
    <n v="0"/>
    <s v="No"/>
    <s v="None"/>
    <s v="Bills &amp; Utilities|Utilities"/>
  </r>
  <r>
    <s v="First Tech - Checking (5544)"/>
    <d v="2014-02-28T00:00:00"/>
    <n v="-200000"/>
    <s v="X"/>
    <s v="LPL"/>
    <s v="Transfer to LPL account for mutual fund and managed account"/>
    <s v="Not Sure"/>
    <m/>
    <m/>
    <m/>
    <x v="51"/>
    <x v="0"/>
    <m/>
    <m/>
    <m/>
    <m/>
    <s v="Feb"/>
    <n v="2014"/>
    <s v="Unplanned"/>
    <n v="0"/>
    <s v="No"/>
    <s v="None"/>
    <s v="Not Sure"/>
  </r>
  <r>
    <s v="Koolikai - Sec Dep XX1200"/>
    <d v="2014-02-28T00:00:00"/>
    <n v="0.17"/>
    <s v="X"/>
    <s v="First Tech (Dividend)"/>
    <s v="Credit Dividend--"/>
    <s v="Interest Income"/>
    <m/>
    <m/>
    <m/>
    <x v="40"/>
    <x v="0"/>
    <m/>
    <m/>
    <m/>
    <m/>
    <s v="Feb"/>
    <n v="2014"/>
    <s v="Monthly"/>
    <n v="0"/>
    <s v="No"/>
    <s v="None"/>
    <s v="Interest Income"/>
  </r>
  <r>
    <s v="Schwab - Checking (9784)"/>
    <d v="2014-02-28T00:00:00"/>
    <n v="0.12"/>
    <s v="X"/>
    <s v="Schwab (Interest Income)"/>
    <m/>
    <s v="Interest Income"/>
    <m/>
    <m/>
    <m/>
    <x v="40"/>
    <x v="0"/>
    <m/>
    <m/>
    <m/>
    <m/>
    <s v="Feb"/>
    <n v="2014"/>
    <s v="Monthly"/>
    <n v="0"/>
    <s v="No"/>
    <s v="None"/>
    <s v="Interest Income"/>
  </r>
  <r>
    <s v="Schwab - Checking (9784)"/>
    <d v="2014-02-28T00:00:00"/>
    <n v="4.75"/>
    <s v="X"/>
    <s v="Schwab (ATM Fee Refund)"/>
    <m/>
    <s v="Bank Fees &amp; Charges:ATM Fee"/>
    <m/>
    <m/>
    <m/>
    <x v="32"/>
    <x v="17"/>
    <m/>
    <m/>
    <m/>
    <m/>
    <s v="Feb"/>
    <n v="2014"/>
    <s v="Monthly"/>
    <n v="0"/>
    <s v="No"/>
    <s v="None"/>
    <s v="Bank Fees &amp; Charges|ATM Fee"/>
  </r>
  <r>
    <s v="MasterCard (Capital One)"/>
    <d v="2014-02-28T00:00:00"/>
    <n v="25"/>
    <s v="X"/>
    <s v="Capital One (Cash Back)"/>
    <s v="2011: CREDIT-CASH BACK REWARD"/>
    <s v="Other Inc"/>
    <m/>
    <m/>
    <m/>
    <x v="29"/>
    <x v="0"/>
    <m/>
    <m/>
    <m/>
    <m/>
    <s v="Feb"/>
    <n v="2014"/>
    <s v="Monthly"/>
    <n v="0"/>
    <s v="No"/>
    <s v="None"/>
    <s v="Other Inc"/>
  </r>
  <r>
    <s v="MasterCard (Capital One)"/>
    <d v="2014-02-28T00:00:00"/>
    <n v="-1"/>
    <s v="X"/>
    <s v="Blink Network Llc"/>
    <s v="2011: BLINK NETWORK, LLC 06023459015 AZ 85003 USA"/>
    <s v="Auto &amp; Transport:Gas &amp; Fuel"/>
    <m/>
    <m/>
    <m/>
    <x v="17"/>
    <x v="37"/>
    <m/>
    <m/>
    <m/>
    <m/>
    <s v="Feb"/>
    <n v="2014"/>
    <s v="Monthly"/>
    <n v="0"/>
    <s v="No"/>
    <s v="None"/>
    <s v="Auto &amp; Transport|Gas &amp; Fuel"/>
  </r>
  <r>
    <s v="MasterCard (Capital One)"/>
    <d v="2014-02-28T00:00:00"/>
    <n v="-11.94"/>
    <s v="X"/>
    <s v="High Tide"/>
    <s v="Dinner at #Sheryl's wedding#"/>
    <s v="Vacation:Food/From Receipt"/>
    <m/>
    <m/>
    <s v="From Receipt"/>
    <x v="23"/>
    <x v="8"/>
    <m/>
    <m/>
    <s v="Sheryl's wedding"/>
    <m/>
    <s v="Feb"/>
    <n v="2014"/>
    <s v="Irregular"/>
    <n v="0"/>
    <s v="No"/>
    <s v="None"/>
    <s v="Vacation|Food"/>
  </r>
  <r>
    <s v="MasterCard (Capital One)"/>
    <d v="2014-02-28T00:00:00"/>
    <n v="-15.75"/>
    <s v="X"/>
    <s v="Blue Bird"/>
    <s v="2011: BLUEBIRD ICE CREAM GRE SEATTLE WA 98103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First Tech - Checking (5544)"/>
    <d v="2014-02-27T00:00:00"/>
    <n v="3165.19"/>
    <s v="X"/>
    <s v="Microsoft (Paystub)"/>
    <s v="ACH Deposit--MICROSOFT  - EDIPAYMENT"/>
    <s v="Net Salary"/>
    <m/>
    <m/>
    <m/>
    <x v="35"/>
    <x v="0"/>
    <m/>
    <m/>
    <m/>
    <m/>
    <s v="Feb"/>
    <n v="2014"/>
    <s v="Monthly"/>
    <n v="0"/>
    <s v="No"/>
    <s v="None"/>
    <s v="Net Salary"/>
  </r>
  <r>
    <s v="First Tech - Checking (5544)"/>
    <d v="2014-02-27T00:00:00"/>
    <n v="6195.6"/>
    <s v="X"/>
    <s v="CRAB (Paystub)"/>
    <s v="ACH Deposit--Cancer Research  - Payroll"/>
    <s v="Net Salary"/>
    <m/>
    <m/>
    <m/>
    <x v="35"/>
    <x v="0"/>
    <m/>
    <m/>
    <m/>
    <m/>
    <s v="Feb"/>
    <n v="2014"/>
    <s v="Monthly"/>
    <n v="0"/>
    <s v="No"/>
    <s v="None"/>
    <s v="Net Salary"/>
  </r>
  <r>
    <s v="Capital One - Long Term Emergency (1201)"/>
    <d v="2014-02-26T00:00:00"/>
    <n v="-83000"/>
    <s v="X"/>
    <s v="Capital One (Transfer)"/>
    <s v="ACH Deposit--CAPITAL1 00000000000301749963 - TRANSFER"/>
    <s v="[First Tech - Checking (5544)]"/>
    <m/>
    <m/>
    <m/>
    <x v="21"/>
    <x v="0"/>
    <m/>
    <m/>
    <m/>
    <m/>
    <s v="Feb"/>
    <n v="2014"/>
    <s v="Account"/>
    <n v="0"/>
    <s v="No"/>
    <s v="None"/>
    <s v="[First Tech - Checking (5544)]"/>
  </r>
  <r>
    <s v="Capital One - Secondary Savings (3126)"/>
    <d v="2014-02-26T00:00:00"/>
    <n v="-117000"/>
    <s v="X"/>
    <s v="Capital One (Transfer)"/>
    <s v="ACH Deposit--CAPITAL1 00000000000301749025 - TRANSFER"/>
    <s v="[First Tech - Checking (5544)]"/>
    <m/>
    <m/>
    <m/>
    <x v="21"/>
    <x v="0"/>
    <m/>
    <m/>
    <m/>
    <m/>
    <s v="Feb"/>
    <n v="2014"/>
    <s v="Account"/>
    <n v="0"/>
    <s v="No"/>
    <s v="None"/>
    <s v="[First Tech - Checking (5544)]"/>
  </r>
  <r>
    <s v="First Tech - Checking (5544)"/>
    <d v="2014-02-26T00:00:00"/>
    <n v="83000"/>
    <s v="X"/>
    <s v="Capital One (Savings)"/>
    <s v="ACH Deposit--CAPITAL1 00000000000301749963 - TRANSFER"/>
    <s v="[Capital One - Long Term Emergency (1201)]"/>
    <m/>
    <m/>
    <m/>
    <x v="1"/>
    <x v="0"/>
    <m/>
    <m/>
    <m/>
    <m/>
    <s v="Feb"/>
    <n v="2014"/>
    <s v="Account"/>
    <n v="0"/>
    <s v="No"/>
    <s v="None"/>
    <s v="[Capital One - Long Term Emergency (1201)]"/>
  </r>
  <r>
    <s v="First Tech - Checking (5544)"/>
    <d v="2014-02-26T00:00:00"/>
    <n v="117000"/>
    <s v="X"/>
    <s v="Capital One (Savings)"/>
    <s v="ACH Deposit--CAPITAL1 00000000000301749025 - TRANSFER"/>
    <s v="[Capital One - Secondary Savings (3126)]"/>
    <m/>
    <m/>
    <m/>
    <x v="2"/>
    <x v="0"/>
    <m/>
    <m/>
    <m/>
    <m/>
    <s v="Feb"/>
    <n v="2014"/>
    <s v="Account"/>
    <n v="0"/>
    <s v="No"/>
    <s v="None"/>
    <s v="[Capital One - Secondary Savings (3126)]"/>
  </r>
  <r>
    <s v="Koolikai Credit Card"/>
    <d v="2014-02-26T00:00:00"/>
    <n v="0"/>
    <s v="X"/>
    <s v="Balanced"/>
    <s v="@CAT:@"/>
    <s v="[Koolikai Credit Card]"/>
    <m/>
    <m/>
    <m/>
    <x v="9"/>
    <x v="0"/>
    <m/>
    <m/>
    <m/>
    <m/>
    <s v="Feb"/>
    <n v="2014"/>
    <s v="Account"/>
    <n v="0"/>
    <s v="No"/>
    <s v="None"/>
    <s v="[Koolikai Credit Card]"/>
  </r>
  <r>
    <s v="MasterCard (Capital One)"/>
    <d v="2014-02-26T00:00:00"/>
    <n v="0"/>
    <s v="X"/>
    <s v="Balanced"/>
    <s v="@CAT:@"/>
    <s v="[MasterCard (Capital One)]"/>
    <m/>
    <m/>
    <m/>
    <x v="38"/>
    <x v="0"/>
    <m/>
    <m/>
    <m/>
    <m/>
    <s v="Feb"/>
    <n v="2014"/>
    <s v="Account"/>
    <n v="0"/>
    <s v="No"/>
    <s v="None"/>
    <s v="[MasterCard (Capital One)]"/>
  </r>
  <r>
    <s v="MasterCard (Capital One)"/>
    <d v="2014-02-26T00:00:00"/>
    <n v="-60"/>
    <s v="X"/>
    <s v="Phinney Neighborhood Center"/>
    <s v="2011: GG *PHINNEY NEIGHBORHO SEATTLE WA 98103 USA"/>
    <s v="Charity:Charity (Cash)"/>
    <m/>
    <m/>
    <m/>
    <x v="22"/>
    <x v="7"/>
    <m/>
    <m/>
    <m/>
    <m/>
    <s v="Feb"/>
    <n v="2014"/>
    <s v="Annual"/>
    <n v="0"/>
    <s v="No"/>
    <s v="None"/>
    <s v="Charity|Charity (Cash)"/>
  </r>
  <r>
    <s v="Koolikai Credit Card"/>
    <d v="2014-02-25T00:00:00"/>
    <n v="-15.84"/>
    <s v="X"/>
    <s v="Lowes #00252*"/>
    <s v="Sink fixture repair parts"/>
    <s v="Business Expenses (Koolikai):Tools/9602:From Receipt"/>
    <m/>
    <m/>
    <s v="9602:From Receipt"/>
    <x v="36"/>
    <x v="49"/>
    <m/>
    <m/>
    <m/>
    <m/>
    <s v="Feb"/>
    <n v="2014"/>
    <s v="Irregular"/>
    <n v="0"/>
    <s v="No"/>
    <s v="None"/>
    <s v="Business Expenses (Koolikai)|Tools"/>
  </r>
  <r>
    <s v="Koolikai Credit Card"/>
    <d v="2014-02-25T00:00:00"/>
    <n v="-16.170000000000002"/>
    <s v="X"/>
    <s v="Lowe's"/>
    <s v="10&quot; Tongue in Groove plier (channel locks?)"/>
    <s v="Business Expenses (Koolikai):Repairs/9602:From Receipt"/>
    <m/>
    <m/>
    <s v="9602:From Receipt"/>
    <x v="36"/>
    <x v="41"/>
    <m/>
    <m/>
    <m/>
    <m/>
    <s v="Feb"/>
    <n v="2014"/>
    <s v="Irregular"/>
    <n v="0"/>
    <s v="No"/>
    <s v="None"/>
    <s v="Business Expenses (Koolikai)|Repairs"/>
  </r>
  <r>
    <s v="Koolikai Credit Card"/>
    <d v="2014-02-25T00:00:00"/>
    <n v="-16.399999999999999"/>
    <s v="X"/>
    <s v="Home Depot"/>
    <s v="Sink fixture repair parts"/>
    <s v="Business Expenses (Koolikai):Repairs/9602:From Receipt"/>
    <m/>
    <m/>
    <s v="9602:From Receipt"/>
    <x v="36"/>
    <x v="41"/>
    <m/>
    <m/>
    <m/>
    <m/>
    <s v="Feb"/>
    <n v="2014"/>
    <s v="Irregular"/>
    <n v="0"/>
    <s v="No"/>
    <s v="None"/>
    <s v="Business Expenses (Koolikai)|Repairs"/>
  </r>
  <r>
    <s v="Koolikai Credit Card"/>
    <d v="2014-02-25T00:00:00"/>
    <n v="-125.97"/>
    <s v="X"/>
    <s v="Home Depot"/>
    <s v="Basin wrench, bucket, and inspection camera"/>
    <s v="Business Expenses (Koolikai):Tools/From Receipt"/>
    <m/>
    <m/>
    <s v="From Receipt"/>
    <x v="36"/>
    <x v="49"/>
    <m/>
    <m/>
    <m/>
    <m/>
    <s v="Feb"/>
    <n v="2014"/>
    <s v="Irregular"/>
    <n v="0"/>
    <s v="No"/>
    <s v="None"/>
    <s v="Business Expenses (Koolikai)|Tools"/>
  </r>
  <r>
    <s v="MasterCard (Capital One)"/>
    <d v="2014-02-25T00:00:00"/>
    <n v="-12.32"/>
    <s v="X"/>
    <s v="Stranger Tickets Wa"/>
    <s v="Play for Ang, Dave, Zach, and Josh"/>
    <s v="Kids:Kids Activities"/>
    <m/>
    <m/>
    <m/>
    <x v="27"/>
    <x v="12"/>
    <m/>
    <m/>
    <m/>
    <m/>
    <s v="Feb"/>
    <n v="2014"/>
    <s v="Monthly"/>
    <n v="0"/>
    <s v="No"/>
    <s v="None"/>
    <s v="Kids|Kids Activities"/>
  </r>
  <r>
    <s v="MasterCard (Capital One)"/>
    <d v="2014-02-25T00:00:00"/>
    <n v="-0.39"/>
    <s v="X"/>
    <s v="Eurest"/>
    <s v="2011: CAFE 86 11171386 REDMOND WA 98052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25T00:00:00"/>
    <n v="-100"/>
    <s v="X"/>
    <s v="Eurest"/>
    <s v="2011: CAFE 86 11171386 REDMOND WA 98052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s v="Feb"/>
    <n v="2014"/>
    <s v="Irregular"/>
    <n v="0"/>
    <s v="No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s v="Feb"/>
    <n v="2014"/>
    <s v="Irregular"/>
    <n v="0"/>
    <s v="No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s v="Feb"/>
    <n v="2014"/>
    <s v="Irregular"/>
    <n v="0"/>
    <s v="No"/>
    <s v="None"/>
    <s v="Vacation|Transportation"/>
  </r>
  <r>
    <s v="MasterCard (Capital One)"/>
    <d v="2014-02-25T00:00:00"/>
    <n v="-292"/>
    <s v="X"/>
    <s v="Alaska Air"/>
    <s v="#Scottsdale 2014#"/>
    <s v="Vacation:Transportation"/>
    <m/>
    <m/>
    <m/>
    <x v="23"/>
    <x v="26"/>
    <m/>
    <m/>
    <s v="Scottsdale 2014"/>
    <m/>
    <s v="Feb"/>
    <n v="2014"/>
    <s v="Irregular"/>
    <n v="0"/>
    <s v="No"/>
    <s v="None"/>
    <s v="Vacation|Transportation"/>
  </r>
  <r>
    <s v="First Tech - Checking (5544)"/>
    <d v="2014-02-24T00:00:00"/>
    <n v="-90"/>
    <s v="X"/>
    <s v="Discover Card (Autopay)"/>
    <s v="ACH Debit--DISCOVER DC PYMNTS DCIDPIINT - E-PAYMENT"/>
    <s v="[Discover Card]"/>
    <m/>
    <m/>
    <m/>
    <x v="24"/>
    <x v="0"/>
    <m/>
    <m/>
    <m/>
    <m/>
    <s v="Feb"/>
    <n v="2014"/>
    <s v="Account"/>
    <n v="0"/>
    <s v="No"/>
    <s v="None"/>
    <s v="[Discover Card]"/>
  </r>
  <r>
    <s v="First Tech - Checking (5544)"/>
    <d v="2014-02-24T00:00:00"/>
    <n v="-250.3"/>
    <s v="X"/>
    <s v="American Express (Autopay)"/>
    <s v="ACH Debit--AMEX EPayment AM - ACH PMT"/>
    <s v="[American Express (Costco)]"/>
    <m/>
    <m/>
    <m/>
    <x v="20"/>
    <x v="0"/>
    <m/>
    <m/>
    <m/>
    <m/>
    <s v="Feb"/>
    <n v="2014"/>
    <s v="Account"/>
    <n v="0"/>
    <s v="No"/>
    <s v="None"/>
    <s v="[American Express (Costco)]"/>
  </r>
  <r>
    <s v="First Tech - Checking (5544)"/>
    <d v="2014-02-24T00:00:00"/>
    <n v="-65"/>
    <s v="X"/>
    <s v="Patricia Anderson"/>
    <s v="Check--"/>
    <s v="Kids:Babysitter"/>
    <n v="2295"/>
    <m/>
    <m/>
    <x v="27"/>
    <x v="13"/>
    <m/>
    <m/>
    <m/>
    <m/>
    <s v="Feb"/>
    <n v="2014"/>
    <s v="Monthly"/>
    <n v="0"/>
    <s v="No"/>
    <s v="None"/>
    <s v="Kids|Babysitter"/>
  </r>
  <r>
    <s v="Koolikai - Checking XX2129"/>
    <d v="2014-02-24T00:00:00"/>
    <n v="-146.54"/>
    <s v="X"/>
    <s v="Chase - Koolikai (Autopay)"/>
    <s v="ACH Debit--CHASE  - AUTOPAYBUS"/>
    <s v="[Koolikai Credit Card]"/>
    <m/>
    <m/>
    <m/>
    <x v="9"/>
    <x v="0"/>
    <m/>
    <m/>
    <m/>
    <m/>
    <s v="Feb"/>
    <n v="2014"/>
    <s v="Account"/>
    <n v="0"/>
    <s v="No"/>
    <s v="None"/>
    <s v="[Koolikai Credit Card]"/>
  </r>
  <r>
    <s v="American Express (Costco)"/>
    <d v="2014-02-24T00:00:00"/>
    <n v="250.3"/>
    <s v="X"/>
    <s v="American Express (Autopay)"/>
    <s v="ACH Debit--AMEX EPayment AM - ACH PMT"/>
    <s v="[First Tech - Checking (5544)]"/>
    <m/>
    <m/>
    <m/>
    <x v="21"/>
    <x v="0"/>
    <m/>
    <m/>
    <m/>
    <m/>
    <s v="Feb"/>
    <n v="2014"/>
    <s v="Account"/>
    <n v="0"/>
    <s v="No"/>
    <s v="None"/>
    <s v="[First Tech - Checking (5544)]"/>
  </r>
  <r>
    <s v="Discover Card"/>
    <d v="2014-02-24T00:00:00"/>
    <n v="90"/>
    <s v="X"/>
    <s v="Discover Card (Autopay)"/>
    <s v="ACH Debit--DISCOVER DC PYMNTS DCIDPIINT - E-PAYMENT"/>
    <s v="[First Tech - Checking (5544)]"/>
    <m/>
    <m/>
    <m/>
    <x v="21"/>
    <x v="0"/>
    <m/>
    <m/>
    <m/>
    <m/>
    <s v="Feb"/>
    <n v="2014"/>
    <s v="Account"/>
    <n v="0"/>
    <s v="No"/>
    <s v="None"/>
    <s v="[First Tech - Checking (5544)]"/>
  </r>
  <r>
    <s v="Koolikai Credit Card"/>
    <d v="2014-02-24T00:00:00"/>
    <n v="146.54"/>
    <s v="X"/>
    <s v="Chase - Koolikai (Autopay)"/>
    <s v="ACH Debit--CHASE  - AUTOPAYBUS"/>
    <s v="[Koolikai - Checking XX2129]"/>
    <m/>
    <m/>
    <m/>
    <x v="25"/>
    <x v="0"/>
    <m/>
    <m/>
    <m/>
    <m/>
    <s v="Feb"/>
    <n v="2014"/>
    <s v="Account"/>
    <n v="0"/>
    <s v="No"/>
    <s v="None"/>
    <s v="[Koolikai - Checking XX2129]"/>
  </r>
  <r>
    <s v="MasterCard (Capital One)"/>
    <d v="2014-02-24T00:00:00"/>
    <n v="-13.73"/>
    <s v="X"/>
    <s v="Fred Meyer"/>
    <s v="2011: FRED-MEYER #0122 SEATTLE WA 98117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23T00:00:00"/>
    <n v="-47.07"/>
    <s v="X"/>
    <s v="Jiffy Lube"/>
    <s v="Oil change for the RAV"/>
    <s v="Auto &amp; Transport:Service &amp; Parts/From Receipt"/>
    <m/>
    <m/>
    <s v="From Receipt"/>
    <x v="17"/>
    <x v="64"/>
    <m/>
    <m/>
    <m/>
    <m/>
    <s v="Feb"/>
    <n v="2014"/>
    <s v="Unplanned"/>
    <n v="0"/>
    <s v="No"/>
    <s v="None"/>
    <s v="Auto &amp; Transport|Service &amp; Parts"/>
  </r>
  <r>
    <s v="MasterCard (Capital One)"/>
    <d v="2014-02-23T00:00:00"/>
    <n v="-6.17"/>
    <s v="X"/>
    <s v="Ken's Market"/>
    <s v="2011: KEN'S MARKET #75-116 SEATTLE WA 98103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22T00:00:00"/>
    <n v="-8.1"/>
    <s v="X"/>
    <s v="Wsferries Cl Seattle"/>
    <s v="#Family Reunion#"/>
    <s v="Vacation:Transportation"/>
    <m/>
    <m/>
    <m/>
    <x v="23"/>
    <x v="26"/>
    <m/>
    <m/>
    <s v="Family Reunion"/>
    <m/>
    <s v="Feb"/>
    <n v="2014"/>
    <s v="Irregular"/>
    <n v="0"/>
    <s v="No"/>
    <s v="None"/>
    <s v="Vacation|Transportation"/>
  </r>
  <r>
    <s v="MasterCard (Capital One)"/>
    <d v="2014-02-22T00:00:00"/>
    <n v="-12.85"/>
    <s v="X"/>
    <s v="Wsferries Mu Seattle"/>
    <s v="#Family Reunion#"/>
    <s v="Vacation:Transportation"/>
    <m/>
    <m/>
    <m/>
    <x v="23"/>
    <x v="26"/>
    <m/>
    <m/>
    <s v="Family Reunion"/>
    <m/>
    <s v="Feb"/>
    <n v="2014"/>
    <s v="Irregular"/>
    <n v="0"/>
    <s v="No"/>
    <s v="None"/>
    <s v="Vacation|Transportation"/>
  </r>
  <r>
    <s v="MasterCard (Capital One)"/>
    <d v="2014-02-22T00:00:00"/>
    <n v="-21.48"/>
    <s v="X"/>
    <s v="Goose Community Clinton"/>
    <s v="Wne for the Owen birthday party"/>
    <s v="Gifts"/>
    <m/>
    <m/>
    <m/>
    <x v="28"/>
    <x v="0"/>
    <m/>
    <m/>
    <m/>
    <m/>
    <s v="Feb"/>
    <n v="2014"/>
    <s v="Monthly"/>
    <n v="0"/>
    <s v="No"/>
    <s v="None"/>
    <s v="Gifts"/>
  </r>
  <r>
    <s v="MasterCard (Capital One)"/>
    <d v="2014-02-22T00:00:00"/>
    <n v="-30.16"/>
    <s v="X"/>
    <s v="Trader Joe's"/>
    <s v="2011: TRADER JOE'S #147 QPS SEATTLE WA 98107 USA"/>
    <s v="Food &amp; Dining:Groceries"/>
    <m/>
    <m/>
    <m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22T00:00:00"/>
    <n v="-123.85"/>
    <s v="X"/>
    <s v="Fred Meyer"/>
    <s v="2011: FRED-MEYER #0608 SEATTLE WA 98107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Target Red Card"/>
    <d v="2014-02-22T00:00:00"/>
    <n v="-204.82"/>
    <s v="X"/>
    <s v="Target"/>
    <s v="Bedding, lamps, etc. for kids new bedroom"/>
    <s v="Projects:Boy's Room/From Receipt"/>
    <n v="799999940531"/>
    <m/>
    <s v="From Receipt"/>
    <x v="39"/>
    <x v="57"/>
    <m/>
    <m/>
    <m/>
    <m/>
    <s v="Feb"/>
    <n v="2014"/>
    <s v="Unplanned"/>
    <n v="0"/>
    <s v="No"/>
    <s v="None"/>
    <s v="Projects|Boy's Room"/>
  </r>
  <r>
    <s v="First Tech - Checking (5544)"/>
    <d v="2014-02-21T00:00:00"/>
    <n v="-115"/>
    <s v="X"/>
    <s v="Cleaning Authority, The"/>
    <s v="ACH Debit--THE CLEANING AUT  - ONLINE PMT"/>
    <s v="Home:Home Services"/>
    <m/>
    <m/>
    <m/>
    <x v="14"/>
    <x v="46"/>
    <m/>
    <m/>
    <m/>
    <m/>
    <s v="Feb"/>
    <n v="2014"/>
    <s v="Monthly"/>
    <n v="0"/>
    <s v="No"/>
    <s v="None"/>
    <s v="Home|Home Services"/>
  </r>
  <r>
    <s v="First Tech - Checking (5544)"/>
    <d v="2014-02-21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Feb"/>
    <n v="2014"/>
    <s v="Monthly"/>
    <n v="0"/>
    <s v="No"/>
    <s v="None"/>
    <s v="Auto &amp; Transport|Auto Lease Payment"/>
  </r>
  <r>
    <s v="MasterCard (Capital One)"/>
    <d v="2014-02-21T00:00:00"/>
    <n v="-20"/>
    <s v="X"/>
    <s v="Starbucks"/>
    <s v="2011: SQ *STARBUCKS #00104 S Seattle WA 981011448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20T00:00:00"/>
    <n v="-6.56"/>
    <s v="X"/>
    <s v="Fresh Table Met"/>
    <s v="2011: FRESH TABLE-MET PARK SEATTLE WA 98101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20T00:00:00"/>
    <n v="-4.59"/>
    <s v="X"/>
    <s v="Ken's Market"/>
    <s v="2011: KEN'S MARKET #75-116 SEATTLE WA 98103 USA"/>
    <s v="Food &amp; Dining:Groceries"/>
    <m/>
    <m/>
    <m/>
    <x v="15"/>
    <x v="3"/>
    <m/>
    <m/>
    <m/>
    <m/>
    <s v="Feb"/>
    <n v="2014"/>
    <s v="Monthly"/>
    <n v="0"/>
    <s v="No"/>
    <s v="None"/>
    <s v="Food &amp; Dining|Groceries"/>
  </r>
  <r>
    <s v="First Tech - Checking (5544)"/>
    <d v="2014-02-19T00:00:00"/>
    <n v="30"/>
    <s v="X"/>
    <s v="Liberty Mutual"/>
    <s v="Refund of insurance over payment"/>
    <s v="Business Expenses (Koolikai):Mortgage (Business)"/>
    <m/>
    <m/>
    <m/>
    <x v="36"/>
    <x v="30"/>
    <m/>
    <m/>
    <m/>
    <m/>
    <s v="Feb"/>
    <n v="2014"/>
    <s v="Monthly"/>
    <n v="0"/>
    <s v="No"/>
    <s v="None"/>
    <s v="Business Expenses (Koolikai)|Mortgage (Business)"/>
  </r>
  <r>
    <s v="MasterCard (Capital One)"/>
    <d v="2014-02-19T00:00:00"/>
    <n v="25"/>
    <s v="X"/>
    <s v="Capital One (Cash Back)"/>
    <s v="2011: CREDIT-CASH BACK REWARD"/>
    <s v="Other Inc"/>
    <m/>
    <m/>
    <m/>
    <x v="29"/>
    <x v="0"/>
    <m/>
    <m/>
    <m/>
    <m/>
    <s v="Feb"/>
    <n v="2014"/>
    <s v="Monthly"/>
    <n v="0"/>
    <s v="No"/>
    <s v="None"/>
    <s v="Other Inc"/>
  </r>
  <r>
    <s v="First Tech - Checking (5544)"/>
    <d v="2014-02-18T00:00:00"/>
    <n v="-100"/>
    <s v="X"/>
    <s v="Phinney Ridge CDC"/>
    <s v="ACH Debit--PHINNEY RIDGE LU 504759859 - CONTRIBUTN"/>
    <s v="Kids:Daycare"/>
    <m/>
    <m/>
    <m/>
    <x v="27"/>
    <x v="35"/>
    <m/>
    <m/>
    <m/>
    <m/>
    <s v="Feb"/>
    <n v="2014"/>
    <s v="Monthly"/>
    <n v="0"/>
    <s v="No"/>
    <s v="None"/>
    <s v="Kids|Daycare"/>
  </r>
  <r>
    <s v="First Tech - Short Term Emergency (5400)"/>
    <d v="2014-02-18T00:00:00"/>
    <n v="0"/>
    <s v="X"/>
    <s v="Balanced"/>
    <s v="@CAT:@;@BAL:$5.00@"/>
    <s v="[First Tech - Short Term Emergency (5400)]"/>
    <m/>
    <m/>
    <m/>
    <x v="4"/>
    <x v="0"/>
    <m/>
    <m/>
    <m/>
    <m/>
    <s v="Feb"/>
    <n v="2014"/>
    <s v="Account"/>
    <n v="0"/>
    <s v="No"/>
    <s v="None"/>
    <s v="[First Tech - Short Term Emergency (5400)]"/>
  </r>
  <r>
    <s v="Schwab - Checking (9784)"/>
    <d v="2014-02-18T00:00:00"/>
    <n v="0"/>
    <s v="X"/>
    <s v="Balanced"/>
    <s v="@BAL:1524.95@;@CAT:@"/>
    <s v="[Schwab - Checking (9784)]"/>
    <m/>
    <m/>
    <m/>
    <x v="5"/>
    <x v="0"/>
    <m/>
    <m/>
    <m/>
    <m/>
    <s v="Feb"/>
    <n v="2014"/>
    <s v="Account"/>
    <n v="0"/>
    <s v="No"/>
    <s v="None"/>
    <s v="[Schwab - Checking (9784)]"/>
  </r>
  <r>
    <s v="Discover Card"/>
    <d v="2014-02-18T00:00:00"/>
    <n v="0"/>
    <s v="X"/>
    <s v="Balanced"/>
    <s v="@CAT:@"/>
    <s v="[Discover Card]"/>
    <m/>
    <m/>
    <m/>
    <x v="24"/>
    <x v="0"/>
    <m/>
    <m/>
    <m/>
    <m/>
    <s v="Feb"/>
    <n v="2014"/>
    <s v="Account"/>
    <n v="0"/>
    <s v="No"/>
    <s v="None"/>
    <s v="[Discover Card]"/>
  </r>
  <r>
    <s v="AmericanWest (1186)"/>
    <d v="2014-02-17T00:00:00"/>
    <n v="0"/>
    <m/>
    <s v="Balanced"/>
    <s v="@BAL:100.00@"/>
    <s v="[AmericanWest (1186)]"/>
    <m/>
    <m/>
    <m/>
    <x v="52"/>
    <x v="0"/>
    <m/>
    <m/>
    <m/>
    <m/>
    <s v="Feb"/>
    <n v="2014"/>
    <s v="Account"/>
    <n v="0"/>
    <s v="No"/>
    <s v="None"/>
    <s v="[AmericanWest (1186)]"/>
  </r>
  <r>
    <s v="MasterCard (Capital One)"/>
    <d v="2014-02-17T00:00:00"/>
    <n v="-41.4"/>
    <s v="X"/>
    <s v="Stardust Salon"/>
    <s v="2011: SQ *LISA AT STARDUST S Seattle WA 98103 USA"/>
    <s v="Personal Care:Hair"/>
    <m/>
    <m/>
    <m/>
    <x v="31"/>
    <x v="16"/>
    <m/>
    <m/>
    <m/>
    <m/>
    <s v="Feb"/>
    <n v="2014"/>
    <s v="Monthly"/>
    <n v="0"/>
    <s v="No"/>
    <s v="None"/>
    <s v="Personal Care|Hair"/>
  </r>
  <r>
    <s v="MasterCard (Capital One)"/>
    <d v="2014-02-17T00:00:00"/>
    <n v="-982.57"/>
    <s v="X"/>
    <s v="Columbus 004"/>
    <s v="2011: ESI PHARM COLUMBUS 08002822881 OH 43228 USA"/>
    <s v="Health &amp; Fitness:Pharmacy"/>
    <m/>
    <m/>
    <m/>
    <x v="18"/>
    <x v="38"/>
    <m/>
    <m/>
    <m/>
    <m/>
    <s v="Feb"/>
    <n v="2014"/>
    <s v="Irregular"/>
    <n v="0"/>
    <s v="No"/>
    <s v="None"/>
    <s v="Health &amp; Fitness|Pharmacy"/>
  </r>
  <r>
    <s v="MasterCard (Capital One)"/>
    <d v="2014-02-17T00:00:00"/>
    <n v="-4.4400000000000004"/>
    <s v="X"/>
    <s v="Ken's Market"/>
    <m/>
    <s v="Food &amp; Dining:Groceries"/>
    <m/>
    <m/>
    <m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17T00:00:00"/>
    <n v="-18.29"/>
    <s v="X"/>
    <s v="Twirl Play Cafe"/>
    <m/>
    <s v="Kids:Kids Activities"/>
    <m/>
    <m/>
    <m/>
    <x v="27"/>
    <x v="12"/>
    <m/>
    <m/>
    <m/>
    <m/>
    <s v="Feb"/>
    <n v="2014"/>
    <s v="Monthly"/>
    <n v="0"/>
    <s v="No"/>
    <s v="None"/>
    <s v="Kids|Kids Activities"/>
  </r>
  <r>
    <s v="REI Mastercard (xx1787)"/>
    <d v="2014-02-17T00:00:00"/>
    <n v="0"/>
    <s v="X"/>
    <s v="Balanced"/>
    <s v="@BAL:$126.00@;@CAT:@"/>
    <s v="[REI Mastercard (xx1787)]"/>
    <m/>
    <m/>
    <m/>
    <x v="11"/>
    <x v="0"/>
    <m/>
    <m/>
    <m/>
    <m/>
    <s v="Feb"/>
    <n v="2014"/>
    <e v="#N/A"/>
    <e v="#N/A"/>
    <e v="#N/A"/>
    <e v="#N/A"/>
    <s v="[REI Mastercard (xx1787)]"/>
  </r>
  <r>
    <s v="Target Red Card"/>
    <d v="2014-02-17T00:00:00"/>
    <n v="0"/>
    <s v="X"/>
    <s v="Balanced"/>
    <s v="@CAT:@"/>
    <s v="[Target Red Card]"/>
    <m/>
    <m/>
    <m/>
    <x v="12"/>
    <x v="0"/>
    <m/>
    <m/>
    <m/>
    <m/>
    <s v="Feb"/>
    <n v="2014"/>
    <s v="Account"/>
    <n v="0"/>
    <s v="No"/>
    <s v="None"/>
    <s v="[Target Red Card]"/>
  </r>
  <r>
    <s v="MasterCard (Capital One)"/>
    <d v="2014-02-16T00:00:00"/>
    <n v="-93.55"/>
    <s v="X"/>
    <s v="Fred Meyer"/>
    <s v="2011: FRED-MEYER #0122 SEATTLE WA 98117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16T00:00:00"/>
    <n v="-12.72"/>
    <s v="X"/>
    <s v="Pie Seattle Center"/>
    <s v="2011: PIE - SEATTLE CENTER SEATTLE WA 98109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16T00:00:00"/>
    <n v="-20.260000000000002"/>
    <s v="X"/>
    <s v="Skillet Counter Seattle"/>
    <s v="2011: SKILLET COUNTER SEATTLE WA 98109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15T00:00:00"/>
    <n v="-1.35"/>
    <s v="X"/>
    <s v="Seattle City Light"/>
    <s v="2011: SEATTLE CITY LIGHT 02066843000 WA 98124 USA"/>
    <s v="Business Expenses (Koolikai):Utilities (Business)/9602"/>
    <m/>
    <m/>
    <n v="9602"/>
    <x v="36"/>
    <x v="63"/>
    <m/>
    <m/>
    <m/>
    <m/>
    <s v="Feb"/>
    <n v="2014"/>
    <s v="Monthly"/>
    <n v="0"/>
    <s v="No"/>
    <s v="None"/>
    <s v="Business Expenses (Koolikai)|Utilities (Business)"/>
  </r>
  <r>
    <s v="MasterCard (Capital One)"/>
    <d v="2014-02-15T00:00:00"/>
    <n v="-3"/>
    <s v="X"/>
    <s v="Diamond Parking"/>
    <s v="2011: DIAMOND PARKING WE09 EVERETT WA 98106 USA"/>
    <s v="Auto &amp; Transport:Parking"/>
    <m/>
    <m/>
    <m/>
    <x v="17"/>
    <x v="11"/>
    <m/>
    <m/>
    <m/>
    <m/>
    <s v="Feb"/>
    <n v="2014"/>
    <s v="Monthly"/>
    <n v="0"/>
    <s v="No"/>
    <s v="None"/>
    <s v="Auto &amp; Transport|Parking"/>
  </r>
  <r>
    <s v="MasterCard (Capital One)"/>
    <d v="2014-02-15T00:00:00"/>
    <n v="-62.39"/>
    <s v="X"/>
    <s v="Gainsbourg"/>
    <s v="2011: GAINSBOURG SEATTLE WA 98103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15T00:00:00"/>
    <n v="-95"/>
    <s v="X"/>
    <s v="Imagine Childrens Museum"/>
    <s v="2011: IMAGINE CHILDREN'S MUS EVERETT WA 98201 USA"/>
    <s v="Kids:Kids Activities/From Receipt"/>
    <m/>
    <m/>
    <s v="From Receipt"/>
    <x v="27"/>
    <x v="12"/>
    <m/>
    <m/>
    <m/>
    <m/>
    <s v="Feb"/>
    <n v="2014"/>
    <s v="Monthly"/>
    <n v="0"/>
    <s v="No"/>
    <s v="None"/>
    <s v="Kids|Kids Activities"/>
  </r>
  <r>
    <s v="First Tech - Checking (5544)"/>
    <d v="2014-02-13T00:00:00"/>
    <n v="3165.2"/>
    <s v="X"/>
    <s v="Microsoft (Paystub)"/>
    <s v="@BAL:$44,862.43@;@CAT:@"/>
    <s v="Net Salary"/>
    <m/>
    <m/>
    <m/>
    <x v="35"/>
    <x v="0"/>
    <m/>
    <m/>
    <m/>
    <m/>
    <s v="Feb"/>
    <n v="2014"/>
    <s v="Monthly"/>
    <n v="0"/>
    <s v="No"/>
    <s v="None"/>
    <s v="Net Salary"/>
  </r>
  <r>
    <s v="First Tech - Checking (5544)"/>
    <d v="2014-02-12T00:00:00"/>
    <n v="-148.06"/>
    <s v="X"/>
    <s v="Puget Sound Energy"/>
    <s v="ACH Debit--PUGET SOUND ENER DIRECT DEBITING - PSE BILL  35000281"/>
    <s v="Bills &amp; Utilities:Utilities"/>
    <m/>
    <m/>
    <m/>
    <x v="34"/>
    <x v="18"/>
    <m/>
    <m/>
    <m/>
    <m/>
    <s v="Feb"/>
    <n v="2014"/>
    <s v="Monthly"/>
    <n v="0"/>
    <s v="No"/>
    <s v="None"/>
    <s v="Bills &amp; Utilities|Utilities"/>
  </r>
  <r>
    <s v="Koolikai Credit Card"/>
    <d v="2014-02-12T00:00:00"/>
    <n v="-146.74"/>
    <s v="X"/>
    <s v="Verizon Wireless"/>
    <s v="@CAT:@"/>
    <s v="Business Expenses (Koolikai):Cell Phone"/>
    <m/>
    <m/>
    <m/>
    <x v="36"/>
    <x v="22"/>
    <m/>
    <m/>
    <m/>
    <m/>
    <s v="Feb"/>
    <n v="2014"/>
    <s v="Monthly"/>
    <n v="0"/>
    <s v="No"/>
    <s v="None"/>
    <s v="Business Expenses (Koolikai)|Cell Phone"/>
  </r>
  <r>
    <s v="MasterCard (Capital One)"/>
    <d v="2014-02-12T00:00:00"/>
    <n v="50"/>
    <s v="X"/>
    <s v="Capital One (Cash Back)"/>
    <s v="2011: CREDIT-CASH BACK REWARD;@CAT:@"/>
    <s v="Other Inc"/>
    <m/>
    <m/>
    <m/>
    <x v="29"/>
    <x v="0"/>
    <m/>
    <m/>
    <m/>
    <m/>
    <s v="Feb"/>
    <n v="2014"/>
    <s v="Monthly"/>
    <n v="0"/>
    <s v="No"/>
    <s v="None"/>
    <s v="Other Inc"/>
  </r>
  <r>
    <s v="MasterCard (Capital One)"/>
    <d v="2014-02-12T00:00:00"/>
    <n v="-54"/>
    <s v="X"/>
    <s v="Liberty Mutual"/>
    <s v="Fire insurance for 7231"/>
    <s v="Business Expenses (Koolikai):Mortgage (Business)/7231"/>
    <m/>
    <m/>
    <n v="7231"/>
    <x v="36"/>
    <x v="30"/>
    <m/>
    <m/>
    <m/>
    <m/>
    <s v="Feb"/>
    <n v="2014"/>
    <s v="Monthly"/>
    <n v="0"/>
    <s v="No"/>
    <s v="None"/>
    <s v="Business Expenses (Koolikai)|Mortgage (Business)"/>
  </r>
  <r>
    <s v="MasterCard (Capital One)"/>
    <d v="2014-02-12T00:00:00"/>
    <n v="-0.27"/>
    <s v="X"/>
    <s v="Swedish Medical First"/>
    <s v="Zach prescription pain killer"/>
    <s v="Health &amp; Fitness:Pharmacy"/>
    <m/>
    <m/>
    <m/>
    <x v="18"/>
    <x v="38"/>
    <m/>
    <m/>
    <m/>
    <m/>
    <s v="Feb"/>
    <n v="2014"/>
    <s v="Irregular"/>
    <n v="0"/>
    <s v="No"/>
    <s v="None"/>
    <s v="Health &amp; Fitness|Pharmacy"/>
  </r>
  <r>
    <s v="MasterCard (Capital One)"/>
    <d v="2014-02-12T00:00:00"/>
    <n v="-3.14"/>
    <s v="X"/>
    <s v="Bartell Drug"/>
    <s v="Valentines"/>
    <s v="Gifts/From Receipt"/>
    <m/>
    <m/>
    <s v="From Receipt"/>
    <x v="28"/>
    <x v="0"/>
    <m/>
    <m/>
    <m/>
    <m/>
    <s v="Feb"/>
    <n v="2014"/>
    <s v="Monthly"/>
    <n v="0"/>
    <s v="No"/>
    <s v="None"/>
    <s v="Gifts"/>
  </r>
  <r>
    <s v="MasterCard (Capital One)"/>
    <d v="2014-02-12T00:00:00"/>
    <n v="-10"/>
    <s v="X"/>
    <s v="Republic Parking Seattle"/>
    <s v="Parking for Zach's surgery"/>
    <s v="Auto &amp; Transport:Parking"/>
    <m/>
    <m/>
    <m/>
    <x v="17"/>
    <x v="11"/>
    <m/>
    <m/>
    <m/>
    <m/>
    <s v="Feb"/>
    <n v="2014"/>
    <s v="Monthly"/>
    <n v="0"/>
    <s v="No"/>
    <s v="None"/>
    <s v="Auto &amp; Transport|Parking"/>
  </r>
  <r>
    <s v="MasterCard (Capital One)"/>
    <d v="2014-02-12T00:00:00"/>
    <n v="-33.909999999999997"/>
    <s v="X"/>
    <s v="Fred Meyer"/>
    <s v="@CAT:@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11T00:00:00"/>
    <n v="-17"/>
    <s v="X"/>
    <s v="Craft-e-family"/>
    <s v="2011: CRAFT E FAMILY LLC 317-996-2124 IN 46158 USA"/>
    <s v="Gifts"/>
    <m/>
    <m/>
    <m/>
    <x v="28"/>
    <x v="0"/>
    <m/>
    <m/>
    <m/>
    <m/>
    <s v="Feb"/>
    <n v="2014"/>
    <s v="Monthly"/>
    <n v="0"/>
    <s v="No"/>
    <s v="None"/>
    <s v="Gifts"/>
  </r>
  <r>
    <s v="MasterCard (Capital One)"/>
    <d v="2014-02-10T00:00:00"/>
    <n v="-138"/>
    <s v="X"/>
    <s v="United Airlines"/>
    <s v="#Sheryl's wedding#"/>
    <s v="Vacation:Transportation"/>
    <m/>
    <m/>
    <m/>
    <x v="23"/>
    <x v="26"/>
    <m/>
    <m/>
    <s v="Sheryl's wedding"/>
    <m/>
    <s v="Feb"/>
    <n v="2014"/>
    <s v="Irregular"/>
    <n v="0"/>
    <s v="No"/>
    <s v="None"/>
    <s v="Vacation|Transportation"/>
  </r>
  <r>
    <s v="MasterCard (Capital One)"/>
    <d v="2014-02-10T00:00:00"/>
    <n v="-335"/>
    <s v="X"/>
    <s v="Liberty Mutual"/>
    <s v="2011: LIBERTY MUTUAL 888-398-8924 MA 02116 USA"/>
    <s v="Bills &amp; Utilities:Insurance (Umbrella)"/>
    <m/>
    <m/>
    <m/>
    <x v="34"/>
    <x v="67"/>
    <m/>
    <m/>
    <m/>
    <m/>
    <s v="Feb"/>
    <n v="2014"/>
    <s v="Monthly"/>
    <n v="0"/>
    <s v="No"/>
    <s v="None"/>
    <s v="Bills &amp; Utilities|Insurance (Umbrella)"/>
  </r>
  <r>
    <s v="MasterCard (Capital One)"/>
    <d v="2014-02-10T00:00:00"/>
    <n v="-2259.7199999999998"/>
    <s v="X"/>
    <s v="Liberty Mutual"/>
    <s v="2011: LIBERTY MUTUAL 888-398-8924 MA 02116 USA"/>
    <s v="Auto &amp; Transport:Auto Insurance"/>
    <m/>
    <m/>
    <m/>
    <x v="17"/>
    <x v="68"/>
    <m/>
    <m/>
    <m/>
    <m/>
    <s v="Feb"/>
    <n v="2014"/>
    <s v="Annual"/>
    <n v="0"/>
    <s v="No"/>
    <s v="None"/>
    <s v="Auto &amp; Transport|Auto Insurance"/>
  </r>
  <r>
    <s v="Target Red Card"/>
    <d v="2014-02-10T00:00:00"/>
    <n v="-3.32"/>
    <s v="X"/>
    <s v="Target"/>
    <s v="Valentines for the boys;@BAL:$61.60@"/>
    <s v="Gifts/From Receipt"/>
    <n v="799999940411"/>
    <m/>
    <s v="From Receipt"/>
    <x v="28"/>
    <x v="0"/>
    <m/>
    <m/>
    <m/>
    <m/>
    <s v="Feb"/>
    <n v="2014"/>
    <s v="Monthly"/>
    <n v="0"/>
    <s v="No"/>
    <s v="None"/>
    <s v="Gifts"/>
  </r>
  <r>
    <s v="Schwab - Checking (9784)"/>
    <d v="2014-02-09T00:00:00"/>
    <n v="-40"/>
    <s v="X"/>
    <s v="Umpqua Bank Greenw"/>
    <m/>
    <s v="Kids:Babysitter"/>
    <m/>
    <s v="Split"/>
    <m/>
    <x v="27"/>
    <x v="13"/>
    <m/>
    <m/>
    <m/>
    <m/>
    <s v="Feb"/>
    <n v="2014"/>
    <s v="Monthly"/>
    <n v="0"/>
    <s v="No"/>
    <s v="None"/>
    <s v="Kids|Babysitter"/>
  </r>
  <r>
    <s v="Schwab - Checking (9784)"/>
    <d v="2014-02-09T00:00:00"/>
    <n v="-3.5"/>
    <s v="X"/>
    <s v="Umpqua Bank Greenw"/>
    <m/>
    <s v="Bank Fees &amp; Charges:ATM Fee"/>
    <m/>
    <s v="Split"/>
    <m/>
    <x v="32"/>
    <x v="17"/>
    <m/>
    <m/>
    <m/>
    <m/>
    <s v="Feb"/>
    <n v="2014"/>
    <s v="Monthly"/>
    <n v="0"/>
    <s v="No"/>
    <s v="None"/>
    <s v="Bank Fees &amp; Charges|ATM Fee"/>
  </r>
  <r>
    <s v="MasterCard (Capital One)"/>
    <d v="2014-02-09T00:00:00"/>
    <n v="-19.420000000000002"/>
    <s v="X"/>
    <s v="In The Red"/>
    <s v="2011: IN THE RED WINE BAR CA SEATTLE WA 98103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09T00:00:00"/>
    <n v="-25.81"/>
    <s v="X"/>
    <s v="Bed Bath &amp; Beyond"/>
    <s v="Shot glass, spatula, cake pan, etc."/>
    <s v="Home:Furnishings/From Receipt"/>
    <m/>
    <m/>
    <s v="From Receipt"/>
    <x v="14"/>
    <x v="2"/>
    <m/>
    <m/>
    <m/>
    <m/>
    <s v="Feb"/>
    <n v="2014"/>
    <s v="Monthly"/>
    <n v="0"/>
    <s v="No"/>
    <s v="None"/>
    <s v="Home|Furnishings"/>
  </r>
  <r>
    <s v="MasterCard (Capital One)"/>
    <d v="2014-02-09T00:00:00"/>
    <n v="-50"/>
    <s v="X"/>
    <s v="Good Go Replenishment"/>
    <s v="2011: GOOD2GO REPLENISHMENT 08669368246 WA 98105 USA"/>
    <s v="Auto &amp; Transport:Tolls"/>
    <m/>
    <m/>
    <m/>
    <x v="17"/>
    <x v="40"/>
    <m/>
    <m/>
    <m/>
    <m/>
    <s v="Feb"/>
    <n v="2014"/>
    <s v="Irregular"/>
    <n v="0"/>
    <s v="No"/>
    <s v="None"/>
    <s v="Auto &amp; Transport|Tolls"/>
  </r>
  <r>
    <s v="MasterCard (Capital One)"/>
    <d v="2014-02-08T00:00:00"/>
    <n v="-2.73"/>
    <s v="X"/>
    <s v="Seattle Park Seattle"/>
    <s v="2011: SEATTLE 684-PARK SEATTLE WA 98104 USA"/>
    <s v="Auto &amp; Transport:Parking"/>
    <m/>
    <m/>
    <m/>
    <x v="17"/>
    <x v="11"/>
    <m/>
    <m/>
    <m/>
    <m/>
    <s v="Feb"/>
    <n v="2014"/>
    <s v="Monthly"/>
    <n v="0"/>
    <s v="No"/>
    <s v="None"/>
    <s v="Auto &amp; Transport|Parking"/>
  </r>
  <r>
    <s v="MasterCard (Capital One)"/>
    <d v="2014-02-08T00:00:00"/>
    <n v="-19"/>
    <s v="X"/>
    <s v="Icon Grill"/>
    <s v="2011: ICON GRILL SEATTLE WA 98101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08T00:00:00"/>
    <n v="-34"/>
    <s v="X"/>
    <s v="Rudy's Barber Shop"/>
    <s v="2011: RUDYS BARBER SHOP - LA LOS ANGELES CA 90027 USA"/>
    <s v="Personal Care:Hair"/>
    <m/>
    <m/>
    <m/>
    <x v="31"/>
    <x v="16"/>
    <m/>
    <m/>
    <m/>
    <m/>
    <s v="Feb"/>
    <n v="2014"/>
    <s v="Monthly"/>
    <n v="0"/>
    <s v="No"/>
    <s v="None"/>
    <s v="Personal Care|Hair"/>
  </r>
  <r>
    <s v="MasterCard (Capital One)"/>
    <d v="2014-02-08T00:00:00"/>
    <n v="-55.17"/>
    <s v="X"/>
    <s v="Fred Meyer"/>
    <s v="2011: FRED-MEYER #0608 SEATTLE WA 98107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08T00:00:00"/>
    <n v="-69.48"/>
    <s v="X"/>
    <s v="Trader Joe's"/>
    <s v="2011: TRADER JOE'S #147 QPS SEATTLE WA 98107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MasterCard (Capital One)"/>
    <d v="2014-02-07T00:00:00"/>
    <n v="-9.8000000000000007"/>
    <s v="X"/>
    <s v="Usps"/>
    <s v="Greenwood station"/>
    <s v="Business Expenses (Koolikai):Postage and Delivery (Business)/From Receipt"/>
    <m/>
    <m/>
    <s v="From Receipt"/>
    <x v="36"/>
    <x v="69"/>
    <m/>
    <m/>
    <m/>
    <m/>
    <s v="Feb"/>
    <n v="2014"/>
    <s v="Annual"/>
    <n v="0"/>
    <s v="No"/>
    <s v="None"/>
    <s v="Business Expenses (Koolikai)|Postage and Delivery (Business)"/>
  </r>
  <r>
    <s v="MasterCard (Capital One)"/>
    <d v="2014-02-07T00:00:00"/>
    <n v="-31.6"/>
    <s v="X"/>
    <s v="Top Ten Toys"/>
    <s v="Brady and Jack presents"/>
    <s v="Gifts/From Receipt"/>
    <m/>
    <m/>
    <s v="From Receipt"/>
    <x v="28"/>
    <x v="0"/>
    <m/>
    <m/>
    <m/>
    <m/>
    <s v="Feb"/>
    <n v="2014"/>
    <s v="Monthly"/>
    <n v="0"/>
    <s v="No"/>
    <s v="None"/>
    <s v="Gifts"/>
  </r>
  <r>
    <s v="First Tech - Checking (5544)"/>
    <d v="2014-02-06T00:00:00"/>
    <n v="-491.36"/>
    <s v="X"/>
    <s v="Target (Autopay)"/>
    <m/>
    <s v="[Target Red Card]"/>
    <m/>
    <m/>
    <m/>
    <x v="12"/>
    <x v="0"/>
    <m/>
    <m/>
    <m/>
    <m/>
    <s v="Feb"/>
    <n v="2014"/>
    <s v="Account"/>
    <n v="0"/>
    <s v="No"/>
    <s v="None"/>
    <s v="[Target Red Card]"/>
  </r>
  <r>
    <s v="MasterCard (Capital One)"/>
    <d v="2014-02-06T00:00:00"/>
    <n v="-4.92"/>
    <s v="X"/>
    <s v="Fresh Table Met"/>
    <s v="2011: FRESH TABLE-MET PARK SEATTLE WA 98101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Target Red Card"/>
    <d v="2014-02-06T00:00:00"/>
    <n v="491.36"/>
    <s v="X"/>
    <s v="Target (Autopay)"/>
    <m/>
    <s v="[First Tech - Checking (5544)]"/>
    <m/>
    <m/>
    <m/>
    <x v="21"/>
    <x v="0"/>
    <m/>
    <m/>
    <m/>
    <m/>
    <s v="Feb"/>
    <n v="2014"/>
    <s v="Account"/>
    <n v="0"/>
    <s v="No"/>
    <s v="None"/>
    <s v="[First Tech - Checking (5544)]"/>
  </r>
  <r>
    <s v="First Tech - Checking (5544)"/>
    <d v="2014-02-05T00:00:00"/>
    <n v="-3748.69"/>
    <s v="X"/>
    <s v="Wells Fargo Home Mortgage"/>
    <s v="ACH Debit--WF HOME MTG ACH - AUTO PAY"/>
    <s v="Home:Mortgage"/>
    <m/>
    <m/>
    <m/>
    <x v="14"/>
    <x v="27"/>
    <m/>
    <m/>
    <m/>
    <m/>
    <s v="Feb"/>
    <n v="2014"/>
    <s v="Monthly"/>
    <n v="0"/>
    <s v="No"/>
    <s v="None"/>
    <s v="Home|Mortgage"/>
  </r>
  <r>
    <s v="Koolikai - Checking XX2129"/>
    <d v="2014-02-05T00:00:00"/>
    <n v="100"/>
    <s v="X"/>
    <s v="Aaron Ausland"/>
    <s v="7231 payment toward $688.66"/>
    <s v="Business Expenses (Koolikai):Utilities (Business)/7231"/>
    <m/>
    <s v="Split"/>
    <n v="7231"/>
    <x v="36"/>
    <x v="63"/>
    <m/>
    <m/>
    <m/>
    <m/>
    <s v="Feb"/>
    <n v="2014"/>
    <s v="Monthly"/>
    <n v="0"/>
    <s v="No"/>
    <s v="None"/>
    <s v="Business Expenses (Koolikai)|Utilities (Business)"/>
  </r>
  <r>
    <s v="MasterCard (Capital One)"/>
    <d v="2014-02-05T00:00:00"/>
    <n v="-3.25"/>
    <s v="X"/>
    <s v="Ken's Market"/>
    <s v="2011: KEN'S MARKET #75-116 SEATTLE WA 98103 USA"/>
    <s v="Food &amp; Dining:Groceries"/>
    <m/>
    <m/>
    <m/>
    <x v="15"/>
    <x v="3"/>
    <m/>
    <m/>
    <m/>
    <m/>
    <s v="Feb"/>
    <n v="2014"/>
    <s v="Monthly"/>
    <n v="0"/>
    <s v="No"/>
    <s v="None"/>
    <s v="Food &amp; Dining|Groceries"/>
  </r>
  <r>
    <s v="First Tech - Checking (5544)"/>
    <d v="2014-02-04T00:00:00"/>
    <n v="-500"/>
    <s v="X"/>
    <s v="American Funds 0001002:  Amcap-"/>
    <s v="ACH Debit-- AMERICAN FUNDS 0001002:  AMCAP-529A - INVESTMENT"/>
    <s v="Kids:American Funds 529A"/>
    <m/>
    <m/>
    <m/>
    <x v="27"/>
    <x v="29"/>
    <m/>
    <m/>
    <m/>
    <m/>
    <s v="Feb"/>
    <n v="2014"/>
    <s v="Monthly"/>
    <n v="0"/>
    <s v="No"/>
    <s v="None"/>
    <s v="Kids|American Funds 529A"/>
  </r>
  <r>
    <s v="Schwab - Checking (9784)"/>
    <d v="2014-02-04T00:00:00"/>
    <n v="-1.25"/>
    <s v="X"/>
    <s v="Alfi's Food &amp; Deli"/>
    <m/>
    <s v="Bank Fees &amp; Charges:ATM Fee/From Receipt"/>
    <m/>
    <s v="Split"/>
    <s v="From Receipt"/>
    <x v="32"/>
    <x v="17"/>
    <m/>
    <m/>
    <m/>
    <m/>
    <s v="Feb"/>
    <n v="2014"/>
    <s v="Monthly"/>
    <n v="0"/>
    <s v="No"/>
    <s v="None"/>
    <s v="Bank Fees &amp; Charges|ATM Fee"/>
  </r>
  <r>
    <s v="Schwab - Checking (9784)"/>
    <d v="2014-02-04T00:00:00"/>
    <n v="-5"/>
    <s v="X"/>
    <s v="Alfi's Food &amp; Deli"/>
    <s v="Soup kitchen"/>
    <s v="Charity:Charity (Cash)/From Receipt"/>
    <m/>
    <s v="Split"/>
    <s v="From Receipt"/>
    <x v="22"/>
    <x v="7"/>
    <m/>
    <m/>
    <m/>
    <m/>
    <s v="Feb"/>
    <n v="2014"/>
    <s v="Annual"/>
    <n v="0"/>
    <s v="No"/>
    <s v="None"/>
    <s v="Charity|Charity (Cash)"/>
  </r>
  <r>
    <s v="Schwab - Checking (9784)"/>
    <d v="2014-02-04T00:00:00"/>
    <n v="-15"/>
    <s v="X"/>
    <s v="Alfi's Food &amp; Deli"/>
    <m/>
    <s v="Food &amp; Dining:Restaurants/From Receipt"/>
    <m/>
    <s v="Split"/>
    <s v="From Receipt"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04T00:00:00"/>
    <n v="25"/>
    <s v="X"/>
    <s v="Capital One (Cash Back)"/>
    <s v="2011: CREDIT-CASH BACK REWARD"/>
    <s v="Other Inc"/>
    <m/>
    <m/>
    <m/>
    <x v="29"/>
    <x v="0"/>
    <m/>
    <m/>
    <m/>
    <m/>
    <s v="Feb"/>
    <n v="2014"/>
    <s v="Monthly"/>
    <n v="0"/>
    <s v="No"/>
    <s v="None"/>
    <s v="Other Inc"/>
  </r>
  <r>
    <s v="MasterCard (Capital One)"/>
    <d v="2014-02-04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s v="Feb"/>
    <n v="2014"/>
    <s v="Monthly"/>
    <n v="0"/>
    <s v="No"/>
    <s v="None"/>
    <s v="Auto &amp; Transport|Parking"/>
  </r>
  <r>
    <s v="MasterCard (Capital One)"/>
    <d v="2014-02-04T00:00:00"/>
    <n v="-505.28"/>
    <s v="X"/>
    <s v="Liberty Mutual"/>
    <s v="2011: LIBERTY MUTUAL 888-398-8924 MA 02116 USA"/>
    <s v="Auto &amp; Transport:Auto Insurance"/>
    <m/>
    <m/>
    <m/>
    <x v="17"/>
    <x v="68"/>
    <m/>
    <m/>
    <m/>
    <m/>
    <s v="Feb"/>
    <n v="2014"/>
    <s v="Annual"/>
    <n v="0"/>
    <s v="No"/>
    <s v="None"/>
    <s v="Auto &amp; Transport|Auto Insurance"/>
  </r>
  <r>
    <s v="REI Mastercard (xx1787)"/>
    <d v="2014-02-04T00:00:00"/>
    <n v="-126"/>
    <s v="X"/>
    <s v="Recreation.Gov"/>
    <s v="#Kalaloch 2014#"/>
    <s v="Vacation:Lodging"/>
    <m/>
    <m/>
    <m/>
    <x v="23"/>
    <x v="9"/>
    <m/>
    <m/>
    <s v="Kalaloch 2014"/>
    <m/>
    <s v="Feb"/>
    <n v="2014"/>
    <s v="Irregular"/>
    <n v="0"/>
    <s v="No"/>
    <s v="None"/>
    <s v="Vacation|Lodging"/>
  </r>
  <r>
    <s v="First Tech - Checking (5544)"/>
    <d v="2014-02-03T00:00:00"/>
    <n v="-1976"/>
    <s v="X"/>
    <s v="Phinney Ridge CDC"/>
    <s v="ACH Debit--PHINNEY RIDGE LU 504759859 - CONTRIBUTN"/>
    <s v="Kids:Daycare"/>
    <m/>
    <m/>
    <m/>
    <x v="27"/>
    <x v="35"/>
    <m/>
    <m/>
    <m/>
    <m/>
    <s v="Feb"/>
    <n v="2014"/>
    <s v="Monthly"/>
    <n v="0"/>
    <s v="No"/>
    <s v="None"/>
    <s v="Kids|Daycare"/>
  </r>
  <r>
    <s v="First Tech - Checking (5544)"/>
    <d v="2014-02-03T00:00:00"/>
    <n v="-2033.91"/>
    <s v="X"/>
    <s v="NYCB Mortgage Company"/>
    <s v="ACH Debit--NYCB MORTGAGE CO 678 - NYCB MORTG"/>
    <s v="Business Expenses (Koolikai):Mortgage (Business)/9602"/>
    <m/>
    <m/>
    <n v="9602"/>
    <x v="36"/>
    <x v="30"/>
    <m/>
    <m/>
    <m/>
    <m/>
    <s v="Feb"/>
    <n v="2014"/>
    <s v="Monthly"/>
    <n v="0"/>
    <s v="No"/>
    <s v="None"/>
    <s v="Business Expenses (Koolikai)|Mortgage (Business)"/>
  </r>
  <r>
    <s v="First Tech - Checking (5544)"/>
    <d v="2014-02-03T00:00:00"/>
    <n v="-2942.27"/>
    <s v="X"/>
    <s v="Capital One (Autopay)"/>
    <s v="ACH Debit--CAPITAL ONE  - CRCARDPMT"/>
    <s v="[MasterCard (Capital One)]"/>
    <m/>
    <m/>
    <m/>
    <x v="38"/>
    <x v="0"/>
    <m/>
    <m/>
    <m/>
    <m/>
    <s v="Feb"/>
    <n v="2014"/>
    <s v="Account"/>
    <n v="0"/>
    <s v="No"/>
    <s v="None"/>
    <s v="[MasterCard (Capital One)]"/>
  </r>
  <r>
    <s v="First Tech - Checking (5544)"/>
    <d v="2014-02-03T00:00:00"/>
    <n v="-3517.65"/>
    <s v="X"/>
    <s v="NYCB Mortgage Company"/>
    <s v="ACH Debit--NYCB MORTGAGE CO 678 - NYCB MORTG"/>
    <s v="Business Expenses (Koolikai):Mortgage (Business)/7231"/>
    <m/>
    <m/>
    <n v="7231"/>
    <x v="36"/>
    <x v="30"/>
    <m/>
    <m/>
    <m/>
    <m/>
    <s v="Feb"/>
    <n v="2014"/>
    <s v="Monthly"/>
    <n v="0"/>
    <s v="No"/>
    <s v="None"/>
    <s v="Business Expenses (Koolikai)|Mortgage (Business)"/>
  </r>
  <r>
    <s v="First Tech - Checking (5544)"/>
    <d v="2014-02-03T00:00:00"/>
    <n v="-147.22"/>
    <m/>
    <s v="Rei (Autopayment)"/>
    <m/>
    <s v="[REI Mastercard (xx1787)]"/>
    <m/>
    <m/>
    <m/>
    <x v="11"/>
    <x v="0"/>
    <m/>
    <m/>
    <m/>
    <m/>
    <s v="Feb"/>
    <n v="2014"/>
    <e v="#N/A"/>
    <e v="#N/A"/>
    <e v="#N/A"/>
    <e v="#N/A"/>
    <s v="[REI Mastercard (xx1787)]"/>
  </r>
  <r>
    <s v="Discover Card"/>
    <d v="2014-02-03T00:00:00"/>
    <n v="-7.65"/>
    <s v="X"/>
    <s v="Windows"/>
    <s v="Super Market Madness"/>
    <s v="Shopping:Electronics &amp; Software"/>
    <m/>
    <m/>
    <m/>
    <x v="13"/>
    <x v="20"/>
    <m/>
    <m/>
    <m/>
    <m/>
    <s v="Feb"/>
    <n v="2014"/>
    <s v="Annual"/>
    <n v="0"/>
    <s v="No"/>
    <s v="None"/>
    <s v="Shopping|Electronics &amp; Software"/>
  </r>
  <r>
    <s v="MasterCard (Capital One)"/>
    <d v="2014-02-03T00:00:00"/>
    <n v="2942.27"/>
    <s v="X"/>
    <s v="Capital One (Autopay)"/>
    <s v="@BAL:$4025.58@@CAT:@"/>
    <s v="[First Tech - Checking (5544)]"/>
    <m/>
    <m/>
    <m/>
    <x v="21"/>
    <x v="0"/>
    <m/>
    <m/>
    <m/>
    <m/>
    <s v="Feb"/>
    <n v="2014"/>
    <s v="Account"/>
    <n v="0"/>
    <s v="No"/>
    <s v="None"/>
    <s v="[First Tech - Checking (5544)]"/>
  </r>
  <r>
    <s v="MasterCard (Capital One)"/>
    <d v="2014-02-03T00:00:00"/>
    <n v="-38.229999999999997"/>
    <s v="X"/>
    <s v="Safeway"/>
    <s v="2011: SAFEWAY STORE 00018457 SEATTLE WA 98103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REI Mastercard (xx1787)"/>
    <d v="2014-02-03T00:00:00"/>
    <n v="147.22"/>
    <s v="X"/>
    <s v="Rei (Autopayment)"/>
    <m/>
    <s v="[First Tech - Checking (5544)]"/>
    <s v="TXFR"/>
    <m/>
    <m/>
    <x v="21"/>
    <x v="0"/>
    <m/>
    <m/>
    <m/>
    <m/>
    <s v="Feb"/>
    <n v="2014"/>
    <s v="Account"/>
    <n v="0"/>
    <s v="No"/>
    <s v="None"/>
    <s v="[First Tech - Checking (5544)]"/>
  </r>
  <r>
    <s v="MasterCard (Capital One)"/>
    <d v="2014-02-02T00:00:00"/>
    <n v="-22.02"/>
    <s v="X"/>
    <s v="Comcast"/>
    <s v="2011: COMCAST CABLE COMM 800-COMCAST WA 98103 USA"/>
    <s v="Bills &amp; Utilities:Television"/>
    <m/>
    <s v="Split"/>
    <m/>
    <x v="34"/>
    <x v="32"/>
    <m/>
    <m/>
    <m/>
    <m/>
    <s v="Feb"/>
    <n v="2014"/>
    <s v="Monthly"/>
    <n v="0"/>
    <s v="No"/>
    <s v="None"/>
    <s v="Bills &amp; Utilities|Television"/>
  </r>
  <r>
    <s v="MasterCard (Capital One)"/>
    <d v="2014-02-02T00:00:00"/>
    <n v="-64.069999999999993"/>
    <s v="X"/>
    <s v="Comcast"/>
    <m/>
    <s v="Business Expenses (Koolikai):Internet"/>
    <m/>
    <s v="Split"/>
    <m/>
    <x v="36"/>
    <x v="33"/>
    <m/>
    <m/>
    <m/>
    <m/>
    <s v="Feb"/>
    <n v="2014"/>
    <s v="Monthly"/>
    <n v="0"/>
    <s v="No"/>
    <s v="None"/>
    <s v="Business Expenses (Koolikai)|Internet"/>
  </r>
  <r>
    <s v="MasterCard (Capital One)"/>
    <d v="2014-02-02T00:00:00"/>
    <n v="-44.07"/>
    <s v="X"/>
    <s v="Comcast"/>
    <m/>
    <s v="Bills &amp; Utilities:Home Phone"/>
    <m/>
    <s v="Split"/>
    <m/>
    <x v="34"/>
    <x v="34"/>
    <m/>
    <m/>
    <m/>
    <m/>
    <s v="Feb"/>
    <n v="2014"/>
    <s v="Monthly"/>
    <n v="0"/>
    <s v="No"/>
    <s v="None"/>
    <s v="Bills &amp; Utilities|Home Phone"/>
  </r>
  <r>
    <s v="MasterCard (Capital One)"/>
    <d v="2014-02-02T00:00:00"/>
    <n v="-15.49"/>
    <s v="X"/>
    <s v="Party @ Display &amp; Costume"/>
    <s v="2011: PARTY @ DISPLAY &amp; C SEATTLE WA 98125 USA"/>
    <s v="Parties/From Receipt"/>
    <m/>
    <m/>
    <s v="From Receipt"/>
    <x v="16"/>
    <x v="0"/>
    <m/>
    <m/>
    <m/>
    <m/>
    <s v="Feb"/>
    <n v="2014"/>
    <s v="Annual"/>
    <n v="0"/>
    <s v="No"/>
    <s v="None"/>
    <s v="Parties"/>
  </r>
  <r>
    <s v="MasterCard (Capital One)"/>
    <d v="2014-02-02T00:00:00"/>
    <n v="-31.04"/>
    <s v="X"/>
    <s v="Tinyprints"/>
    <s v="2011: TINYPRINTS.COM 08773009256 CA 94085 USA"/>
    <s v="Parties"/>
    <m/>
    <m/>
    <m/>
    <x v="16"/>
    <x v="0"/>
    <m/>
    <m/>
    <m/>
    <m/>
    <s v="Feb"/>
    <n v="2014"/>
    <s v="Annual"/>
    <n v="0"/>
    <s v="No"/>
    <s v="None"/>
    <s v="Parties"/>
  </r>
  <r>
    <s v="Target Red Card"/>
    <d v="2014-02-02T00:00:00"/>
    <n v="-58.28"/>
    <s v="X"/>
    <s v="Target"/>
    <s v="Piano, guitar, and other misc toys"/>
    <s v="Kids:Toys/From Receipt"/>
    <n v="799999940331"/>
    <m/>
    <s v="From Receipt"/>
    <x v="27"/>
    <x v="14"/>
    <m/>
    <m/>
    <m/>
    <m/>
    <s v="Feb"/>
    <n v="2014"/>
    <s v="Monthly"/>
    <n v="0"/>
    <s v="No"/>
    <s v="None"/>
    <s v="Kids|Toys"/>
  </r>
  <r>
    <s v="Koolikai - Checking XX2129"/>
    <d v="2014-02-01T00:00:00"/>
    <n v="2195"/>
    <s v="X"/>
    <s v="Valerie Shaibley"/>
    <s v="Deposit--Shared Branch Mobile Deposit"/>
    <s v="Business Income (Koolikai):Rent/9602"/>
    <m/>
    <m/>
    <n v="9602"/>
    <x v="37"/>
    <x v="25"/>
    <m/>
    <m/>
    <m/>
    <m/>
    <s v="Feb"/>
    <n v="2014"/>
    <s v="Monthly"/>
    <n v="0"/>
    <s v="No"/>
    <s v="None"/>
    <s v="Business Income (Koolikai)|Rent"/>
  </r>
  <r>
    <s v="Koolikai - Checking XX2129"/>
    <d v="2014-02-01T00:00:00"/>
    <n v="2295"/>
    <s v="X"/>
    <s v="Aaron Ausland"/>
    <s v="@CAT:@"/>
    <s v="Business Income (Koolikai):Rent/7231"/>
    <m/>
    <s v="Split"/>
    <n v="7231"/>
    <x v="37"/>
    <x v="25"/>
    <m/>
    <m/>
    <m/>
    <m/>
    <s v="Feb"/>
    <n v="2014"/>
    <s v="Monthly"/>
    <n v="0"/>
    <s v="No"/>
    <s v="None"/>
    <s v="Business Income (Koolikai)|Rent"/>
  </r>
  <r>
    <s v="MasterCard (Capital One)"/>
    <d v="2014-02-01T00:00:00"/>
    <n v="-8.14"/>
    <s v="X"/>
    <s v="Wendy's"/>
    <s v="2011: WENDYS-SWL #0415 BELLINGHAM WA 98226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01T00:00:00"/>
    <n v="-12.04"/>
    <s v="X"/>
    <s v="Playdate Cafe"/>
    <s v="2011: SQ *PLAYDATE CAFE Lynnwood WA 98036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01T00:00:00"/>
    <n v="-14.24"/>
    <s v="X"/>
    <s v="Playdate Cafe"/>
    <s v="2011: SQ *PLAYDATE CAFE Lynnwood WA 98036 USA"/>
    <s v="Kids:Kids Activities"/>
    <m/>
    <m/>
    <m/>
    <x v="27"/>
    <x v="12"/>
    <m/>
    <m/>
    <m/>
    <m/>
    <s v="Feb"/>
    <n v="2014"/>
    <s v="Monthly"/>
    <n v="0"/>
    <s v="No"/>
    <s v="None"/>
    <s v="Kids|Kids Activities"/>
  </r>
  <r>
    <s v="MasterCard (Capital One)"/>
    <d v="2014-02-01T00:00:00"/>
    <n v="-34.17"/>
    <s v="X"/>
    <s v="Busara Thai Cuisine"/>
    <s v="2011: BUSARA THAI CUISINE BELLINGHAM WA 98225 USA"/>
    <s v="Food &amp; Dining:Restaurants"/>
    <m/>
    <m/>
    <m/>
    <x v="15"/>
    <x v="15"/>
    <m/>
    <m/>
    <m/>
    <m/>
    <s v="Feb"/>
    <n v="2014"/>
    <s v="Monthly"/>
    <n v="0"/>
    <s v="No"/>
    <s v="None"/>
    <s v="Food &amp; Dining|Restaurants"/>
  </r>
  <r>
    <s v="MasterCard (Capital One)"/>
    <d v="2014-02-01T00:00:00"/>
    <n v="-108.66"/>
    <s v="X"/>
    <s v="Lowe's"/>
    <s v="Garbage disposal for Mom"/>
    <s v="Gifts/From Receipt"/>
    <m/>
    <m/>
    <s v="From Receipt"/>
    <x v="28"/>
    <x v="0"/>
    <m/>
    <m/>
    <m/>
    <m/>
    <s v="Feb"/>
    <n v="2014"/>
    <s v="Monthly"/>
    <n v="0"/>
    <s v="No"/>
    <s v="None"/>
    <s v="Gifts"/>
  </r>
  <r>
    <s v="MasterCard (Capital One)"/>
    <d v="2014-02-01T00:00:00"/>
    <n v="-112.51"/>
    <s v="X"/>
    <s v="Fred Meyer"/>
    <s v="2011: FRED-MEYER #0608 SEATTLE WA 98107 USA"/>
    <s v="Food &amp; Dining:Groceries/From Receipt"/>
    <m/>
    <m/>
    <s v="From Receipt"/>
    <x v="15"/>
    <x v="3"/>
    <m/>
    <m/>
    <m/>
    <m/>
    <s v="Feb"/>
    <n v="2014"/>
    <s v="Monthly"/>
    <n v="0"/>
    <s v="No"/>
    <s v="None"/>
    <s v="Food &amp; Dining|Groceries"/>
  </r>
  <r>
    <s v="Capital One - Investment (6759)"/>
    <d v="2014-01-31T00:00:00"/>
    <n v="19.989999999999998"/>
    <s v="X"/>
    <s v="Capital One (Interest Income)"/>
    <s v="@BAL:47079.27@;@CAT:@"/>
    <s v="Interest Income"/>
    <s v="INT"/>
    <m/>
    <m/>
    <x v="40"/>
    <x v="0"/>
    <m/>
    <m/>
    <m/>
    <m/>
    <s v="Jan"/>
    <n v="2014"/>
    <s v="Monthly"/>
    <n v="0"/>
    <s v="No"/>
    <s v="None"/>
    <s v="Interest Income"/>
  </r>
  <r>
    <s v="Capital One - Long Term Emergency (1201)"/>
    <d v="2014-01-31T00:00:00"/>
    <n v="85.39"/>
    <s v="X"/>
    <s v="Capital One (Interest Income)"/>
    <s v="@BAL:201126.22@;@CAT:@"/>
    <s v="Interest Income"/>
    <s v="INT"/>
    <m/>
    <m/>
    <x v="40"/>
    <x v="0"/>
    <m/>
    <m/>
    <m/>
    <m/>
    <s v="Jan"/>
    <n v="2014"/>
    <s v="Monthly"/>
    <n v="0"/>
    <s v="No"/>
    <s v="None"/>
    <s v="Interest Income"/>
  </r>
  <r>
    <s v="Capital One - Secondary Savings (3126)"/>
    <d v="2014-01-31T00:00:00"/>
    <n v="44.74"/>
    <s v="X"/>
    <s v="Capital One (Interest Income)"/>
    <s v="@BAL:117088.39@;@CAT:@"/>
    <s v="Interest Income"/>
    <s v="INT"/>
    <m/>
    <m/>
    <x v="40"/>
    <x v="0"/>
    <m/>
    <m/>
    <m/>
    <m/>
    <s v="Jan"/>
    <n v="2014"/>
    <s v="Monthly"/>
    <n v="0"/>
    <s v="No"/>
    <s v="None"/>
    <s v="Interest Income"/>
  </r>
  <r>
    <s v="Capital One - Vacation (4959)"/>
    <d v="2014-01-31T00:00:00"/>
    <n v="2.13"/>
    <s v="X"/>
    <s v="Capital One (Interest Income)"/>
    <s v="@BAL:5008.48@;@CAT:@"/>
    <s v="Interest Income"/>
    <s v="INT"/>
    <m/>
    <m/>
    <x v="40"/>
    <x v="0"/>
    <m/>
    <m/>
    <m/>
    <m/>
    <s v="Jan"/>
    <n v="2014"/>
    <s v="Monthly"/>
    <n v="0"/>
    <s v="No"/>
    <s v="None"/>
    <s v="Interest Income"/>
  </r>
  <r>
    <s v="First Tech - Checking (5544)"/>
    <d v="2014-01-31T00:00:00"/>
    <n v="3052.73"/>
    <s v="X"/>
    <s v="Microsoft (Paystub)"/>
    <s v="ACH Deposit--MICROSOFT  - EDIPAYMENT"/>
    <s v="Net Salary"/>
    <m/>
    <m/>
    <m/>
    <x v="35"/>
    <x v="0"/>
    <m/>
    <m/>
    <m/>
    <m/>
    <s v="Jan"/>
    <n v="2014"/>
    <s v="Monthly"/>
    <n v="0"/>
    <s v="No"/>
    <s v="None"/>
    <s v="Net Salary"/>
  </r>
  <r>
    <s v="First Tech - Checking (5544)"/>
    <d v="2014-01-31T00:00:00"/>
    <n v="6195.6"/>
    <s v="X"/>
    <s v="CRAB (Paystub)"/>
    <s v="ACH Deposit--Cancer Research  - Payroll"/>
    <s v="Net Salary"/>
    <m/>
    <m/>
    <m/>
    <x v="35"/>
    <x v="0"/>
    <m/>
    <m/>
    <m/>
    <m/>
    <s v="Jan"/>
    <n v="2014"/>
    <s v="Monthly"/>
    <n v="0"/>
    <s v="No"/>
    <s v="None"/>
    <s v="Net Salary"/>
  </r>
  <r>
    <s v="Koolikai - Sec Dep XX1200"/>
    <d v="2014-01-31T00:00:00"/>
    <n v="0.19"/>
    <s v="X"/>
    <s v="First Tech (Dividend)"/>
    <s v="@BAL:$4500.75@;@CAT:@"/>
    <s v="Interest Income"/>
    <m/>
    <m/>
    <m/>
    <x v="40"/>
    <x v="0"/>
    <m/>
    <m/>
    <m/>
    <m/>
    <s v="Jan"/>
    <n v="2014"/>
    <s v="Monthly"/>
    <n v="0"/>
    <s v="No"/>
    <s v="None"/>
    <s v="Interest Income"/>
  </r>
  <r>
    <s v="Schwab - Checking (9784)"/>
    <d v="2014-01-31T00:00:00"/>
    <n v="0.14000000000000001"/>
    <s v="X"/>
    <s v="Interest Paid"/>
    <m/>
    <s v="Interest Income"/>
    <m/>
    <m/>
    <m/>
    <x v="40"/>
    <x v="0"/>
    <m/>
    <m/>
    <m/>
    <m/>
    <s v="Jan"/>
    <n v="2014"/>
    <s v="Monthly"/>
    <n v="0"/>
    <s v="No"/>
    <s v="None"/>
    <s v="Interest Income"/>
  </r>
  <r>
    <s v="Schwab - Checking (9784)"/>
    <d v="2014-01-31T00:00:00"/>
    <n v="5.5"/>
    <s v="X"/>
    <s v="ATM Fee Refund"/>
    <m/>
    <s v="Bank Fees &amp; Charges:ATM Fee"/>
    <m/>
    <m/>
    <m/>
    <x v="32"/>
    <x v="17"/>
    <m/>
    <m/>
    <m/>
    <m/>
    <s v="Jan"/>
    <n v="2014"/>
    <s v="Monthly"/>
    <n v="0"/>
    <s v="No"/>
    <s v="None"/>
    <s v="Bank Fees &amp; Charges|ATM Fee"/>
  </r>
  <r>
    <s v="First Tech - Checking (5544)"/>
    <d v="2014-01-30T00:00:00"/>
    <n v="-115"/>
    <s v="X"/>
    <s v="Cleaning Authority, The"/>
    <s v="ACH Debit--THE CLEANING AUT  - ONLINE PMT"/>
    <s v="Home:Home Services"/>
    <m/>
    <m/>
    <m/>
    <x v="14"/>
    <x v="46"/>
    <m/>
    <m/>
    <m/>
    <m/>
    <s v="Jan"/>
    <n v="2014"/>
    <s v="Monthly"/>
    <n v="0"/>
    <s v="No"/>
    <s v="None"/>
    <s v="Home|Home Services"/>
  </r>
  <r>
    <s v="MasterCard (Capital One)"/>
    <d v="2014-01-30T00:00:00"/>
    <n v="-52.56"/>
    <s v="X"/>
    <s v="Fred Meyer"/>
    <s v="Seahawks sweatshirt"/>
    <s v="Shopping:Clothing/From Receipt"/>
    <m/>
    <m/>
    <s v="From Receipt"/>
    <x v="13"/>
    <x v="1"/>
    <m/>
    <m/>
    <m/>
    <m/>
    <s v="Jan"/>
    <n v="2014"/>
    <s v="Annual"/>
    <n v="0"/>
    <s v="No"/>
    <s v="None"/>
    <s v="Shopping|Clothing"/>
  </r>
  <r>
    <s v="MasterCard (Capital One)"/>
    <d v="2014-01-29T00:00:00"/>
    <n v="-109.5"/>
    <s v="X"/>
    <s v="Playdate Cafe"/>
    <s v="Birthday party for Josh and Zach"/>
    <s v="Parties"/>
    <m/>
    <m/>
    <m/>
    <x v="16"/>
    <x v="0"/>
    <m/>
    <m/>
    <m/>
    <m/>
    <s v="Jan"/>
    <n v="2014"/>
    <s v="Annual"/>
    <n v="0"/>
    <s v="No"/>
    <s v="None"/>
    <s v="Parties"/>
  </r>
  <r>
    <s v="Schwab - Checking (9784)"/>
    <d v="2014-01-28T00:00:00"/>
    <n v="-40"/>
    <s v="X"/>
    <s v="Ken's Market (ATM)"/>
    <s v="Babbysitter?"/>
    <s v="Kids:Babysitter/From Receipt"/>
    <m/>
    <s v="Split"/>
    <s v="From Receipt"/>
    <x v="27"/>
    <x v="13"/>
    <m/>
    <m/>
    <m/>
    <m/>
    <s v="Jan"/>
    <n v="2014"/>
    <s v="Monthly"/>
    <n v="0"/>
    <s v="No"/>
    <s v="None"/>
    <s v="Kids|Babysitter"/>
  </r>
  <r>
    <s v="Schwab - Checking (9784)"/>
    <d v="2014-01-28T00:00:00"/>
    <n v="-2"/>
    <s v="X"/>
    <s v="Ken's Market (ATM)"/>
    <m/>
    <s v="Bank Fees &amp; Charges:ATM Fee/From Receipt"/>
    <m/>
    <s v="Split"/>
    <s v="From Receipt"/>
    <x v="32"/>
    <x v="17"/>
    <m/>
    <m/>
    <m/>
    <m/>
    <s v="Jan"/>
    <n v="2014"/>
    <s v="Monthly"/>
    <n v="0"/>
    <s v="No"/>
    <s v="None"/>
    <s v="Bank Fees &amp; Charges|ATM Fee"/>
  </r>
  <r>
    <s v="MasterCard (Capital One)"/>
    <d v="2014-01-28T00:00:00"/>
    <n v="-17.32"/>
    <s v="X"/>
    <s v="Subway"/>
    <s v="2011: SUBWAY 03042314 SEATTLE WA 98133 USA"/>
    <s v="Food &amp; Dining:Restaurants/From Receipt"/>
    <m/>
    <m/>
    <s v="From Receipt"/>
    <x v="15"/>
    <x v="15"/>
    <m/>
    <m/>
    <m/>
    <m/>
    <s v="Jan"/>
    <n v="2014"/>
    <s v="Monthly"/>
    <n v="0"/>
    <s v="No"/>
    <s v="None"/>
    <s v="Food &amp; Dining|Restaurants"/>
  </r>
  <r>
    <s v="First Tech - Checking (5544)"/>
    <d v="2014-01-27T00:00:00"/>
    <n v="-30"/>
    <s v="X"/>
    <s v="Chase  - Autopay"/>
    <s v="ConsumerReports.org (via 1151 account)"/>
    <s v="Subscriptions &amp; Dues"/>
    <m/>
    <m/>
    <m/>
    <x v="33"/>
    <x v="0"/>
    <m/>
    <m/>
    <m/>
    <m/>
    <s v="Jan"/>
    <n v="2014"/>
    <s v="Annual"/>
    <n v="0"/>
    <s v="No"/>
    <s v="None"/>
    <s v="Subscriptions &amp; Dues"/>
  </r>
  <r>
    <s v="MasterCard (Capital One)"/>
    <d v="2014-01-27T00:00:00"/>
    <n v="-4.26"/>
    <s v="X"/>
    <s v="Mcdonald's"/>
    <s v="2011: MCDONALD'S M7125 OF BELLEVUE WA 98005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26T00:00:00"/>
    <n v="-8.3800000000000008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26T00:00:00"/>
    <n v="-44.96"/>
    <s v="X"/>
    <s v="Officemax"/>
    <s v="Letter trays, planner, stacking bins ($40.49 from return)"/>
    <s v="Business Expenses (Koolikai):Office Expenses (Business)/From Receipt"/>
    <m/>
    <m/>
    <s v="From Receipt"/>
    <x v="36"/>
    <x v="42"/>
    <m/>
    <m/>
    <m/>
    <m/>
    <s v="Jan"/>
    <n v="2014"/>
    <s v="Monthly"/>
    <n v="0"/>
    <s v="No"/>
    <s v="None"/>
    <s v="Business Expenses (Koolikai)|Office Expenses (Business)"/>
  </r>
  <r>
    <s v="Schwab - Checking (9784)"/>
    <d v="2014-01-25T00:00:00"/>
    <n v="-3.5"/>
    <s v="X"/>
    <s v="Umpqua Bank (ATM)"/>
    <m/>
    <s v="Bank Fees &amp; Charges:ATM Fee"/>
    <m/>
    <s v="Split"/>
    <m/>
    <x v="32"/>
    <x v="17"/>
    <m/>
    <m/>
    <m/>
    <m/>
    <s v="Jan"/>
    <n v="2014"/>
    <s v="Monthly"/>
    <n v="0"/>
    <s v="No"/>
    <s v="None"/>
    <s v="Bank Fees &amp; Charges|ATM Fee"/>
  </r>
  <r>
    <s v="Schwab - Checking (9784)"/>
    <d v="2014-01-25T00:00:00"/>
    <n v="-20"/>
    <s v="X"/>
    <s v="Umpqua Bank (ATM)"/>
    <s v="Not sure about this... on a Sa"/>
    <s v="Kids:Babysitter"/>
    <m/>
    <s v="Split"/>
    <m/>
    <x v="27"/>
    <x v="13"/>
    <m/>
    <m/>
    <m/>
    <m/>
    <s v="Jan"/>
    <n v="2014"/>
    <s v="Monthly"/>
    <n v="0"/>
    <s v="No"/>
    <s v="None"/>
    <s v="Kids|Babysitter"/>
  </r>
  <r>
    <s v="MasterCard (Capital One)"/>
    <d v="2014-01-25T00:00:00"/>
    <n v="-6"/>
    <s v="X"/>
    <s v="Seattle Parks And Recreation"/>
    <s v="Toddler room at Greenlake"/>
    <s v="Kids:Kids Activities/From Receipt"/>
    <m/>
    <m/>
    <s v="From Receipt"/>
    <x v="27"/>
    <x v="12"/>
    <m/>
    <m/>
    <m/>
    <m/>
    <s v="Jan"/>
    <n v="2014"/>
    <s v="Monthly"/>
    <n v="0"/>
    <s v="No"/>
    <s v="None"/>
    <s v="Kids|Kids Activities"/>
  </r>
  <r>
    <s v="MasterCard (Capital One)"/>
    <d v="2014-01-25T00:00:00"/>
    <n v="-44.86"/>
    <s v="X"/>
    <s v="Officemax"/>
    <s v="Receipt holder, and other supplies"/>
    <s v="Business Expenses (Koolikai):Office Expenses (Business)"/>
    <m/>
    <m/>
    <m/>
    <x v="36"/>
    <x v="42"/>
    <m/>
    <m/>
    <m/>
    <m/>
    <s v="Jan"/>
    <n v="2014"/>
    <s v="Monthly"/>
    <n v="0"/>
    <s v="No"/>
    <s v="None"/>
    <s v="Business Expenses (Koolikai)|Office Expenses (Business)"/>
  </r>
  <r>
    <s v="MasterCard (Capital One)"/>
    <d v="2014-01-25T00:00:00"/>
    <n v="-119.88"/>
    <s v="X"/>
    <s v="Fred Meyer"/>
    <s v="2011: FRED-MEYER #0608 SEATTLE WA 98107 USA"/>
    <s v="Food &amp; Dining:Groceries/From Receipt"/>
    <m/>
    <m/>
    <s v="From Receipt"/>
    <x v="15"/>
    <x v="3"/>
    <m/>
    <m/>
    <m/>
    <m/>
    <s v="Jan"/>
    <n v="2014"/>
    <s v="Monthly"/>
    <n v="0"/>
    <s v="No"/>
    <s v="None"/>
    <s v="Food &amp; Dining|Groceries"/>
  </r>
  <r>
    <s v="First Tech - Checking (5544)"/>
    <d v="2014-01-24T00:00:00"/>
    <n v="-510.46"/>
    <s v="X"/>
    <s v="Discover Card"/>
    <s v="ACH Debit--DISCOVER DC PYMNTS DCIDPIINT - E-PAYMENT"/>
    <s v="[Discover Card]"/>
    <m/>
    <m/>
    <m/>
    <x v="24"/>
    <x v="0"/>
    <m/>
    <m/>
    <m/>
    <m/>
    <s v="Jan"/>
    <n v="2014"/>
    <s v="Account"/>
    <n v="0"/>
    <s v="No"/>
    <s v="None"/>
    <s v="[Discover Card]"/>
  </r>
  <r>
    <s v="First Tech - Checking (5544)"/>
    <d v="2014-01-24T00:00:00"/>
    <n v="-60"/>
    <s v="X"/>
    <s v="Sue Shoedel"/>
    <s v="Check--"/>
    <s v="Kids:Babysitter"/>
    <n v="2293"/>
    <m/>
    <m/>
    <x v="27"/>
    <x v="13"/>
    <m/>
    <m/>
    <m/>
    <m/>
    <s v="Jan"/>
    <n v="2014"/>
    <s v="Monthly"/>
    <n v="0"/>
    <s v="No"/>
    <s v="None"/>
    <s v="Kids|Babysitter"/>
  </r>
  <r>
    <s v="Koolikai - Checking XX2129"/>
    <d v="2014-01-24T00:00:00"/>
    <n v="-146.54"/>
    <s v="X"/>
    <s v="Chase - Koolikai (Autopay)"/>
    <s v="@BAL:21002.67@"/>
    <s v="[Koolikai Credit Card]"/>
    <m/>
    <m/>
    <m/>
    <x v="9"/>
    <x v="0"/>
    <m/>
    <m/>
    <m/>
    <m/>
    <s v="Jan"/>
    <n v="2014"/>
    <s v="Account"/>
    <n v="0"/>
    <s v="No"/>
    <s v="None"/>
    <s v="[Koolikai Credit Card]"/>
  </r>
  <r>
    <s v="MasterCard (Capital One)"/>
    <d v="2014-01-24T00:00:00"/>
    <n v="-36.93"/>
    <s v="X"/>
    <s v="Las Brisas"/>
    <s v="2011: LAS BRISAS INC EDMONDS WA 98020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First Tech - Checking (5544)"/>
    <d v="2014-01-23T00:00:00"/>
    <n v="-183.85"/>
    <s v="X"/>
    <s v="Nissan Lease"/>
    <s v="ACH Debit--NMAC LEASE  - ONLINE PMT"/>
    <s v="Auto &amp; Transport:Auto Lease Payment"/>
    <m/>
    <m/>
    <m/>
    <x v="17"/>
    <x v="10"/>
    <m/>
    <m/>
    <m/>
    <m/>
    <s v="Jan"/>
    <n v="2014"/>
    <s v="Monthly"/>
    <n v="0"/>
    <s v="No"/>
    <s v="None"/>
    <s v="Auto &amp; Transport|Auto Lease Payment"/>
  </r>
  <r>
    <s v="First Tech - Checking (5544)"/>
    <d v="2014-01-23T00:00:00"/>
    <n v="-157.29"/>
    <s v="X"/>
    <s v="American Express (Autopay)"/>
    <m/>
    <s v="[American Express (Costco)]"/>
    <m/>
    <m/>
    <m/>
    <x v="20"/>
    <x v="0"/>
    <m/>
    <m/>
    <m/>
    <m/>
    <s v="Jan"/>
    <n v="2014"/>
    <s v="Account"/>
    <n v="0"/>
    <s v="No"/>
    <s v="None"/>
    <s v="[American Express (Costco)]"/>
  </r>
  <r>
    <s v="American Express (Costco)"/>
    <d v="2014-01-23T00:00:00"/>
    <n v="157.29"/>
    <s v="X"/>
    <s v="American Express (Autopay)"/>
    <m/>
    <s v="[First Tech - Checking (5544)]"/>
    <m/>
    <m/>
    <m/>
    <x v="21"/>
    <x v="0"/>
    <m/>
    <m/>
    <m/>
    <m/>
    <s v="Jan"/>
    <n v="2014"/>
    <s v="Account"/>
    <n v="0"/>
    <s v="No"/>
    <s v="None"/>
    <s v="[First Tech - Checking (5544)]"/>
  </r>
  <r>
    <s v="Discover Card"/>
    <d v="2014-01-23T00:00:00"/>
    <n v="510.46"/>
    <s v="X"/>
    <s v="Directpay Full Balance"/>
    <m/>
    <s v="[First Tech - Checking (5544)]"/>
    <m/>
    <m/>
    <m/>
    <x v="21"/>
    <x v="0"/>
    <m/>
    <m/>
    <m/>
    <m/>
    <s v="Jan"/>
    <n v="2014"/>
    <s v="Account"/>
    <n v="0"/>
    <s v="No"/>
    <s v="None"/>
    <s v="[First Tech - Checking (5544)]"/>
  </r>
  <r>
    <s v="Koolikai Credit Card"/>
    <d v="2014-01-23T00:00:00"/>
    <n v="146.54"/>
    <s v="X"/>
    <s v="Automatic Payment - Thank"/>
    <s v="@BAL:-146.54@"/>
    <s v="[Koolikai - Checking XX2129]"/>
    <m/>
    <m/>
    <m/>
    <x v="25"/>
    <x v="0"/>
    <m/>
    <m/>
    <m/>
    <m/>
    <s v="Jan"/>
    <n v="2014"/>
    <s v="Account"/>
    <n v="0"/>
    <s v="No"/>
    <s v="None"/>
    <s v="[Koolikai - Checking XX2129]"/>
  </r>
  <r>
    <s v="MasterCard (Capital One)"/>
    <d v="2014-01-23T00:00:00"/>
    <n v="-23.9"/>
    <s v="X"/>
    <s v="Portage Bay Cafe"/>
    <s v="2011: PORTAGE BAY CAFE AN SEATTLE WA 98109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First Tech - Checking (5544)"/>
    <d v="2014-01-22T00:00:00"/>
    <n v="-27.88"/>
    <s v="X"/>
    <s v="Liberty Mutual (Umbrella)"/>
    <s v="ACH Debit--LIBERTY MUTUAL  - PAYMENT"/>
    <s v="Bills &amp; Utilities:Insurance (Umbrella)"/>
    <m/>
    <m/>
    <m/>
    <x v="34"/>
    <x v="67"/>
    <m/>
    <m/>
    <m/>
    <m/>
    <s v="Jan"/>
    <n v="2014"/>
    <s v="Monthly"/>
    <n v="0"/>
    <s v="No"/>
    <s v="None"/>
    <s v="Bills &amp; Utilities|Insurance (Umbrella)"/>
  </r>
  <r>
    <s v="Discover Card"/>
    <d v="2014-01-22T00:00:00"/>
    <n v="-90"/>
    <s v="X"/>
    <s v="Aaa"/>
    <s v="AAA Membership"/>
    <s v="Auto &amp; Transport:Auto Insurance"/>
    <m/>
    <m/>
    <m/>
    <x v="17"/>
    <x v="68"/>
    <m/>
    <m/>
    <m/>
    <m/>
    <s v="Jan"/>
    <n v="2014"/>
    <s v="Annual"/>
    <n v="0"/>
    <s v="No"/>
    <s v="None"/>
    <s v="Auto &amp; Transport|Auto Insurance"/>
  </r>
  <r>
    <s v="MasterCard (Capital One)"/>
    <d v="2014-01-22T00:00:00"/>
    <n v="25"/>
    <s v="X"/>
    <s v="Capital One (Cash Back)"/>
    <s v="2011: CREDIT-CASH BACK REWARD"/>
    <s v="Other Inc"/>
    <m/>
    <m/>
    <m/>
    <x v="29"/>
    <x v="0"/>
    <m/>
    <m/>
    <m/>
    <m/>
    <s v="Jan"/>
    <n v="2014"/>
    <s v="Monthly"/>
    <n v="0"/>
    <s v="No"/>
    <s v="None"/>
    <s v="Other Inc"/>
  </r>
  <r>
    <s v="MasterCard (Capital One)"/>
    <d v="2014-01-22T00:00:00"/>
    <n v="-15.09"/>
    <s v="X"/>
    <s v="Taqueria Guaymas"/>
    <s v="2011: TAQUERIA GUAYMAS SEATTLE WA 98103 USA"/>
    <s v="Food &amp; Dining:Restaurants/From Receipt"/>
    <m/>
    <m/>
    <s v="From Receipt"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22T00:00:00"/>
    <n v="-27"/>
    <s v="X"/>
    <s v="Taproot Theatre Co"/>
    <s v="2011: TAPROOT THEATRE SEATTLE WA 98103 USA"/>
    <s v="Entertainment"/>
    <m/>
    <m/>
    <m/>
    <x v="30"/>
    <x v="0"/>
    <m/>
    <m/>
    <m/>
    <m/>
    <s v="Jan"/>
    <n v="2014"/>
    <s v="Monthly"/>
    <n v="0"/>
    <s v="No"/>
    <s v="None"/>
    <s v="Entertainment"/>
  </r>
  <r>
    <s v="First Tech - Checking (5544)"/>
    <d v="2014-01-21T00:00:00"/>
    <n v="-100"/>
    <s v="X"/>
    <s v="Eurest"/>
    <s v="ATM Withdrawal--FIRST TECH 5854 154TH PL NE       REDMOND      W"/>
    <s v="Food &amp; Dining:Restaurants/From Receipt"/>
    <m/>
    <m/>
    <s v="From Receipt"/>
    <x v="15"/>
    <x v="15"/>
    <m/>
    <m/>
    <m/>
    <m/>
    <s v="Jan"/>
    <n v="2014"/>
    <s v="Monthly"/>
    <n v="0"/>
    <s v="No"/>
    <s v="None"/>
    <s v="Food &amp; Dining|Restaurants"/>
  </r>
  <r>
    <s v="First Tech - Checking (5544)"/>
    <d v="2014-01-21T00:00:00"/>
    <n v="-105"/>
    <s v="X"/>
    <s v="Cleaning Authority, The"/>
    <s v="ACH Debit--THE CLEANING AUT  - ONLINE PMT"/>
    <s v="Home:Home Services"/>
    <m/>
    <m/>
    <m/>
    <x v="14"/>
    <x v="46"/>
    <m/>
    <m/>
    <m/>
    <m/>
    <s v="Jan"/>
    <n v="2014"/>
    <s v="Monthly"/>
    <n v="0"/>
    <s v="No"/>
    <s v="None"/>
    <s v="Home|Home Services"/>
  </r>
  <r>
    <s v="MasterCard (Capital One)"/>
    <d v="2014-01-20T00:00:00"/>
    <n v="-5.37"/>
    <s v="X"/>
    <s v="Safeway"/>
    <s v="2011: SAFEWAY STORE00011437 SEATTLE WA 98117 USA"/>
    <s v="Food &amp; Dining:Groceries/From Receipt"/>
    <m/>
    <m/>
    <s v="From Receipt"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20T00:00:00"/>
    <n v="-1516.19"/>
    <s v="X"/>
    <s v="Columbus 004"/>
    <s v="Growth hormone"/>
    <s v="Health &amp; Fitness:Pharmacy"/>
    <m/>
    <m/>
    <m/>
    <x v="18"/>
    <x v="38"/>
    <m/>
    <m/>
    <m/>
    <m/>
    <s v="Jan"/>
    <n v="2014"/>
    <s v="Irregular"/>
    <n v="0"/>
    <s v="No"/>
    <s v="None"/>
    <s v="Health &amp; Fitness|Pharmacy"/>
  </r>
  <r>
    <s v="MasterCard (Capital One)"/>
    <d v="2014-01-19T00:00:00"/>
    <n v="-18.329999999999998"/>
    <s v="X"/>
    <s v="Oliver Twist Seattle"/>
    <s v="2011: OLIVER'S TWIST SEATTLE WA 98103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19T00:00:00"/>
    <n v="-19.7"/>
    <s v="X"/>
    <s v="Pacific Science Center The"/>
    <s v="Marble Run  28pc"/>
    <s v="Gifts/From Receipt"/>
    <m/>
    <m/>
    <s v="From Receipt"/>
    <x v="28"/>
    <x v="0"/>
    <m/>
    <m/>
    <m/>
    <m/>
    <s v="Jan"/>
    <n v="2014"/>
    <s v="Monthly"/>
    <n v="0"/>
    <s v="No"/>
    <s v="None"/>
    <s v="Gifts"/>
  </r>
  <r>
    <s v="Koolikai - Checking XX2129"/>
    <d v="2014-01-18T00:00:00"/>
    <n v="1195"/>
    <s v="X"/>
    <s v="Aaron Ausland"/>
    <s v="Deposit--Shared Branch Mobile Deposit          First Tech FC CA"/>
    <s v="Business Income (Koolikai):Rent/7231"/>
    <m/>
    <m/>
    <n v="7231"/>
    <x v="37"/>
    <x v="25"/>
    <m/>
    <m/>
    <m/>
    <m/>
    <s v="Jan"/>
    <n v="2014"/>
    <s v="Monthly"/>
    <n v="0"/>
    <s v="No"/>
    <s v="None"/>
    <s v="Business Income (Koolikai)|Rent"/>
  </r>
  <r>
    <s v="MasterCard (Capital One)"/>
    <d v="2014-01-18T00:00:00"/>
    <n v="49.26"/>
    <s v="X"/>
    <s v="Clarks Store"/>
    <s v="2011: CLARKS STORE #542 LYNNWOOD WA 98037 USA"/>
    <s v="Shopping:Clothing/From Receipt"/>
    <m/>
    <m/>
    <s v="From Receipt"/>
    <x v="13"/>
    <x v="1"/>
    <m/>
    <m/>
    <m/>
    <m/>
    <s v="Jan"/>
    <n v="2014"/>
    <s v="Annual"/>
    <n v="0"/>
    <s v="No"/>
    <s v="None"/>
    <s v="Shopping|Clothing"/>
  </r>
  <r>
    <s v="MasterCard (Capital One)"/>
    <d v="2014-01-18T00:00:00"/>
    <n v="-0.5"/>
    <s v="X"/>
    <s v="Msft Account Wa"/>
    <s v="Account validation"/>
    <s v="Shopping:Electronics &amp; Software"/>
    <m/>
    <m/>
    <m/>
    <x v="13"/>
    <x v="20"/>
    <m/>
    <m/>
    <m/>
    <m/>
    <s v="Jan"/>
    <n v="2014"/>
    <s v="Annual"/>
    <n v="0"/>
    <s v="No"/>
    <s v="None"/>
    <s v="Shopping|Electronics &amp; Software"/>
  </r>
  <r>
    <s v="MasterCard (Capital One)"/>
    <d v="2014-01-18T00:00:00"/>
    <n v="-2.4900000000000002"/>
    <s v="X"/>
    <s v="Seattle Park Seattle"/>
    <s v="2011: SEATTLE 684-PARK SEATTLE WA 98104 USA"/>
    <s v="Auto &amp; Transport:Parking"/>
    <m/>
    <m/>
    <m/>
    <x v="17"/>
    <x v="11"/>
    <m/>
    <m/>
    <m/>
    <m/>
    <s v="Jan"/>
    <n v="2014"/>
    <s v="Monthly"/>
    <n v="0"/>
    <s v="No"/>
    <s v="None"/>
    <s v="Auto &amp; Transport|Parking"/>
  </r>
  <r>
    <s v="MasterCard (Capital One)"/>
    <d v="2014-01-18T00:00:00"/>
    <n v="-4.1100000000000003"/>
    <s v="X"/>
    <s v="Fred Meyer"/>
    <s v="2011: FRED-MEYER #0122 SEATTLE WA 98117 USA"/>
    <s v="Kids:Clothing/From Receipt"/>
    <m/>
    <m/>
    <s v="From Receipt"/>
    <x v="27"/>
    <x v="1"/>
    <m/>
    <m/>
    <m/>
    <m/>
    <s v="Jan"/>
    <n v="2014"/>
    <s v="Monthly"/>
    <n v="0"/>
    <s v="No"/>
    <s v="None"/>
    <s v="Kids|Clothing"/>
  </r>
  <r>
    <s v="MasterCard (Capital One)"/>
    <d v="2014-01-18T00:00:00"/>
    <n v="-102.42"/>
    <s v="X"/>
    <s v="Fred Meyer"/>
    <s v="2011: FRED-MEYER #0122 SEATTLE WA 98117 USA"/>
    <s v="Food &amp; Dining:Groceries/From Receipt"/>
    <m/>
    <m/>
    <s v="From Receipt"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8T00:00:00"/>
    <n v="-244.77"/>
    <s v="X"/>
    <s v="El Gaucho"/>
    <s v="2011: EL GAUCHO SEATTLE WA 98121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First Tech - Checking (5544)"/>
    <d v="2014-01-17T00:00:00"/>
    <n v="159.56"/>
    <s v="X"/>
    <s v="Premera Funding  - Cyc-claims"/>
    <s v="ACH Deposit--PREMERA FUNDING  - CYC-CLAIMS"/>
    <s v="[Premera Health Care Payment]"/>
    <m/>
    <m/>
    <m/>
    <x v="42"/>
    <x v="0"/>
    <m/>
    <m/>
    <m/>
    <m/>
    <s v="Jan"/>
    <n v="2014"/>
    <s v="Account"/>
    <n v="0"/>
    <s v="No"/>
    <s v="None"/>
    <s v="[Premera Health Care Payment]"/>
  </r>
  <r>
    <s v="MasterCard (Capital One)"/>
    <d v="2014-01-17T00:00:00"/>
    <n v="-2.73"/>
    <s v="X"/>
    <s v="Windows"/>
    <s v="Phonos"/>
    <s v="Shopping:Electronics &amp; Software"/>
    <m/>
    <m/>
    <m/>
    <x v="13"/>
    <x v="20"/>
    <m/>
    <m/>
    <m/>
    <m/>
    <s v="Jan"/>
    <n v="2014"/>
    <s v="Annual"/>
    <n v="0"/>
    <s v="No"/>
    <s v="None"/>
    <s v="Shopping|Electronics &amp; Software"/>
  </r>
  <r>
    <s v="MasterCard (Capital One)"/>
    <d v="2014-01-17T00:00:00"/>
    <n v="-3.99"/>
    <s v="X"/>
    <s v="Fred Meyer"/>
    <s v="Vegetable tray"/>
    <s v="Food &amp; Dining:Groceries/From Receipt"/>
    <m/>
    <m/>
    <s v="From Receipt"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7T00:00:00"/>
    <n v="-275.91000000000003"/>
    <s v="X"/>
    <s v="Sears"/>
    <s v="Refrigerator repair"/>
    <s v="Business Expenses (Koolikai):Repairs/7231"/>
    <m/>
    <m/>
    <n v="7231"/>
    <x v="36"/>
    <x v="41"/>
    <m/>
    <m/>
    <m/>
    <m/>
    <s v="Jan"/>
    <n v="2014"/>
    <s v="Irregular"/>
    <n v="0"/>
    <s v="No"/>
    <s v="None"/>
    <s v="Business Expenses (Koolikai)|Repairs"/>
  </r>
  <r>
    <s v="Premera Health Care Payment"/>
    <d v="2014-01-17T00:00:00"/>
    <n v="-159.56"/>
    <m/>
    <s v="Premera Funding  - Cyc-claims"/>
    <s v="ACH Deposit--PREMERA FUNDING  - CYC-CLAIMS"/>
    <s v="[First Tech - Checking (5544)]"/>
    <m/>
    <m/>
    <m/>
    <x v="21"/>
    <x v="0"/>
    <m/>
    <m/>
    <m/>
    <m/>
    <s v="Jan"/>
    <n v="2014"/>
    <s v="Account"/>
    <n v="0"/>
    <s v="No"/>
    <s v="None"/>
    <s v="[First Tech - Checking (5544)]"/>
  </r>
  <r>
    <s v="Capital One - Long Term Emergency (1201)"/>
    <d v="2014-01-16T00:00:00"/>
    <n v="25.31"/>
    <s v="X"/>
    <s v="Quarterly Bonus"/>
    <m/>
    <s v="Interest Income"/>
    <m/>
    <m/>
    <m/>
    <x v="40"/>
    <x v="0"/>
    <m/>
    <m/>
    <m/>
    <m/>
    <s v="Jan"/>
    <n v="2014"/>
    <s v="Monthly"/>
    <n v="0"/>
    <s v="No"/>
    <s v="None"/>
    <s v="Interest Income"/>
  </r>
  <r>
    <s v="MasterCard (Capital One)"/>
    <d v="2014-01-16T00:00:00"/>
    <n v="-4.29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6T00:00:00"/>
    <n v="-9.1300000000000008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5T00:00:00"/>
    <n v="-25"/>
    <s v="X"/>
    <s v="Chargepoint"/>
    <s v="2011: CHARGEPOINT, INC 04083703802 CA 95008 USA"/>
    <s v="Auto &amp; Transport:Gas &amp; Fuel"/>
    <m/>
    <m/>
    <m/>
    <x v="17"/>
    <x v="37"/>
    <m/>
    <m/>
    <m/>
    <m/>
    <s v="Jan"/>
    <n v="2014"/>
    <s v="Monthly"/>
    <n v="0"/>
    <s v="No"/>
    <s v="None"/>
    <s v="Auto &amp; Transport|Gas &amp; Fuel"/>
  </r>
  <r>
    <s v="First Tech - Checking (5544)"/>
    <d v="2014-01-14T00:00:00"/>
    <n v="3165.19"/>
    <s v="X"/>
    <s v="Microsoft (Paystub)"/>
    <s v="ACH Deposit--MICROSOFT  - EDIPAYMENT"/>
    <s v="Net Salary"/>
    <m/>
    <m/>
    <m/>
    <x v="35"/>
    <x v="0"/>
    <m/>
    <m/>
    <m/>
    <m/>
    <s v="Jan"/>
    <n v="2014"/>
    <s v="Monthly"/>
    <n v="0"/>
    <s v="No"/>
    <s v="None"/>
    <s v="Net Salary"/>
  </r>
  <r>
    <s v="First Tech - Checking (5544)"/>
    <d v="2014-01-14T00:00:00"/>
    <n v="-156.19999999999999"/>
    <s v="X"/>
    <s v="Puget Sound Energy"/>
    <s v="ACH Debit--PUGET SOUND ENER DIRECT DEBITING - PSE BILL  12502672"/>
    <s v="Bills &amp; Utilities:Utilities"/>
    <m/>
    <m/>
    <m/>
    <x v="34"/>
    <x v="18"/>
    <m/>
    <m/>
    <m/>
    <m/>
    <s v="Jan"/>
    <n v="2014"/>
    <s v="Monthly"/>
    <n v="0"/>
    <s v="No"/>
    <s v="None"/>
    <s v="Bills &amp; Utilities|Utilities"/>
  </r>
  <r>
    <s v="MasterCard (Capital One)"/>
    <d v="2014-01-14T00:00:00"/>
    <n v="25"/>
    <s v="X"/>
    <s v="Capital One (Cash Back)"/>
    <s v="2011: CREDIT-CASH BACK REWARD"/>
    <s v="Other Inc"/>
    <m/>
    <m/>
    <m/>
    <x v="29"/>
    <x v="0"/>
    <m/>
    <m/>
    <m/>
    <m/>
    <s v="Jan"/>
    <n v="2014"/>
    <s v="Monthly"/>
    <n v="0"/>
    <s v="No"/>
    <s v="None"/>
    <s v="Other Inc"/>
  </r>
  <r>
    <s v="MasterCard (Capital One)"/>
    <d v="2014-01-14T00:00:00"/>
    <n v="-50"/>
    <s v="X"/>
    <s v="Good To Go"/>
    <s v="2011: GOOD2GO REPLENISHMENT 08669368246 WA 98105 USA"/>
    <s v="Auto &amp; Transport:Tolls"/>
    <m/>
    <m/>
    <m/>
    <x v="17"/>
    <x v="40"/>
    <m/>
    <m/>
    <m/>
    <m/>
    <s v="Jan"/>
    <n v="2014"/>
    <s v="Irregular"/>
    <n v="0"/>
    <s v="No"/>
    <s v="None"/>
    <s v="Auto &amp; Transport|Tolls"/>
  </r>
  <r>
    <s v="First Tech - Checking (5544)"/>
    <d v="2014-01-13T00:00:00"/>
    <n v="-118.52"/>
    <s v="X"/>
    <s v="Seattle City Light"/>
    <s v="ACH Debit--CITY OF SEATTLE  - 1 - SCL De"/>
    <s v="Bills &amp; Utilities:Utilities"/>
    <m/>
    <m/>
    <m/>
    <x v="34"/>
    <x v="18"/>
    <m/>
    <m/>
    <m/>
    <m/>
    <s v="Jan"/>
    <n v="2014"/>
    <s v="Monthly"/>
    <n v="0"/>
    <s v="No"/>
    <s v="None"/>
    <s v="Bills &amp; Utilities|Utilities"/>
  </r>
  <r>
    <s v="American Express (Costco)"/>
    <d v="2014-01-13T00:00:00"/>
    <n v="199.99"/>
    <s v="X"/>
    <s v="Costco Whse Seattle"/>
    <s v="Returned lift tickets"/>
    <s v="Health &amp; Fitness:Sports/From Receipt"/>
    <m/>
    <m/>
    <s v="From Receipt"/>
    <x v="18"/>
    <x v="23"/>
    <m/>
    <m/>
    <m/>
    <m/>
    <s v="Jan"/>
    <n v="2014"/>
    <s v="Irregular"/>
    <n v="0"/>
    <s v="No"/>
    <s v="None"/>
    <s v="Health &amp; Fitness|Sports"/>
  </r>
  <r>
    <s v="American Express (Costco)"/>
    <d v="2014-01-13T00:00:00"/>
    <n v="-160"/>
    <s v="X"/>
    <s v="Costco"/>
    <s v="015317000   2065460480"/>
    <s v="Personal Care:Spa &amp; Massage/From Receipt"/>
    <m/>
    <s v="Split"/>
    <s v="From Receipt"/>
    <x v="31"/>
    <x v="70"/>
    <m/>
    <m/>
    <m/>
    <m/>
    <s v="Jan"/>
    <n v="2014"/>
    <s v="Irregular"/>
    <n v="0"/>
    <s v="No"/>
    <s v="None"/>
    <s v="Personal Care|Spa &amp; Massage"/>
  </r>
  <r>
    <s v="American Express (Costco)"/>
    <d v="2014-01-13T00:00:00"/>
    <n v="-90.3"/>
    <s v="X"/>
    <s v="Costco"/>
    <m/>
    <s v="Food &amp; Dining:Groceries/From Receipt"/>
    <m/>
    <s v="Split"/>
    <s v="From Receipt"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3T00:00:00"/>
    <n v="-6.5"/>
    <s v="X"/>
    <s v="Amc"/>
    <s v="2011: AMC ALDERWOOD 16 #2629 LYNNWOOD WA 98037 USA"/>
    <s v="Entertainment:Movies &amp; DVDs/From Receipt"/>
    <m/>
    <m/>
    <s v="From Receipt"/>
    <x v="30"/>
    <x v="43"/>
    <m/>
    <m/>
    <m/>
    <m/>
    <s v="Jan"/>
    <n v="2014"/>
    <s v="Unplanned"/>
    <n v="0"/>
    <s v="No"/>
    <s v="None"/>
    <s v="Entertainment|Movies &amp; DVDs"/>
  </r>
  <r>
    <s v="MasterCard (Capital One)"/>
    <d v="2014-01-13T00:00:00"/>
    <n v="-8.42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3T00:00:00"/>
    <n v="-22.44"/>
    <s v="X"/>
    <s v="Portage Bay Cafe"/>
    <s v="2011: PORTAGE BAY CAFE &amp; SEATTLE WA 98107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13T00:00:00"/>
    <n v="-62.37"/>
    <s v="X"/>
    <s v="Clarks Store"/>
    <s v="2011: CLARKS STORE #542 LYNNWOOD WA 98037 USA"/>
    <s v="Shopping:Clothing/From Receipt"/>
    <m/>
    <m/>
    <s v="From Receipt"/>
    <x v="13"/>
    <x v="1"/>
    <m/>
    <m/>
    <m/>
    <m/>
    <s v="Jan"/>
    <n v="2014"/>
    <s v="Annual"/>
    <n v="0"/>
    <s v="No"/>
    <s v="None"/>
    <s v="Shopping|Clothing"/>
  </r>
  <r>
    <s v="MasterCard (Capital One)"/>
    <d v="2014-01-13T00:00:00"/>
    <n v="-188.19"/>
    <s v="X"/>
    <s v="Dsw Designer Shoe Warehouse"/>
    <s v="2011: DSW SEATTLE WA 98125 USA"/>
    <s v="Shopping:Clothing/From Receipt"/>
    <m/>
    <m/>
    <s v="From Receipt"/>
    <x v="13"/>
    <x v="1"/>
    <m/>
    <m/>
    <m/>
    <m/>
    <s v="Jan"/>
    <n v="2014"/>
    <s v="Annual"/>
    <n v="0"/>
    <s v="No"/>
    <s v="None"/>
    <s v="Shopping|Clothing"/>
  </r>
  <r>
    <s v="First Tech - Checking (5544)"/>
    <d v="2014-01-12T00:00:00"/>
    <n v="19.75"/>
    <s v="X"/>
    <s v="UW Medical Center"/>
    <s v="Duplicate charge?"/>
    <s v="Health &amp; Fitness:Doctor"/>
    <m/>
    <m/>
    <m/>
    <x v="18"/>
    <x v="56"/>
    <m/>
    <m/>
    <m/>
    <m/>
    <s v="Jan"/>
    <n v="2014"/>
    <s v="Irregular"/>
    <n v="0"/>
    <s v="No"/>
    <s v="None"/>
    <s v="Health &amp; Fitness|Doctor"/>
  </r>
  <r>
    <s v="First Tech - Checking (5544)"/>
    <d v="2014-01-12T00:00:00"/>
    <n v="61.66"/>
    <s v="X"/>
    <s v="Children's University Medical Group"/>
    <s v="Duplicate opthamology charge"/>
    <s v="Health &amp; Fitness:Doctor"/>
    <m/>
    <m/>
    <m/>
    <x v="18"/>
    <x v="56"/>
    <m/>
    <m/>
    <m/>
    <m/>
    <s v="Jan"/>
    <n v="2014"/>
    <s v="Irregular"/>
    <n v="0"/>
    <s v="No"/>
    <s v="None"/>
    <s v="Health &amp; Fitness|Doctor"/>
  </r>
  <r>
    <s v="Koolikai Credit Card"/>
    <d v="2014-01-12T00:00:00"/>
    <n v="-146.54"/>
    <s v="X"/>
    <s v="Verizon Wireless"/>
    <m/>
    <s v="Business Expenses (Koolikai):Cell Phone"/>
    <m/>
    <m/>
    <m/>
    <x v="36"/>
    <x v="22"/>
    <m/>
    <m/>
    <m/>
    <m/>
    <s v="Jan"/>
    <n v="2014"/>
    <s v="Monthly"/>
    <n v="0"/>
    <s v="No"/>
    <s v="None"/>
    <s v="Business Expenses (Koolikai)|Cell Phone"/>
  </r>
  <r>
    <s v="MasterCard (Capital One)"/>
    <d v="2014-01-12T00:00:00"/>
    <n v="1.68"/>
    <s v="X"/>
    <s v="Microsoft Code Msbill"/>
    <s v="Free app?"/>
    <s v="Shopping:Electronics &amp; Software"/>
    <m/>
    <m/>
    <m/>
    <x v="13"/>
    <x v="20"/>
    <m/>
    <m/>
    <m/>
    <m/>
    <s v="Jan"/>
    <n v="2014"/>
    <s v="Annual"/>
    <n v="0"/>
    <s v="No"/>
    <s v="None"/>
    <s v="Shopping|Electronics &amp; Software"/>
  </r>
  <r>
    <s v="MasterCard (Capital One)"/>
    <d v="2014-01-12T00:00:00"/>
    <n v="-1.55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1T00:00:00"/>
    <n v="-4.33"/>
    <s v="X"/>
    <s v="Target"/>
    <s v="Cards for Angela's birthday"/>
    <s v="Gifts/From Receipt"/>
    <m/>
    <m/>
    <s v="From Receipt"/>
    <x v="28"/>
    <x v="0"/>
    <m/>
    <m/>
    <m/>
    <m/>
    <s v="Jan"/>
    <n v="2014"/>
    <s v="Monthly"/>
    <n v="0"/>
    <s v="No"/>
    <s v="None"/>
    <s v="Gifts"/>
  </r>
  <r>
    <s v="MasterCard (Capital One)"/>
    <d v="2014-01-11T00:00:00"/>
    <n v="-6"/>
    <s v="X"/>
    <s v="Seattle Park Seattle"/>
    <s v="2011: SEATTLE 684-PARK SEATTLE WA 98104 USA"/>
    <s v="Auto &amp; Transport:Parking"/>
    <m/>
    <m/>
    <m/>
    <x v="17"/>
    <x v="11"/>
    <m/>
    <m/>
    <m/>
    <m/>
    <s v="Jan"/>
    <n v="2014"/>
    <s v="Monthly"/>
    <n v="0"/>
    <s v="No"/>
    <s v="None"/>
    <s v="Auto &amp; Transport|Parking"/>
  </r>
  <r>
    <s v="MasterCard (Capital One)"/>
    <d v="2014-01-11T00:00:00"/>
    <n v="-17.52"/>
    <s v="X"/>
    <s v="Barnes &amp; Noble"/>
    <s v="Nurture Shock"/>
    <s v="Shopping:Books/From Receipt"/>
    <m/>
    <m/>
    <s v="From Receipt"/>
    <x v="13"/>
    <x v="51"/>
    <m/>
    <m/>
    <m/>
    <m/>
    <s v="Jan"/>
    <n v="2014"/>
    <s v="Unplanned"/>
    <n v="0"/>
    <s v="No"/>
    <s v="None"/>
    <s v="Shopping|Books"/>
  </r>
  <r>
    <s v="MasterCard (Capital One)"/>
    <d v="2014-01-11T00:00:00"/>
    <n v="-20.75"/>
    <s v="X"/>
    <s v="Third Place Books"/>
    <s v="Nurture Shock"/>
    <s v="Shopping:Books/From Receipt"/>
    <m/>
    <m/>
    <s v="From Receipt"/>
    <x v="13"/>
    <x v="51"/>
    <m/>
    <m/>
    <m/>
    <m/>
    <s v="Jan"/>
    <n v="2014"/>
    <s v="Unplanned"/>
    <n v="0"/>
    <s v="No"/>
    <s v="None"/>
    <s v="Shopping|Books"/>
  </r>
  <r>
    <s v="MasterCard (Capital One)"/>
    <d v="2014-01-11T00:00:00"/>
    <n v="-79.709999999999994"/>
    <s v="X"/>
    <s v="The Hi-life Restaurant"/>
    <s v="2011: THEHILIFE SEATTLE WA 98107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11T00:00:00"/>
    <n v="-144.49"/>
    <s v="X"/>
    <s v="Fred Meyer"/>
    <s v="2011: FRED-MEYER #0122 SEATTLE WA 98117 USA"/>
    <s v="Food &amp; Dining:Groceries/From Receipt"/>
    <m/>
    <m/>
    <s v="From Receipt"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10T00:00:00"/>
    <n v="-5.95"/>
    <s v="X"/>
    <s v="Eurest"/>
    <s v="2011: CAFE 50 11097474 REMOND WA 98052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10T00:00:00"/>
    <n v="-18.07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First Tech - Checking (5544)"/>
    <d v="2014-01-08T00:00:00"/>
    <n v="-42.62"/>
    <s v="X"/>
    <s v="Target Card Srvc 001 - Auto Pymt"/>
    <s v="ACH Debit--TARGET CARD SRVC 001 - AUTO PYMT"/>
    <s v="[Target Red Card]"/>
    <m/>
    <m/>
    <m/>
    <x v="12"/>
    <x v="0"/>
    <m/>
    <m/>
    <m/>
    <m/>
    <s v="Jan"/>
    <n v="2014"/>
    <s v="Account"/>
    <n v="0"/>
    <s v="No"/>
    <s v="None"/>
    <s v="[Target Red Card]"/>
  </r>
  <r>
    <s v="First Tech - Checking (5544)"/>
    <d v="2014-01-07T00:00:00"/>
    <n v="-3574.88"/>
    <s v="X"/>
    <s v="Wells Fargo Home Mortgage"/>
    <s v="Mortgage for 7015"/>
    <s v="Home:Mortgage"/>
    <m/>
    <m/>
    <m/>
    <x v="14"/>
    <x v="27"/>
    <m/>
    <m/>
    <m/>
    <m/>
    <s v="Jan"/>
    <n v="2014"/>
    <s v="Monthly"/>
    <n v="0"/>
    <s v="No"/>
    <s v="None"/>
    <s v="Home|Mortgage"/>
  </r>
  <r>
    <s v="MasterCard (Capital One)"/>
    <d v="2014-01-07T00:00:00"/>
    <n v="-1.68"/>
    <s v="X"/>
    <s v="Msft Code Msbill"/>
    <s v="Free App?  Refunded later"/>
    <s v="Shopping:Electronics &amp; Software"/>
    <m/>
    <m/>
    <m/>
    <x v="13"/>
    <x v="20"/>
    <m/>
    <m/>
    <m/>
    <m/>
    <s v="Jan"/>
    <n v="2014"/>
    <s v="Annual"/>
    <n v="0"/>
    <s v="No"/>
    <s v="None"/>
    <s v="Shopping|Electronics &amp; Software"/>
  </r>
  <r>
    <s v="MasterCard (Capital One)"/>
    <d v="2014-01-07T00:00:00"/>
    <n v="-6"/>
    <s v="X"/>
    <s v="Premier Parking"/>
    <s v="2011: PREMIER PARKING MARION NASHVILLE TN 372093602 USA"/>
    <s v="Auto &amp; Transport:Parking/From Receipt"/>
    <m/>
    <m/>
    <s v="From Receipt"/>
    <x v="17"/>
    <x v="11"/>
    <m/>
    <m/>
    <m/>
    <m/>
    <s v="Jan"/>
    <n v="2014"/>
    <s v="Monthly"/>
    <n v="0"/>
    <s v="No"/>
    <s v="None"/>
    <s v="Auto &amp; Transport|Parking"/>
  </r>
  <r>
    <s v="MasterCard (Capital One)"/>
    <d v="2014-01-07T00:00:00"/>
    <n v="-7.34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07T00:00:00"/>
    <n v="-14.64"/>
    <s v="X"/>
    <s v="Diamond Parking"/>
    <s v="2011: DIAMOND PARKING A096 SEATTLE WA 98101 USA"/>
    <s v="Auto &amp; Transport:Parking"/>
    <m/>
    <m/>
    <m/>
    <x v="17"/>
    <x v="11"/>
    <m/>
    <m/>
    <m/>
    <m/>
    <s v="Jan"/>
    <n v="2014"/>
    <s v="Monthly"/>
    <n v="0"/>
    <s v="No"/>
    <s v="None"/>
    <s v="Auto &amp; Transport|Parking"/>
  </r>
  <r>
    <s v="MasterCard (Capital One)"/>
    <d v="2014-01-06T00:00:00"/>
    <n v="-13.42"/>
    <s v="X"/>
    <s v="Diamond Parking"/>
    <s v="2011: DIAMOND PARKING A096 SEATTLE WA 98101 USA"/>
    <s v="Auto &amp; Transport:Parking"/>
    <m/>
    <m/>
    <m/>
    <x v="17"/>
    <x v="11"/>
    <m/>
    <m/>
    <m/>
    <m/>
    <s v="Jan"/>
    <n v="2014"/>
    <s v="Monthly"/>
    <n v="0"/>
    <s v="No"/>
    <s v="None"/>
    <s v="Auto &amp; Transport|Parking"/>
  </r>
  <r>
    <s v="Target Red Card"/>
    <d v="2014-01-06T00:00:00"/>
    <n v="42.62"/>
    <s v="X"/>
    <s v="Target (Autopay)"/>
    <s v="@BAL:$491.36@"/>
    <s v="[First Tech - Checking (5544)]"/>
    <m/>
    <m/>
    <m/>
    <x v="21"/>
    <x v="0"/>
    <m/>
    <m/>
    <m/>
    <m/>
    <s v="Jan"/>
    <n v="2014"/>
    <s v="Account"/>
    <n v="0"/>
    <s v="No"/>
    <s v="None"/>
    <s v="[First Tech - Checking (5544)]"/>
  </r>
  <r>
    <s v="Koolikai - Checking XX2129"/>
    <d v="2014-01-05T00:00:00"/>
    <n v="100"/>
    <s v="X"/>
    <s v="Aaron Ausland"/>
    <s v="Repayment of water/sewer"/>
    <s v="Business Expenses (Koolikai):Utilities (Business)/7231"/>
    <m/>
    <s v="Split"/>
    <n v="7231"/>
    <x v="36"/>
    <x v="63"/>
    <m/>
    <m/>
    <m/>
    <m/>
    <s v="Jan"/>
    <n v="2014"/>
    <s v="Monthly"/>
    <n v="0"/>
    <s v="No"/>
    <s v="None"/>
    <s v="Business Expenses (Koolikai)|Utilities (Business)"/>
  </r>
  <r>
    <s v="MasterCard (Capital One)"/>
    <d v="2014-01-05T00:00:00"/>
    <n v="-3.01"/>
    <s v="X"/>
    <s v="Barnes &amp; Noble"/>
    <s v="Hot cocoa"/>
    <s v="Food &amp; Dining:Restaurants/From Receipt"/>
    <m/>
    <m/>
    <s v="From Receipt"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05T00:00:00"/>
    <n v="-19.66"/>
    <s v="X"/>
    <s v="Home Depot"/>
    <s v="Furnace filter, and toilet valve repair kit"/>
    <s v="Business Expenses (Koolikai):Repairs/7231:From Receipt"/>
    <m/>
    <m/>
    <s v="7231:From Receipt"/>
    <x v="36"/>
    <x v="41"/>
    <m/>
    <m/>
    <m/>
    <m/>
    <s v="Jan"/>
    <n v="2014"/>
    <s v="Irregular"/>
    <n v="0"/>
    <s v="No"/>
    <s v="None"/>
    <s v="Business Expenses (Koolikai)|Repairs"/>
  </r>
  <r>
    <s v="MasterCard (Capital One)"/>
    <d v="2014-01-04T00:00:00"/>
    <n v="-16.34"/>
    <s v="X"/>
    <s v="Walgreens"/>
    <s v="No receipt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MasterCard (Capital One)"/>
    <d v="2014-01-04T00:00:00"/>
    <n v="-18"/>
    <s v="X"/>
    <s v="Arena Sports Seattle"/>
    <s v="2011: ARENA SPORTS SEATTLE WA 98115 USA"/>
    <s v="Kids:Kids Activities"/>
    <m/>
    <m/>
    <m/>
    <x v="27"/>
    <x v="12"/>
    <m/>
    <m/>
    <m/>
    <m/>
    <s v="Jan"/>
    <n v="2014"/>
    <s v="Monthly"/>
    <n v="0"/>
    <s v="No"/>
    <s v="None"/>
    <s v="Kids|Kids Activities"/>
  </r>
  <r>
    <s v="MasterCard (Capital One)"/>
    <d v="2014-01-04T00:00:00"/>
    <n v="-77.150000000000006"/>
    <s v="X"/>
    <s v="Vios Cafe 3rd"/>
    <s v="2011: VIOS CAFE AT 3RD PLACE SEATTLE WA 98115 USA"/>
    <s v="Food &amp; Dining:Restaurants"/>
    <m/>
    <m/>
    <m/>
    <x v="15"/>
    <x v="15"/>
    <m/>
    <m/>
    <m/>
    <m/>
    <s v="Jan"/>
    <n v="2014"/>
    <s v="Monthly"/>
    <n v="0"/>
    <s v="No"/>
    <s v="None"/>
    <s v="Food &amp; Dining|Restaurants"/>
  </r>
  <r>
    <s v="MasterCard (Capital One)"/>
    <d v="2014-01-04T00:00:00"/>
    <n v="-95.46"/>
    <s v="X"/>
    <s v="Fred Meyer"/>
    <s v="No receipt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First Tech - Checking (5544)"/>
    <d v="2014-01-03T00:00:00"/>
    <n v="315.45999999999998"/>
    <s v="X"/>
    <s v="Stay Fit Credit"/>
    <s v="Stay Fit reimbursement for shoes, running pants, and ski passes."/>
    <s v="Health &amp; Fitness:Sports"/>
    <m/>
    <m/>
    <m/>
    <x v="18"/>
    <x v="23"/>
    <m/>
    <m/>
    <m/>
    <m/>
    <s v="Jan"/>
    <n v="2014"/>
    <s v="Irregular"/>
    <n v="0"/>
    <s v="No"/>
    <s v="None"/>
    <s v="Health &amp; Fitness|Sports"/>
  </r>
  <r>
    <s v="First Tech - Checking (5544)"/>
    <d v="2014-01-03T00:00:00"/>
    <n v="-500"/>
    <s v="X"/>
    <s v="American Funds Amcap"/>
    <s v="ACH Debit-- AMERICAN FUNDS 0001002:  AMCAP-529A - INVESTMENT"/>
    <s v="Kids:American Funds 529A"/>
    <m/>
    <m/>
    <m/>
    <x v="27"/>
    <x v="29"/>
    <m/>
    <m/>
    <m/>
    <m/>
    <s v="Jan"/>
    <n v="2014"/>
    <s v="Monthly"/>
    <n v="0"/>
    <s v="No"/>
    <s v="None"/>
    <s v="Kids|American Funds 529A"/>
  </r>
  <r>
    <s v="First Tech - Checking (5544)"/>
    <d v="2014-01-03T00:00:00"/>
    <n v="-2048.5100000000002"/>
    <s v="X"/>
    <s v="NYCB Mortgage Company"/>
    <s v="9602 Mortgage Payment"/>
    <s v="Business Expenses (Koolikai):Mortgage (Business)/9602"/>
    <m/>
    <m/>
    <n v="9602"/>
    <x v="36"/>
    <x v="30"/>
    <m/>
    <m/>
    <m/>
    <m/>
    <s v="Jan"/>
    <n v="2014"/>
    <s v="Monthly"/>
    <n v="0"/>
    <s v="No"/>
    <s v="None"/>
    <s v="Business Expenses (Koolikai)|Mortgage (Business)"/>
  </r>
  <r>
    <s v="First Tech - Checking (5544)"/>
    <d v="2014-01-03T00:00:00"/>
    <n v="-3513.25"/>
    <s v="X"/>
    <s v="NYCB Mortgage Company"/>
    <s v="7231 Mortgage Payment"/>
    <s v="Business Expenses (Koolikai):Mortgage (Business)/7231"/>
    <m/>
    <m/>
    <n v="7231"/>
    <x v="36"/>
    <x v="30"/>
    <m/>
    <m/>
    <m/>
    <m/>
    <s v="Jan"/>
    <n v="2014"/>
    <s v="Monthly"/>
    <n v="0"/>
    <s v="No"/>
    <s v="None"/>
    <s v="Business Expenses (Koolikai)|Mortgage (Business)"/>
  </r>
  <r>
    <s v="First Tech - Checking (5544)"/>
    <d v="2014-01-03T00:00:00"/>
    <n v="-3941.59"/>
    <s v="X"/>
    <s v="Capital One (Autopay)"/>
    <s v="@CAT:@"/>
    <s v="[MasterCard (Capital One)]"/>
    <m/>
    <m/>
    <m/>
    <x v="38"/>
    <x v="0"/>
    <m/>
    <m/>
    <m/>
    <m/>
    <s v="Jan"/>
    <n v="2014"/>
    <s v="Account"/>
    <n v="0"/>
    <s v="No"/>
    <s v="None"/>
    <s v="[MasterCard (Capital One)]"/>
  </r>
  <r>
    <s v="Koolikai - Checking XX2129"/>
    <d v="2014-01-03T00:00:00"/>
    <n v="238.75"/>
    <s v="X"/>
    <s v="NYCB Mortgage Company"/>
    <s v="Refund of escrow overage"/>
    <s v="Business Expenses (Koolikai):Mortgage (Business)/9602"/>
    <m/>
    <m/>
    <n v="9602"/>
    <x v="36"/>
    <x v="30"/>
    <m/>
    <m/>
    <m/>
    <m/>
    <s v="Jan"/>
    <n v="2014"/>
    <s v="Monthly"/>
    <n v="0"/>
    <s v="No"/>
    <s v="None"/>
    <s v="Business Expenses (Koolikai)|Mortgage (Business)"/>
  </r>
  <r>
    <s v="MasterCard (Capital One)"/>
    <d v="2014-01-03T00:00:00"/>
    <n v="3941.59"/>
    <s v="X"/>
    <s v="Capital One (Autopay)"/>
    <s v="@CAT:@"/>
    <s v="[First Tech - Checking (5544)]"/>
    <m/>
    <m/>
    <m/>
    <x v="21"/>
    <x v="0"/>
    <m/>
    <m/>
    <m/>
    <m/>
    <s v="Jan"/>
    <n v="2014"/>
    <s v="Account"/>
    <n v="0"/>
    <s v="No"/>
    <s v="None"/>
    <s v="[First Tech - Checking (5544)]"/>
  </r>
  <r>
    <s v="MasterCard (Capital One)"/>
    <d v="2014-01-03T00:00:00"/>
    <n v="-5.51"/>
    <s v="X"/>
    <s v="Menchie's"/>
    <s v="2011: MENCHIE`S FROZEN YOGUR KIRKLAND WA 98033 USA"/>
    <s v="Food &amp; Dining:Restaurants/From Receipt"/>
    <m/>
    <m/>
    <s v="From Receipt"/>
    <x v="15"/>
    <x v="15"/>
    <m/>
    <m/>
    <m/>
    <m/>
    <s v="Jan"/>
    <n v="2014"/>
    <s v="Monthly"/>
    <n v="0"/>
    <s v="No"/>
    <s v="None"/>
    <s v="Food &amp; Dining|Restaurants"/>
  </r>
  <r>
    <s v="First Tech - Checking (5544)"/>
    <d v="2014-01-02T00:00:00"/>
    <n v="112.5"/>
    <s v="X"/>
    <s v="Premera Funding  - Cyc-claims"/>
    <s v="ACH Deposit--PREMERA FUNDING  - CYC-CLAIMS"/>
    <s v="[Premera Health Care Payment]"/>
    <m/>
    <m/>
    <m/>
    <x v="42"/>
    <x v="0"/>
    <m/>
    <m/>
    <m/>
    <m/>
    <s v="Jan"/>
    <n v="2014"/>
    <s v="Account"/>
    <n v="0"/>
    <s v="No"/>
    <s v="None"/>
    <s v="[Premera Health Care Payment]"/>
  </r>
  <r>
    <s v="First Tech - Checking (5544)"/>
    <d v="2014-01-02T00:00:00"/>
    <n v="-1976"/>
    <s v="X"/>
    <s v="Phinney Ridge CDC"/>
    <s v="ACH Debit--PHINNEY RIDGE LU 504759859 - CONTRIBUTN"/>
    <s v="Kids:Daycare"/>
    <m/>
    <m/>
    <m/>
    <x v="27"/>
    <x v="35"/>
    <m/>
    <m/>
    <m/>
    <m/>
    <s v="Jan"/>
    <n v="2014"/>
    <s v="Monthly"/>
    <n v="0"/>
    <s v="No"/>
    <s v="None"/>
    <s v="Kids|Daycare"/>
  </r>
  <r>
    <s v="First Tech - Checking (5544)"/>
    <d v="2014-01-02T00:00:00"/>
    <n v="-85.41"/>
    <m/>
    <s v="Rei (Autopayment)"/>
    <m/>
    <s v="[REI Mastercard (xx1787)]"/>
    <m/>
    <m/>
    <m/>
    <x v="11"/>
    <x v="0"/>
    <m/>
    <m/>
    <m/>
    <m/>
    <s v="Jan"/>
    <n v="2014"/>
    <e v="#N/A"/>
    <e v="#N/A"/>
    <e v="#N/A"/>
    <e v="#N/A"/>
    <s v="[REI Mastercard (xx1787)]"/>
  </r>
  <r>
    <s v="MasterCard (Capital One)"/>
    <d v="2014-01-02T00:00:00"/>
    <n v="-20.84"/>
    <s v="X"/>
    <s v="Comcast"/>
    <s v="2011: COMCAST CABLE COMM 800-COMCAST WA 98103 USA"/>
    <s v="Bills &amp; Utilities:Television"/>
    <m/>
    <s v="Split"/>
    <m/>
    <x v="34"/>
    <x v="32"/>
    <m/>
    <m/>
    <m/>
    <m/>
    <s v="Jan"/>
    <n v="2014"/>
    <s v="Monthly"/>
    <n v="0"/>
    <s v="No"/>
    <s v="None"/>
    <s v="Bills &amp; Utilities|Television"/>
  </r>
  <r>
    <s v="MasterCard (Capital One)"/>
    <d v="2014-01-02T00:00:00"/>
    <n v="-61.9"/>
    <s v="X"/>
    <s v="Comcast"/>
    <m/>
    <s v="Business Expenses (Koolikai):Internet"/>
    <m/>
    <s v="Split"/>
    <m/>
    <x v="36"/>
    <x v="33"/>
    <m/>
    <m/>
    <m/>
    <m/>
    <s v="Jan"/>
    <n v="2014"/>
    <s v="Monthly"/>
    <n v="0"/>
    <s v="No"/>
    <s v="None"/>
    <s v="Business Expenses (Koolikai)|Internet"/>
  </r>
  <r>
    <s v="MasterCard (Capital One)"/>
    <d v="2014-01-02T00:00:00"/>
    <n v="-46.29"/>
    <s v="X"/>
    <s v="Comcast"/>
    <m/>
    <s v="Bills &amp; Utilities:Home Phone"/>
    <m/>
    <s v="Split"/>
    <m/>
    <x v="34"/>
    <x v="34"/>
    <m/>
    <m/>
    <m/>
    <m/>
    <s v="Jan"/>
    <n v="2014"/>
    <s v="Monthly"/>
    <n v="0"/>
    <s v="No"/>
    <s v="None"/>
    <s v="Bills &amp; Utilities|Home Phone"/>
  </r>
  <r>
    <s v="MasterCard (Capital One)"/>
    <d v="2014-01-02T00:00:00"/>
    <n v="-2.61"/>
    <s v="X"/>
    <s v="Amazon"/>
    <s v="Retractable audio cable"/>
    <s v="Shopping:Electronics &amp; Software"/>
    <m/>
    <m/>
    <m/>
    <x v="13"/>
    <x v="20"/>
    <m/>
    <m/>
    <m/>
    <m/>
    <s v="Jan"/>
    <n v="2014"/>
    <s v="Annual"/>
    <n v="0"/>
    <s v="No"/>
    <s v="None"/>
    <s v="Shopping|Electronics &amp; Software"/>
  </r>
  <r>
    <s v="MasterCard (Capital One)"/>
    <d v="2014-01-02T00:00:00"/>
    <n v="-6.92"/>
    <s v="X"/>
    <s v="Ken's Market"/>
    <s v="2011: KEN'S MARKET #75-116 SEATTLE WA 98103 USA"/>
    <s v="Food &amp; Dining:Groceries"/>
    <m/>
    <m/>
    <m/>
    <x v="15"/>
    <x v="3"/>
    <m/>
    <m/>
    <m/>
    <m/>
    <s v="Jan"/>
    <n v="2014"/>
    <s v="Monthly"/>
    <n v="0"/>
    <s v="No"/>
    <s v="None"/>
    <s v="Food &amp; Dining|Groceries"/>
  </r>
  <r>
    <s v="Premera Health Care Payment"/>
    <d v="2014-01-02T00:00:00"/>
    <n v="-112.5"/>
    <m/>
    <s v="Premera Funding  - Cyc-claims"/>
    <s v="ACH Deposit--PREMERA FUNDING  - CYC-CLAIMS"/>
    <s v="[First Tech - Checking (5544)]"/>
    <m/>
    <m/>
    <m/>
    <x v="21"/>
    <x v="0"/>
    <m/>
    <m/>
    <m/>
    <m/>
    <s v="Jan"/>
    <n v="2014"/>
    <s v="Account"/>
    <n v="0"/>
    <s v="No"/>
    <s v="None"/>
    <s v="[First Tech - Checking (5544)]"/>
  </r>
  <r>
    <s v="REI Mastercard (xx1787)"/>
    <d v="2014-01-02T00:00:00"/>
    <n v="85.41"/>
    <s v="X"/>
    <s v="Rei (Autopayment)"/>
    <m/>
    <s v="[First Tech - Checking (5544)]"/>
    <s v="TXFR"/>
    <m/>
    <m/>
    <x v="21"/>
    <x v="0"/>
    <m/>
    <m/>
    <m/>
    <m/>
    <s v="Jan"/>
    <n v="2014"/>
    <s v="Account"/>
    <n v="0"/>
    <s v="No"/>
    <s v="None"/>
    <s v="[First Tech - Checking (5544)]"/>
  </r>
  <r>
    <s v="Koolikai - Checking XX2129"/>
    <d v="2014-01-01T00:00:00"/>
    <n v="2195"/>
    <s v="X"/>
    <s v="Valerie Shaibley"/>
    <s v="Deposit--Shared Branch Mobile Deposit"/>
    <s v="Business Income (Koolikai):Rent/9602"/>
    <m/>
    <m/>
    <n v="9602"/>
    <x v="37"/>
    <x v="25"/>
    <m/>
    <m/>
    <m/>
    <m/>
    <s v="Jan"/>
    <n v="2014"/>
    <s v="Monthly"/>
    <n v="0"/>
    <s v="No"/>
    <s v="None"/>
    <s v="Business Income (Koolikai)|Rent"/>
  </r>
  <r>
    <s v="Koolikai - Checking XX2129"/>
    <d v="2014-01-01T00:00:00"/>
    <n v="1100"/>
    <s v="X"/>
    <s v="Aaron Ausland"/>
    <s v="Deposit--Shared Branch Mobile Deposit"/>
    <s v="Business Income (Koolikai):Rent/7231"/>
    <m/>
    <s v="Split"/>
    <n v="7231"/>
    <x v="37"/>
    <x v="25"/>
    <m/>
    <m/>
    <m/>
    <m/>
    <s v="Jan"/>
    <n v="2014"/>
    <s v="Monthly"/>
    <n v="0"/>
    <s v="No"/>
    <s v="None"/>
    <s v="Business Income (Koolikai)|Rent"/>
  </r>
  <r>
    <s v="MasterCard (Capital One)"/>
    <d v="2014-01-01T00:00:00"/>
    <n v="-27.77"/>
    <s v="X"/>
    <s v="Ivars Seafood"/>
    <s v="2011: 021 BALLARD SFB SEATTLE WA 98107 USA"/>
    <s v="Food &amp; Dining:Restaurants/From Receipt"/>
    <m/>
    <m/>
    <s v="From Receipt"/>
    <x v="15"/>
    <x v="15"/>
    <m/>
    <m/>
    <m/>
    <m/>
    <s v="Jan"/>
    <n v="2014"/>
    <s v="Monthly"/>
    <n v="0"/>
    <s v="No"/>
    <s v="None"/>
    <s v="Food &amp; Dining|Restaurants"/>
  </r>
  <r>
    <s v="Budget"/>
    <d v="2014-12-28T00:00:00"/>
    <n v="-200"/>
    <m/>
    <m/>
    <m/>
    <m/>
    <m/>
    <m/>
    <m/>
    <x v="17"/>
    <x v="68"/>
    <s v="Budget"/>
    <m/>
    <m/>
    <m/>
    <s v="Monthly"/>
    <s v="Budget"/>
    <s v="Annual"/>
    <n v="0"/>
    <s v="No"/>
    <s v="None"/>
    <s v="Auto &amp; Transport|Auto Insurance"/>
  </r>
  <r>
    <s v="Budget"/>
    <d v="2014-12-28T00:00:00"/>
    <n v="-2400"/>
    <m/>
    <m/>
    <m/>
    <m/>
    <m/>
    <m/>
    <m/>
    <x v="17"/>
    <x v="68"/>
    <s v="Budget"/>
    <m/>
    <m/>
    <m/>
    <s v="Annual"/>
    <s v="Budget"/>
    <s v="Annual"/>
    <n v="0"/>
    <s v="No"/>
    <s v="None"/>
    <s v="Auto &amp; Transport|Auto Insurance"/>
  </r>
  <r>
    <s v="Budget"/>
    <d v="2014-12-28T00:00:00"/>
    <n v="-185"/>
    <m/>
    <m/>
    <m/>
    <m/>
    <m/>
    <m/>
    <m/>
    <x v="17"/>
    <x v="10"/>
    <s v="Budget"/>
    <m/>
    <m/>
    <m/>
    <s v="Monthly"/>
    <s v="Budget"/>
    <s v="Monthly"/>
    <n v="0"/>
    <s v="No"/>
    <s v="None"/>
    <s v="Auto &amp; Transport|Auto Lease Payment"/>
  </r>
  <r>
    <s v="Budget"/>
    <d v="2014-12-28T00:00:00"/>
    <n v="-2220"/>
    <m/>
    <m/>
    <m/>
    <m/>
    <m/>
    <m/>
    <m/>
    <x v="17"/>
    <x v="10"/>
    <s v="Budget"/>
    <m/>
    <m/>
    <m/>
    <s v="Annual"/>
    <s v="Budget"/>
    <s v="Monthly"/>
    <n v="0"/>
    <s v="No"/>
    <s v="None"/>
    <s v="Auto &amp; Transport|Auto Lease Payment"/>
  </r>
  <r>
    <s v="Budget"/>
    <d v="2014-12-28T00:00:00"/>
    <n v="-2"/>
    <m/>
    <m/>
    <m/>
    <m/>
    <m/>
    <m/>
    <m/>
    <x v="17"/>
    <x v="71"/>
    <s v="Budget"/>
    <m/>
    <m/>
    <m/>
    <s v="Monthly"/>
    <s v="Budget"/>
    <s v="Annual"/>
    <n v="0"/>
    <s v="No"/>
    <s v="None"/>
    <s v="Auto &amp; Transport|Driver's License"/>
  </r>
  <r>
    <s v="Budget"/>
    <d v="2014-12-28T00:00:00"/>
    <n v="-24"/>
    <m/>
    <m/>
    <m/>
    <m/>
    <m/>
    <m/>
    <m/>
    <x v="17"/>
    <x v="71"/>
    <s v="Budget"/>
    <m/>
    <m/>
    <m/>
    <s v="Annual"/>
    <s v="Budget"/>
    <s v="Annual"/>
    <n v="0"/>
    <s v="No"/>
    <s v="None"/>
    <s v="Auto &amp; Transport|Driver's License"/>
  </r>
  <r>
    <s v="Budget"/>
    <d v="2014-12-28T00:00:00"/>
    <n v="-15"/>
    <m/>
    <m/>
    <m/>
    <m/>
    <m/>
    <m/>
    <m/>
    <x v="17"/>
    <x v="37"/>
    <s v="Budget"/>
    <m/>
    <m/>
    <m/>
    <s v="Monthly"/>
    <s v="Budget"/>
    <s v="Monthly"/>
    <n v="0"/>
    <s v="No"/>
    <s v="None"/>
    <s v="Auto &amp; Transport|Gas &amp; Fuel"/>
  </r>
  <r>
    <s v="Budget"/>
    <d v="2014-12-28T00:00:00"/>
    <n v="-180"/>
    <m/>
    <m/>
    <m/>
    <m/>
    <m/>
    <m/>
    <m/>
    <x v="17"/>
    <x v="37"/>
    <s v="Budget"/>
    <m/>
    <m/>
    <m/>
    <s v="Annual"/>
    <s v="Budget"/>
    <s v="Monthly"/>
    <n v="0"/>
    <s v="No"/>
    <s v="None"/>
    <s v="Auto &amp; Transport|Gas &amp; Fuel"/>
  </r>
  <r>
    <s v="Budget"/>
    <d v="2014-12-28T00:00:00"/>
    <n v="-30"/>
    <m/>
    <m/>
    <m/>
    <m/>
    <m/>
    <m/>
    <m/>
    <x v="17"/>
    <x v="11"/>
    <s v="Budget"/>
    <m/>
    <m/>
    <m/>
    <s v="Monthly"/>
    <s v="Budget"/>
    <s v="Monthly"/>
    <n v="0"/>
    <s v="No"/>
    <s v="None"/>
    <s v="Auto &amp; Transport|Parking"/>
  </r>
  <r>
    <s v="Budget"/>
    <d v="2014-12-28T00:00:00"/>
    <n v="-360"/>
    <m/>
    <m/>
    <m/>
    <m/>
    <m/>
    <m/>
    <m/>
    <x v="17"/>
    <x v="11"/>
    <s v="Budget"/>
    <m/>
    <m/>
    <m/>
    <s v="Annual"/>
    <s v="Budget"/>
    <s v="Monthly"/>
    <n v="0"/>
    <s v="No"/>
    <s v="None"/>
    <s v="Auto &amp; Transport|Parking"/>
  </r>
  <r>
    <s v="Budget"/>
    <d v="2014-12-28T00:00:00"/>
    <n v="-20"/>
    <m/>
    <m/>
    <m/>
    <m/>
    <m/>
    <m/>
    <m/>
    <x v="17"/>
    <x v="4"/>
    <s v="Budget"/>
    <m/>
    <m/>
    <m/>
    <s v="Monthly"/>
    <s v="Budget"/>
    <s v="Annual"/>
    <n v="0"/>
    <s v="No"/>
    <s v="None"/>
    <s v="Auto &amp; Transport|Registration"/>
  </r>
  <r>
    <s v="Budget"/>
    <d v="2014-12-28T00:00:00"/>
    <n v="-240"/>
    <m/>
    <m/>
    <m/>
    <m/>
    <m/>
    <m/>
    <m/>
    <x v="17"/>
    <x v="4"/>
    <s v="Budget"/>
    <m/>
    <m/>
    <m/>
    <s v="Annual"/>
    <s v="Budget"/>
    <s v="Annual"/>
    <n v="0"/>
    <s v="No"/>
    <s v="None"/>
    <s v="Auto &amp; Transport|Registration"/>
  </r>
  <r>
    <s v="Budget"/>
    <d v="2014-12-28T00:00:00"/>
    <n v="-20"/>
    <m/>
    <m/>
    <m/>
    <m/>
    <m/>
    <m/>
    <m/>
    <x v="17"/>
    <x v="64"/>
    <s v="Budget"/>
    <m/>
    <m/>
    <m/>
    <s v="Monthly"/>
    <s v="Budget"/>
    <s v="Unplanned"/>
    <n v="0"/>
    <s v="No"/>
    <s v="None"/>
    <s v="Auto &amp; Transport|Service &amp; Parts"/>
  </r>
  <r>
    <s v="Budget"/>
    <d v="2014-12-28T00:00:00"/>
    <n v="-240"/>
    <m/>
    <m/>
    <m/>
    <m/>
    <m/>
    <m/>
    <m/>
    <x v="17"/>
    <x v="64"/>
    <s v="Budget"/>
    <m/>
    <m/>
    <m/>
    <s v="Annual"/>
    <s v="Budget"/>
    <s v="Unplanned"/>
    <n v="0"/>
    <s v="No"/>
    <s v="None"/>
    <s v="Auto &amp; Transport|Service &amp; Parts"/>
  </r>
  <r>
    <s v="Budget"/>
    <d v="2014-12-28T00:00:00"/>
    <n v="-15"/>
    <m/>
    <m/>
    <m/>
    <m/>
    <m/>
    <m/>
    <m/>
    <x v="17"/>
    <x v="40"/>
    <s v="Budget"/>
    <m/>
    <m/>
    <m/>
    <s v="Monthly"/>
    <s v="Budget"/>
    <s v="Irregular"/>
    <n v="0"/>
    <s v="No"/>
    <s v="None"/>
    <s v="Auto &amp; Transport|Tolls"/>
  </r>
  <r>
    <s v="Budget"/>
    <d v="2014-12-28T00:00:00"/>
    <n v="-180"/>
    <m/>
    <m/>
    <m/>
    <m/>
    <m/>
    <m/>
    <m/>
    <x v="17"/>
    <x v="40"/>
    <s v="Budget"/>
    <m/>
    <m/>
    <m/>
    <s v="Annual"/>
    <s v="Budget"/>
    <s v="Irregular"/>
    <n v="0"/>
    <s v="No"/>
    <s v="None"/>
    <s v="Auto &amp; Transport|Tolls"/>
  </r>
  <r>
    <s v="Budget"/>
    <d v="2014-12-28T00:00:00"/>
    <n v="-48"/>
    <m/>
    <m/>
    <m/>
    <m/>
    <m/>
    <m/>
    <m/>
    <x v="34"/>
    <x v="34"/>
    <s v="Budget"/>
    <m/>
    <m/>
    <m/>
    <s v="Monthly"/>
    <s v="Budget"/>
    <s v="Monthly"/>
    <n v="0"/>
    <s v="No"/>
    <s v="None"/>
    <s v="Bills &amp; Utilities|Home Phone"/>
  </r>
  <r>
    <s v="Budget"/>
    <d v="2014-12-28T00:00:00"/>
    <n v="-576"/>
    <m/>
    <m/>
    <m/>
    <m/>
    <m/>
    <m/>
    <m/>
    <x v="34"/>
    <x v="34"/>
    <s v="Budget"/>
    <m/>
    <m/>
    <m/>
    <s v="Annual"/>
    <s v="Budget"/>
    <s v="Monthly"/>
    <n v="0"/>
    <s v="No"/>
    <s v="None"/>
    <s v="Bills &amp; Utilities|Home Phone"/>
  </r>
  <r>
    <s v="Budget"/>
    <d v="2014-12-28T00:00:00"/>
    <n v="-28"/>
    <m/>
    <m/>
    <m/>
    <m/>
    <m/>
    <m/>
    <m/>
    <x v="34"/>
    <x v="67"/>
    <s v="Budget"/>
    <m/>
    <m/>
    <m/>
    <s v="Monthly"/>
    <s v="Budget"/>
    <s v="Monthly"/>
    <n v="0"/>
    <s v="No"/>
    <s v="None"/>
    <s v="Bills &amp; Utilities|Insurance (Umbrella)"/>
  </r>
  <r>
    <s v="Budget"/>
    <d v="2014-12-28T00:00:00"/>
    <n v="-336"/>
    <m/>
    <m/>
    <m/>
    <m/>
    <m/>
    <m/>
    <m/>
    <x v="34"/>
    <x v="67"/>
    <s v="Budget"/>
    <m/>
    <m/>
    <m/>
    <s v="Annual"/>
    <s v="Budget"/>
    <s v="Monthly"/>
    <n v="0"/>
    <s v="No"/>
    <s v="None"/>
    <s v="Bills &amp; Utilities|Insurance (Umbrella)"/>
  </r>
  <r>
    <s v="Budget"/>
    <d v="2014-12-28T00:00:00"/>
    <n v="-21"/>
    <m/>
    <m/>
    <m/>
    <m/>
    <m/>
    <m/>
    <m/>
    <x v="34"/>
    <x v="32"/>
    <s v="Budget"/>
    <m/>
    <m/>
    <m/>
    <s v="Monthly"/>
    <s v="Budget"/>
    <s v="Monthly"/>
    <n v="0"/>
    <s v="No"/>
    <s v="None"/>
    <s v="Bills &amp; Utilities|Television"/>
  </r>
  <r>
    <s v="Budget"/>
    <d v="2014-12-28T00:00:00"/>
    <n v="-252"/>
    <m/>
    <m/>
    <m/>
    <m/>
    <m/>
    <m/>
    <m/>
    <x v="34"/>
    <x v="32"/>
    <s v="Budget"/>
    <m/>
    <m/>
    <m/>
    <s v="Annual"/>
    <s v="Budget"/>
    <s v="Monthly"/>
    <n v="0"/>
    <s v="No"/>
    <s v="None"/>
    <s v="Bills &amp; Utilities|Television"/>
  </r>
  <r>
    <s v="Budget"/>
    <d v="2014-12-28T00:00:00"/>
    <n v="-250"/>
    <m/>
    <m/>
    <m/>
    <m/>
    <m/>
    <m/>
    <m/>
    <x v="34"/>
    <x v="18"/>
    <s v="Budget"/>
    <m/>
    <m/>
    <m/>
    <s v="Monthly"/>
    <s v="Budget"/>
    <s v="Monthly"/>
    <n v="0"/>
    <s v="No"/>
    <s v="None"/>
    <s v="Bills &amp; Utilities|Utilities"/>
  </r>
  <r>
    <s v="Budget"/>
    <d v="2014-12-28T00:00:00"/>
    <n v="-3000"/>
    <m/>
    <m/>
    <m/>
    <m/>
    <m/>
    <m/>
    <m/>
    <x v="34"/>
    <x v="18"/>
    <s v="Budget"/>
    <m/>
    <m/>
    <m/>
    <s v="Annual"/>
    <s v="Budget"/>
    <s v="Monthly"/>
    <n v="0"/>
    <s v="No"/>
    <s v="None"/>
    <s v="Bills &amp; Utilities|Utilities"/>
  </r>
  <r>
    <s v="Budget"/>
    <d v="2014-12-28T00:00:00"/>
    <n v="-147"/>
    <m/>
    <m/>
    <m/>
    <m/>
    <m/>
    <m/>
    <m/>
    <x v="36"/>
    <x v="22"/>
    <s v="Budget"/>
    <m/>
    <m/>
    <m/>
    <s v="Monthly"/>
    <s v="Budget"/>
    <s v="Monthly"/>
    <n v="0"/>
    <s v="No"/>
    <s v="None"/>
    <s v="Business Expenses (Koolikai)|Cell Phone"/>
  </r>
  <r>
    <s v="Budget"/>
    <d v="2014-12-28T00:00:00"/>
    <n v="-1764"/>
    <m/>
    <m/>
    <m/>
    <m/>
    <m/>
    <m/>
    <m/>
    <x v="36"/>
    <x v="22"/>
    <s v="Budget"/>
    <m/>
    <m/>
    <m/>
    <s v="Annual"/>
    <s v="Budget"/>
    <s v="Monthly"/>
    <n v="0"/>
    <s v="No"/>
    <s v="None"/>
    <s v="Business Expenses (Koolikai)|Cell Phone"/>
  </r>
  <r>
    <s v="Budget"/>
    <d v="2014-12-28T00:00:00"/>
    <n v="-62"/>
    <m/>
    <m/>
    <m/>
    <m/>
    <m/>
    <m/>
    <m/>
    <x v="36"/>
    <x v="33"/>
    <s v="Budget"/>
    <m/>
    <m/>
    <m/>
    <s v="Monthly"/>
    <s v="Budget"/>
    <s v="Monthly"/>
    <n v="0"/>
    <s v="No"/>
    <s v="None"/>
    <s v="Business Expenses (Koolikai)|Internet"/>
  </r>
  <r>
    <s v="Budget"/>
    <d v="2014-12-28T00:00:00"/>
    <n v="-744"/>
    <m/>
    <m/>
    <m/>
    <m/>
    <m/>
    <m/>
    <m/>
    <x v="36"/>
    <x v="33"/>
    <s v="Budget"/>
    <m/>
    <m/>
    <m/>
    <s v="Annual"/>
    <s v="Budget"/>
    <s v="Monthly"/>
    <n v="0"/>
    <s v="No"/>
    <s v="None"/>
    <s v="Business Expenses (Koolikai)|Internet"/>
  </r>
  <r>
    <s v="Budget"/>
    <d v="2014-12-28T00:00:00"/>
    <n v="-5600"/>
    <m/>
    <m/>
    <m/>
    <m/>
    <m/>
    <m/>
    <m/>
    <x v="36"/>
    <x v="30"/>
    <s v="Budget"/>
    <m/>
    <m/>
    <m/>
    <s v="Monthly"/>
    <s v="Budget"/>
    <s v="Monthly"/>
    <n v="0"/>
    <s v="No"/>
    <s v="None"/>
    <s v="Business Expenses (Koolikai)|Mortgage (Business)"/>
  </r>
  <r>
    <s v="Budget"/>
    <d v="2014-12-28T00:00:00"/>
    <n v="-67200"/>
    <m/>
    <m/>
    <m/>
    <m/>
    <m/>
    <m/>
    <m/>
    <x v="36"/>
    <x v="30"/>
    <s v="Budget"/>
    <m/>
    <m/>
    <m/>
    <s v="Annual"/>
    <s v="Budget"/>
    <s v="Monthly"/>
    <n v="0"/>
    <s v="No"/>
    <s v="None"/>
    <s v="Business Expenses (Koolikai)|Mortgage (Business)"/>
  </r>
  <r>
    <s v="Budget"/>
    <d v="2014-12-28T00:00:00"/>
    <n v="-40"/>
    <m/>
    <m/>
    <m/>
    <m/>
    <m/>
    <m/>
    <m/>
    <x v="36"/>
    <x v="42"/>
    <s v="Budget"/>
    <m/>
    <m/>
    <m/>
    <s v="Monthly"/>
    <s v="Budget"/>
    <s v="Monthly"/>
    <n v="0"/>
    <s v="No"/>
    <s v="None"/>
    <s v="Business Expenses (Koolikai)|Office Expenses (Business)"/>
  </r>
  <r>
    <s v="Budget"/>
    <d v="2014-12-28T00:00:00"/>
    <n v="-480"/>
    <m/>
    <m/>
    <m/>
    <m/>
    <m/>
    <m/>
    <m/>
    <x v="36"/>
    <x v="42"/>
    <s v="Budget"/>
    <m/>
    <m/>
    <m/>
    <s v="Annual"/>
    <s v="Budget"/>
    <s v="Monthly"/>
    <n v="0"/>
    <s v="No"/>
    <s v="None"/>
    <s v="Business Expenses (Koolikai)|Office Expenses (Business)"/>
  </r>
  <r>
    <s v="Budget"/>
    <d v="2014-12-28T00:00:00"/>
    <n v="-2"/>
    <m/>
    <m/>
    <m/>
    <m/>
    <m/>
    <m/>
    <m/>
    <x v="36"/>
    <x v="69"/>
    <s v="Budget"/>
    <m/>
    <m/>
    <m/>
    <s v="Monthly"/>
    <s v="Budget"/>
    <s v="Annual"/>
    <n v="0"/>
    <s v="No"/>
    <s v="None"/>
    <s v="Business Expenses (Koolikai)|Postage and Delivery (Business)"/>
  </r>
  <r>
    <s v="Budget"/>
    <d v="2014-12-28T00:00:00"/>
    <n v="-24"/>
    <m/>
    <m/>
    <m/>
    <m/>
    <m/>
    <m/>
    <m/>
    <x v="36"/>
    <x v="69"/>
    <s v="Budget"/>
    <m/>
    <m/>
    <m/>
    <s v="Annual"/>
    <s v="Budget"/>
    <s v="Annual"/>
    <n v="0"/>
    <s v="No"/>
    <s v="None"/>
    <s v="Business Expenses (Koolikai)|Postage and Delivery (Business)"/>
  </r>
  <r>
    <s v="Budget"/>
    <d v="2014-12-28T00:00:00"/>
    <n v="-50"/>
    <m/>
    <m/>
    <m/>
    <m/>
    <m/>
    <m/>
    <m/>
    <x v="36"/>
    <x v="61"/>
    <s v="Budget"/>
    <m/>
    <m/>
    <m/>
    <s v="Monthly"/>
    <s v="Budget"/>
    <s v="Annual"/>
    <n v="0"/>
    <s v="No"/>
    <s v="None"/>
    <s v="Business Expenses (Koolikai)|Prof and Legal Fees"/>
  </r>
  <r>
    <s v="Budget"/>
    <d v="2014-12-28T00:00:00"/>
    <n v="-600"/>
    <m/>
    <m/>
    <m/>
    <m/>
    <m/>
    <m/>
    <m/>
    <x v="36"/>
    <x v="61"/>
    <s v="Budget"/>
    <m/>
    <m/>
    <m/>
    <s v="Annual"/>
    <s v="Budget"/>
    <s v="Annual"/>
    <n v="0"/>
    <s v="No"/>
    <s v="None"/>
    <s v="Business Expenses (Koolikai)|Prof and Legal Fees"/>
  </r>
  <r>
    <s v="Budget"/>
    <d v="2014-12-28T00:00:00"/>
    <n v="-250"/>
    <m/>
    <m/>
    <m/>
    <m/>
    <m/>
    <m/>
    <m/>
    <x v="36"/>
    <x v="72"/>
    <s v="Budget"/>
    <m/>
    <m/>
    <m/>
    <s v="Monthly"/>
    <s v="Budget"/>
    <s v="Irregular"/>
    <n v="0"/>
    <s v="No"/>
    <s v="None"/>
    <s v="Business Expenses (Koolikai)|Projects"/>
  </r>
  <r>
    <s v="Budget"/>
    <d v="2014-12-28T00:00:00"/>
    <n v="-3000"/>
    <m/>
    <m/>
    <m/>
    <m/>
    <m/>
    <m/>
    <m/>
    <x v="36"/>
    <x v="72"/>
    <s v="Budget"/>
    <m/>
    <m/>
    <m/>
    <s v="Annual"/>
    <s v="Budget"/>
    <s v="Irregular"/>
    <n v="0"/>
    <s v="No"/>
    <s v="None"/>
    <s v="Business Expenses (Koolikai)|Projects"/>
  </r>
  <r>
    <s v="Budget"/>
    <d v="2014-12-28T00:00:00"/>
    <n v="-100"/>
    <m/>
    <m/>
    <m/>
    <m/>
    <m/>
    <m/>
    <m/>
    <x v="36"/>
    <x v="41"/>
    <s v="Budget"/>
    <m/>
    <m/>
    <m/>
    <s v="Monthly"/>
    <s v="Budget"/>
    <s v="Irregular"/>
    <n v="0"/>
    <s v="No"/>
    <s v="None"/>
    <s v="Business Expenses (Koolikai)|Repairs"/>
  </r>
  <r>
    <s v="Budget"/>
    <d v="2014-12-28T00:00:00"/>
    <n v="-1200"/>
    <m/>
    <m/>
    <m/>
    <m/>
    <m/>
    <m/>
    <m/>
    <x v="36"/>
    <x v="41"/>
    <s v="Budget"/>
    <m/>
    <m/>
    <m/>
    <s v="Annual"/>
    <s v="Budget"/>
    <s v="Irregular"/>
    <n v="0"/>
    <s v="No"/>
    <s v="None"/>
    <s v="Business Expenses (Koolikai)|Repairs"/>
  </r>
  <r>
    <s v="Budget"/>
    <d v="2014-12-28T00:00:00"/>
    <n v="-10"/>
    <m/>
    <m/>
    <m/>
    <m/>
    <m/>
    <m/>
    <m/>
    <x v="36"/>
    <x v="66"/>
    <s v="Budget"/>
    <m/>
    <m/>
    <m/>
    <s v="Monthly"/>
    <s v="Budget"/>
    <s v="Irregular"/>
    <n v="0"/>
    <s v="No"/>
    <s v="None"/>
    <s v="Business Expenses (Koolikai)|Supplies (Business)"/>
  </r>
  <r>
    <s v="Budget"/>
    <d v="2014-12-28T00:00:00"/>
    <n v="-120"/>
    <m/>
    <m/>
    <m/>
    <m/>
    <m/>
    <m/>
    <m/>
    <x v="36"/>
    <x v="66"/>
    <s v="Budget"/>
    <m/>
    <m/>
    <m/>
    <s v="Annual"/>
    <s v="Budget"/>
    <s v="Irregular"/>
    <n v="0"/>
    <s v="No"/>
    <s v="None"/>
    <s v="Business Expenses (Koolikai)|Supplies (Business)"/>
  </r>
  <r>
    <s v="Budget"/>
    <d v="2014-12-28T00:00:00"/>
    <n v="-6"/>
    <m/>
    <m/>
    <m/>
    <m/>
    <m/>
    <m/>
    <m/>
    <x v="36"/>
    <x v="73"/>
    <s v="Budget"/>
    <m/>
    <m/>
    <m/>
    <s v="Monthly"/>
    <s v="Budget"/>
    <s v="Annual"/>
    <n v="0"/>
    <s v="No"/>
    <s v="None"/>
    <s v="Business Expenses (Koolikai)|Taxes (Business)"/>
  </r>
  <r>
    <s v="Budget"/>
    <d v="2014-12-28T00:00:00"/>
    <n v="-72"/>
    <m/>
    <m/>
    <m/>
    <m/>
    <m/>
    <m/>
    <m/>
    <x v="36"/>
    <x v="73"/>
    <s v="Budget"/>
    <m/>
    <m/>
    <m/>
    <s v="Annual"/>
    <s v="Budget"/>
    <s v="Annual"/>
    <n v="0"/>
    <s v="No"/>
    <s v="None"/>
    <s v="Business Expenses (Koolikai)|Taxes (Business)"/>
  </r>
  <r>
    <s v="Budget"/>
    <d v="2014-12-28T00:00:00"/>
    <n v="-10"/>
    <m/>
    <m/>
    <m/>
    <m/>
    <m/>
    <m/>
    <m/>
    <x v="36"/>
    <x v="49"/>
    <s v="Budget"/>
    <m/>
    <m/>
    <m/>
    <s v="Monthly"/>
    <s v="Budget"/>
    <s v="Irregular"/>
    <n v="0"/>
    <s v="No"/>
    <s v="None"/>
    <s v="Business Expenses (Koolikai)|Tools"/>
  </r>
  <r>
    <s v="Budget"/>
    <d v="2014-12-28T00:00:00"/>
    <n v="-120"/>
    <m/>
    <m/>
    <m/>
    <m/>
    <m/>
    <m/>
    <m/>
    <x v="36"/>
    <x v="49"/>
    <s v="Budget"/>
    <m/>
    <m/>
    <m/>
    <s v="Annual"/>
    <s v="Budget"/>
    <s v="Irregular"/>
    <n v="0"/>
    <s v="No"/>
    <s v="None"/>
    <s v="Business Expenses (Koolikai)|Tools"/>
  </r>
  <r>
    <s v="Budget"/>
    <d v="2014-12-28T00:00:00"/>
    <n v="4490"/>
    <m/>
    <m/>
    <m/>
    <m/>
    <m/>
    <m/>
    <m/>
    <x v="37"/>
    <x v="25"/>
    <s v="Budget"/>
    <m/>
    <m/>
    <m/>
    <s v="Monthly"/>
    <s v="Budget"/>
    <s v="Monthly"/>
    <n v="0"/>
    <s v="No"/>
    <s v="None"/>
    <s v="Business Income (Koolikai)|Rent"/>
  </r>
  <r>
    <s v="Budget"/>
    <d v="2014-12-28T00:00:00"/>
    <n v="53880"/>
    <m/>
    <m/>
    <m/>
    <m/>
    <m/>
    <m/>
    <m/>
    <x v="37"/>
    <x v="25"/>
    <s v="Budget"/>
    <m/>
    <m/>
    <m/>
    <s v="Annual"/>
    <s v="Budget"/>
    <s v="Monthly"/>
    <n v="0"/>
    <s v="No"/>
    <s v="None"/>
    <s v="Business Income (Koolikai)|Rent"/>
  </r>
  <r>
    <s v="Budget"/>
    <d v="2014-12-28T00:00:00"/>
    <n v="-2"/>
    <m/>
    <m/>
    <m/>
    <m/>
    <m/>
    <m/>
    <m/>
    <x v="53"/>
    <x v="74"/>
    <s v="Budget"/>
    <m/>
    <m/>
    <m/>
    <s v="Monthly"/>
    <s v="Budget"/>
    <s v="Irregular"/>
    <n v="0"/>
    <s v="No"/>
    <s v="None"/>
    <s v="Education|Books &amp; Supplies"/>
  </r>
  <r>
    <s v="Budget"/>
    <d v="2014-12-28T00:00:00"/>
    <n v="-24"/>
    <m/>
    <m/>
    <m/>
    <m/>
    <m/>
    <m/>
    <m/>
    <x v="53"/>
    <x v="74"/>
    <s v="Budget"/>
    <m/>
    <m/>
    <m/>
    <s v="Annual"/>
    <s v="Budget"/>
    <s v="Irregular"/>
    <n v="0"/>
    <s v="No"/>
    <s v="None"/>
    <s v="Education|Books &amp; Supplies"/>
  </r>
  <r>
    <s v="Budget"/>
    <d v="2014-12-28T00:00:00"/>
    <n v="-2"/>
    <m/>
    <m/>
    <m/>
    <m/>
    <m/>
    <m/>
    <m/>
    <x v="53"/>
    <x v="75"/>
    <s v="Budget"/>
    <m/>
    <m/>
    <m/>
    <s v="Monthly"/>
    <s v="Budget"/>
    <s v="Irregular"/>
    <n v="0"/>
    <s v="No"/>
    <s v="None"/>
    <s v="Education|Community Education"/>
  </r>
  <r>
    <s v="Budget"/>
    <d v="2014-12-28T00:00:00"/>
    <n v="-24"/>
    <m/>
    <m/>
    <m/>
    <m/>
    <m/>
    <m/>
    <m/>
    <x v="53"/>
    <x v="75"/>
    <s v="Budget"/>
    <m/>
    <m/>
    <m/>
    <s v="Annual"/>
    <s v="Budget"/>
    <s v="Irregular"/>
    <n v="0"/>
    <s v="No"/>
    <s v="None"/>
    <s v="Education|Community Education"/>
  </r>
  <r>
    <s v="Budget"/>
    <d v="2014-12-28T00:00:00"/>
    <n v="-100"/>
    <m/>
    <m/>
    <m/>
    <m/>
    <m/>
    <m/>
    <m/>
    <x v="30"/>
    <x v="0"/>
    <s v="Budget"/>
    <m/>
    <m/>
    <m/>
    <s v="Monthly"/>
    <s v="Budget"/>
    <s v="Monthly"/>
    <n v="0"/>
    <s v="No"/>
    <s v="None"/>
    <s v="Entertainment"/>
  </r>
  <r>
    <s v="Budget"/>
    <d v="2014-12-28T00:00:00"/>
    <n v="-1200"/>
    <m/>
    <m/>
    <m/>
    <m/>
    <m/>
    <m/>
    <m/>
    <x v="30"/>
    <x v="0"/>
    <s v="Budget"/>
    <m/>
    <m/>
    <m/>
    <s v="Annual"/>
    <s v="Budget"/>
    <s v="Monthly"/>
    <n v="0"/>
    <s v="No"/>
    <s v="None"/>
    <s v="Entertainment"/>
  </r>
  <r>
    <s v="Budget"/>
    <d v="2014-12-28T00:00:00"/>
    <n v="-700"/>
    <m/>
    <m/>
    <m/>
    <m/>
    <m/>
    <m/>
    <m/>
    <x v="15"/>
    <x v="3"/>
    <s v="Budget"/>
    <m/>
    <m/>
    <m/>
    <s v="Monthly"/>
    <s v="Budget"/>
    <s v="Monthly"/>
    <n v="0"/>
    <s v="No"/>
    <s v="None"/>
    <s v="Food &amp; Dining|Groceries"/>
  </r>
  <r>
    <s v="Budget"/>
    <d v="2014-12-28T00:00:00"/>
    <n v="-8400"/>
    <m/>
    <m/>
    <m/>
    <m/>
    <m/>
    <m/>
    <m/>
    <x v="15"/>
    <x v="3"/>
    <s v="Budget"/>
    <m/>
    <m/>
    <m/>
    <s v="Annual"/>
    <s v="Budget"/>
    <s v="Monthly"/>
    <n v="0"/>
    <s v="No"/>
    <s v="None"/>
    <s v="Food &amp; Dining|Groceries"/>
  </r>
  <r>
    <s v="Budget"/>
    <d v="2014-12-28T00:00:00"/>
    <n v="-500"/>
    <m/>
    <m/>
    <m/>
    <m/>
    <m/>
    <m/>
    <m/>
    <x v="15"/>
    <x v="15"/>
    <s v="Budget"/>
    <m/>
    <m/>
    <m/>
    <s v="Monthly"/>
    <s v="Budget"/>
    <s v="Monthly"/>
    <n v="0"/>
    <s v="No"/>
    <s v="None"/>
    <s v="Food &amp; Dining|Restaurants"/>
  </r>
  <r>
    <s v="Budget"/>
    <d v="2014-12-28T00:00:00"/>
    <n v="-6000"/>
    <m/>
    <m/>
    <m/>
    <m/>
    <m/>
    <m/>
    <m/>
    <x v="15"/>
    <x v="15"/>
    <s v="Budget"/>
    <m/>
    <m/>
    <m/>
    <s v="Annual"/>
    <s v="Budget"/>
    <s v="Monthly"/>
    <n v="0"/>
    <s v="No"/>
    <s v="None"/>
    <s v="Food &amp; Dining|Restaurants"/>
  </r>
  <r>
    <s v="Budget"/>
    <d v="2014-12-28T00:00:00"/>
    <n v="-100"/>
    <m/>
    <m/>
    <m/>
    <m/>
    <m/>
    <m/>
    <m/>
    <x v="28"/>
    <x v="0"/>
    <s v="Budget"/>
    <m/>
    <m/>
    <m/>
    <s v="Monthly"/>
    <s v="Budget"/>
    <s v="Monthly"/>
    <n v="0"/>
    <s v="No"/>
    <s v="None"/>
    <s v="Gifts"/>
  </r>
  <r>
    <s v="Budget"/>
    <d v="2014-12-28T00:00:00"/>
    <n v="-1200"/>
    <m/>
    <m/>
    <m/>
    <m/>
    <m/>
    <m/>
    <m/>
    <x v="28"/>
    <x v="0"/>
    <s v="Budget"/>
    <m/>
    <m/>
    <m/>
    <s v="Annual"/>
    <s v="Budget"/>
    <s v="Monthly"/>
    <n v="0"/>
    <s v="No"/>
    <s v="None"/>
    <s v="Gifts"/>
  </r>
  <r>
    <s v="Budget"/>
    <d v="2014-12-28T00:00:00"/>
    <n v="-325"/>
    <m/>
    <m/>
    <m/>
    <m/>
    <m/>
    <m/>
    <m/>
    <x v="18"/>
    <x v="56"/>
    <s v="Budget"/>
    <m/>
    <m/>
    <m/>
    <s v="Monthly"/>
    <s v="Budget"/>
    <s v="Irregular"/>
    <n v="0"/>
    <s v="No"/>
    <s v="None"/>
    <s v="Health &amp; Fitness|Doctor"/>
  </r>
  <r>
    <s v="Budget"/>
    <d v="2014-12-28T00:00:00"/>
    <n v="-3900"/>
    <m/>
    <m/>
    <m/>
    <m/>
    <m/>
    <m/>
    <m/>
    <x v="18"/>
    <x v="56"/>
    <s v="Budget"/>
    <m/>
    <m/>
    <m/>
    <s v="Annual"/>
    <s v="Budget"/>
    <s v="Irregular"/>
    <n v="0"/>
    <s v="No"/>
    <s v="None"/>
    <s v="Health &amp; Fitness|Doctor"/>
  </r>
  <r>
    <s v="Budget"/>
    <d v="2014-12-28T00:00:00"/>
    <n v="-50"/>
    <m/>
    <m/>
    <m/>
    <m/>
    <m/>
    <m/>
    <m/>
    <x v="14"/>
    <x v="2"/>
    <s v="Budget"/>
    <m/>
    <m/>
    <m/>
    <s v="Monthly"/>
    <s v="Budget"/>
    <s v="Monthly"/>
    <n v="0"/>
    <s v="No"/>
    <s v="None"/>
    <s v="Home|Furnishings"/>
  </r>
  <r>
    <s v="Budget"/>
    <d v="2014-12-28T00:00:00"/>
    <n v="-600"/>
    <m/>
    <m/>
    <m/>
    <m/>
    <m/>
    <m/>
    <m/>
    <x v="14"/>
    <x v="2"/>
    <s v="Budget"/>
    <m/>
    <m/>
    <m/>
    <s v="Annual"/>
    <s v="Budget"/>
    <s v="Monthly"/>
    <n v="0"/>
    <s v="No"/>
    <s v="None"/>
    <s v="Home|Furnishings"/>
  </r>
  <r>
    <s v="Budget"/>
    <d v="2014-12-28T00:00:00"/>
    <n v="-210"/>
    <m/>
    <m/>
    <m/>
    <m/>
    <m/>
    <m/>
    <m/>
    <x v="14"/>
    <x v="46"/>
    <s v="Budget"/>
    <m/>
    <m/>
    <m/>
    <s v="Monthly"/>
    <s v="Budget"/>
    <s v="Monthly"/>
    <n v="0"/>
    <s v="No"/>
    <s v="None"/>
    <s v="Home|Home Services"/>
  </r>
  <r>
    <s v="Budget"/>
    <d v="2014-12-28T00:00:00"/>
    <n v="-2520"/>
    <m/>
    <m/>
    <m/>
    <m/>
    <m/>
    <m/>
    <m/>
    <x v="14"/>
    <x v="46"/>
    <s v="Budget"/>
    <m/>
    <m/>
    <m/>
    <s v="Annual"/>
    <s v="Budget"/>
    <s v="Monthly"/>
    <n v="0"/>
    <s v="No"/>
    <s v="None"/>
    <s v="Home|Home Services"/>
  </r>
  <r>
    <s v="Budget"/>
    <d v="2014-12-28T00:00:00"/>
    <n v="-3575"/>
    <m/>
    <m/>
    <m/>
    <m/>
    <m/>
    <m/>
    <m/>
    <x v="14"/>
    <x v="27"/>
    <s v="Budget"/>
    <m/>
    <m/>
    <m/>
    <s v="Monthly"/>
    <s v="Budget"/>
    <s v="Monthly"/>
    <n v="0"/>
    <s v="No"/>
    <s v="None"/>
    <s v="Home|Mortgage"/>
  </r>
  <r>
    <s v="Budget"/>
    <d v="2014-12-28T00:00:00"/>
    <n v="-42900"/>
    <m/>
    <m/>
    <m/>
    <m/>
    <m/>
    <m/>
    <m/>
    <x v="14"/>
    <x v="27"/>
    <s v="Budget"/>
    <m/>
    <m/>
    <m/>
    <s v="Annual"/>
    <s v="Budget"/>
    <s v="Monthly"/>
    <n v="0"/>
    <s v="No"/>
    <s v="None"/>
    <s v="Home|Mortgage"/>
  </r>
  <r>
    <s v="Budget"/>
    <d v="2014-12-28T00:00:00"/>
    <n v="150"/>
    <m/>
    <m/>
    <m/>
    <m/>
    <m/>
    <m/>
    <m/>
    <x v="40"/>
    <x v="0"/>
    <s v="Budget"/>
    <m/>
    <m/>
    <m/>
    <s v="Monthly"/>
    <s v="Budget"/>
    <s v="Monthly"/>
    <n v="0"/>
    <s v="No"/>
    <s v="None"/>
    <s v="Interest Income"/>
  </r>
  <r>
    <s v="Budget"/>
    <d v="2014-12-28T00:00:00"/>
    <n v="1800"/>
    <m/>
    <m/>
    <m/>
    <m/>
    <m/>
    <m/>
    <m/>
    <x v="40"/>
    <x v="0"/>
    <s v="Budget"/>
    <m/>
    <m/>
    <m/>
    <s v="Annual"/>
    <s v="Budget"/>
    <s v="Monthly"/>
    <n v="0"/>
    <s v="No"/>
    <s v="None"/>
    <s v="Interest Income"/>
  </r>
  <r>
    <s v="Budget"/>
    <d v="2014-12-28T00:00:00"/>
    <n v="-500"/>
    <m/>
    <m/>
    <m/>
    <m/>
    <m/>
    <m/>
    <m/>
    <x v="27"/>
    <x v="29"/>
    <s v="Budget"/>
    <m/>
    <m/>
    <m/>
    <s v="Monthly"/>
    <s v="Budget"/>
    <s v="Monthly"/>
    <n v="0"/>
    <s v="No"/>
    <s v="None"/>
    <s v="Kids|American Funds 529A"/>
  </r>
  <r>
    <s v="Budget"/>
    <d v="2014-12-28T00:00:00"/>
    <n v="-6000"/>
    <m/>
    <m/>
    <m/>
    <m/>
    <m/>
    <m/>
    <m/>
    <x v="27"/>
    <x v="29"/>
    <s v="Budget"/>
    <m/>
    <m/>
    <m/>
    <s v="Annual"/>
    <s v="Budget"/>
    <s v="Monthly"/>
    <n v="0"/>
    <s v="No"/>
    <s v="None"/>
    <s v="Kids|American Funds 529A"/>
  </r>
  <r>
    <s v="Budget"/>
    <d v="2014-12-28T00:00:00"/>
    <n v="-125"/>
    <m/>
    <m/>
    <m/>
    <m/>
    <m/>
    <m/>
    <m/>
    <x v="27"/>
    <x v="13"/>
    <s v="Budget"/>
    <m/>
    <m/>
    <m/>
    <s v="Monthly"/>
    <s v="Budget"/>
    <s v="Monthly"/>
    <n v="0"/>
    <s v="No"/>
    <s v="None"/>
    <s v="Kids|Babysitter"/>
  </r>
  <r>
    <s v="Budget"/>
    <d v="2014-12-28T00:00:00"/>
    <n v="-1500"/>
    <m/>
    <m/>
    <m/>
    <m/>
    <m/>
    <m/>
    <m/>
    <x v="27"/>
    <x v="13"/>
    <s v="Budget"/>
    <m/>
    <m/>
    <m/>
    <s v="Annual"/>
    <s v="Budget"/>
    <s v="Monthly"/>
    <n v="0"/>
    <s v="No"/>
    <s v="None"/>
    <s v="Kids|Babysitter"/>
  </r>
  <r>
    <s v="Budget"/>
    <d v="2014-12-28T00:00:00"/>
    <n v="-40"/>
    <m/>
    <m/>
    <m/>
    <m/>
    <m/>
    <m/>
    <m/>
    <x v="27"/>
    <x v="1"/>
    <s v="Budget"/>
    <m/>
    <m/>
    <m/>
    <s v="Monthly"/>
    <s v="Budget"/>
    <s v="Monthly"/>
    <n v="0"/>
    <s v="No"/>
    <s v="None"/>
    <s v="Kids|Clothing"/>
  </r>
  <r>
    <s v="Budget"/>
    <d v="2014-12-28T00:00:00"/>
    <n v="-480"/>
    <m/>
    <m/>
    <m/>
    <m/>
    <m/>
    <m/>
    <m/>
    <x v="27"/>
    <x v="1"/>
    <s v="Budget"/>
    <m/>
    <m/>
    <m/>
    <s v="Annual"/>
    <s v="Budget"/>
    <s v="Monthly"/>
    <n v="0"/>
    <s v="No"/>
    <s v="None"/>
    <s v="Kids|Clothing"/>
  </r>
  <r>
    <s v="Budget"/>
    <d v="2014-12-28T00:00:00"/>
    <n v="-1976"/>
    <m/>
    <m/>
    <m/>
    <m/>
    <m/>
    <m/>
    <m/>
    <x v="27"/>
    <x v="35"/>
    <s v="Budget"/>
    <m/>
    <m/>
    <m/>
    <s v="Monthly"/>
    <s v="Budget"/>
    <s v="Monthly"/>
    <n v="0"/>
    <s v="No"/>
    <s v="None"/>
    <s v="Kids|Daycare"/>
  </r>
  <r>
    <s v="Budget"/>
    <d v="2014-12-28T00:00:00"/>
    <n v="-23712"/>
    <m/>
    <m/>
    <m/>
    <m/>
    <m/>
    <m/>
    <m/>
    <x v="27"/>
    <x v="35"/>
    <s v="Budget"/>
    <m/>
    <m/>
    <m/>
    <s v="Annual"/>
    <s v="Budget"/>
    <s v="Monthly"/>
    <n v="0"/>
    <s v="No"/>
    <s v="None"/>
    <s v="Kids|Daycare"/>
  </r>
  <r>
    <s v="Budget"/>
    <d v="2014-12-28T00:00:00"/>
    <n v="-65"/>
    <m/>
    <m/>
    <m/>
    <m/>
    <m/>
    <m/>
    <m/>
    <x v="27"/>
    <x v="12"/>
    <s v="Budget"/>
    <m/>
    <m/>
    <m/>
    <s v="Monthly"/>
    <s v="Budget"/>
    <s v="Monthly"/>
    <n v="0"/>
    <s v="No"/>
    <s v="None"/>
    <s v="Kids|Kids Activities"/>
  </r>
  <r>
    <s v="Budget"/>
    <d v="2014-12-28T00:00:00"/>
    <n v="-780"/>
    <m/>
    <m/>
    <m/>
    <m/>
    <m/>
    <m/>
    <m/>
    <x v="27"/>
    <x v="12"/>
    <s v="Budget"/>
    <m/>
    <m/>
    <m/>
    <s v="Annual"/>
    <s v="Budget"/>
    <s v="Monthly"/>
    <n v="0"/>
    <s v="No"/>
    <s v="None"/>
    <s v="Kids|Kids Activities"/>
  </r>
  <r>
    <s v="Budget"/>
    <d v="2014-12-28T00:00:00"/>
    <n v="-75"/>
    <m/>
    <m/>
    <m/>
    <m/>
    <m/>
    <m/>
    <m/>
    <x v="27"/>
    <x v="14"/>
    <s v="Budget"/>
    <m/>
    <m/>
    <m/>
    <s v="Monthly"/>
    <s v="Budget"/>
    <s v="Monthly"/>
    <n v="0"/>
    <s v="No"/>
    <s v="None"/>
    <s v="Kids|Toys"/>
  </r>
  <r>
    <s v="Budget"/>
    <d v="2014-12-28T00:00:00"/>
    <n v="-900"/>
    <m/>
    <m/>
    <m/>
    <m/>
    <m/>
    <m/>
    <m/>
    <x v="27"/>
    <x v="14"/>
    <s v="Budget"/>
    <m/>
    <m/>
    <m/>
    <s v="Annual"/>
    <s v="Budget"/>
    <s v="Monthly"/>
    <n v="0"/>
    <s v="No"/>
    <s v="None"/>
    <s v="Kids|Toys"/>
  </r>
  <r>
    <s v="Budget"/>
    <d v="2014-12-28T00:00:00"/>
    <n v="12500"/>
    <m/>
    <m/>
    <m/>
    <m/>
    <m/>
    <m/>
    <m/>
    <x v="35"/>
    <x v="0"/>
    <s v="Budget"/>
    <m/>
    <m/>
    <m/>
    <s v="Monthly"/>
    <s v="Budget"/>
    <s v="Monthly"/>
    <n v="0"/>
    <s v="No"/>
    <s v="None"/>
    <s v="Net Salary"/>
  </r>
  <r>
    <s v="Budget"/>
    <d v="2014-12-28T00:00:00"/>
    <n v="150000"/>
    <m/>
    <m/>
    <m/>
    <m/>
    <m/>
    <m/>
    <m/>
    <x v="35"/>
    <x v="0"/>
    <s v="Budget"/>
    <m/>
    <m/>
    <m/>
    <s v="Annual"/>
    <s v="Budget"/>
    <s v="Monthly"/>
    <n v="0"/>
    <s v="No"/>
    <s v="None"/>
    <s v="Net Salary"/>
  </r>
  <r>
    <s v="Budget"/>
    <d v="2014-12-28T00:00:00"/>
    <n v="75"/>
    <m/>
    <m/>
    <m/>
    <m/>
    <m/>
    <m/>
    <m/>
    <x v="29"/>
    <x v="0"/>
    <s v="Budget"/>
    <m/>
    <m/>
    <m/>
    <s v="Monthly"/>
    <s v="Budget"/>
    <s v="Monthly"/>
    <n v="0"/>
    <s v="No"/>
    <s v="None"/>
    <s v="Other Inc"/>
  </r>
  <r>
    <s v="Budget"/>
    <d v="2014-12-28T00:00:00"/>
    <n v="900"/>
    <m/>
    <m/>
    <m/>
    <m/>
    <m/>
    <m/>
    <m/>
    <x v="29"/>
    <x v="0"/>
    <s v="Budget"/>
    <m/>
    <m/>
    <m/>
    <s v="Annual"/>
    <s v="Budget"/>
    <s v="Monthly"/>
    <n v="0"/>
    <s v="No"/>
    <s v="None"/>
    <s v="Other Inc"/>
  </r>
  <r>
    <s v="Budget"/>
    <d v="2014-12-28T00:00:00"/>
    <n v="-50"/>
    <m/>
    <m/>
    <m/>
    <m/>
    <m/>
    <m/>
    <m/>
    <x v="16"/>
    <x v="0"/>
    <s v="Budget"/>
    <m/>
    <m/>
    <m/>
    <s v="Monthly"/>
    <s v="Budget"/>
    <s v="Annual"/>
    <n v="0"/>
    <s v="No"/>
    <s v="None"/>
    <s v="Parties"/>
  </r>
  <r>
    <s v="Budget"/>
    <d v="2014-12-28T00:00:00"/>
    <n v="-600"/>
    <m/>
    <m/>
    <m/>
    <m/>
    <m/>
    <m/>
    <m/>
    <x v="16"/>
    <x v="0"/>
    <s v="Budget"/>
    <m/>
    <m/>
    <m/>
    <s v="Annual"/>
    <s v="Budget"/>
    <s v="Annual"/>
    <n v="0"/>
    <s v="No"/>
    <s v="None"/>
    <s v="Parties"/>
  </r>
  <r>
    <s v="Budget"/>
    <d v="2014-12-28T00:00:00"/>
    <n v="-10"/>
    <m/>
    <m/>
    <m/>
    <m/>
    <m/>
    <m/>
    <m/>
    <x v="31"/>
    <x v="45"/>
    <s v="Budget"/>
    <m/>
    <m/>
    <m/>
    <s v="Monthly"/>
    <s v="Budget"/>
    <s v="Monthly"/>
    <n v="0"/>
    <s v="No"/>
    <s v="None"/>
    <s v="Personal Care|Beauty &amp; Makeup"/>
  </r>
  <r>
    <s v="Budget"/>
    <d v="2014-12-28T00:00:00"/>
    <n v="-120"/>
    <m/>
    <m/>
    <m/>
    <m/>
    <m/>
    <m/>
    <m/>
    <x v="31"/>
    <x v="45"/>
    <s v="Budget"/>
    <m/>
    <m/>
    <m/>
    <s v="Annual"/>
    <s v="Budget"/>
    <s v="Monthly"/>
    <n v="0"/>
    <s v="No"/>
    <s v="None"/>
    <s v="Personal Care|Beauty &amp; Makeup"/>
  </r>
  <r>
    <s v="Budget"/>
    <d v="2014-12-28T00:00:00"/>
    <n v="-100"/>
    <m/>
    <m/>
    <m/>
    <m/>
    <m/>
    <m/>
    <m/>
    <x v="31"/>
    <x v="16"/>
    <s v="Budget"/>
    <m/>
    <m/>
    <m/>
    <s v="Monthly"/>
    <s v="Budget"/>
    <s v="Monthly"/>
    <n v="0"/>
    <s v="No"/>
    <s v="None"/>
    <s v="Personal Care|Hair"/>
  </r>
  <r>
    <s v="Budget"/>
    <d v="2014-12-28T00:00:00"/>
    <n v="-1200"/>
    <m/>
    <m/>
    <m/>
    <m/>
    <m/>
    <m/>
    <m/>
    <x v="31"/>
    <x v="16"/>
    <s v="Budget"/>
    <m/>
    <m/>
    <m/>
    <s v="Annual"/>
    <s v="Budget"/>
    <s v="Monthly"/>
    <n v="0"/>
    <s v="No"/>
    <s v="None"/>
    <s v="Personal Care|Hair"/>
  </r>
  <r>
    <s v="Budget"/>
    <d v="2014-12-28T00:00:00"/>
    <n v="-2"/>
    <m/>
    <m/>
    <m/>
    <m/>
    <m/>
    <m/>
    <m/>
    <x v="31"/>
    <x v="76"/>
    <s v="Budget"/>
    <m/>
    <m/>
    <m/>
    <s v="Monthly"/>
    <s v="Budget"/>
    <s v="Unplanned"/>
    <n v="0"/>
    <s v="No"/>
    <s v="None"/>
    <s v="Personal Care|Laundry"/>
  </r>
  <r>
    <s v="Budget"/>
    <d v="2014-12-28T00:00:00"/>
    <n v="-24"/>
    <m/>
    <m/>
    <m/>
    <m/>
    <m/>
    <m/>
    <m/>
    <x v="31"/>
    <x v="76"/>
    <s v="Budget"/>
    <m/>
    <m/>
    <m/>
    <s v="Annual"/>
    <s v="Budget"/>
    <s v="Unplanned"/>
    <n v="0"/>
    <s v="No"/>
    <s v="None"/>
    <s v="Personal Care|Laundry"/>
  </r>
  <r>
    <s v="Budget"/>
    <d v="2014-12-28T00:00:00"/>
    <n v="-2"/>
    <m/>
    <m/>
    <m/>
    <m/>
    <m/>
    <m/>
    <m/>
    <x v="31"/>
    <x v="77"/>
    <s v="Budget"/>
    <m/>
    <m/>
    <m/>
    <s v="Monthly"/>
    <s v="Budget"/>
    <s v="Irregular"/>
    <n v="0"/>
    <s v="No"/>
    <s v="None"/>
    <s v="Personal Care|Miscellaneous"/>
  </r>
  <r>
    <s v="Budget"/>
    <d v="2014-12-28T00:00:00"/>
    <n v="-24"/>
    <m/>
    <m/>
    <m/>
    <m/>
    <m/>
    <m/>
    <m/>
    <x v="31"/>
    <x v="77"/>
    <s v="Budget"/>
    <m/>
    <m/>
    <m/>
    <s v="Annual"/>
    <s v="Budget"/>
    <s v="Irregular"/>
    <n v="0"/>
    <s v="No"/>
    <s v="None"/>
    <s v="Personal Care|Miscellaneous"/>
  </r>
  <r>
    <s v="Budget"/>
    <d v="2014-12-28T00:00:00"/>
    <n v="-625"/>
    <m/>
    <m/>
    <m/>
    <m/>
    <m/>
    <m/>
    <m/>
    <x v="39"/>
    <x v="0"/>
    <s v="Budget"/>
    <m/>
    <m/>
    <m/>
    <s v="Monthly"/>
    <s v="Budget"/>
    <s v="Unplanned"/>
    <n v="0"/>
    <s v="No"/>
    <s v="None"/>
    <s v="Projects"/>
  </r>
  <r>
    <s v="Budget"/>
    <d v="2014-12-28T00:00:00"/>
    <n v="-7500"/>
    <m/>
    <m/>
    <m/>
    <m/>
    <m/>
    <m/>
    <m/>
    <x v="39"/>
    <x v="0"/>
    <s v="Budget"/>
    <m/>
    <m/>
    <m/>
    <s v="Annual"/>
    <s v="Budget"/>
    <s v="Unplanned"/>
    <n v="0"/>
    <s v="No"/>
    <s v="None"/>
    <s v="Projects"/>
  </r>
  <r>
    <s v="Budget"/>
    <d v="2014-12-28T00:00:00"/>
    <n v="-5"/>
    <m/>
    <m/>
    <m/>
    <m/>
    <m/>
    <m/>
    <m/>
    <x v="13"/>
    <x v="51"/>
    <s v="Budget"/>
    <m/>
    <m/>
    <m/>
    <s v="Monthly"/>
    <s v="Budget"/>
    <s v="Unplanned"/>
    <n v="0"/>
    <s v="No"/>
    <s v="None"/>
    <s v="Shopping|Books"/>
  </r>
  <r>
    <s v="Budget"/>
    <d v="2014-12-28T00:00:00"/>
    <n v="-60"/>
    <m/>
    <m/>
    <m/>
    <m/>
    <m/>
    <m/>
    <m/>
    <x v="13"/>
    <x v="51"/>
    <s v="Budget"/>
    <m/>
    <m/>
    <m/>
    <s v="Annual"/>
    <s v="Budget"/>
    <s v="Unplanned"/>
    <n v="0"/>
    <s v="No"/>
    <s v="None"/>
    <s v="Shopping|Books"/>
  </r>
  <r>
    <s v="Budget"/>
    <d v="2014-12-28T00:00:00"/>
    <n v="-150"/>
    <m/>
    <m/>
    <m/>
    <m/>
    <m/>
    <m/>
    <m/>
    <x v="13"/>
    <x v="1"/>
    <s v="Budget"/>
    <m/>
    <m/>
    <m/>
    <s v="Monthly"/>
    <s v="Budget"/>
    <s v="Annual"/>
    <n v="0"/>
    <s v="No"/>
    <s v="None"/>
    <s v="Shopping|Clothing"/>
  </r>
  <r>
    <s v="Budget"/>
    <d v="2014-12-28T00:00:00"/>
    <n v="-1800"/>
    <m/>
    <m/>
    <m/>
    <m/>
    <m/>
    <m/>
    <m/>
    <x v="13"/>
    <x v="1"/>
    <s v="Budget"/>
    <m/>
    <m/>
    <m/>
    <s v="Annual"/>
    <s v="Budget"/>
    <s v="Annual"/>
    <n v="0"/>
    <s v="No"/>
    <s v="None"/>
    <s v="Shopping|Clothing"/>
  </r>
  <r>
    <s v="Budget"/>
    <d v="2014-12-28T00:00:00"/>
    <n v="-100"/>
    <m/>
    <m/>
    <m/>
    <m/>
    <m/>
    <m/>
    <m/>
    <x v="13"/>
    <x v="20"/>
    <s v="Budget"/>
    <m/>
    <m/>
    <m/>
    <s v="Monthly"/>
    <s v="Budget"/>
    <s v="Annual"/>
    <n v="0"/>
    <s v="No"/>
    <s v="None"/>
    <s v="Shopping|Electronics &amp; Software"/>
  </r>
  <r>
    <s v="Budget"/>
    <d v="2014-12-28T00:00:00"/>
    <n v="-1200"/>
    <m/>
    <m/>
    <m/>
    <m/>
    <m/>
    <m/>
    <m/>
    <x v="13"/>
    <x v="20"/>
    <s v="Budget"/>
    <m/>
    <m/>
    <m/>
    <s v="Annual"/>
    <s v="Budget"/>
    <s v="Annual"/>
    <n v="0"/>
    <s v="No"/>
    <s v="None"/>
    <s v="Shopping|Electronics &amp; Software"/>
  </r>
  <r>
    <s v="Budget"/>
    <d v="2014-12-28T00:00:00"/>
    <n v="-25"/>
    <m/>
    <m/>
    <m/>
    <m/>
    <m/>
    <m/>
    <m/>
    <x v="13"/>
    <x v="48"/>
    <s v="Budget"/>
    <m/>
    <m/>
    <m/>
    <s v="Monthly"/>
    <s v="Budget"/>
    <s v="Annual"/>
    <n v="0"/>
    <s v="No"/>
    <s v="None"/>
    <s v="Shopping|Hobbies"/>
  </r>
  <r>
    <s v="Budget"/>
    <d v="2014-12-28T00:00:00"/>
    <n v="-300"/>
    <m/>
    <m/>
    <m/>
    <m/>
    <m/>
    <m/>
    <m/>
    <x v="13"/>
    <x v="48"/>
    <s v="Budget"/>
    <m/>
    <m/>
    <m/>
    <s v="Annual"/>
    <s v="Budget"/>
    <s v="Annual"/>
    <n v="0"/>
    <s v="No"/>
    <s v="None"/>
    <s v="Shopping|Hobbies"/>
  </r>
  <r>
    <s v="Budget"/>
    <d v="2014-12-28T00:00:00"/>
    <n v="-20"/>
    <m/>
    <m/>
    <m/>
    <m/>
    <m/>
    <m/>
    <m/>
    <x v="13"/>
    <x v="78"/>
    <s v="Budget"/>
    <m/>
    <m/>
    <m/>
    <s v="Monthly"/>
    <s v="Budget"/>
    <s v="Annual"/>
    <n v="0"/>
    <s v="No"/>
    <s v="None"/>
    <s v="Shopping|Sporting Goods"/>
  </r>
  <r>
    <s v="Budget"/>
    <d v="2014-12-28T00:00:00"/>
    <n v="-240"/>
    <m/>
    <m/>
    <m/>
    <m/>
    <m/>
    <m/>
    <m/>
    <x v="13"/>
    <x v="78"/>
    <s v="Budget"/>
    <m/>
    <m/>
    <m/>
    <s v="Annual"/>
    <s v="Budget"/>
    <s v="Annual"/>
    <n v="0"/>
    <s v="No"/>
    <s v="None"/>
    <s v="Shopping|Sporting Goods"/>
  </r>
  <r>
    <s v="Budget"/>
    <d v="2014-12-28T00:00:00"/>
    <n v="-35"/>
    <m/>
    <m/>
    <m/>
    <m/>
    <m/>
    <m/>
    <m/>
    <x v="33"/>
    <x v="0"/>
    <s v="Budget"/>
    <m/>
    <m/>
    <m/>
    <s v="Monthly"/>
    <s v="Budget"/>
    <s v="Annual"/>
    <n v="0"/>
    <s v="No"/>
    <s v="None"/>
    <s v="Subscriptions &amp; Dues"/>
  </r>
  <r>
    <s v="Budget"/>
    <d v="2014-12-28T00:00:00"/>
    <n v="-420"/>
    <m/>
    <m/>
    <m/>
    <m/>
    <m/>
    <m/>
    <m/>
    <x v="33"/>
    <x v="0"/>
    <s v="Budget"/>
    <m/>
    <m/>
    <m/>
    <s v="Annual"/>
    <s v="Budget"/>
    <s v="Annual"/>
    <n v="0"/>
    <s v="No"/>
    <s v="None"/>
    <s v="Subscriptions &amp; Dues"/>
  </r>
  <r>
    <s v="Budget"/>
    <d v="2014-12-28T00:00:00"/>
    <n v="-800"/>
    <m/>
    <m/>
    <m/>
    <m/>
    <m/>
    <m/>
    <m/>
    <x v="23"/>
    <x v="58"/>
    <s v="Budget"/>
    <m/>
    <m/>
    <m/>
    <s v="Monthly"/>
    <s v="Budget"/>
    <s v="Irregular"/>
    <n v="0"/>
    <s v="No"/>
    <s v="None"/>
    <s v="Vacation|Other"/>
  </r>
  <r>
    <s v="Budget"/>
    <d v="2014-12-28T00:00:00"/>
    <n v="-9600"/>
    <m/>
    <m/>
    <m/>
    <m/>
    <m/>
    <m/>
    <m/>
    <x v="23"/>
    <x v="58"/>
    <s v="Budget"/>
    <m/>
    <m/>
    <m/>
    <s v="Annual"/>
    <s v="Budget"/>
    <s v="Irregular"/>
    <n v="0"/>
    <s v="No"/>
    <s v="None"/>
    <s v="Vacation|Other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902">
  <r>
    <s v="Capital One - Investment (6759)"/>
    <d v="2014-12-28T00:00:00"/>
    <n v="0"/>
    <s v="X"/>
    <x v="0"/>
    <s v="@CAT:@@BAL:$47,275.08@"/>
    <s v="[Capital One - Investment (6759)]"/>
    <m/>
    <m/>
    <m/>
    <x v="0"/>
    <x v="0"/>
    <x v="0"/>
    <m/>
    <x v="0"/>
    <m/>
    <s v="Dec"/>
    <n v="2014"/>
    <s v="Account"/>
    <n v="0"/>
    <s v="No"/>
    <s v="None"/>
    <s v="[Capital One - Investment (6759)]"/>
  </r>
  <r>
    <s v="Capital One - Long Term Emergency (1201)"/>
    <d v="2014-12-28T00:00:00"/>
    <n v="0"/>
    <s v="X"/>
    <x v="0"/>
    <s v="@CAT:@@BAL:$118,695.53@"/>
    <s v="[Capital One - Long Term Emergency (1201)]"/>
    <m/>
    <m/>
    <m/>
    <x v="1"/>
    <x v="0"/>
    <x v="0"/>
    <m/>
    <x v="0"/>
    <m/>
    <s v="Dec"/>
    <n v="2014"/>
    <s v="Account"/>
    <n v="0"/>
    <s v="No"/>
    <s v="None"/>
    <s v="[Capital One - Long Term Emergency (1201)]"/>
  </r>
  <r>
    <s v="Capital One - Secondary Savings (3126)"/>
    <d v="2014-12-28T00:00:00"/>
    <n v="0"/>
    <s v="X"/>
    <x v="0"/>
    <s v="@CAT:@@BAL:$123.22@"/>
    <s v="[Capital One - Secondary Savings (3126)]"/>
    <m/>
    <m/>
    <m/>
    <x v="2"/>
    <x v="0"/>
    <x v="0"/>
    <m/>
    <x v="0"/>
    <m/>
    <s v="Dec"/>
    <n v="2014"/>
    <s v="Account"/>
    <n v="0"/>
    <s v="No"/>
    <s v="None"/>
    <s v="[Capital One - Secondary Savings (3126)]"/>
  </r>
  <r>
    <s v="Capital One - Vacation (4959)"/>
    <d v="2014-12-28T00:00:00"/>
    <n v="0"/>
    <s v="X"/>
    <x v="0"/>
    <s v="@CAT:@@BAL:$36,045.87@"/>
    <s v="[Capital One - Vacation (4959)]"/>
    <m/>
    <m/>
    <m/>
    <x v="3"/>
    <x v="0"/>
    <x v="0"/>
    <m/>
    <x v="0"/>
    <m/>
    <s v="Dec"/>
    <n v="2014"/>
    <s v="Account"/>
    <n v="0"/>
    <s v="No"/>
    <s v="None"/>
    <s v="[Capital One - Vacation (4959)]"/>
  </r>
  <r>
    <s v="First Tech - Short Term Emergency (5400)"/>
    <d v="2014-12-28T00:00:00"/>
    <n v="0"/>
    <m/>
    <x v="0"/>
    <s v="@CAT:@@BAL:$5.00@"/>
    <s v="[First Tech - Short Term Emergency (5400)]"/>
    <m/>
    <m/>
    <m/>
    <x v="4"/>
    <x v="0"/>
    <x v="0"/>
    <m/>
    <x v="0"/>
    <m/>
    <s v="Dec"/>
    <n v="2014"/>
    <s v="Account"/>
    <n v="0"/>
    <s v="No"/>
    <s v="None"/>
    <s v="[First Tech - Short Term Emergency (5400)]"/>
  </r>
  <r>
    <s v="Schwab - Checking (9784)"/>
    <d v="2014-12-28T00:00:00"/>
    <n v="0"/>
    <m/>
    <x v="0"/>
    <s v="@CAT:@@BAL:$344.83@"/>
    <s v="[Schwab - Checking (9784)]"/>
    <m/>
    <m/>
    <m/>
    <x v="5"/>
    <x v="0"/>
    <x v="0"/>
    <m/>
    <x v="0"/>
    <m/>
    <s v="Dec"/>
    <n v="2014"/>
    <s v="Account"/>
    <n v="0"/>
    <s v="No"/>
    <s v="None"/>
    <s v="[Schwab - Checking (9784)]"/>
  </r>
  <r>
    <s v="Chase Amazon (XX8482)"/>
    <d v="2014-12-28T00:00:00"/>
    <n v="0"/>
    <m/>
    <x v="0"/>
    <s v="@CAT:@@BAL:$0.00@"/>
    <s v="[Chase Amazon (XX8482)]"/>
    <m/>
    <m/>
    <m/>
    <x v="6"/>
    <x v="0"/>
    <x v="0"/>
    <m/>
    <x v="0"/>
    <m/>
    <s v="Dec"/>
    <n v="2014"/>
    <e v="#N/A"/>
    <e v="#N/A"/>
    <e v="#N/A"/>
    <e v="#N/A"/>
    <s v="[Chase Amazon (XX8482)]"/>
  </r>
  <r>
    <s v="Chase Freedom XX9381"/>
    <d v="2014-12-28T00:00:00"/>
    <n v="0"/>
    <s v="X"/>
    <x v="0"/>
    <s v="@CAT:@@BAL:$0.00@"/>
    <s v="[Chase Freedom XX9381]"/>
    <m/>
    <m/>
    <m/>
    <x v="7"/>
    <x v="0"/>
    <x v="0"/>
    <m/>
    <x v="0"/>
    <m/>
    <s v="Dec"/>
    <n v="2014"/>
    <e v="#N/A"/>
    <e v="#N/A"/>
    <e v="#N/A"/>
    <e v="#N/A"/>
    <s v="[Chase Freedom XX9381]"/>
  </r>
  <r>
    <s v="Chase Slate (XX1141)"/>
    <d v="2014-12-28T00:00:00"/>
    <n v="0"/>
    <m/>
    <x v="0"/>
    <s v="@CAT:@@BAL:$0.00@"/>
    <s v="[Chase Slate (XX1141)]"/>
    <m/>
    <m/>
    <m/>
    <x v="8"/>
    <x v="0"/>
    <x v="0"/>
    <m/>
    <x v="0"/>
    <m/>
    <s v="Dec"/>
    <n v="2014"/>
    <e v="#N/A"/>
    <e v="#N/A"/>
    <e v="#N/A"/>
    <e v="#N/A"/>
    <s v="[Chase Slate (XX1141)]"/>
  </r>
  <r>
    <s v="Koolikai Credit Card"/>
    <d v="2014-12-28T00:00:00"/>
    <n v="0"/>
    <m/>
    <x v="0"/>
    <s v="@CAT:@@BAL:$230.14@"/>
    <s v="[Koolikai Credit Card]"/>
    <m/>
    <m/>
    <m/>
    <x v="9"/>
    <x v="0"/>
    <x v="0"/>
    <m/>
    <x v="0"/>
    <m/>
    <s v="Dec"/>
    <n v="2014"/>
    <s v="Account"/>
    <n v="0"/>
    <s v="No"/>
    <s v="None"/>
    <s v="[Koolikai Credit Card]"/>
  </r>
  <r>
    <s v="Mastercard (Angela)"/>
    <d v="2014-12-28T00:00:00"/>
    <n v="0"/>
    <m/>
    <x v="0"/>
    <s v="@CAT:@@BAL:$0.00@"/>
    <s v="[Mastercard (Angela)]"/>
    <m/>
    <m/>
    <m/>
    <x v="10"/>
    <x v="0"/>
    <x v="0"/>
    <m/>
    <x v="0"/>
    <m/>
    <s v="Dec"/>
    <n v="2014"/>
    <s v="Account"/>
    <n v="0"/>
    <s v="No"/>
    <s v="None"/>
    <s v="[Mastercard (Angela)]"/>
  </r>
  <r>
    <s v="REI Mastercard (xx1787)"/>
    <d v="2014-12-28T00:00:00"/>
    <n v="0"/>
    <m/>
    <x v="0"/>
    <s v="@CAT:@@BAL:$86.51@"/>
    <s v="[REI Mastercard (xx1787)]"/>
    <m/>
    <m/>
    <m/>
    <x v="11"/>
    <x v="0"/>
    <x v="0"/>
    <m/>
    <x v="0"/>
    <m/>
    <s v="Dec"/>
    <n v="2014"/>
    <e v="#N/A"/>
    <e v="#N/A"/>
    <e v="#N/A"/>
    <e v="#N/A"/>
    <s v="[REI Mastercard (xx1787)]"/>
  </r>
  <r>
    <s v="Target Red Card"/>
    <d v="2014-12-28T00:00:00"/>
    <n v="0"/>
    <m/>
    <x v="0"/>
    <s v="@CAT:@@BAL:$125.01@"/>
    <s v="[Target Red Card]"/>
    <m/>
    <m/>
    <m/>
    <x v="12"/>
    <x v="0"/>
    <x v="0"/>
    <m/>
    <x v="0"/>
    <m/>
    <s v="Dec"/>
    <n v="2014"/>
    <s v="Account"/>
    <n v="0"/>
    <s v="No"/>
    <s v="None"/>
    <s v="[Target Red Card]"/>
  </r>
  <r>
    <s v="American Express (Costco)"/>
    <d v="2014-12-27T00:00:00"/>
    <n v="-10.94"/>
    <m/>
    <x v="1"/>
    <s v="Socks"/>
    <s v="Shopping:Clothing/From Receipt"/>
    <m/>
    <s v="Split"/>
    <s v="From Receipt"/>
    <x v="13"/>
    <x v="1"/>
    <x v="0"/>
    <m/>
    <x v="0"/>
    <m/>
    <s v="Dec"/>
    <n v="2014"/>
    <s v="Annual"/>
    <n v="0"/>
    <s v="No"/>
    <s v="None"/>
    <s v="Shopping|Clothing"/>
  </r>
  <r>
    <s v="American Express (Costco)"/>
    <d v="2014-12-27T00:00:00"/>
    <n v="-21.89"/>
    <m/>
    <x v="1"/>
    <s v="Digital food scale"/>
    <s v="Home:Furnishings/From Receipt"/>
    <m/>
    <s v="Split"/>
    <s v="From Receipt"/>
    <x v="14"/>
    <x v="2"/>
    <x v="0"/>
    <m/>
    <x v="0"/>
    <m/>
    <s v="Dec"/>
    <n v="2014"/>
    <s v="Monthly"/>
    <n v="0"/>
    <s v="No"/>
    <s v="None"/>
    <s v="Home|Furnishings"/>
  </r>
  <r>
    <s v="American Express (Costco)"/>
    <d v="2014-12-27T00:00:00"/>
    <n v="-48.74"/>
    <m/>
    <x v="1"/>
    <m/>
    <s v="Food &amp; Dining:Groceries/From Receipt"/>
    <m/>
    <s v="Split"/>
    <s v="From Receipt"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27T00:00:00"/>
    <n v="-45"/>
    <m/>
    <x v="2"/>
    <s v="#Smith Christmas#"/>
    <s v="Parties/From Receipt"/>
    <m/>
    <s v="Split"/>
    <s v="From Receipt"/>
    <x v="16"/>
    <x v="0"/>
    <x v="0"/>
    <m/>
    <x v="1"/>
    <m/>
    <s v="Dec"/>
    <n v="2014"/>
    <s v="Annual"/>
    <n v="0"/>
    <s v="No"/>
    <s v="None"/>
    <s v="Parties"/>
  </r>
  <r>
    <s v="MasterCard (Capital One)"/>
    <d v="2014-12-27T00:00:00"/>
    <n v="-119.52"/>
    <m/>
    <x v="2"/>
    <m/>
    <s v="Food &amp; Dining:Groceries/From Receipt"/>
    <m/>
    <s v="Split"/>
    <s v="From Receipt"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27T00:00:00"/>
    <n v="-15"/>
    <m/>
    <x v="3"/>
    <s v="Emissions Test"/>
    <s v="Auto &amp; Transport:Registration"/>
    <m/>
    <m/>
    <m/>
    <x v="17"/>
    <x v="4"/>
    <x v="0"/>
    <m/>
    <x v="0"/>
    <m/>
    <s v="Dec"/>
    <n v="2014"/>
    <s v="Annual"/>
    <n v="0"/>
    <s v="No"/>
    <s v="None"/>
    <s v="Auto &amp; Transport|Registration"/>
  </r>
  <r>
    <s v="First Tech - Checking (5544)"/>
    <d v="2014-12-26T00:00:00"/>
    <n v="98.99"/>
    <s v="X"/>
    <x v="4"/>
    <s v="Zach's Glasses"/>
    <s v="Health &amp; Fitness:Eyecare"/>
    <m/>
    <m/>
    <m/>
    <x v="18"/>
    <x v="5"/>
    <x v="0"/>
    <m/>
    <x v="0"/>
    <m/>
    <s v="Dec"/>
    <n v="2014"/>
    <s v="Irregular"/>
    <n v="0"/>
    <s v="No"/>
    <s v="None"/>
    <s v="Health &amp; Fitness|Eyecare"/>
  </r>
  <r>
    <s v="First Tech - Checking (5544)"/>
    <d v="2014-12-26T00:00:00"/>
    <n v="300"/>
    <s v="X"/>
    <x v="5"/>
    <s v="#SFOM Pool Party# SFOM reimbursement for pool reservation"/>
    <s v="Work Expense:Reimbursement"/>
    <m/>
    <m/>
    <m/>
    <x v="19"/>
    <x v="6"/>
    <x v="0"/>
    <m/>
    <x v="2"/>
    <m/>
    <s v="Dec"/>
    <n v="2014"/>
    <s v="Irregular"/>
    <n v="0"/>
    <s v="No"/>
    <s v="None"/>
    <s v="Work Expense|Reimbursement"/>
  </r>
  <r>
    <s v="First Tech - Checking (5544)"/>
    <d v="2014-12-26T00:00:00"/>
    <n v="-88.86"/>
    <m/>
    <x v="6"/>
    <m/>
    <s v="[Chase Freedom XX9381]"/>
    <m/>
    <m/>
    <m/>
    <x v="7"/>
    <x v="0"/>
    <x v="0"/>
    <m/>
    <x v="0"/>
    <m/>
    <s v="Dec"/>
    <n v="2014"/>
    <e v="#N/A"/>
    <e v="#N/A"/>
    <e v="#N/A"/>
    <e v="#N/A"/>
    <s v="[Chase Freedom XX9381]"/>
  </r>
  <r>
    <s v="American Express (Costco)"/>
    <d v="2014-12-26T00:00:00"/>
    <n v="0"/>
    <m/>
    <x v="0"/>
    <s v="@CAT:@@BAL:$0.00@"/>
    <s v="[American Express (Costco)]"/>
    <m/>
    <m/>
    <m/>
    <x v="20"/>
    <x v="0"/>
    <x v="0"/>
    <m/>
    <x v="0"/>
    <m/>
    <s v="Dec"/>
    <n v="2014"/>
    <s v="Account"/>
    <n v="0"/>
    <s v="No"/>
    <s v="None"/>
    <s v="[American Express (Costco)]"/>
  </r>
  <r>
    <s v="Chase Freedom XX9381"/>
    <d v="2014-12-26T00:00:00"/>
    <n v="88.86"/>
    <s v="X"/>
    <x v="6"/>
    <m/>
    <s v="[First Tech - Checking (5544)]"/>
    <m/>
    <m/>
    <m/>
    <x v="21"/>
    <x v="0"/>
    <x v="0"/>
    <m/>
    <x v="0"/>
    <m/>
    <s v="Dec"/>
    <n v="2014"/>
    <s v="Account"/>
    <n v="0"/>
    <s v="No"/>
    <s v="None"/>
    <s v="[First Tech - Checking (5544)]"/>
  </r>
  <r>
    <s v="Discover Card"/>
    <d v="2014-12-26T00:00:00"/>
    <n v="-15"/>
    <m/>
    <x v="7"/>
    <m/>
    <s v="Charity:Charity (Cash)"/>
    <m/>
    <m/>
    <m/>
    <x v="22"/>
    <x v="7"/>
    <x v="0"/>
    <m/>
    <x v="0"/>
    <m/>
    <s v="Dec"/>
    <n v="2014"/>
    <s v="Annual"/>
    <n v="0"/>
    <s v="No"/>
    <s v="None"/>
    <s v="Charity|Charity (Cash)"/>
  </r>
  <r>
    <s v="MasterCard (Capital One)"/>
    <d v="2014-12-26T00:00:00"/>
    <n v="-30.84"/>
    <s v="X"/>
    <x v="8"/>
    <s v="#Spokane 2014#"/>
    <s v="Vacation:Food"/>
    <m/>
    <m/>
    <m/>
    <x v="23"/>
    <x v="8"/>
    <x v="0"/>
    <m/>
    <x v="3"/>
    <m/>
    <s v="Dec"/>
    <n v="2014"/>
    <s v="Irregular"/>
    <n v="0"/>
    <s v="No"/>
    <s v="None"/>
    <s v="Vacation|Food"/>
  </r>
  <r>
    <s v="Discover Card"/>
    <d v="2014-12-25T00:00:00"/>
    <n v="0"/>
    <m/>
    <x v="0"/>
    <s v="@CAT:@@BAL:$13.10@"/>
    <s v="[Discover Card]"/>
    <m/>
    <m/>
    <m/>
    <x v="24"/>
    <x v="0"/>
    <x v="0"/>
    <m/>
    <x v="0"/>
    <m/>
    <s v="Dec"/>
    <n v="2014"/>
    <s v="Account"/>
    <n v="0"/>
    <s v="No"/>
    <s v="None"/>
    <s v="[Discover Card]"/>
  </r>
  <r>
    <s v="MasterCard (Capital One)"/>
    <d v="2014-12-25T00:00:00"/>
    <n v="-151.84"/>
    <m/>
    <x v="9"/>
    <s v="#Spokane 2014#"/>
    <s v="Vacation:Lodging"/>
    <m/>
    <m/>
    <m/>
    <x v="23"/>
    <x v="9"/>
    <x v="0"/>
    <m/>
    <x v="3"/>
    <m/>
    <s v="Dec"/>
    <n v="2014"/>
    <s v="Irregular"/>
    <n v="0"/>
    <s v="No"/>
    <s v="None"/>
    <s v="Vacation|Lodging"/>
  </r>
  <r>
    <s v="First Tech - Checking (5544)"/>
    <d v="2014-12-24T00:00:00"/>
    <n v="-347.45"/>
    <s v="X"/>
    <x v="10"/>
    <s v="ACH Debit--DISCOVER DC PYMNTS DCIDPIINT - E-PAYMENT"/>
    <s v="[Discover Card]"/>
    <m/>
    <m/>
    <m/>
    <x v="24"/>
    <x v="0"/>
    <x v="0"/>
    <m/>
    <x v="0"/>
    <m/>
    <s v="Dec"/>
    <n v="2014"/>
    <s v="Account"/>
    <n v="0"/>
    <s v="No"/>
    <s v="None"/>
    <s v="[Discover Card]"/>
  </r>
  <r>
    <s v="Koolikai - Checking XX2129"/>
    <d v="2014-12-24T00:00:00"/>
    <n v="-146.88"/>
    <s v="*"/>
    <x v="11"/>
    <s v="ACH Debit--CHASE  - AUTOPAYBUS"/>
    <s v="[Koolikai Credit Card]"/>
    <m/>
    <m/>
    <m/>
    <x v="9"/>
    <x v="0"/>
    <x v="0"/>
    <m/>
    <x v="0"/>
    <m/>
    <s v="Dec"/>
    <n v="2014"/>
    <s v="Account"/>
    <n v="0"/>
    <s v="No"/>
    <s v="None"/>
    <s v="[Koolikai Credit Card]"/>
  </r>
  <r>
    <s v="Discover Card"/>
    <d v="2014-12-24T00:00:00"/>
    <n v="347.45"/>
    <s v="X"/>
    <x v="10"/>
    <s v="ACH Debit--DISCOVER DC PYMNTS DCIDPIINT - E-PAYMENT"/>
    <s v="[First Tech - Checking (5544)]"/>
    <m/>
    <m/>
    <m/>
    <x v="21"/>
    <x v="0"/>
    <x v="0"/>
    <m/>
    <x v="0"/>
    <m/>
    <s v="Dec"/>
    <n v="2014"/>
    <s v="Account"/>
    <n v="0"/>
    <s v="No"/>
    <s v="None"/>
    <s v="[First Tech - Checking (5544)]"/>
  </r>
  <r>
    <s v="MasterCard (Capital One)"/>
    <d v="2014-12-24T00:00:00"/>
    <n v="-4.49"/>
    <s v="X"/>
    <x v="12"/>
    <s v="#Spokane 2014#"/>
    <s v="Food &amp; Dining:Groceries"/>
    <m/>
    <m/>
    <m/>
    <x v="15"/>
    <x v="3"/>
    <x v="0"/>
    <m/>
    <x v="3"/>
    <m/>
    <s v="Dec"/>
    <n v="2014"/>
    <s v="Monthly"/>
    <n v="0"/>
    <s v="No"/>
    <s v="None"/>
    <s v="Food &amp; Dining|Groceries"/>
  </r>
  <r>
    <s v="MasterCard (Capital One)"/>
    <d v="2014-12-24T00:00:00"/>
    <n v="-6.46"/>
    <s v="X"/>
    <x v="12"/>
    <s v="#Spokane 2014#"/>
    <s v="Food &amp; Dining:Groceries"/>
    <m/>
    <m/>
    <m/>
    <x v="15"/>
    <x v="3"/>
    <x v="0"/>
    <m/>
    <x v="3"/>
    <m/>
    <s v="Dec"/>
    <n v="2014"/>
    <s v="Monthly"/>
    <n v="0"/>
    <s v="No"/>
    <s v="None"/>
    <s v="Food &amp; Dining|Groceries"/>
  </r>
  <r>
    <s v="MasterCard (Capital One)"/>
    <d v="2014-12-24T00:00:00"/>
    <n v="-12.96"/>
    <s v="X"/>
    <x v="12"/>
    <s v="#Spokane 2014#"/>
    <s v="Food &amp; Dining:Groceries"/>
    <m/>
    <m/>
    <m/>
    <x v="15"/>
    <x v="3"/>
    <x v="0"/>
    <m/>
    <x v="3"/>
    <m/>
    <s v="Dec"/>
    <n v="2014"/>
    <s v="Monthly"/>
    <n v="0"/>
    <s v="No"/>
    <s v="None"/>
    <s v="Food &amp; Dining|Groceries"/>
  </r>
  <r>
    <s v="MasterCard (Capital One)"/>
    <d v="2014-12-24T00:00:00"/>
    <n v="-16.78"/>
    <s v="X"/>
    <x v="13"/>
    <s v="#Spokane 2014#"/>
    <s v="Vacation:Food"/>
    <m/>
    <m/>
    <m/>
    <x v="23"/>
    <x v="8"/>
    <x v="0"/>
    <m/>
    <x v="3"/>
    <m/>
    <s v="Dec"/>
    <n v="2014"/>
    <s v="Irregular"/>
    <n v="0"/>
    <s v="No"/>
    <s v="None"/>
    <s v="Vacation|Food"/>
  </r>
  <r>
    <s v="First Tech - Checking (5544)"/>
    <d v="2014-12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Dec"/>
    <n v="2014"/>
    <s v="Monthly"/>
    <n v="0"/>
    <s v="No"/>
    <s v="None"/>
    <s v="Auto &amp; Transport|Auto Lease Payment"/>
  </r>
  <r>
    <s v="Koolikai Credit Card"/>
    <d v="2014-12-23T00:00:00"/>
    <n v="146.88"/>
    <s v="*"/>
    <x v="11"/>
    <m/>
    <s v="[Koolikai - Checking XX2129]"/>
    <m/>
    <m/>
    <m/>
    <x v="25"/>
    <x v="0"/>
    <x v="0"/>
    <m/>
    <x v="0"/>
    <m/>
    <s v="Dec"/>
    <n v="2014"/>
    <s v="Account"/>
    <n v="0"/>
    <s v="No"/>
    <s v="None"/>
    <s v="[Koolikai - Checking XX2129]"/>
  </r>
  <r>
    <s v="MasterCard (Capital One)"/>
    <d v="2014-12-23T00:00:00"/>
    <n v="-15.86"/>
    <s v="X"/>
    <x v="15"/>
    <m/>
    <s v="Auto &amp; Transport:Parking"/>
    <m/>
    <m/>
    <m/>
    <x v="17"/>
    <x v="11"/>
    <x v="0"/>
    <m/>
    <x v="0"/>
    <m/>
    <s v="Dec"/>
    <n v="2014"/>
    <s v="Monthly"/>
    <n v="0"/>
    <s v="No"/>
    <s v="None"/>
    <s v="Auto &amp; Transport|Parking"/>
  </r>
  <r>
    <s v="Edward Jones - Roth IRA"/>
    <d v="2014-12-23T00:00:00"/>
    <n v="332.99"/>
    <s v="c"/>
    <x v="16"/>
    <m/>
    <m/>
    <s v="ReinvLg"/>
    <m/>
    <m/>
    <x v="26"/>
    <x v="0"/>
    <x v="0"/>
    <m/>
    <x v="0"/>
    <m/>
    <s v="Dec"/>
    <n v="2014"/>
    <e v="#N/A"/>
    <e v="#N/A"/>
    <e v="#N/A"/>
    <e v="#N/A"/>
    <n v="0"/>
  </r>
  <r>
    <s v="Edward Jones - Roth IRA"/>
    <d v="2014-12-23T00:00:00"/>
    <n v="59.77"/>
    <s v="c"/>
    <x v="16"/>
    <m/>
    <m/>
    <s v="ReinvDiv"/>
    <m/>
    <m/>
    <x v="26"/>
    <x v="0"/>
    <x v="0"/>
    <m/>
    <x v="0"/>
    <m/>
    <s v="Dec"/>
    <n v="2014"/>
    <e v="#N/A"/>
    <e v="#N/A"/>
    <e v="#N/A"/>
    <e v="#N/A"/>
    <n v="0"/>
  </r>
  <r>
    <s v="First Tech - Checking (5544)"/>
    <d v="2014-12-22T00:00:00"/>
    <n v="-98"/>
    <s v="X"/>
    <x v="17"/>
    <s v="Annual membership"/>
    <s v="Kids:Kids Activities/Tax Related"/>
    <n v="2144"/>
    <m/>
    <s v="Tax Related"/>
    <x v="27"/>
    <x v="12"/>
    <x v="0"/>
    <m/>
    <x v="0"/>
    <m/>
    <s v="Dec"/>
    <n v="2014"/>
    <s v="Monthly"/>
    <n v="0"/>
    <s v="No"/>
    <s v="None"/>
    <s v="Kids|Kids Activities"/>
  </r>
  <r>
    <s v="First Tech - Checking (5544)"/>
    <d v="2014-12-22T00:00:00"/>
    <n v="-70"/>
    <s v="X"/>
    <x v="18"/>
    <s v="LBJ: The Great Society"/>
    <s v="Kids:Babysitter"/>
    <n v="2146"/>
    <m/>
    <m/>
    <x v="27"/>
    <x v="13"/>
    <x v="0"/>
    <m/>
    <x v="0"/>
    <m/>
    <s v="Dec"/>
    <n v="2014"/>
    <s v="Monthly"/>
    <n v="0"/>
    <s v="No"/>
    <s v="None"/>
    <s v="Kids|Babysitter"/>
  </r>
  <r>
    <s v="First Tech - Checking (5544)"/>
    <d v="2014-12-22T00:00:00"/>
    <n v="-75"/>
    <s v="X"/>
    <x v="19"/>
    <s v="Gifts for CDC teachers"/>
    <s v="Gifts"/>
    <n v="2147"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22T00:00:00"/>
    <n v="-13.98"/>
    <s v="X"/>
    <x v="20"/>
    <m/>
    <s v="Food &amp; Dining:Groceries"/>
    <m/>
    <m/>
    <m/>
    <x v="15"/>
    <x v="3"/>
    <x v="0"/>
    <m/>
    <x v="0"/>
    <m/>
    <s v="Dec"/>
    <n v="2014"/>
    <s v="Monthly"/>
    <n v="0"/>
    <s v="No"/>
    <s v="None"/>
    <s v="Food &amp; Dining|Groceries"/>
  </r>
  <r>
    <s v="Target Red Card"/>
    <d v="2014-12-22T00:00:00"/>
    <n v="-41.6"/>
    <s v="*"/>
    <x v="21"/>
    <s v="Settlers of Catan"/>
    <s v="Gifts/From Receipt"/>
    <n v="799999943561"/>
    <s v="Split"/>
    <s v="From Receipt"/>
    <x v="28"/>
    <x v="0"/>
    <x v="0"/>
    <m/>
    <x v="0"/>
    <m/>
    <s v="Dec"/>
    <n v="2014"/>
    <s v="Monthly"/>
    <n v="0"/>
    <s v="No"/>
    <s v="None"/>
    <s v="Gifts"/>
  </r>
  <r>
    <s v="Target Red Card"/>
    <d v="2014-12-22T00:00:00"/>
    <n v="-49.91"/>
    <s v="*"/>
    <x v="21"/>
    <s v="Disney planes and cars sets"/>
    <s v="Kids:Toys/From Receipt"/>
    <n v="799999943561"/>
    <s v="Split"/>
    <s v="From Receipt"/>
    <x v="27"/>
    <x v="14"/>
    <x v="0"/>
    <m/>
    <x v="0"/>
    <m/>
    <s v="Dec"/>
    <n v="2014"/>
    <s v="Monthly"/>
    <n v="0"/>
    <s v="No"/>
    <s v="None"/>
    <s v="Kids|Toys"/>
  </r>
  <r>
    <s v="Koolikai Credit Card"/>
    <d v="2014-12-21T00:00:00"/>
    <n v="-65.7"/>
    <s v="*"/>
    <x v="2"/>
    <s v="Angela's Christmas sweatshirt"/>
    <s v="Shopping:Clothing/From Receipt"/>
    <m/>
    <s v="Split"/>
    <s v="From Receipt"/>
    <x v="13"/>
    <x v="1"/>
    <x v="0"/>
    <m/>
    <x v="0"/>
    <m/>
    <s v="Dec"/>
    <n v="2014"/>
    <s v="Annual"/>
    <n v="0"/>
    <s v="No"/>
    <s v="None"/>
    <s v="Shopping|Clothing"/>
  </r>
  <r>
    <s v="Koolikai Credit Card"/>
    <d v="2014-12-21T00:00:00"/>
    <n v="-17.559999999999999"/>
    <s v="*"/>
    <x v="2"/>
    <m/>
    <s v="Food &amp; Dining:Groceries/From Receipt"/>
    <m/>
    <s v="Split"/>
    <s v="From Receipt"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21T00:00:00"/>
    <n v="-3.5"/>
    <s v="X"/>
    <x v="22"/>
    <m/>
    <s v="Food &amp; Dining:Groceries"/>
    <m/>
    <m/>
    <m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21T00:00:00"/>
    <n v="-8.76"/>
    <s v="X"/>
    <x v="23"/>
    <m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21T00:00:00"/>
    <n v="-12"/>
    <s v="X"/>
    <x v="24"/>
    <m/>
    <s v="Kids:Kids Activities"/>
    <m/>
    <m/>
    <m/>
    <x v="27"/>
    <x v="12"/>
    <x v="0"/>
    <m/>
    <x v="0"/>
    <m/>
    <s v="Dec"/>
    <n v="2014"/>
    <s v="Monthly"/>
    <n v="0"/>
    <s v="No"/>
    <s v="None"/>
    <s v="Kids|Kids Activities"/>
  </r>
  <r>
    <s v="MasterCard (Capital One)"/>
    <d v="2014-12-21T00:00:00"/>
    <n v="-19.579999999999998"/>
    <s v="X"/>
    <x v="25"/>
    <m/>
    <s v="Food &amp; Dining:Restaurants/From Receipt"/>
    <m/>
    <m/>
    <s v="From Receipt"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20T00:00:00"/>
    <n v="-10.94"/>
    <s v="X"/>
    <x v="26"/>
    <m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20T00:00:00"/>
    <n v="-27.36"/>
    <s v="X"/>
    <x v="27"/>
    <m/>
    <s v="Gifts/From Receipt"/>
    <m/>
    <m/>
    <s v="From Receipt"/>
    <x v="28"/>
    <x v="0"/>
    <x v="0"/>
    <m/>
    <x v="0"/>
    <m/>
    <s v="Dec"/>
    <n v="2014"/>
    <s v="Monthly"/>
    <n v="0"/>
    <s v="No"/>
    <s v="None"/>
    <s v="Gifts"/>
  </r>
  <r>
    <s v="MasterCard (Capital One)"/>
    <d v="2014-12-20T00:00:00"/>
    <n v="-27.36"/>
    <s v="X"/>
    <x v="28"/>
    <s v="Christmas pictures"/>
    <s v="Home:Furnishings"/>
    <m/>
    <m/>
    <m/>
    <x v="14"/>
    <x v="2"/>
    <x v="0"/>
    <m/>
    <x v="0"/>
    <m/>
    <s v="Dec"/>
    <n v="2014"/>
    <s v="Monthly"/>
    <n v="0"/>
    <s v="No"/>
    <s v="None"/>
    <s v="Home|Furnishings"/>
  </r>
  <r>
    <s v="MasterCard (Capital One)"/>
    <d v="2014-12-20T00:00:00"/>
    <n v="-91.87"/>
    <s v="X"/>
    <x v="2"/>
    <s v="Includes Christmas treats and stocking stuffers"/>
    <s v="Food &amp; Dining:Groceries/From Receipt"/>
    <m/>
    <m/>
    <s v="From Receipt"/>
    <x v="15"/>
    <x v="3"/>
    <x v="0"/>
    <m/>
    <x v="0"/>
    <m/>
    <s v="Dec"/>
    <n v="2014"/>
    <s v="Monthly"/>
    <n v="0"/>
    <s v="No"/>
    <s v="None"/>
    <s v="Food &amp; Dining|Groceries"/>
  </r>
  <r>
    <s v="First Tech - Checking (5544)"/>
    <d v="2014-12-19T00:00:00"/>
    <n v="-45"/>
    <s v="X"/>
    <x v="29"/>
    <s v="Christmas Tree@CAT:@@BAL:$29,866.34@"/>
    <s v="Home:Furnishings"/>
    <n v="2145"/>
    <m/>
    <m/>
    <x v="14"/>
    <x v="2"/>
    <x v="0"/>
    <m/>
    <x v="0"/>
    <m/>
    <s v="Dec"/>
    <n v="2014"/>
    <s v="Monthly"/>
    <n v="0"/>
    <s v="No"/>
    <s v="None"/>
    <s v="Home|Furnishings"/>
  </r>
  <r>
    <s v="MasterCard (Capital One)"/>
    <d v="2014-12-19T00:00:00"/>
    <n v="25"/>
    <s v="X"/>
    <x v="30"/>
    <m/>
    <s v="Other Inc"/>
    <m/>
    <m/>
    <m/>
    <x v="29"/>
    <x v="0"/>
    <x v="0"/>
    <m/>
    <x v="0"/>
    <m/>
    <s v="Dec"/>
    <n v="2014"/>
    <s v="Monthly"/>
    <n v="0"/>
    <s v="No"/>
    <s v="None"/>
    <s v="Other Inc"/>
  </r>
  <r>
    <s v="MasterCard (Capital One)"/>
    <d v="2014-12-19T00:00:00"/>
    <n v="-12.03"/>
    <s v="X"/>
    <x v="31"/>
    <s v="Oil pan for magnets"/>
    <s v="Kids:Toys/From Receipt"/>
    <m/>
    <m/>
    <s v="From Receipt"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9T00:00:00"/>
    <n v="-15.86"/>
    <s v="X"/>
    <x v="15"/>
    <m/>
    <s v="Auto &amp; Transport:Parking"/>
    <m/>
    <m/>
    <m/>
    <x v="17"/>
    <x v="11"/>
    <x v="0"/>
    <m/>
    <x v="0"/>
    <m/>
    <s v="Dec"/>
    <n v="2014"/>
    <s v="Monthly"/>
    <n v="0"/>
    <s v="No"/>
    <s v="None"/>
    <s v="Auto &amp; Transport|Parking"/>
  </r>
  <r>
    <s v="MasterCard (Capital One)"/>
    <d v="2014-12-19T00:00:00"/>
    <n v="-34"/>
    <s v="X"/>
    <x v="32"/>
    <s v="Specialty coffees"/>
    <s v="Gifts/From Receipt"/>
    <m/>
    <m/>
    <s v="From Receipt"/>
    <x v="28"/>
    <x v="0"/>
    <x v="0"/>
    <m/>
    <x v="0"/>
    <m/>
    <s v="Dec"/>
    <n v="2014"/>
    <s v="Monthly"/>
    <n v="0"/>
    <s v="No"/>
    <s v="None"/>
    <s v="Gifts"/>
  </r>
  <r>
    <s v="MasterCard (Capital One)"/>
    <d v="2014-12-19T00:00:00"/>
    <n v="-11"/>
    <s v="X"/>
    <x v="33"/>
    <s v="Movies with Diz - InterStellar"/>
    <s v="Entertainment"/>
    <m/>
    <m/>
    <m/>
    <x v="30"/>
    <x v="0"/>
    <x v="0"/>
    <m/>
    <x v="0"/>
    <m/>
    <s v="Dec"/>
    <n v="2014"/>
    <s v="Monthly"/>
    <n v="0"/>
    <s v="No"/>
    <s v="None"/>
    <s v="Entertainment"/>
  </r>
  <r>
    <s v="MasterCard (Capital One)"/>
    <d v="2014-12-19T00:00:00"/>
    <n v="-13.88"/>
    <s v="X"/>
    <x v="34"/>
    <s v="2011: TACO DEL MAR GREENWOOD SEATTLE WA 98103 USA"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19T00:00:00"/>
    <n v="-14.81"/>
    <s v="X"/>
    <x v="35"/>
    <m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REI Mastercard (xx1787)"/>
    <d v="2014-12-19T00:00:00"/>
    <n v="-5"/>
    <s v="*"/>
    <x v="36"/>
    <s v="Bronner's soap"/>
    <s v="Food &amp; Dining:Groceries/From Receipt"/>
    <m/>
    <s v="Split"/>
    <s v="From Receipt"/>
    <x v="15"/>
    <x v="3"/>
    <x v="0"/>
    <m/>
    <x v="0"/>
    <m/>
    <s v="Dec"/>
    <n v="2014"/>
    <s v="Monthly"/>
    <n v="0"/>
    <s v="No"/>
    <s v="None"/>
    <s v="Food &amp; Dining|Groceries"/>
  </r>
  <r>
    <s v="REI Mastercard (xx1787)"/>
    <d v="2014-12-19T00:00:00"/>
    <n v="-6.57"/>
    <s v="*"/>
    <x v="36"/>
    <s v="Key ring"/>
    <s v="Shopping:Clothing/From Receipt"/>
    <m/>
    <s v="Split"/>
    <s v="From Receipt"/>
    <x v="13"/>
    <x v="1"/>
    <x v="0"/>
    <m/>
    <x v="0"/>
    <m/>
    <s v="Dec"/>
    <n v="2014"/>
    <s v="Annual"/>
    <n v="0"/>
    <s v="No"/>
    <s v="None"/>
    <s v="Shopping|Clothing"/>
  </r>
  <r>
    <s v="REI Mastercard (xx1787)"/>
    <d v="2014-12-19T00:00:00"/>
    <n v="-15.33"/>
    <s v="*"/>
    <x v="36"/>
    <s v="Cell phone case for Kurt"/>
    <s v="Gifts/From Receipt"/>
    <m/>
    <s v="Split"/>
    <s v="From Receipt"/>
    <x v="28"/>
    <x v="0"/>
    <x v="0"/>
    <m/>
    <x v="0"/>
    <m/>
    <s v="Dec"/>
    <n v="2014"/>
    <s v="Monthly"/>
    <n v="0"/>
    <s v="No"/>
    <s v="None"/>
    <s v="Gifts"/>
  </r>
  <r>
    <s v="REI Mastercard (xx1787)"/>
    <d v="2014-12-19T00:00:00"/>
    <n v="-15.81"/>
    <s v="*"/>
    <x v="36"/>
    <s v="eQua Hand Towel"/>
    <s v="Charity:Charity (Cash)/From Receipt"/>
    <m/>
    <s v="Split"/>
    <s v="From Receipt"/>
    <x v="22"/>
    <x v="7"/>
    <x v="0"/>
    <m/>
    <x v="0"/>
    <m/>
    <s v="Dec"/>
    <n v="2014"/>
    <s v="Annual"/>
    <n v="0"/>
    <s v="No"/>
    <s v="None"/>
    <s v="Charity|Charity (Cash)"/>
  </r>
  <r>
    <s v="MasterCard (Capital One)"/>
    <d v="2014-12-18T00:00:00"/>
    <n v="-15.05"/>
    <s v="X"/>
    <x v="37"/>
    <s v="Mt. St. Helens Video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8T00:00:00"/>
    <n v="-60.23"/>
    <s v="X"/>
    <x v="36"/>
    <s v="Angela's Christmas present"/>
    <s v="Shopping:Clothing/From Receipt"/>
    <m/>
    <m/>
    <s v="From Receipt"/>
    <x v="13"/>
    <x v="1"/>
    <x v="0"/>
    <m/>
    <x v="0"/>
    <m/>
    <s v="Dec"/>
    <n v="2014"/>
    <s v="Annual"/>
    <n v="0"/>
    <s v="No"/>
    <s v="None"/>
    <s v="Shopping|Clothing"/>
  </r>
  <r>
    <s v="Schwab - Checking (9784)"/>
    <d v="2014-12-17T00:00:00"/>
    <n v="-60"/>
    <s v="X"/>
    <x v="38"/>
    <s v="Boy's haircut"/>
    <s v="Personal Care:Hair"/>
    <m/>
    <s v="Split"/>
    <m/>
    <x v="31"/>
    <x v="16"/>
    <x v="0"/>
    <m/>
    <x v="0"/>
    <m/>
    <s v="Dec"/>
    <n v="2014"/>
    <s v="Monthly"/>
    <n v="0"/>
    <s v="No"/>
    <s v="None"/>
    <s v="Personal Care|Hair"/>
  </r>
  <r>
    <s v="Schwab - Checking (9784)"/>
    <d v="2014-12-17T00:00:00"/>
    <n v="-2"/>
    <s v="X"/>
    <x v="38"/>
    <m/>
    <s v="Bank Fees &amp; Charges:ATM Fee"/>
    <m/>
    <s v="Split"/>
    <m/>
    <x v="32"/>
    <x v="17"/>
    <x v="0"/>
    <m/>
    <x v="0"/>
    <m/>
    <s v="Dec"/>
    <n v="2014"/>
    <s v="Monthly"/>
    <n v="0"/>
    <s v="No"/>
    <s v="None"/>
    <s v="Bank Fees &amp; Charges|ATM Fee"/>
  </r>
  <r>
    <s v="MasterCard (Capital One)"/>
    <d v="2014-12-17T00:00:00"/>
    <n v="-1.62"/>
    <s v="X"/>
    <x v="34"/>
    <s v="2011: TACO DEL MAR GREENWOOD SEATTLE WA 98103 USA"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17T00:00:00"/>
    <n v="-3.32"/>
    <s v="X"/>
    <x v="39"/>
    <m/>
    <s v="Auto &amp; Transport:Parking"/>
    <m/>
    <m/>
    <m/>
    <x v="17"/>
    <x v="11"/>
    <x v="0"/>
    <m/>
    <x v="0"/>
    <m/>
    <s v="Dec"/>
    <n v="2014"/>
    <s v="Monthly"/>
    <n v="0"/>
    <s v="No"/>
    <s v="None"/>
    <s v="Auto &amp; Transport|Parking"/>
  </r>
  <r>
    <s v="MasterCard (Capital One)"/>
    <d v="2014-12-17T00:00:00"/>
    <n v="-6.56"/>
    <s v="X"/>
    <x v="40"/>
    <s v="Foot massager for Angela"/>
    <s v="Shopping:Clothing/From Receipt"/>
    <m/>
    <m/>
    <s v="From Receipt"/>
    <x v="13"/>
    <x v="1"/>
    <x v="0"/>
    <m/>
    <x v="0"/>
    <m/>
    <s v="Dec"/>
    <n v="2014"/>
    <s v="Annual"/>
    <n v="0"/>
    <s v="No"/>
    <s v="None"/>
    <s v="Shopping|Clothing"/>
  </r>
  <r>
    <s v="MasterCard (Capital One)"/>
    <d v="2014-12-17T00:00:00"/>
    <n v="-7.95"/>
    <s v="X"/>
    <x v="32"/>
    <m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7T00:00:00"/>
    <n v="-8.75"/>
    <s v="X"/>
    <x v="41"/>
    <m/>
    <s v="Food &amp; Dining:Restaurants/From Receipt"/>
    <m/>
    <m/>
    <s v="From Receipt"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17T00:00:00"/>
    <n v="-13.81"/>
    <s v="X"/>
    <x v="34"/>
    <s v="2011: TACO DEL MAR GREENWOOD SEATTLE WA 98103 USA"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17T00:00:00"/>
    <n v="-17.510000000000002"/>
    <s v="X"/>
    <x v="37"/>
    <s v="Microscope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7T00:00:00"/>
    <n v="-34.159999999999997"/>
    <s v="X"/>
    <x v="37"/>
    <s v="Bath toys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7T00:00:00"/>
    <n v="-52.99"/>
    <s v="X"/>
    <x v="37"/>
    <s v="Pirate ship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6T00:00:00"/>
    <n v="-4.37"/>
    <s v="X"/>
    <x v="42"/>
    <m/>
    <s v="Subscriptions &amp; Dues"/>
    <m/>
    <m/>
    <m/>
    <x v="33"/>
    <x v="0"/>
    <x v="0"/>
    <m/>
    <x v="0"/>
    <m/>
    <s v="Dec"/>
    <n v="2014"/>
    <s v="Annual"/>
    <n v="0"/>
    <s v="No"/>
    <s v="None"/>
    <s v="Subscriptions &amp; Dues"/>
  </r>
  <r>
    <s v="MasterCard (Capital One)"/>
    <d v="2014-12-16T00:00:00"/>
    <n v="-6.52"/>
    <s v="X"/>
    <x v="37"/>
    <s v="@CAT:@Map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6T00:00:00"/>
    <n v="-9.4700000000000006"/>
    <s v="X"/>
    <x v="43"/>
    <m/>
    <s v="Food &amp; Dining:Groceries/From Receipt"/>
    <m/>
    <m/>
    <s v="From Receipt"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16T00:00:00"/>
    <n v="-20.77"/>
    <s v="X"/>
    <x v="2"/>
    <s v="Giving tree at CDC"/>
    <s v="Charity:Charity (Cash)/From Receipt"/>
    <m/>
    <m/>
    <s v="From Receipt"/>
    <x v="22"/>
    <x v="7"/>
    <x v="0"/>
    <m/>
    <x v="0"/>
    <m/>
    <s v="Dec"/>
    <n v="2014"/>
    <s v="Annual"/>
    <n v="0"/>
    <s v="No"/>
    <s v="None"/>
    <s v="Charity|Charity (Cash)"/>
  </r>
  <r>
    <s v="MasterCard (Capital One)"/>
    <d v="2014-12-16T00:00:00"/>
    <n v="-32.69"/>
    <s v="X"/>
    <x v="37"/>
    <s v="Medical playset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6T00:00:00"/>
    <n v="-36.03"/>
    <s v="X"/>
    <x v="37"/>
    <s v="Stuffies, books, and pencils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6T00:00:00"/>
    <n v="-57.88"/>
    <s v="X"/>
    <x v="37"/>
    <s v="Videos and stuffies"/>
    <s v="Kids:Toys"/>
    <m/>
    <m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6T00:00:00"/>
    <n v="-97.44"/>
    <s v="X"/>
    <x v="44"/>
    <m/>
    <s v="Gifts/From Receipt"/>
    <m/>
    <m/>
    <s v="From Receipt"/>
    <x v="28"/>
    <x v="0"/>
    <x v="0"/>
    <m/>
    <x v="0"/>
    <m/>
    <s v="Dec"/>
    <n v="2014"/>
    <s v="Monthly"/>
    <n v="0"/>
    <s v="No"/>
    <s v="None"/>
    <s v="Gifts"/>
  </r>
  <r>
    <s v="First Tech - Checking (5544)"/>
    <d v="2014-12-15T00:00:00"/>
    <n v="-103.03"/>
    <s v="X"/>
    <x v="45"/>
    <s v="ACH Debit--PUGET SOUND ENER DIRECT DEBITING - PSE BILL  36250555"/>
    <s v="Bills &amp; Utilities:Utilities"/>
    <m/>
    <m/>
    <m/>
    <x v="34"/>
    <x v="18"/>
    <x v="0"/>
    <m/>
    <x v="0"/>
    <m/>
    <s v="Dec"/>
    <n v="2014"/>
    <s v="Monthly"/>
    <n v="0"/>
    <s v="No"/>
    <s v="None"/>
    <s v="Bills &amp; Utilities|Utilities"/>
  </r>
  <r>
    <s v="First Tech - Checking (5544)"/>
    <d v="2014-12-15T00:00:00"/>
    <n v="-246.38"/>
    <s v="X"/>
    <x v="46"/>
    <s v="Awning repair"/>
    <s v="Home:Home Improvement"/>
    <m/>
    <m/>
    <m/>
    <x v="14"/>
    <x v="19"/>
    <x v="0"/>
    <m/>
    <x v="0"/>
    <m/>
    <s v="Dec"/>
    <n v="2014"/>
    <s v="Irregular"/>
    <n v="0"/>
    <s v="No"/>
    <s v="None"/>
    <s v="Home|Home Improvement"/>
  </r>
  <r>
    <s v="MasterCard (Capital One)"/>
    <d v="2014-12-15T00:00:00"/>
    <n v="-7.32"/>
    <s v="X"/>
    <x v="15"/>
    <m/>
    <s v="Auto &amp; Transport:Parking"/>
    <m/>
    <m/>
    <m/>
    <x v="17"/>
    <x v="11"/>
    <x v="0"/>
    <m/>
    <x v="0"/>
    <m/>
    <s v="Dec"/>
    <n v="2014"/>
    <s v="Monthly"/>
    <n v="0"/>
    <s v="No"/>
    <s v="None"/>
    <s v="Auto &amp; Transport|Parking"/>
  </r>
  <r>
    <s v="First Tech - Checking (5544)"/>
    <d v="2014-12-14T00:00:00"/>
    <n v="5548.92"/>
    <s v="X"/>
    <x v="47"/>
    <s v="ACH Deposit--MICROSOFT  - EDIPAYMENT"/>
    <s v="Net Salary"/>
    <m/>
    <m/>
    <m/>
    <x v="35"/>
    <x v="0"/>
    <x v="0"/>
    <m/>
    <x v="0"/>
    <m/>
    <s v="Dec"/>
    <n v="2014"/>
    <s v="Monthly"/>
    <n v="0"/>
    <s v="No"/>
    <s v="None"/>
    <s v="Net Salary"/>
  </r>
  <r>
    <s v="MasterCard (Capital One)"/>
    <d v="2014-12-14T00:00:00"/>
    <n v="-6.23"/>
    <s v="X"/>
    <x v="48"/>
    <s v="Christmas light supplies"/>
    <s v="Home:Furnishings/From Receipt"/>
    <m/>
    <m/>
    <s v="From Receipt"/>
    <x v="14"/>
    <x v="2"/>
    <x v="0"/>
    <m/>
    <x v="0"/>
    <m/>
    <s v="Dec"/>
    <n v="2014"/>
    <s v="Monthly"/>
    <n v="0"/>
    <s v="No"/>
    <s v="None"/>
    <s v="Home|Furnishings"/>
  </r>
  <r>
    <s v="MasterCard (Capital One)"/>
    <d v="2014-12-14T00:00:00"/>
    <n v="-6.56"/>
    <s v="X"/>
    <x v="2"/>
    <s v="Christmas Tree decorations"/>
    <s v="Home:Furnishings/From Receipt"/>
    <m/>
    <s v="Split"/>
    <s v="From Receipt"/>
    <x v="14"/>
    <x v="2"/>
    <x v="0"/>
    <m/>
    <x v="0"/>
    <m/>
    <s v="Dec"/>
    <n v="2014"/>
    <s v="Monthly"/>
    <n v="0"/>
    <s v="No"/>
    <s v="None"/>
    <s v="Home|Furnishings"/>
  </r>
  <r>
    <s v="MasterCard (Capital One)"/>
    <d v="2014-12-14T00:00:00"/>
    <n v="-2"/>
    <s v="X"/>
    <x v="2"/>
    <m/>
    <s v="Food &amp; Dining:Groceries/From Receipt"/>
    <m/>
    <s v="Split"/>
    <s v="From Receipt"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14T00:00:00"/>
    <n v="-9.8800000000000008"/>
    <s v="X"/>
    <x v="2"/>
    <m/>
    <s v="Food &amp; Dining:Groceries"/>
    <m/>
    <m/>
    <m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14T00:00:00"/>
    <n v="-11.25"/>
    <s v="X"/>
    <x v="49"/>
    <s v="Christmas light supplies"/>
    <s v="Home:Furnishings/From Receipt"/>
    <m/>
    <m/>
    <s v="From Receipt"/>
    <x v="14"/>
    <x v="2"/>
    <x v="0"/>
    <m/>
    <x v="0"/>
    <m/>
    <s v="Dec"/>
    <n v="2014"/>
    <s v="Monthly"/>
    <n v="0"/>
    <s v="No"/>
    <s v="None"/>
    <s v="Home|Furnishings"/>
  </r>
  <r>
    <s v="MasterCard (Capital One)"/>
    <d v="2014-12-14T00:00:00"/>
    <n v="-25.61"/>
    <s v="X"/>
    <x v="50"/>
    <s v="Fritzing software"/>
    <s v="Shopping:Electronics &amp; Software"/>
    <m/>
    <m/>
    <m/>
    <x v="13"/>
    <x v="20"/>
    <x v="0"/>
    <m/>
    <x v="0"/>
    <m/>
    <s v="Dec"/>
    <n v="2014"/>
    <s v="Annual"/>
    <n v="0"/>
    <s v="No"/>
    <s v="None"/>
    <s v="Shopping|Electronics &amp; Software"/>
  </r>
  <r>
    <s v="MasterCard (Capital One)"/>
    <d v="2014-12-13T00:00:00"/>
    <n v="0.25"/>
    <s v="X"/>
    <x v="51"/>
    <m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3T00:00:00"/>
    <n v="4"/>
    <s v="X"/>
    <x v="51"/>
    <m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3T00:00:00"/>
    <n v="-2.87"/>
    <s v="X"/>
    <x v="39"/>
    <m/>
    <s v="Auto &amp; Transport:Parking"/>
    <m/>
    <m/>
    <m/>
    <x v="17"/>
    <x v="11"/>
    <x v="0"/>
    <m/>
    <x v="0"/>
    <m/>
    <s v="Dec"/>
    <n v="2014"/>
    <s v="Monthly"/>
    <n v="0"/>
    <s v="No"/>
    <s v="None"/>
    <s v="Auto &amp; Transport|Parking"/>
  </r>
  <r>
    <s v="MasterCard (Capital One)"/>
    <d v="2014-12-13T00:00:00"/>
    <n v="-13.07"/>
    <s v="X"/>
    <x v="37"/>
    <s v="Dot to dot book"/>
    <s v="Gifts"/>
    <m/>
    <s v="Split"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3T00:00:00"/>
    <n v="-11.82"/>
    <s v="X"/>
    <x v="37"/>
    <s v="Frosty the snowman returns"/>
    <s v="Kids:Toys"/>
    <m/>
    <s v="Split"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3T00:00:00"/>
    <n v="-57"/>
    <s v="X"/>
    <x v="52"/>
    <s v="2011: BEEHIVE SALON SEATTLE WA 981036264 USA"/>
    <s v="Personal Care:Hair"/>
    <m/>
    <m/>
    <m/>
    <x v="31"/>
    <x v="16"/>
    <x v="0"/>
    <m/>
    <x v="0"/>
    <m/>
    <s v="Dec"/>
    <n v="2014"/>
    <s v="Monthly"/>
    <n v="0"/>
    <s v="No"/>
    <s v="None"/>
    <s v="Personal Care|Hair"/>
  </r>
  <r>
    <s v="MasterCard (Capital One)"/>
    <d v="2014-12-13T00:00:00"/>
    <n v="-60.76"/>
    <s v="X"/>
    <x v="53"/>
    <m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MasterCard (Capital One)"/>
    <d v="2014-12-13T00:00:00"/>
    <n v="-160.66"/>
    <s v="X"/>
    <x v="2"/>
    <m/>
    <s v="Food &amp; Dining:Groceries"/>
    <m/>
    <m/>
    <m/>
    <x v="15"/>
    <x v="3"/>
    <x v="0"/>
    <m/>
    <x v="0"/>
    <m/>
    <s v="Dec"/>
    <n v="2014"/>
    <s v="Monthly"/>
    <n v="0"/>
    <s v="No"/>
    <s v="None"/>
    <s v="Food &amp; Dining|Groceries"/>
  </r>
  <r>
    <s v="Discover Card"/>
    <d v="2014-12-12T00:00:00"/>
    <n v="-5.46"/>
    <s v="X"/>
    <x v="54"/>
    <s v="#Apps#"/>
    <s v="Work Expense:Reimbursable expense"/>
    <m/>
    <m/>
    <m/>
    <x v="19"/>
    <x v="21"/>
    <x v="0"/>
    <m/>
    <x v="4"/>
    <m/>
    <s v="Dec"/>
    <n v="2014"/>
    <s v="Irregular"/>
    <n v="0"/>
    <s v="No"/>
    <s v="None"/>
    <s v="Work Expense|Reimbursable expense"/>
  </r>
  <r>
    <s v="Koolikai Credit Card"/>
    <d v="2014-12-12T00:00:00"/>
    <n v="-146.88"/>
    <s v="*"/>
    <x v="55"/>
    <m/>
    <s v="Business Expenses (Koolikai):Cell Phone"/>
    <m/>
    <m/>
    <m/>
    <x v="36"/>
    <x v="22"/>
    <x v="0"/>
    <m/>
    <x v="0"/>
    <m/>
    <s v="Dec"/>
    <n v="2014"/>
    <s v="Monthly"/>
    <n v="0"/>
    <s v="No"/>
    <s v="None"/>
    <s v="Business Expenses (Koolikai)|Cell Phone"/>
  </r>
  <r>
    <s v="MasterCard (Capital One)"/>
    <d v="2014-12-12T00:00:00"/>
    <n v="-36.71"/>
    <s v="X"/>
    <x v="37"/>
    <s v="Seahawks blanket"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2T00:00:00"/>
    <n v="-24.63"/>
    <s v="X"/>
    <x v="37"/>
    <s v="Sherlock"/>
    <s v="Gifts"/>
    <m/>
    <s v="Split"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2T00:00:00"/>
    <n v="-14.89"/>
    <s v="X"/>
    <x v="37"/>
    <s v="Magnetic letters for boys"/>
    <s v="Kids:Toys"/>
    <m/>
    <s v="Split"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2T00:00:00"/>
    <n v="-4.37"/>
    <s v="X"/>
    <x v="37"/>
    <s v="Frosty the snowman book"/>
    <s v="Kids:Toys"/>
    <m/>
    <s v="Split"/>
    <m/>
    <x v="27"/>
    <x v="14"/>
    <x v="0"/>
    <m/>
    <x v="0"/>
    <m/>
    <s v="Dec"/>
    <n v="2014"/>
    <s v="Monthly"/>
    <n v="0"/>
    <s v="No"/>
    <s v="None"/>
    <s v="Kids|Toys"/>
  </r>
  <r>
    <s v="MasterCard (Capital One)"/>
    <d v="2014-12-12T00:00:00"/>
    <n v="-42.52"/>
    <s v="X"/>
    <x v="37"/>
    <m/>
    <s v="Gifts"/>
    <m/>
    <s v="Split"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12T00:00:00"/>
    <n v="-95.66"/>
    <s v="X"/>
    <x v="56"/>
    <m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Discover Card"/>
    <d v="2014-12-11T00:00:00"/>
    <n v="-3.27"/>
    <s v="X"/>
    <x v="54"/>
    <s v="#Apps#"/>
    <s v="Work Expense:Reimbursable expense"/>
    <m/>
    <m/>
    <m/>
    <x v="19"/>
    <x v="21"/>
    <x v="0"/>
    <m/>
    <x v="4"/>
    <m/>
    <s v="Dec"/>
    <n v="2014"/>
    <s v="Irregular"/>
    <n v="0"/>
    <s v="No"/>
    <s v="None"/>
    <s v="Work Expense|Reimbursable expense"/>
  </r>
  <r>
    <s v="Discover Card"/>
    <d v="2014-12-11T00:00:00"/>
    <n v="-4.37"/>
    <s v="X"/>
    <x v="54"/>
    <s v="#Apps#"/>
    <s v="Work Expense:Reimbursable expense"/>
    <m/>
    <m/>
    <m/>
    <x v="19"/>
    <x v="21"/>
    <x v="0"/>
    <m/>
    <x v="4"/>
    <m/>
    <s v="Dec"/>
    <n v="2014"/>
    <s v="Irregular"/>
    <n v="0"/>
    <s v="No"/>
    <s v="None"/>
    <s v="Work Expense|Reimbursable expense"/>
  </r>
  <r>
    <s v="MasterCard (Capital One)"/>
    <d v="2014-12-11T00:00:00"/>
    <n v="-14.59"/>
    <s v="X"/>
    <x v="57"/>
    <m/>
    <s v="Food &amp; Dining:Groceries"/>
    <m/>
    <m/>
    <m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11T00:00:00"/>
    <n v="-16.41"/>
    <s v="X"/>
    <x v="58"/>
    <s v="Book for Tony"/>
    <s v="Gifts/From Receipt"/>
    <m/>
    <m/>
    <s v="From Receipt"/>
    <x v="28"/>
    <x v="0"/>
    <x v="0"/>
    <m/>
    <x v="0"/>
    <m/>
    <s v="Dec"/>
    <n v="2014"/>
    <s v="Monthly"/>
    <n v="0"/>
    <s v="No"/>
    <s v="None"/>
    <s v="Gifts"/>
  </r>
  <r>
    <s v="MasterCard (Capital One)"/>
    <d v="2014-12-11T00:00:00"/>
    <n v="-30.65"/>
    <s v="X"/>
    <x v="27"/>
    <m/>
    <s v="Gifts/From Receipt"/>
    <m/>
    <m/>
    <s v="From Receipt"/>
    <x v="28"/>
    <x v="0"/>
    <x v="0"/>
    <m/>
    <x v="0"/>
    <m/>
    <s v="Dec"/>
    <n v="2014"/>
    <s v="Monthly"/>
    <n v="0"/>
    <s v="No"/>
    <s v="None"/>
    <s v="Gifts"/>
  </r>
  <r>
    <s v="MasterCard (Capital One)"/>
    <d v="2014-12-11T00:00:00"/>
    <n v="-32.840000000000003"/>
    <s v="X"/>
    <x v="59"/>
    <s v="Fitbit band"/>
    <s v="Shopping:Clothing:Accessories/From Receipt"/>
    <m/>
    <m/>
    <s v="From Receipt"/>
    <x v="13"/>
    <x v="1"/>
    <x v="1"/>
    <m/>
    <x v="0"/>
    <m/>
    <s v="Dec"/>
    <n v="2014"/>
    <s v="Annual"/>
    <n v="0"/>
    <s v="No"/>
    <s v="None"/>
    <s v="Shopping|Clothing"/>
  </r>
  <r>
    <s v="MasterCard (Capital One)"/>
    <d v="2014-12-11T00:00:00"/>
    <n v="-146.5"/>
    <s v="X"/>
    <x v="26"/>
    <m/>
    <s v="Gifts/From Receipt"/>
    <m/>
    <m/>
    <s v="From Receipt"/>
    <x v="28"/>
    <x v="0"/>
    <x v="0"/>
    <m/>
    <x v="0"/>
    <m/>
    <s v="Dec"/>
    <n v="2014"/>
    <s v="Monthly"/>
    <n v="0"/>
    <s v="No"/>
    <s v="None"/>
    <s v="Gifts"/>
  </r>
  <r>
    <s v="MasterCard (Capital One)"/>
    <d v="2014-12-10T00:00:00"/>
    <n v="25"/>
    <s v="X"/>
    <x v="60"/>
    <m/>
    <s v="Other Inc"/>
    <m/>
    <m/>
    <m/>
    <x v="29"/>
    <x v="0"/>
    <x v="0"/>
    <m/>
    <x v="0"/>
    <m/>
    <s v="Dec"/>
    <n v="2014"/>
    <s v="Monthly"/>
    <n v="0"/>
    <s v="No"/>
    <s v="None"/>
    <s v="Other Inc"/>
  </r>
  <r>
    <s v="MasterCard (Capital One)"/>
    <d v="2014-12-10T00:00:00"/>
    <n v="-11.58"/>
    <s v="X"/>
    <x v="57"/>
    <m/>
    <s v="Food &amp; Dining:Groceries"/>
    <m/>
    <m/>
    <m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10T00:00:00"/>
    <n v="-142.30000000000001"/>
    <s v="X"/>
    <x v="61"/>
    <s v="#Stay Fit#"/>
    <s v="Health &amp; Fitness:Sports"/>
    <m/>
    <m/>
    <m/>
    <x v="18"/>
    <x v="23"/>
    <x v="0"/>
    <m/>
    <x v="5"/>
    <m/>
    <s v="Dec"/>
    <n v="2014"/>
    <s v="Irregular"/>
    <n v="0"/>
    <s v="No"/>
    <s v="None"/>
    <s v="Health &amp; Fitness|Sports"/>
  </r>
  <r>
    <s v="MasterCard (Capital One)"/>
    <d v="2014-12-09T00:00:00"/>
    <n v="-8.25"/>
    <s v="X"/>
    <x v="51"/>
    <m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09T00:00:00"/>
    <n v="-35.25"/>
    <s v="X"/>
    <x v="51"/>
    <m/>
    <s v="Gifts"/>
    <m/>
    <m/>
    <m/>
    <x v="28"/>
    <x v="0"/>
    <x v="0"/>
    <m/>
    <x v="0"/>
    <m/>
    <s v="Dec"/>
    <n v="2014"/>
    <s v="Monthly"/>
    <n v="0"/>
    <s v="No"/>
    <s v="None"/>
    <s v="Gifts"/>
  </r>
  <r>
    <s v="MasterCard (Capital One)"/>
    <d v="2014-12-09T00:00:00"/>
    <n v="-180"/>
    <s v="X"/>
    <x v="62"/>
    <s v="#Stay Fit#"/>
    <s v="Health &amp; Fitness:Sports"/>
    <m/>
    <m/>
    <m/>
    <x v="18"/>
    <x v="23"/>
    <x v="0"/>
    <m/>
    <x v="5"/>
    <m/>
    <s v="Dec"/>
    <n v="2014"/>
    <s v="Irregular"/>
    <n v="0"/>
    <s v="No"/>
    <s v="None"/>
    <s v="Health &amp; Fitness|Sports"/>
  </r>
  <r>
    <s v="MasterCard (Capital One)"/>
    <d v="2014-12-08T00:00:00"/>
    <n v="-7.88"/>
    <s v="X"/>
    <x v="34"/>
    <s v="2011: TACO DEL MAR GREENWOOD SEATTLE WA 98103 USA"/>
    <s v="Food &amp; Dining:Restaurants"/>
    <m/>
    <m/>
    <m/>
    <x v="15"/>
    <x v="15"/>
    <x v="0"/>
    <m/>
    <x v="0"/>
    <m/>
    <s v="Dec"/>
    <n v="2014"/>
    <s v="Monthly"/>
    <n v="0"/>
    <s v="No"/>
    <s v="None"/>
    <s v="Food &amp; Dining|Restaurants"/>
  </r>
  <r>
    <s v="First Tech - Checking (5544)"/>
    <d v="2014-12-07T00:00:00"/>
    <n v="11.95"/>
    <s v="X"/>
    <x v="4"/>
    <s v="Reimbursement for T-Mobile payment"/>
    <s v="Bills &amp; Utilities:Mobile Phone"/>
    <m/>
    <m/>
    <m/>
    <x v="34"/>
    <x v="24"/>
    <x v="0"/>
    <m/>
    <x v="0"/>
    <m/>
    <s v="Dec"/>
    <n v="2014"/>
    <s v="Hidden"/>
    <n v="0"/>
    <s v="No"/>
    <s v="None"/>
    <s v="Bills &amp; Utilities|Mobile Phone"/>
  </r>
  <r>
    <s v="Koolikai - Checking XX2129"/>
    <d v="2014-12-07T00:00:00"/>
    <n v="2295"/>
    <s v="*"/>
    <x v="63"/>
    <s v="Deposit--Shared Branch Mobile Deposit          First Tech FC CA"/>
    <s v="Business Income (Koolikai):Rent/7231"/>
    <m/>
    <m/>
    <n v="7231"/>
    <x v="37"/>
    <x v="25"/>
    <x v="0"/>
    <m/>
    <x v="0"/>
    <m/>
    <s v="Dec"/>
    <n v="2014"/>
    <s v="Monthly"/>
    <n v="0"/>
    <s v="No"/>
    <s v="None"/>
    <s v="Business Income (Koolikai)|Rent"/>
  </r>
  <r>
    <s v="MasterCard (Capital One)"/>
    <d v="2014-12-07T00:00:00"/>
    <n v="-21.45"/>
    <s v="X"/>
    <x v="64"/>
    <m/>
    <s v="Food &amp; Dining:Groceries/From Receipt"/>
    <m/>
    <m/>
    <s v="From Receipt"/>
    <x v="15"/>
    <x v="3"/>
    <x v="0"/>
    <m/>
    <x v="0"/>
    <m/>
    <s v="Dec"/>
    <n v="2014"/>
    <s v="Monthly"/>
    <n v="0"/>
    <s v="No"/>
    <s v="None"/>
    <s v="Food &amp; Dining|Groceries"/>
  </r>
  <r>
    <s v="MasterCard (Capital One)"/>
    <d v="2014-12-06T00:00:00"/>
    <n v="-25"/>
    <s v="X"/>
    <x v="65"/>
    <s v="#Disneyland 2014#"/>
    <s v="Vacation:Transportation"/>
    <m/>
    <m/>
    <m/>
    <x v="23"/>
    <x v="26"/>
    <x v="0"/>
    <m/>
    <x v="6"/>
    <m/>
    <s v="Dec"/>
    <n v="2014"/>
    <s v="Irregular"/>
    <n v="0"/>
    <s v="No"/>
    <s v="None"/>
    <s v="Vacation|Transportation"/>
  </r>
  <r>
    <s v="MasterCard (Capital One)"/>
    <d v="2014-12-06T00:00:00"/>
    <n v="-26.01"/>
    <s v="X"/>
    <x v="66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6T00:00:00"/>
    <n v="-64.7"/>
    <s v="X"/>
    <x v="67"/>
    <s v="#Disneyland 2014#"/>
    <s v="Vacation:Transportation/From Receipt"/>
    <m/>
    <m/>
    <s v="From Receipt"/>
    <x v="23"/>
    <x v="26"/>
    <x v="0"/>
    <m/>
    <x v="6"/>
    <m/>
    <s v="Dec"/>
    <n v="2014"/>
    <s v="Irregular"/>
    <n v="0"/>
    <s v="No"/>
    <s v="None"/>
    <s v="Vacation|Transportation"/>
  </r>
  <r>
    <s v="MasterCard (Capital One)"/>
    <d v="2014-12-06T00:00:00"/>
    <n v="-921.39"/>
    <s v="X"/>
    <x v="68"/>
    <s v="#Disneyland 2014#"/>
    <s v="Vacation:Lodging"/>
    <m/>
    <m/>
    <m/>
    <x v="23"/>
    <x v="9"/>
    <x v="0"/>
    <m/>
    <x v="6"/>
    <m/>
    <s v="Dec"/>
    <n v="2014"/>
    <s v="Irregular"/>
    <n v="0"/>
    <s v="No"/>
    <s v="None"/>
    <s v="Vacation|Lodging"/>
  </r>
  <r>
    <s v="First Tech - Checking (5544)"/>
    <d v="2014-12-05T00:00:00"/>
    <n v="-3864.19"/>
    <s v="X"/>
    <x v="69"/>
    <s v="ACH Debit--WF HOME MTG ACH - AUTO PAY"/>
    <s v="Home:Mortgage"/>
    <m/>
    <m/>
    <m/>
    <x v="14"/>
    <x v="27"/>
    <x v="0"/>
    <m/>
    <x v="0"/>
    <m/>
    <s v="Dec"/>
    <n v="2014"/>
    <s v="Monthly"/>
    <n v="0"/>
    <s v="No"/>
    <s v="None"/>
    <s v="Home|Mortgage"/>
  </r>
  <r>
    <s v="MasterCard (Capital One)"/>
    <d v="2014-12-05T00:00:00"/>
    <n v="-2.58"/>
    <s v="X"/>
    <x v="13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4.25"/>
    <s v="X"/>
    <x v="70"/>
    <s v="#Disneyland 2014# Popcorn"/>
    <s v="Vacation:Food/From Receipt"/>
    <m/>
    <m/>
    <s v="From Receipt"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5.61"/>
    <s v="X"/>
    <x v="71"/>
    <s v="#Disneyland 2014#"/>
    <s v="Vacation:Food/From Receipt"/>
    <m/>
    <m/>
    <s v="From Receipt"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10.53"/>
    <s v="X"/>
    <x v="72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14.18"/>
    <s v="X"/>
    <x v="13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18.309999999999999"/>
    <s v="X"/>
    <x v="73"/>
    <s v="#Disneyland 2014# Shirt?"/>
    <s v="Vacation:Trinkets"/>
    <m/>
    <m/>
    <m/>
    <x v="23"/>
    <x v="28"/>
    <x v="0"/>
    <m/>
    <x v="6"/>
    <m/>
    <s v="Dec"/>
    <n v="2014"/>
    <s v="Irregular"/>
    <n v="0"/>
    <s v="No"/>
    <s v="None"/>
    <s v="Vacation|Trinkets"/>
  </r>
  <r>
    <s v="MasterCard (Capital One)"/>
    <d v="2014-12-05T00:00:00"/>
    <n v="-29.05"/>
    <s v="X"/>
    <x v="74"/>
    <s v="#Disneyland 2014# Stuffies"/>
    <s v="Vacation:Trinkets/From Receipt"/>
    <m/>
    <m/>
    <s v="From Receipt"/>
    <x v="23"/>
    <x v="28"/>
    <x v="0"/>
    <m/>
    <x v="6"/>
    <m/>
    <s v="Dec"/>
    <n v="2014"/>
    <s v="Irregular"/>
    <n v="0"/>
    <s v="No"/>
    <s v="None"/>
    <s v="Vacation|Trinkets"/>
  </r>
  <r>
    <s v="MasterCard (Capital One)"/>
    <d v="2014-12-05T00:00:00"/>
    <n v="-32.68"/>
    <s v="X"/>
    <x v="75"/>
    <s v="#Disneyland 2014# Breakfast"/>
    <s v="Vacation:Food/From Receipt"/>
    <m/>
    <m/>
    <s v="From Receipt"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5T00:00:00"/>
    <n v="-91.82"/>
    <s v="X"/>
    <x v="76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First Tech - Checking (5544)"/>
    <d v="2014-12-04T00:00:00"/>
    <n v="-25.5"/>
    <s v="X"/>
    <x v="77"/>
    <s v="Play tickets"/>
    <s v="Entertainment"/>
    <n v="2140"/>
    <m/>
    <m/>
    <x v="30"/>
    <x v="0"/>
    <x v="0"/>
    <m/>
    <x v="0"/>
    <m/>
    <s v="Dec"/>
    <n v="2014"/>
    <s v="Monthly"/>
    <n v="0"/>
    <s v="No"/>
    <s v="None"/>
    <s v="Entertainment"/>
  </r>
  <r>
    <s v="MasterCard (Capital One)"/>
    <d v="2014-12-04T00:00:00"/>
    <n v="25"/>
    <s v="X"/>
    <x v="30"/>
    <m/>
    <s v="Other Inc"/>
    <m/>
    <m/>
    <m/>
    <x v="29"/>
    <x v="0"/>
    <x v="0"/>
    <m/>
    <x v="0"/>
    <m/>
    <s v="Dec"/>
    <n v="2014"/>
    <s v="Monthly"/>
    <n v="0"/>
    <s v="No"/>
    <s v="None"/>
    <s v="Other Inc"/>
  </r>
  <r>
    <s v="MasterCard (Capital One)"/>
    <d v="2014-12-04T00:00:00"/>
    <n v="-8.6300000000000008"/>
    <s v="X"/>
    <x v="78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4T00:00:00"/>
    <n v="-21.6"/>
    <s v="X"/>
    <x v="79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First Tech - Checking (5544)"/>
    <d v="2014-12-03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Dec"/>
    <n v="2014"/>
    <s v="Monthly"/>
    <n v="0"/>
    <s v="No"/>
    <s v="None"/>
    <s v="Kids|American Funds 529A"/>
  </r>
  <r>
    <s v="MasterCard (Capital One)"/>
    <d v="2014-12-03T00:00:00"/>
    <n v="-8.75"/>
    <s v="X"/>
    <x v="81"/>
    <s v="@CAT:@@BAL:$3,882.20@"/>
    <s v="Subscriptions &amp; Dues"/>
    <m/>
    <m/>
    <m/>
    <x v="33"/>
    <x v="0"/>
    <x v="0"/>
    <m/>
    <x v="0"/>
    <m/>
    <s v="Dec"/>
    <n v="2014"/>
    <s v="Annual"/>
    <n v="0"/>
    <s v="No"/>
    <s v="None"/>
    <s v="Subscriptions &amp; Dues"/>
  </r>
  <r>
    <s v="MasterCard (Capital One)"/>
    <d v="2014-12-03T00:00:00"/>
    <n v="-10.86"/>
    <s v="X"/>
    <x v="13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3T00:00:00"/>
    <n v="-29.44"/>
    <s v="X"/>
    <x v="82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3T00:00:00"/>
    <n v="-91.98"/>
    <s v="X"/>
    <x v="83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First Tech - Checking (5544)"/>
    <d v="2014-12-02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Dec"/>
    <n v="2014"/>
    <s v="Monthly"/>
    <n v="0"/>
    <s v="No"/>
    <s v="None"/>
    <s v="Business Expenses (Koolikai)|Mortgage (Business)"/>
  </r>
  <r>
    <s v="First Tech - Checking (5544)"/>
    <d v="2014-12-02T00:00:00"/>
    <n v="-3517.65"/>
    <s v="X"/>
    <x v="84"/>
    <s v="ACH Debit--NEW YORK COMMUNI 678 - NEW YORK C"/>
    <s v="Business Expenses (Koolikai):Mortgage (Business)/7231"/>
    <m/>
    <m/>
    <n v="7231"/>
    <x v="36"/>
    <x v="30"/>
    <x v="0"/>
    <m/>
    <x v="0"/>
    <m/>
    <s v="Dec"/>
    <n v="2014"/>
    <s v="Monthly"/>
    <n v="0"/>
    <s v="No"/>
    <s v="None"/>
    <s v="Business Expenses (Koolikai)|Mortgage (Business)"/>
  </r>
  <r>
    <s v="First Tech - Checking (5544)"/>
    <d v="2014-12-02T00:00:00"/>
    <n v="-4343.96"/>
    <s v="X"/>
    <x v="85"/>
    <s v="ACH Debit--CAPITAL ONE  - CRCARDPMT"/>
    <s v="[MasterCard (Capital One)]"/>
    <m/>
    <m/>
    <m/>
    <x v="38"/>
    <x v="0"/>
    <x v="0"/>
    <m/>
    <x v="0"/>
    <m/>
    <s v="Dec"/>
    <n v="2014"/>
    <s v="Account"/>
    <n v="0"/>
    <s v="No"/>
    <s v="None"/>
    <s v="[MasterCard (Capital One)]"/>
  </r>
  <r>
    <s v="MasterCard (Capital One)"/>
    <d v="2014-12-02T00:00:00"/>
    <n v="25"/>
    <s v="X"/>
    <x v="30"/>
    <m/>
    <s v="Other Inc"/>
    <m/>
    <m/>
    <m/>
    <x v="29"/>
    <x v="0"/>
    <x v="0"/>
    <m/>
    <x v="0"/>
    <m/>
    <s v="Dec"/>
    <n v="2014"/>
    <s v="Monthly"/>
    <n v="0"/>
    <s v="No"/>
    <s v="None"/>
    <s v="Other Inc"/>
  </r>
  <r>
    <s v="MasterCard (Capital One)"/>
    <d v="2014-12-02T00:00:00"/>
    <n v="-8.73"/>
    <s v="X"/>
    <x v="13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2T00:00:00"/>
    <n v="-17.170000000000002"/>
    <s v="X"/>
    <x v="74"/>
    <s v="#Disneyland 2014# For work"/>
    <s v="Gifts"/>
    <m/>
    <m/>
    <m/>
    <x v="28"/>
    <x v="0"/>
    <x v="0"/>
    <m/>
    <x v="6"/>
    <m/>
    <s v="Dec"/>
    <n v="2014"/>
    <s v="Monthly"/>
    <n v="0"/>
    <s v="No"/>
    <s v="None"/>
    <s v="Gifts"/>
  </r>
  <r>
    <s v="MasterCard (Capital One)"/>
    <d v="2014-12-02T00:00:00"/>
    <n v="-23.6"/>
    <s v="X"/>
    <x v="79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2T00:00:00"/>
    <n v="-27.19"/>
    <s v="X"/>
    <x v="74"/>
    <s v="#Disneyland 2014#Ponchos"/>
    <s v="Vacation:Trinkets"/>
    <m/>
    <m/>
    <m/>
    <x v="23"/>
    <x v="28"/>
    <x v="0"/>
    <m/>
    <x v="6"/>
    <m/>
    <s v="Dec"/>
    <n v="2014"/>
    <s v="Irregular"/>
    <n v="0"/>
    <s v="No"/>
    <s v="None"/>
    <s v="Vacation|Trinkets"/>
  </r>
  <r>
    <s v="MasterCard (Capital One)"/>
    <d v="2014-12-02T00:00:00"/>
    <n v="-42.17"/>
    <s v="X"/>
    <x v="86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MasterCard (Capital One)"/>
    <d v="2014-12-02T00:00:00"/>
    <n v="-76.5"/>
    <s v="X"/>
    <x v="87"/>
    <s v="Swimming lessons for Zach and Josh"/>
    <s v="Kids:Kids Activities"/>
    <m/>
    <m/>
    <m/>
    <x v="27"/>
    <x v="12"/>
    <x v="0"/>
    <m/>
    <x v="0"/>
    <m/>
    <s v="Dec"/>
    <n v="2014"/>
    <s v="Monthly"/>
    <n v="0"/>
    <s v="No"/>
    <s v="None"/>
    <s v="Kids|Kids Activities"/>
  </r>
  <r>
    <s v="MasterCard (Capital One)"/>
    <d v="2014-12-02T00:00:00"/>
    <n v="10.56"/>
    <s v="X"/>
    <x v="88"/>
    <s v="Refund of convenience charge a"/>
    <s v="Bank Fees &amp; Charges:Bank Fee"/>
    <m/>
    <s v="Split"/>
    <m/>
    <x v="32"/>
    <x v="31"/>
    <x v="0"/>
    <m/>
    <x v="0"/>
    <m/>
    <s v="Dec"/>
    <n v="2014"/>
    <s v="Irregular"/>
    <n v="0"/>
    <s v="No"/>
    <s v="None"/>
    <s v="Bank Fees &amp; Charges|Bank Fee"/>
  </r>
  <r>
    <s v="MasterCard (Capital One)"/>
    <d v="2014-12-02T00:00:00"/>
    <n v="-19.72"/>
    <s v="X"/>
    <x v="88"/>
    <m/>
    <s v="Bills &amp; Utilities:Television"/>
    <m/>
    <s v="Split"/>
    <m/>
    <x v="34"/>
    <x v="32"/>
    <x v="0"/>
    <m/>
    <x v="0"/>
    <m/>
    <s v="Dec"/>
    <n v="2014"/>
    <s v="Monthly"/>
    <n v="0"/>
    <s v="No"/>
    <s v="None"/>
    <s v="Bills &amp; Utilities|Television"/>
  </r>
  <r>
    <s v="MasterCard (Capital One)"/>
    <d v="2014-12-02T00:00:00"/>
    <n v="-65.27"/>
    <s v="X"/>
    <x v="88"/>
    <m/>
    <s v="Business Expenses (Koolikai):Internet"/>
    <m/>
    <s v="Split"/>
    <m/>
    <x v="36"/>
    <x v="33"/>
    <x v="0"/>
    <m/>
    <x v="0"/>
    <m/>
    <s v="Dec"/>
    <n v="2014"/>
    <s v="Monthly"/>
    <n v="0"/>
    <s v="No"/>
    <s v="None"/>
    <s v="Business Expenses (Koolikai)|Internet"/>
  </r>
  <r>
    <s v="MasterCard (Capital One)"/>
    <d v="2014-12-02T00:00:00"/>
    <n v="-43.27"/>
    <s v="X"/>
    <x v="88"/>
    <m/>
    <s v="Bills &amp; Utilities:Home Phone"/>
    <m/>
    <s v="Split"/>
    <m/>
    <x v="34"/>
    <x v="34"/>
    <x v="0"/>
    <m/>
    <x v="0"/>
    <m/>
    <s v="Dec"/>
    <n v="2014"/>
    <s v="Monthly"/>
    <n v="0"/>
    <s v="No"/>
    <s v="None"/>
    <s v="Bills &amp; Utilities|Home Phone"/>
  </r>
  <r>
    <s v="MasterCard (Capital One)"/>
    <d v="2014-12-02T00:00:00"/>
    <n v="-5.48"/>
    <s v="X"/>
    <x v="88"/>
    <s v="Need to go refigure charges fr"/>
    <s v="Business Expenses (Koolikai):Internet"/>
    <m/>
    <s v="Split"/>
    <m/>
    <x v="36"/>
    <x v="33"/>
    <x v="0"/>
    <m/>
    <x v="0"/>
    <m/>
    <s v="Dec"/>
    <n v="2014"/>
    <s v="Monthly"/>
    <n v="0"/>
    <s v="No"/>
    <s v="None"/>
    <s v="Business Expenses (Koolikai)|Internet"/>
  </r>
  <r>
    <s v="MasterCard (Capital One)"/>
    <d v="2014-12-02T00:00:00"/>
    <n v="-300"/>
    <s v="X"/>
    <x v="89"/>
    <s v="#SFOM Pool Party#"/>
    <s v="Work Expense:Reimbursable expense"/>
    <m/>
    <m/>
    <m/>
    <x v="19"/>
    <x v="21"/>
    <x v="0"/>
    <m/>
    <x v="2"/>
    <m/>
    <s v="Dec"/>
    <n v="2014"/>
    <s v="Irregular"/>
    <n v="0"/>
    <s v="No"/>
    <s v="None"/>
    <s v="Work Expense|Reimbursable expense"/>
  </r>
  <r>
    <s v="First Tech - Checking (5544)"/>
    <d v="2014-12-01T00:00:00"/>
    <n v="-2052"/>
    <s v="X"/>
    <x v="90"/>
    <s v="ACH Debit--PHINNEY RIDGE LU 504759859 - CONTRIBUTN"/>
    <s v="Kids:Daycare"/>
    <m/>
    <m/>
    <m/>
    <x v="27"/>
    <x v="35"/>
    <x v="0"/>
    <m/>
    <x v="0"/>
    <m/>
    <s v="Dec"/>
    <n v="2014"/>
    <s v="Monthly"/>
    <n v="0"/>
    <s v="No"/>
    <s v="None"/>
    <s v="Kids|Daycare"/>
  </r>
  <r>
    <s v="First Tech - Checking (5544)"/>
    <d v="2014-12-01T00:00:00"/>
    <n v="-727.13"/>
    <s v="X"/>
    <x v="91"/>
    <s v="Electronic Check--LOWES (CHECK PYMT) Accounts Receivable Entry S"/>
    <s v="Projects:Appliances"/>
    <n v="2143"/>
    <m/>
    <m/>
    <x v="39"/>
    <x v="36"/>
    <x v="0"/>
    <m/>
    <x v="0"/>
    <m/>
    <s v="Dec"/>
    <n v="2014"/>
    <s v="Unplanned"/>
    <n v="0"/>
    <s v="No"/>
    <s v="None"/>
    <s v="Projects|Appliances"/>
  </r>
  <r>
    <s v="MasterCard (Capital One)"/>
    <d v="2014-12-01T00:00:00"/>
    <n v="4343.96"/>
    <s v="X"/>
    <x v="85"/>
    <m/>
    <s v="[First Tech - Checking (5544)]"/>
    <m/>
    <m/>
    <m/>
    <x v="21"/>
    <x v="0"/>
    <x v="0"/>
    <m/>
    <x v="0"/>
    <m/>
    <s v="Dec"/>
    <n v="2014"/>
    <s v="Account"/>
    <n v="0"/>
    <s v="No"/>
    <s v="None"/>
    <s v="[First Tech - Checking (5544)]"/>
  </r>
  <r>
    <s v="MasterCard (Capital One)"/>
    <d v="2014-12-01T00:00:00"/>
    <n v="-64.94"/>
    <s v="X"/>
    <x v="92"/>
    <s v="#Disneyland 2014#"/>
    <s v="Vacation:Food"/>
    <m/>
    <m/>
    <m/>
    <x v="23"/>
    <x v="8"/>
    <x v="0"/>
    <m/>
    <x v="6"/>
    <m/>
    <s v="Dec"/>
    <n v="2014"/>
    <s v="Irregular"/>
    <n v="0"/>
    <s v="No"/>
    <s v="None"/>
    <s v="Vacation|Food"/>
  </r>
  <r>
    <s v="Koolikai - Sec Dep XX1200"/>
    <d v="2014-11-30T00:00:00"/>
    <n v="0.19"/>
    <s v="*"/>
    <x v="93"/>
    <s v="Credit Dividend--"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Chase Freedom XX9381"/>
    <d v="2014-11-30T00:00:00"/>
    <n v="-11.95"/>
    <s v="X"/>
    <x v="94"/>
    <s v="Mom's mobile phone"/>
    <s v="Bills &amp; Utilities:Mobile Phone"/>
    <m/>
    <m/>
    <m/>
    <x v="34"/>
    <x v="24"/>
    <x v="0"/>
    <m/>
    <x v="0"/>
    <m/>
    <s v="Nov"/>
    <n v="2014"/>
    <s v="Hidden"/>
    <n v="0"/>
    <s v="No"/>
    <s v="None"/>
    <s v="Bills &amp; Utilities|Mobile Phone"/>
  </r>
  <r>
    <s v="MasterCard (Capital One)"/>
    <d v="2014-11-30T00:00:00"/>
    <n v="-2.87"/>
    <s v="X"/>
    <x v="95"/>
    <m/>
    <s v="Auto &amp; Transport:Gas &amp; Fuel"/>
    <m/>
    <m/>
    <m/>
    <x v="17"/>
    <x v="37"/>
    <x v="0"/>
    <m/>
    <x v="0"/>
    <m/>
    <s v="Nov"/>
    <n v="2014"/>
    <s v="Monthly"/>
    <n v="0"/>
    <s v="No"/>
    <s v="None"/>
    <s v="Auto &amp; Transport|Gas &amp; Fuel"/>
  </r>
  <r>
    <s v="MasterCard (Capital One)"/>
    <d v="2014-11-30T00:00:00"/>
    <n v="-12.59"/>
    <s v="X"/>
    <x v="34"/>
    <s v="2011: TACO DEL MAR GREENWOOD SEATTLE WA 98103 USA"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30T00:00:00"/>
    <n v="-4.7"/>
    <s v="X"/>
    <x v="96"/>
    <s v="Proxabrush"/>
    <s v="Food &amp; Dining:Groceries/From Receipt"/>
    <m/>
    <s v="Split"/>
    <s v="From Receipt"/>
    <x v="15"/>
    <x v="3"/>
    <x v="0"/>
    <m/>
    <x v="0"/>
    <m/>
    <s v="Nov"/>
    <n v="2014"/>
    <s v="Monthly"/>
    <n v="0"/>
    <s v="No"/>
    <s v="None"/>
    <s v="Food &amp; Dining|Groceries"/>
  </r>
  <r>
    <s v="MasterCard (Capital One)"/>
    <d v="2014-11-30T00:00:00"/>
    <n v="-10"/>
    <s v="X"/>
    <x v="96"/>
    <m/>
    <s v="Health &amp; Fitness:Pharmacy/From Receipt"/>
    <m/>
    <s v="Split"/>
    <s v="From Receipt"/>
    <x v="18"/>
    <x v="38"/>
    <x v="0"/>
    <m/>
    <x v="0"/>
    <m/>
    <s v="Nov"/>
    <n v="2014"/>
    <s v="Irregular"/>
    <n v="0"/>
    <s v="No"/>
    <s v="None"/>
    <s v="Health &amp; Fitness|Pharmacy"/>
  </r>
  <r>
    <s v="MasterCard (Capital One)"/>
    <d v="2014-11-30T00:00:00"/>
    <n v="-25"/>
    <s v="X"/>
    <x v="65"/>
    <s v="#Disneyland 2014#"/>
    <s v="Vacation:Transportation"/>
    <m/>
    <m/>
    <m/>
    <x v="23"/>
    <x v="26"/>
    <x v="0"/>
    <m/>
    <x v="6"/>
    <m/>
    <s v="Nov"/>
    <n v="2014"/>
    <s v="Irregular"/>
    <n v="0"/>
    <s v="No"/>
    <s v="None"/>
    <s v="Vacation|Transportation"/>
  </r>
  <r>
    <s v="MasterCard (Capital One)"/>
    <d v="2014-11-30T00:00:00"/>
    <n v="-34"/>
    <s v="X"/>
    <x v="97"/>
    <s v="2011: RUDYS BARBER SHOP - PH SEATTLE WA 98103 USA"/>
    <s v="Personal Care:Hair"/>
    <m/>
    <m/>
    <m/>
    <x v="31"/>
    <x v="16"/>
    <x v="0"/>
    <m/>
    <x v="0"/>
    <m/>
    <s v="Nov"/>
    <n v="2014"/>
    <s v="Monthly"/>
    <n v="0"/>
    <s v="No"/>
    <s v="None"/>
    <s v="Personal Care|Hair"/>
  </r>
  <r>
    <s v="MasterCard (Capital One)"/>
    <d v="2014-11-30T00:00:00"/>
    <n v="-45.28"/>
    <s v="X"/>
    <x v="43"/>
    <m/>
    <s v="Food &amp; Dining:Groceries"/>
    <m/>
    <m/>
    <m/>
    <x v="15"/>
    <x v="3"/>
    <x v="0"/>
    <m/>
    <x v="0"/>
    <m/>
    <s v="Nov"/>
    <n v="2014"/>
    <s v="Monthly"/>
    <n v="0"/>
    <s v="No"/>
    <s v="None"/>
    <s v="Food &amp; Dining|Groceries"/>
  </r>
  <r>
    <s v="MasterCard (Capital One)"/>
    <d v="2014-11-30T00:00:00"/>
    <n v="-42.21"/>
    <s v="X"/>
    <x v="2"/>
    <m/>
    <s v="Food &amp; Dining:Groceries/From Receipt"/>
    <m/>
    <s v="Split"/>
    <s v="From Receipt"/>
    <x v="15"/>
    <x v="3"/>
    <x v="0"/>
    <m/>
    <x v="0"/>
    <m/>
    <s v="Nov"/>
    <n v="2014"/>
    <s v="Monthly"/>
    <n v="0"/>
    <s v="No"/>
    <s v="None"/>
    <s v="Food &amp; Dining|Groceries"/>
  </r>
  <r>
    <s v="MasterCard (Capital One)"/>
    <d v="2014-11-30T00:00:00"/>
    <n v="-15"/>
    <s v="X"/>
    <x v="2"/>
    <s v="Peterson sleep over"/>
    <s v="Parties/From Receipt"/>
    <m/>
    <s v="Split"/>
    <s v="From Receipt"/>
    <x v="16"/>
    <x v="0"/>
    <x v="0"/>
    <m/>
    <x v="0"/>
    <m/>
    <s v="Nov"/>
    <n v="2014"/>
    <s v="Annual"/>
    <n v="0"/>
    <s v="No"/>
    <s v="None"/>
    <s v="Parties"/>
  </r>
  <r>
    <s v="MasterCard (Capital One)"/>
    <d v="2014-11-30T00:00:00"/>
    <n v="-72"/>
    <s v="X"/>
    <x v="98"/>
    <s v="Angela's Birthday present"/>
    <s v="Entertainment"/>
    <m/>
    <m/>
    <m/>
    <x v="30"/>
    <x v="0"/>
    <x v="0"/>
    <m/>
    <x v="0"/>
    <m/>
    <s v="Nov"/>
    <n v="2014"/>
    <s v="Monthly"/>
    <n v="0"/>
    <s v="No"/>
    <s v="None"/>
    <s v="Entertainment"/>
  </r>
  <r>
    <s v="MasterCard (Capital One)"/>
    <d v="2014-11-30T00:00:00"/>
    <n v="-72"/>
    <s v="X"/>
    <x v="98"/>
    <s v="Angela's Birthday present"/>
    <s v="Entertainment"/>
    <m/>
    <m/>
    <m/>
    <x v="30"/>
    <x v="0"/>
    <x v="0"/>
    <m/>
    <x v="0"/>
    <m/>
    <s v="Nov"/>
    <n v="2014"/>
    <s v="Monthly"/>
    <n v="0"/>
    <s v="No"/>
    <s v="None"/>
    <s v="Entertainment"/>
  </r>
  <r>
    <s v="Koolikai - Checking XX2129"/>
    <d v="2014-11-29T00:00:00"/>
    <n v="2195"/>
    <s v="*"/>
    <x v="63"/>
    <s v="Deposit--Shared Branch Mobile Deposit          First Tech FC CA"/>
    <s v="Business Income (Koolikai):Rent/9602"/>
    <m/>
    <m/>
    <n v="9602"/>
    <x v="37"/>
    <x v="25"/>
    <x v="0"/>
    <m/>
    <x v="0"/>
    <m/>
    <s v="Nov"/>
    <n v="2014"/>
    <s v="Monthly"/>
    <n v="0"/>
    <s v="No"/>
    <s v="None"/>
    <s v="Business Income (Koolikai)|Rent"/>
  </r>
  <r>
    <s v="MasterCard (Capital One)"/>
    <d v="2014-11-29T00:00:00"/>
    <n v="-129.19999999999999"/>
    <s v="X"/>
    <x v="99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29T00:00:00"/>
    <n v="-970"/>
    <s v="X"/>
    <x v="73"/>
    <s v="#Disneyland 2014#Park hopper passes"/>
    <s v="Vacation:Activities"/>
    <m/>
    <m/>
    <m/>
    <x v="23"/>
    <x v="39"/>
    <x v="0"/>
    <m/>
    <x v="6"/>
    <m/>
    <s v="Nov"/>
    <n v="2014"/>
    <s v="Irregular"/>
    <n v="0"/>
    <s v="No"/>
    <s v="None"/>
    <s v="Vacation|Activities"/>
  </r>
  <r>
    <s v="Capital One - Investment (6759)"/>
    <d v="2014-11-28T00:00:00"/>
    <n v="19.420000000000002"/>
    <s v="X"/>
    <x v="100"/>
    <m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Capital One - Long Term Emergency (1201)"/>
    <d v="2014-11-28T00:00:00"/>
    <n v="48.77"/>
    <s v="X"/>
    <x v="100"/>
    <m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Capital One - Secondary Savings (3126)"/>
    <d v="2014-11-28T00:00:00"/>
    <n v="0.02"/>
    <s v="X"/>
    <x v="100"/>
    <m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Capital One - Vacation (4959)"/>
    <d v="2014-11-28T00:00:00"/>
    <n v="14.81"/>
    <s v="X"/>
    <x v="100"/>
    <m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First Tech - Checking (5544)"/>
    <d v="2014-11-28T00:00:00"/>
    <n v="-9.0500000000000007"/>
    <s v="X"/>
    <x v="101"/>
    <s v="ACH Debit--CHASE  - AUTOPAY"/>
    <s v="[Chase Freedom XX9381]"/>
    <m/>
    <m/>
    <m/>
    <x v="7"/>
    <x v="0"/>
    <x v="0"/>
    <m/>
    <x v="0"/>
    <m/>
    <s v="Nov"/>
    <n v="2014"/>
    <e v="#N/A"/>
    <e v="#N/A"/>
    <e v="#N/A"/>
    <e v="#N/A"/>
    <s v="[Chase Freedom XX9381]"/>
  </r>
  <r>
    <s v="Schwab - Checking (9784)"/>
    <d v="2014-11-28T00:00:00"/>
    <n v="0.03"/>
    <s v="X"/>
    <x v="102"/>
    <m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Schwab - Checking (9784)"/>
    <d v="2014-11-28T00:00:00"/>
    <n v="3"/>
    <s v="X"/>
    <x v="103"/>
    <m/>
    <s v="Bank Fees &amp; Charges:ATM Fee"/>
    <m/>
    <m/>
    <m/>
    <x v="32"/>
    <x v="17"/>
    <x v="0"/>
    <m/>
    <x v="0"/>
    <m/>
    <s v="Nov"/>
    <n v="2014"/>
    <s v="Monthly"/>
    <n v="0"/>
    <s v="No"/>
    <s v="None"/>
    <s v="Bank Fees &amp; Charges|ATM Fee"/>
  </r>
  <r>
    <s v="MasterCard (Capital One)"/>
    <d v="2014-11-28T00:00:00"/>
    <n v="-39.74"/>
    <s v="X"/>
    <x v="91"/>
    <s v="Washing machine"/>
    <s v="Projects:Appliances/From Receipt"/>
    <m/>
    <m/>
    <s v="From Receipt"/>
    <x v="39"/>
    <x v="36"/>
    <x v="0"/>
    <m/>
    <x v="0"/>
    <m/>
    <s v="Nov"/>
    <n v="2014"/>
    <s v="Unplanned"/>
    <n v="0"/>
    <s v="No"/>
    <s v="None"/>
    <s v="Projects|Appliances"/>
  </r>
  <r>
    <s v="MasterCard (Capital One)"/>
    <d v="2014-11-28T00:00:00"/>
    <n v="-50"/>
    <s v="X"/>
    <x v="104"/>
    <s v="2011: GOOD2GO REPLENISHMENT 08669368246 WA 98105 USA"/>
    <s v="Auto &amp; Transport:Tolls"/>
    <m/>
    <m/>
    <m/>
    <x v="17"/>
    <x v="40"/>
    <x v="0"/>
    <m/>
    <x v="0"/>
    <m/>
    <s v="Nov"/>
    <n v="2014"/>
    <s v="Irregular"/>
    <n v="0"/>
    <s v="No"/>
    <s v="None"/>
    <s v="Auto &amp; Transport|Tolls"/>
  </r>
  <r>
    <s v="MasterCard (Capital One)"/>
    <d v="2014-11-28T00:00:00"/>
    <n v="-10.82"/>
    <s v="X"/>
    <x v="105"/>
    <s v="Flashlights for the boys"/>
    <s v="Kids:Toys/From Receipt"/>
    <m/>
    <s v="Split"/>
    <s v="From Receipt"/>
    <x v="27"/>
    <x v="14"/>
    <x v="0"/>
    <m/>
    <x v="0"/>
    <m/>
    <s v="Nov"/>
    <n v="2014"/>
    <s v="Monthly"/>
    <n v="0"/>
    <s v="No"/>
    <s v="None"/>
    <s v="Kids|Toys"/>
  </r>
  <r>
    <s v="MasterCard (Capital One)"/>
    <d v="2014-11-28T00:00:00"/>
    <n v="-3.97"/>
    <s v="X"/>
    <x v="105"/>
    <s v="Dryer fitting"/>
    <s v="Projects:Appliances/From Receipt"/>
    <m/>
    <s v="Split"/>
    <s v="From Receipt"/>
    <x v="39"/>
    <x v="36"/>
    <x v="0"/>
    <m/>
    <x v="0"/>
    <m/>
    <s v="Nov"/>
    <n v="2014"/>
    <s v="Unplanned"/>
    <n v="0"/>
    <s v="No"/>
    <s v="None"/>
    <s v="Projects|Appliances"/>
  </r>
  <r>
    <s v="MasterCard (Capital One)"/>
    <d v="2014-11-28T00:00:00"/>
    <n v="-21.88"/>
    <s v="X"/>
    <x v="106"/>
    <s v="Books"/>
    <s v="Kids:Toys/From Receipt"/>
    <m/>
    <m/>
    <s v="From Receipt"/>
    <x v="27"/>
    <x v="14"/>
    <x v="0"/>
    <m/>
    <x v="0"/>
    <m/>
    <s v="Nov"/>
    <n v="2014"/>
    <s v="Monthly"/>
    <n v="0"/>
    <s v="No"/>
    <s v="None"/>
    <s v="Kids|Toys"/>
  </r>
  <r>
    <s v="First Tech - Checking (5544)"/>
    <d v="2014-11-27T00:00:00"/>
    <n v="5496.28"/>
    <s v="X"/>
    <x v="47"/>
    <s v="ACH Deposit--MICROSOFT  - EDIPAYMENT"/>
    <s v="Net Salary"/>
    <m/>
    <m/>
    <m/>
    <x v="35"/>
    <x v="0"/>
    <x v="0"/>
    <m/>
    <x v="0"/>
    <m/>
    <s v="Nov"/>
    <n v="2014"/>
    <s v="Monthly"/>
    <n v="0"/>
    <s v="No"/>
    <s v="None"/>
    <s v="Net Salary"/>
  </r>
  <r>
    <s v="MasterCard (Capital One)"/>
    <d v="2014-11-27T00:00:00"/>
    <n v="-96.84"/>
    <s v="X"/>
    <x v="2"/>
    <s v="Includes some for Thanksgiving"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First Tech - Checking (5544)"/>
    <d v="2014-11-26T00:00:00"/>
    <n v="-45"/>
    <s v="X"/>
    <x v="107"/>
    <m/>
    <s v="Kids:Babysitter"/>
    <n v="2142"/>
    <m/>
    <m/>
    <x v="27"/>
    <x v="13"/>
    <x v="0"/>
    <m/>
    <x v="0"/>
    <m/>
    <s v="Nov"/>
    <n v="2014"/>
    <s v="Monthly"/>
    <n v="0"/>
    <s v="No"/>
    <s v="None"/>
    <s v="Kids|Babysitter"/>
  </r>
  <r>
    <s v="Chase Freedom XX9381"/>
    <d v="2014-11-26T00:00:00"/>
    <n v="9.0500000000000007"/>
    <s v="X"/>
    <x v="108"/>
    <m/>
    <s v="[First Tech - Checking (5544)]"/>
    <m/>
    <m/>
    <m/>
    <x v="21"/>
    <x v="0"/>
    <x v="0"/>
    <m/>
    <x v="0"/>
    <m/>
    <s v="Nov"/>
    <n v="2014"/>
    <s v="Account"/>
    <n v="0"/>
    <s v="No"/>
    <s v="None"/>
    <s v="[First Tech - Checking (5544)]"/>
  </r>
  <r>
    <s v="First Tech - Checking (5544)"/>
    <d v="2014-11-25T00:00:00"/>
    <n v="6058.12"/>
    <s v="X"/>
    <x v="109"/>
    <s v="ACH Deposit--Cancer Research  - Payroll"/>
    <s v="Net Salary"/>
    <m/>
    <m/>
    <m/>
    <x v="35"/>
    <x v="0"/>
    <x v="0"/>
    <m/>
    <x v="0"/>
    <m/>
    <s v="Nov"/>
    <n v="2014"/>
    <s v="Monthly"/>
    <n v="0"/>
    <s v="No"/>
    <s v="None"/>
    <s v="Net Salary"/>
  </r>
  <r>
    <s v="First Tech - Checking (5544)"/>
    <d v="2014-11-24T00:00:00"/>
    <n v="-736.22"/>
    <s v="X"/>
    <x v="110"/>
    <s v="ACH Debit--DISCOVER DC PYMNTS DCIDPIINT - E-PAYMENT"/>
    <s v="[Discover Card]"/>
    <m/>
    <m/>
    <m/>
    <x v="24"/>
    <x v="0"/>
    <x v="0"/>
    <m/>
    <x v="0"/>
    <m/>
    <s v="Nov"/>
    <n v="2014"/>
    <s v="Account"/>
    <n v="0"/>
    <s v="No"/>
    <s v="None"/>
    <s v="[Discover Card]"/>
  </r>
  <r>
    <s v="Koolikai - Checking XX2129"/>
    <d v="2014-11-24T00:00:00"/>
    <n v="-146.84"/>
    <s v="*"/>
    <x v="11"/>
    <s v="ACH Debit--CHASE  - AUTOPAYBUS"/>
    <s v="[Koolikai Credit Card]"/>
    <m/>
    <m/>
    <m/>
    <x v="9"/>
    <x v="0"/>
    <x v="0"/>
    <m/>
    <x v="0"/>
    <m/>
    <s v="Nov"/>
    <n v="2014"/>
    <s v="Account"/>
    <n v="0"/>
    <s v="No"/>
    <s v="None"/>
    <s v="[Koolikai Credit Card]"/>
  </r>
  <r>
    <s v="Chase Freedom XX9381"/>
    <d v="2014-11-24T00:00:00"/>
    <n v="-5.32"/>
    <s v="X"/>
    <x v="37"/>
    <s v="Alligator clips"/>
    <s v="Shopping:Electronics &amp; Software"/>
    <m/>
    <m/>
    <m/>
    <x v="13"/>
    <x v="20"/>
    <x v="0"/>
    <m/>
    <x v="0"/>
    <m/>
    <s v="Nov"/>
    <n v="2014"/>
    <s v="Annual"/>
    <n v="0"/>
    <s v="No"/>
    <s v="None"/>
    <s v="Shopping|Electronics &amp; Software"/>
  </r>
  <r>
    <s v="MasterCard (Capital One)"/>
    <d v="2014-11-24T00:00:00"/>
    <n v="20.76"/>
    <s v="X"/>
    <x v="111"/>
    <s v="Refund for extra month's charge"/>
    <s v="Auto &amp; Transport:Gas &amp; Fuel"/>
    <m/>
    <m/>
    <m/>
    <x v="17"/>
    <x v="37"/>
    <x v="0"/>
    <m/>
    <x v="0"/>
    <m/>
    <s v="Nov"/>
    <n v="2014"/>
    <s v="Monthly"/>
    <n v="0"/>
    <s v="No"/>
    <s v="None"/>
    <s v="Auto &amp; Transport|Gas &amp; Fuel"/>
  </r>
  <r>
    <s v="MasterCard (Capital One)"/>
    <d v="2014-11-24T00:00:00"/>
    <n v="-12.72"/>
    <s v="X"/>
    <x v="112"/>
    <m/>
    <s v="Parties"/>
    <m/>
    <m/>
    <m/>
    <x v="16"/>
    <x v="0"/>
    <x v="0"/>
    <m/>
    <x v="0"/>
    <m/>
    <s v="Nov"/>
    <n v="2014"/>
    <s v="Annual"/>
    <n v="0"/>
    <s v="No"/>
    <s v="None"/>
    <s v="Parties"/>
  </r>
  <r>
    <s v="Schwab - Checking (9784)"/>
    <d v="2014-11-23T00:00:00"/>
    <n v="-9"/>
    <s v="X"/>
    <x v="113"/>
    <s v="Monorail tickets"/>
    <s v="Vacation:Activities"/>
    <m/>
    <s v="Split"/>
    <m/>
    <x v="23"/>
    <x v="39"/>
    <x v="0"/>
    <m/>
    <x v="0"/>
    <m/>
    <s v="Nov"/>
    <n v="2014"/>
    <s v="Irregular"/>
    <n v="0"/>
    <s v="No"/>
    <s v="None"/>
    <s v="Vacation|Activities"/>
  </r>
  <r>
    <s v="Schwab - Checking (9784)"/>
    <d v="2014-11-23T00:00:00"/>
    <n v="-14"/>
    <s v="X"/>
    <x v="113"/>
    <m/>
    <s v="Food &amp; Dining:Restaurants"/>
    <m/>
    <s v="Split"/>
    <m/>
    <x v="15"/>
    <x v="15"/>
    <x v="0"/>
    <m/>
    <x v="0"/>
    <m/>
    <s v="Nov"/>
    <n v="2014"/>
    <s v="Monthly"/>
    <n v="0"/>
    <s v="No"/>
    <s v="None"/>
    <s v="Food &amp; Dining|Restaurants"/>
  </r>
  <r>
    <s v="Chase Freedom XX9381"/>
    <d v="2014-11-23T00:00:00"/>
    <n v="-49.61"/>
    <s v="X"/>
    <x v="114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Discover Card"/>
    <d v="2014-11-23T00:00:00"/>
    <n v="736.22"/>
    <s v="X"/>
    <x v="110"/>
    <m/>
    <s v="[First Tech - Checking (5544)]"/>
    <m/>
    <m/>
    <m/>
    <x v="21"/>
    <x v="0"/>
    <x v="0"/>
    <m/>
    <x v="0"/>
    <m/>
    <s v="Nov"/>
    <n v="2014"/>
    <s v="Account"/>
    <n v="0"/>
    <s v="No"/>
    <s v="None"/>
    <s v="[First Tech - Checking (5544)]"/>
  </r>
  <r>
    <s v="Koolikai Credit Card"/>
    <d v="2014-11-23T00:00:00"/>
    <n v="146.84"/>
    <s v="*"/>
    <x v="11"/>
    <m/>
    <s v="[Koolikai - Checking XX2129]"/>
    <m/>
    <m/>
    <m/>
    <x v="25"/>
    <x v="0"/>
    <x v="0"/>
    <m/>
    <x v="0"/>
    <m/>
    <s v="Nov"/>
    <n v="2014"/>
    <s v="Account"/>
    <n v="0"/>
    <s v="No"/>
    <s v="None"/>
    <s v="[Koolikai - Checking XX2129]"/>
  </r>
  <r>
    <s v="MasterCard (Capital One)"/>
    <d v="2014-11-23T00:00:00"/>
    <n v="-36.78"/>
    <s v="X"/>
    <x v="115"/>
    <m/>
    <s v="Auto &amp; Transport:Gas &amp; Fuel"/>
    <m/>
    <m/>
    <m/>
    <x v="17"/>
    <x v="37"/>
    <x v="0"/>
    <m/>
    <x v="0"/>
    <m/>
    <s v="Nov"/>
    <n v="2014"/>
    <s v="Monthly"/>
    <n v="0"/>
    <s v="No"/>
    <s v="None"/>
    <s v="Auto &amp; Transport|Gas &amp; Fuel"/>
  </r>
  <r>
    <s v="First Tech - Checking (5544)"/>
    <d v="2014-11-22T00:00:00"/>
    <n v="801.65"/>
    <s v="X"/>
    <x v="116"/>
    <s v="#Group Meeting Fall#"/>
    <s v="Work Expense:Reimbursement"/>
    <m/>
    <m/>
    <m/>
    <x v="19"/>
    <x v="6"/>
    <x v="0"/>
    <m/>
    <x v="7"/>
    <m/>
    <s v="Nov"/>
    <n v="2014"/>
    <s v="Irregular"/>
    <n v="0"/>
    <s v="No"/>
    <s v="None"/>
    <s v="Work Expense|Reimbursement"/>
  </r>
  <r>
    <s v="MasterCard (Capital One)"/>
    <d v="2014-11-22T00:00:00"/>
    <n v="-4.22"/>
    <s v="X"/>
    <x v="39"/>
    <m/>
    <s v="Auto &amp; Transport:Parking"/>
    <m/>
    <m/>
    <m/>
    <x v="17"/>
    <x v="11"/>
    <x v="0"/>
    <m/>
    <x v="0"/>
    <m/>
    <s v="Nov"/>
    <n v="2014"/>
    <s v="Monthly"/>
    <n v="0"/>
    <s v="No"/>
    <s v="None"/>
    <s v="Auto &amp; Transport|Parking"/>
  </r>
  <r>
    <s v="MasterCard (Capital One)"/>
    <d v="2014-11-22T00:00:00"/>
    <n v="-4.37"/>
    <s v="X"/>
    <x v="117"/>
    <m/>
    <s v="Kids:Toys"/>
    <m/>
    <m/>
    <m/>
    <x v="27"/>
    <x v="14"/>
    <x v="0"/>
    <m/>
    <x v="0"/>
    <m/>
    <s v="Nov"/>
    <n v="2014"/>
    <s v="Monthly"/>
    <n v="0"/>
    <s v="No"/>
    <s v="None"/>
    <s v="Kids|Toys"/>
  </r>
  <r>
    <s v="MasterCard (Capital One)"/>
    <d v="2014-11-22T00:00:00"/>
    <n v="-15.31"/>
    <s v="X"/>
    <x v="118"/>
    <s v="Dinner after Dick Whittington and his cat"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22T00:00:00"/>
    <n v="-24.91"/>
    <s v="X"/>
    <x v="119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22T00:00:00"/>
    <n v="-111.81"/>
    <s v="X"/>
    <x v="2"/>
    <m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Target Red Card"/>
    <d v="2014-11-22T00:00:00"/>
    <n v="-33.5"/>
    <s v="*"/>
    <x v="120"/>
    <s v="#Disneyland 2014# Toys for trip"/>
    <s v="Vacation:Activities/From Receipt"/>
    <n v="799999943261"/>
    <m/>
    <s v="From Receipt"/>
    <x v="23"/>
    <x v="39"/>
    <x v="0"/>
    <m/>
    <x v="6"/>
    <m/>
    <s v="Nov"/>
    <n v="2014"/>
    <s v="Irregular"/>
    <n v="0"/>
    <s v="No"/>
    <s v="None"/>
    <s v="Vacation|Activities"/>
  </r>
  <r>
    <s v="First Tech - Checking (5544)"/>
    <d v="2014-11-21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Nov"/>
    <n v="2014"/>
    <s v="Monthly"/>
    <n v="0"/>
    <s v="No"/>
    <s v="None"/>
    <s v="Auto &amp; Transport|Auto Lease Payment"/>
  </r>
  <r>
    <s v="First Tech - Checking (5544)"/>
    <d v="2014-11-21T00:00:00"/>
    <n v="-70"/>
    <s v="X"/>
    <x v="18"/>
    <s v="@CAT:@"/>
    <s v="Kids:Babysitter"/>
    <n v="2141"/>
    <m/>
    <m/>
    <x v="27"/>
    <x v="13"/>
    <x v="0"/>
    <m/>
    <x v="0"/>
    <m/>
    <s v="Nov"/>
    <n v="2014"/>
    <s v="Monthly"/>
    <n v="0"/>
    <s v="No"/>
    <s v="None"/>
    <s v="Kids|Babysitter"/>
  </r>
  <r>
    <s v="Koolikai - Checking XX2129"/>
    <d v="2014-11-21T00:00:00"/>
    <n v="-128.66"/>
    <s v="*"/>
    <x v="121"/>
    <s v="Unblock bathroom drain at 9602"/>
    <s v="Business Expenses (Koolikai):Repairs/9602:From Receipt"/>
    <n v="1095"/>
    <m/>
    <s v="9602:From Receipt"/>
    <x v="36"/>
    <x v="41"/>
    <x v="0"/>
    <m/>
    <x v="0"/>
    <m/>
    <s v="Nov"/>
    <n v="2014"/>
    <s v="Irregular"/>
    <n v="0"/>
    <s v="No"/>
    <s v="None"/>
    <s v="Business Expenses (Koolikai)|Repairs"/>
  </r>
  <r>
    <s v="Schwab - Checking (9784)"/>
    <d v="2014-11-21T00:00:00"/>
    <n v="-5.79"/>
    <s v="X"/>
    <x v="1"/>
    <s v="Eyeglass cleaner"/>
    <s v="Health &amp; Fitness:Eyecare/From Receipt"/>
    <m/>
    <s v="Split"/>
    <s v="From Receipt"/>
    <x v="18"/>
    <x v="5"/>
    <x v="0"/>
    <m/>
    <x v="0"/>
    <m/>
    <s v="Nov"/>
    <n v="2014"/>
    <s v="Irregular"/>
    <n v="0"/>
    <s v="No"/>
    <s v="None"/>
    <s v="Health &amp; Fitness|Eyecare"/>
  </r>
  <r>
    <s v="Schwab - Checking (9784)"/>
    <d v="2014-11-21T00:00:00"/>
    <n v="-6.55"/>
    <s v="X"/>
    <x v="1"/>
    <s v="Pictures for Nikki"/>
    <s v="Gifts/From Receipt"/>
    <m/>
    <s v="Split"/>
    <s v="From Receipt"/>
    <x v="28"/>
    <x v="0"/>
    <x v="0"/>
    <m/>
    <x v="0"/>
    <m/>
    <s v="Nov"/>
    <n v="2014"/>
    <s v="Monthly"/>
    <n v="0"/>
    <s v="No"/>
    <s v="None"/>
    <s v="Gifts"/>
  </r>
  <r>
    <s v="MasterCard (Capital One)"/>
    <d v="2014-11-21T00:00:00"/>
    <n v="-20.05"/>
    <s v="X"/>
    <x v="122"/>
    <s v="Christmas cards"/>
    <s v="Gifts/From Receipt"/>
    <m/>
    <m/>
    <s v="From Receipt"/>
    <x v="28"/>
    <x v="0"/>
    <x v="0"/>
    <m/>
    <x v="0"/>
    <m/>
    <s v="Nov"/>
    <n v="2014"/>
    <s v="Monthly"/>
    <n v="0"/>
    <s v="No"/>
    <s v="None"/>
    <s v="Gifts"/>
  </r>
  <r>
    <s v="MasterCard (Capital One)"/>
    <d v="2014-11-21T00:00:00"/>
    <n v="-21.89"/>
    <s v="X"/>
    <x v="123"/>
    <s v="Little learning house"/>
    <s v="Gifts/From Receipt"/>
    <m/>
    <m/>
    <s v="From Receipt"/>
    <x v="28"/>
    <x v="0"/>
    <x v="0"/>
    <m/>
    <x v="0"/>
    <m/>
    <s v="Nov"/>
    <n v="2014"/>
    <s v="Monthly"/>
    <n v="0"/>
    <s v="No"/>
    <s v="None"/>
    <s v="Gifts"/>
  </r>
  <r>
    <s v="MasterCard (Capital One)"/>
    <d v="2014-11-21T00:00:00"/>
    <n v="-42.54"/>
    <s v="X"/>
    <x v="122"/>
    <s v="Christmas cards"/>
    <s v="Gifts/From Receipt"/>
    <m/>
    <m/>
    <s v="From Receipt"/>
    <x v="28"/>
    <x v="0"/>
    <x v="0"/>
    <m/>
    <x v="0"/>
    <m/>
    <s v="Nov"/>
    <n v="2014"/>
    <s v="Monthly"/>
    <n v="0"/>
    <s v="No"/>
    <s v="None"/>
    <s v="Gifts"/>
  </r>
  <r>
    <s v="MasterCard (Capital One)"/>
    <d v="2014-11-21T00:00:00"/>
    <n v="-70.77"/>
    <s v="X"/>
    <x v="124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REI Mastercard (xx1787)"/>
    <d v="2014-11-19T00:00:00"/>
    <n v="-43.8"/>
    <s v="*"/>
    <x v="36"/>
    <s v="Dave's gloves"/>
    <s v="Shopping:Clothing/From Receipt"/>
    <m/>
    <m/>
    <s v="From Receipt"/>
    <x v="13"/>
    <x v="1"/>
    <x v="0"/>
    <m/>
    <x v="0"/>
    <m/>
    <s v="Nov"/>
    <n v="2014"/>
    <s v="Annual"/>
    <n v="0"/>
    <s v="No"/>
    <s v="None"/>
    <s v="Shopping|Clothing"/>
  </r>
  <r>
    <s v="First Tech - Checking (5544)"/>
    <d v="2014-11-18T00:00:00"/>
    <n v="-74.77"/>
    <s v="X"/>
    <x v="125"/>
    <s v="ACH Debit--CITY OF SEATTLE  - 1 - SCL De"/>
    <s v="Bills &amp; Utilities:Utilities"/>
    <m/>
    <m/>
    <m/>
    <x v="34"/>
    <x v="18"/>
    <x v="0"/>
    <m/>
    <x v="0"/>
    <m/>
    <s v="Nov"/>
    <n v="2014"/>
    <s v="Monthly"/>
    <n v="0"/>
    <s v="No"/>
    <s v="None"/>
    <s v="Bills &amp; Utilities|Utilities"/>
  </r>
  <r>
    <s v="Chase Freedom XX9381"/>
    <d v="2014-11-18T00:00:00"/>
    <n v="-1.98"/>
    <s v="X"/>
    <x v="20"/>
    <m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Chase Freedom XX9381"/>
    <d v="2014-11-18T00:00:00"/>
    <n v="-20"/>
    <s v="X"/>
    <x v="126"/>
    <s v="Kids T-shirts"/>
    <s v="Kids:Clothing"/>
    <m/>
    <m/>
    <m/>
    <x v="27"/>
    <x v="1"/>
    <x v="0"/>
    <m/>
    <x v="0"/>
    <m/>
    <s v="Nov"/>
    <n v="2014"/>
    <s v="Monthly"/>
    <n v="0"/>
    <s v="No"/>
    <s v="None"/>
    <s v="Kids|Clothing"/>
  </r>
  <r>
    <s v="REI Mastercard (xx1787)"/>
    <d v="2014-11-18T00:00:00"/>
    <n v="0"/>
    <s v="X"/>
    <x v="127"/>
    <m/>
    <s v="[REI Mastercard (xx1787)]"/>
    <m/>
    <m/>
    <m/>
    <x v="11"/>
    <x v="0"/>
    <x v="0"/>
    <m/>
    <x v="0"/>
    <m/>
    <s v="Nov"/>
    <n v="2014"/>
    <e v="#N/A"/>
    <e v="#N/A"/>
    <e v="#N/A"/>
    <e v="#N/A"/>
    <s v="[REI Mastercard (xx1787)]"/>
  </r>
  <r>
    <s v="MasterCard (Capital One)"/>
    <d v="2014-11-16T00:00:00"/>
    <n v="-9.17"/>
    <s v="X"/>
    <x v="13"/>
    <s v="@BAL:$5556.22@@CAT:@"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Discover Card"/>
    <d v="2014-11-15T00:00:00"/>
    <n v="-24.05"/>
    <s v="X"/>
    <x v="128"/>
    <s v="@CAT:@"/>
    <s v="Home:Furnishings/From Receipt"/>
    <m/>
    <s v="Split"/>
    <s v="From Receipt"/>
    <x v="14"/>
    <x v="2"/>
    <x v="0"/>
    <m/>
    <x v="0"/>
    <m/>
    <s v="Nov"/>
    <n v="2014"/>
    <s v="Monthly"/>
    <n v="0"/>
    <s v="No"/>
    <s v="None"/>
    <s v="Home|Furnishings"/>
  </r>
  <r>
    <s v="Discover Card"/>
    <d v="2014-11-15T00:00:00"/>
    <n v="-27.33"/>
    <s v="X"/>
    <x v="128"/>
    <m/>
    <s v="Gifts/From Receipt"/>
    <m/>
    <s v="Split"/>
    <s v="From Receipt"/>
    <x v="28"/>
    <x v="0"/>
    <x v="0"/>
    <m/>
    <x v="0"/>
    <m/>
    <s v="Nov"/>
    <n v="2014"/>
    <s v="Monthly"/>
    <n v="0"/>
    <s v="No"/>
    <s v="None"/>
    <s v="Gifts"/>
  </r>
  <r>
    <s v="Discover Card"/>
    <d v="2014-11-15T00:00:00"/>
    <n v="-27.96"/>
    <s v="X"/>
    <x v="128"/>
    <m/>
    <s v="Kids:Toys/From Receipt"/>
    <m/>
    <s v="Split"/>
    <s v="From Receipt"/>
    <x v="27"/>
    <x v="14"/>
    <x v="0"/>
    <m/>
    <x v="0"/>
    <m/>
    <s v="Nov"/>
    <n v="2014"/>
    <s v="Monthly"/>
    <n v="0"/>
    <s v="No"/>
    <s v="None"/>
    <s v="Kids|Toys"/>
  </r>
  <r>
    <s v="MasterCard (Capital One)"/>
    <d v="2014-11-15T00:00:00"/>
    <n v="-4.21"/>
    <s v="X"/>
    <x v="95"/>
    <m/>
    <s v="Auto &amp; Transport:Gas &amp; Fuel"/>
    <m/>
    <m/>
    <m/>
    <x v="17"/>
    <x v="37"/>
    <x v="0"/>
    <m/>
    <x v="0"/>
    <m/>
    <s v="Nov"/>
    <n v="2014"/>
    <s v="Monthly"/>
    <n v="0"/>
    <s v="No"/>
    <s v="None"/>
    <s v="Auto &amp; Transport|Gas &amp; Fuel"/>
  </r>
  <r>
    <s v="MasterCard (Capital One)"/>
    <d v="2014-11-15T00:00:00"/>
    <n v="-25.12"/>
    <s v="X"/>
    <x v="128"/>
    <m/>
    <s v="Food &amp; Dining:Restaurants/From Receipt"/>
    <m/>
    <m/>
    <s v="From Receipt"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15T00:00:00"/>
    <n v="-134.79"/>
    <s v="X"/>
    <x v="129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15T00:00:00"/>
    <n v="-155.08000000000001"/>
    <s v="X"/>
    <x v="2"/>
    <m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First Tech - Checking (5544)"/>
    <d v="2014-11-14T00:00:00"/>
    <n v="15"/>
    <s v="X"/>
    <x v="116"/>
    <s v="#Cash Payment for keycard#"/>
    <s v="Work Expense:Reimbursement"/>
    <m/>
    <m/>
    <m/>
    <x v="19"/>
    <x v="6"/>
    <x v="0"/>
    <m/>
    <x v="8"/>
    <m/>
    <s v="Nov"/>
    <n v="2014"/>
    <s v="Irregular"/>
    <n v="0"/>
    <s v="No"/>
    <s v="None"/>
    <s v="Work Expense|Reimbursement"/>
  </r>
  <r>
    <s v="First Tech - Checking (5544)"/>
    <d v="2014-11-14T00:00:00"/>
    <n v="148.91"/>
    <s v="X"/>
    <x v="130"/>
    <s v="#Stay Fit# ACH Deposit--STAY FIT MICROSO 304254681"/>
    <s v="Health &amp; Fitness:Sports"/>
    <m/>
    <m/>
    <m/>
    <x v="18"/>
    <x v="23"/>
    <x v="0"/>
    <m/>
    <x v="5"/>
    <m/>
    <s v="Nov"/>
    <n v="2014"/>
    <s v="Irregular"/>
    <n v="0"/>
    <s v="No"/>
    <s v="None"/>
    <s v="Health &amp; Fitness|Sports"/>
  </r>
  <r>
    <s v="Discover Card"/>
    <d v="2014-11-14T00:00:00"/>
    <n v="-4"/>
    <s v="X"/>
    <x v="131"/>
    <s v="Omelet"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Discover Card"/>
    <d v="2014-11-14T00:00:00"/>
    <n v="-100"/>
    <s v="X"/>
    <x v="131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First Tech - Checking (5544)"/>
    <d v="2014-11-13T00:00:00"/>
    <n v="5507.73"/>
    <s v="X"/>
    <x v="47"/>
    <s v="ACH Deposit--MICROSOFT  - EDIPAYMENT"/>
    <s v="Net Salary"/>
    <m/>
    <m/>
    <m/>
    <x v="35"/>
    <x v="0"/>
    <x v="0"/>
    <m/>
    <x v="0"/>
    <m/>
    <s v="Nov"/>
    <n v="2014"/>
    <s v="Monthly"/>
    <n v="0"/>
    <s v="No"/>
    <s v="None"/>
    <s v="Net Salary"/>
  </r>
  <r>
    <s v="First Tech - Checking (5544)"/>
    <d v="2014-11-13T00:00:00"/>
    <n v="-48.63"/>
    <s v="X"/>
    <x v="45"/>
    <s v="ACH Debit--PUGET SOUND ENER DIRECT DEBITING - PSE BILL  46250514"/>
    <s v="Bills &amp; Utilities:Utilities"/>
    <m/>
    <m/>
    <m/>
    <x v="34"/>
    <x v="18"/>
    <x v="0"/>
    <m/>
    <x v="0"/>
    <m/>
    <s v="Nov"/>
    <n v="2014"/>
    <s v="Monthly"/>
    <n v="0"/>
    <s v="No"/>
    <s v="None"/>
    <s v="Bills &amp; Utilities|Utilities"/>
  </r>
  <r>
    <s v="MasterCard (Capital One)"/>
    <d v="2014-11-13T00:00:00"/>
    <n v="-21.71"/>
    <s v="X"/>
    <x v="132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Koolikai - Checking XX2129"/>
    <d v="2014-11-12T00:00:00"/>
    <n v="-67.81"/>
    <s v="X"/>
    <x v="133"/>
    <s v="Smoke and CO detectors@CAT:@@BAL:$23,364.92@"/>
    <s v="Business Expenses (Koolikai):Repairs/9602:From Receipt"/>
    <n v="1094"/>
    <m/>
    <s v="9602:From Receipt"/>
    <x v="36"/>
    <x v="41"/>
    <x v="0"/>
    <m/>
    <x v="0"/>
    <m/>
    <s v="Nov"/>
    <n v="2014"/>
    <s v="Irregular"/>
    <n v="0"/>
    <s v="No"/>
    <s v="None"/>
    <s v="Business Expenses (Koolikai)|Repairs"/>
  </r>
  <r>
    <s v="Koolikai - Sec Dep XX1200"/>
    <d v="2014-11-12T00:00:00"/>
    <n v="0"/>
    <s v="X"/>
    <x v="0"/>
    <s v="@CAT:@@BAL:$4,502.42@"/>
    <s v="[Koolikai - Sec Dep XX1200]"/>
    <m/>
    <m/>
    <m/>
    <x v="41"/>
    <x v="0"/>
    <x v="0"/>
    <m/>
    <x v="0"/>
    <m/>
    <s v="Nov"/>
    <n v="2014"/>
    <s v="Account"/>
    <n v="0"/>
    <s v="No"/>
    <s v="None"/>
    <s v="[Koolikai - Sec Dep XX1200]"/>
  </r>
  <r>
    <s v="Discover Card"/>
    <d v="2014-11-12T00:00:00"/>
    <n v="-5.2"/>
    <s v="X"/>
    <x v="131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Koolikai Credit Card"/>
    <d v="2014-11-12T00:00:00"/>
    <n v="-146.88"/>
    <s v="*"/>
    <x v="55"/>
    <m/>
    <s v="Business Expenses (Koolikai):Cell Phone"/>
    <m/>
    <m/>
    <m/>
    <x v="36"/>
    <x v="22"/>
    <x v="0"/>
    <m/>
    <x v="0"/>
    <m/>
    <s v="Nov"/>
    <n v="2014"/>
    <s v="Monthly"/>
    <n v="0"/>
    <s v="No"/>
    <s v="None"/>
    <s v="Business Expenses (Koolikai)|Cell Phone"/>
  </r>
  <r>
    <s v="MasterCard (Capital One)"/>
    <d v="2014-11-12T00:00:00"/>
    <n v="-36.11"/>
    <s v="X"/>
    <x v="134"/>
    <s v="Calendar and receipt holder"/>
    <s v="Business Expenses (Koolikai):Office Expenses (Business)/From Receipt"/>
    <m/>
    <m/>
    <s v="From Receipt"/>
    <x v="36"/>
    <x v="42"/>
    <x v="0"/>
    <m/>
    <x v="0"/>
    <m/>
    <s v="Nov"/>
    <n v="2014"/>
    <s v="Monthly"/>
    <n v="0"/>
    <s v="No"/>
    <s v="None"/>
    <s v="Business Expenses (Koolikai)|Office Expenses (Business)"/>
  </r>
  <r>
    <s v="Schwab - Checking (9784)"/>
    <d v="2014-11-11T00:00:00"/>
    <n v="-44.74"/>
    <s v="X"/>
    <x v="1"/>
    <s v="Sonicare brush heads"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Chase Slate (XX1141)"/>
    <d v="2014-11-11T00:00:00"/>
    <n v="0"/>
    <s v="X"/>
    <x v="0"/>
    <s v="@CAT:@@BAL:$0.00@"/>
    <s v="[Chase Slate (XX1141)]"/>
    <m/>
    <m/>
    <m/>
    <x v="8"/>
    <x v="0"/>
    <x v="0"/>
    <m/>
    <x v="0"/>
    <m/>
    <s v="Nov"/>
    <n v="2014"/>
    <e v="#N/A"/>
    <e v="#N/A"/>
    <e v="#N/A"/>
    <e v="#N/A"/>
    <s v="[Chase Slate (XX1141)]"/>
  </r>
  <r>
    <s v="Mastercard (Angela)"/>
    <d v="2014-11-11T00:00:00"/>
    <n v="0"/>
    <s v="X"/>
    <x v="0"/>
    <s v="@CAT:@@BAL:$0.00@"/>
    <s v="[Mastercard (Angela)]"/>
    <m/>
    <m/>
    <m/>
    <x v="10"/>
    <x v="0"/>
    <x v="0"/>
    <m/>
    <x v="0"/>
    <m/>
    <s v="Nov"/>
    <n v="2014"/>
    <s v="Account"/>
    <n v="0"/>
    <s v="No"/>
    <s v="None"/>
    <s v="[Mastercard (Angela)]"/>
  </r>
  <r>
    <s v="MasterCard (Capital One)"/>
    <d v="2014-11-11T00:00:00"/>
    <n v="25"/>
    <s v="X"/>
    <x v="60"/>
    <m/>
    <s v="Other Inc"/>
    <m/>
    <m/>
    <m/>
    <x v="29"/>
    <x v="0"/>
    <x v="0"/>
    <m/>
    <x v="0"/>
    <m/>
    <s v="Nov"/>
    <n v="2014"/>
    <s v="Monthly"/>
    <n v="0"/>
    <s v="No"/>
    <s v="None"/>
    <s v="Other Inc"/>
  </r>
  <r>
    <s v="MasterCard (Capital One)"/>
    <d v="2014-11-11T00:00:00"/>
    <n v="-23.89"/>
    <s v="X"/>
    <x v="135"/>
    <m/>
    <s v="Kids:Clothing"/>
    <m/>
    <m/>
    <m/>
    <x v="27"/>
    <x v="1"/>
    <x v="0"/>
    <m/>
    <x v="0"/>
    <m/>
    <s v="Nov"/>
    <n v="2014"/>
    <s v="Monthly"/>
    <n v="0"/>
    <s v="No"/>
    <s v="None"/>
    <s v="Kids|Clothing"/>
  </r>
  <r>
    <s v="MasterCard (Capital One)"/>
    <d v="2014-11-11T00:00:00"/>
    <n v="-519"/>
    <s v="X"/>
    <x v="136"/>
    <m/>
    <s v="Kids:Kids Activities"/>
    <m/>
    <m/>
    <m/>
    <x v="27"/>
    <x v="12"/>
    <x v="0"/>
    <m/>
    <x v="0"/>
    <m/>
    <s v="Nov"/>
    <n v="2014"/>
    <s v="Monthly"/>
    <n v="0"/>
    <s v="No"/>
    <s v="None"/>
    <s v="Kids|Kids Activities"/>
  </r>
  <r>
    <s v="REI Mastercard (xx1787)"/>
    <d v="2014-11-11T00:00:00"/>
    <n v="0"/>
    <s v="X"/>
    <x v="0"/>
    <s v="@CAT:@@BAL:$0.00@"/>
    <s v="[REI Mastercard (xx1787)]"/>
    <m/>
    <m/>
    <m/>
    <x v="11"/>
    <x v="0"/>
    <x v="0"/>
    <m/>
    <x v="0"/>
    <m/>
    <s v="Nov"/>
    <n v="2014"/>
    <e v="#N/A"/>
    <e v="#N/A"/>
    <e v="#N/A"/>
    <e v="#N/A"/>
    <s v="[REI Mastercard (xx1787)]"/>
  </r>
  <r>
    <s v="First Tech - Short Term Emergency (5400)"/>
    <d v="2014-11-09T00:00:00"/>
    <n v="0"/>
    <s v="X"/>
    <x v="0"/>
    <s v="@CAT:@@BAL:$5.00@"/>
    <s v="[First Tech - Short Term Emergency (5400)]"/>
    <m/>
    <m/>
    <m/>
    <x v="4"/>
    <x v="0"/>
    <x v="0"/>
    <m/>
    <x v="0"/>
    <m/>
    <s v="Nov"/>
    <n v="2014"/>
    <s v="Account"/>
    <n v="0"/>
    <s v="No"/>
    <s v="None"/>
    <s v="[First Tech - Short Term Emergency (5400)]"/>
  </r>
  <r>
    <s v="MasterCard (Capital One)"/>
    <d v="2014-11-09T00:00:00"/>
    <n v="-6.57"/>
    <s v="X"/>
    <x v="137"/>
    <m/>
    <s v="Food &amp; Dining:Restaurants/From Receipt"/>
    <m/>
    <m/>
    <s v="From Receipt"/>
    <x v="15"/>
    <x v="15"/>
    <x v="0"/>
    <m/>
    <x v="0"/>
    <m/>
    <s v="Nov"/>
    <n v="2014"/>
    <s v="Monthly"/>
    <n v="0"/>
    <s v="No"/>
    <s v="None"/>
    <s v="Food &amp; Dining|Restaurants"/>
  </r>
  <r>
    <s v="Chase Slate (XX1141)"/>
    <d v="2014-11-08T00:00:00"/>
    <n v="0"/>
    <s v="X"/>
    <x v="127"/>
    <m/>
    <s v="[Chase Slate (XX1141)]"/>
    <m/>
    <m/>
    <m/>
    <x v="8"/>
    <x v="0"/>
    <x v="0"/>
    <m/>
    <x v="0"/>
    <m/>
    <s v="Nov"/>
    <n v="2014"/>
    <e v="#N/A"/>
    <e v="#N/A"/>
    <e v="#N/A"/>
    <e v="#N/A"/>
    <s v="[Chase Slate (XX1141)]"/>
  </r>
  <r>
    <s v="MasterCard (Capital One)"/>
    <d v="2014-11-08T00:00:00"/>
    <n v="-15.87"/>
    <s v="X"/>
    <x v="138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8T00:00:00"/>
    <n v="-18.72"/>
    <s v="X"/>
    <x v="139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8T00:00:00"/>
    <n v="-21.53"/>
    <s v="X"/>
    <x v="43"/>
    <m/>
    <s v="Food &amp; Dining:Groceries/From Receipt"/>
    <m/>
    <s v="Split"/>
    <s v="From Receipt"/>
    <x v="15"/>
    <x v="3"/>
    <x v="0"/>
    <m/>
    <x v="0"/>
    <m/>
    <s v="Nov"/>
    <n v="2014"/>
    <s v="Monthly"/>
    <n v="0"/>
    <s v="No"/>
    <s v="None"/>
    <s v="Food &amp; Dining|Groceries"/>
  </r>
  <r>
    <s v="MasterCard (Capital One)"/>
    <d v="2014-11-08T00:00:00"/>
    <n v="-15"/>
    <s v="X"/>
    <x v="43"/>
    <s v="#Disneyland 2014#"/>
    <s v="Vacation:Food/From Receipt"/>
    <m/>
    <s v="Split"/>
    <s v="From Receipt"/>
    <x v="23"/>
    <x v="8"/>
    <x v="0"/>
    <m/>
    <x v="6"/>
    <m/>
    <s v="Nov"/>
    <n v="2014"/>
    <s v="Irregular"/>
    <n v="0"/>
    <s v="No"/>
    <s v="None"/>
    <s v="Vacation|Food"/>
  </r>
  <r>
    <s v="MasterCard (Capital One)"/>
    <d v="2014-11-08T00:00:00"/>
    <n v="-116.55"/>
    <s v="X"/>
    <x v="2"/>
    <m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First Tech - Checking (5544)"/>
    <d v="2014-11-07T00:00:00"/>
    <n v="-30"/>
    <s v="X"/>
    <x v="140"/>
    <s v="Puppet show@CAT:@"/>
    <s v="Kids:Kids Activities/From Receipt:Tax Related"/>
    <n v="2139"/>
    <m/>
    <s v="From Receipt:Tax Related"/>
    <x v="27"/>
    <x v="12"/>
    <x v="0"/>
    <m/>
    <x v="0"/>
    <m/>
    <s v="Nov"/>
    <n v="2014"/>
    <s v="Monthly"/>
    <n v="0"/>
    <s v="No"/>
    <s v="None"/>
    <s v="Kids|Kids Activities"/>
  </r>
  <r>
    <s v="MasterCard (Capital One)"/>
    <d v="2014-11-07T00:00:00"/>
    <n v="-96"/>
    <s v="X"/>
    <x v="141"/>
    <s v="#Disneyland 2014#"/>
    <s v="Vacation:Transportation"/>
    <m/>
    <m/>
    <m/>
    <x v="23"/>
    <x v="26"/>
    <x v="0"/>
    <m/>
    <x v="6"/>
    <m/>
    <s v="Nov"/>
    <n v="2014"/>
    <s v="Irregular"/>
    <n v="0"/>
    <s v="No"/>
    <s v="None"/>
    <s v="Vacation|Transportation"/>
  </r>
  <r>
    <s v="First Tech - Checking (5544)"/>
    <d v="2014-11-06T00:00:00"/>
    <n v="116.5"/>
    <s v="X"/>
    <x v="130"/>
    <s v="#Stay Fit# Reimbursement for Beat the Blerch"/>
    <s v="Health &amp; Fitness:Sports"/>
    <m/>
    <m/>
    <m/>
    <x v="18"/>
    <x v="23"/>
    <x v="0"/>
    <m/>
    <x v="5"/>
    <m/>
    <s v="Nov"/>
    <n v="2014"/>
    <s v="Irregular"/>
    <n v="0"/>
    <s v="No"/>
    <s v="None"/>
    <s v="Health &amp; Fitness|Sports"/>
  </r>
  <r>
    <s v="First Tech - Checking (5544)"/>
    <d v="2014-11-06T00:00:00"/>
    <n v="-54.49"/>
    <s v="X"/>
    <x v="142"/>
    <s v="ACH Debit--TARGET CARD SRVC 001 - AUTO PYMT"/>
    <s v="[Target Red Card]"/>
    <m/>
    <m/>
    <m/>
    <x v="12"/>
    <x v="0"/>
    <x v="0"/>
    <m/>
    <x v="0"/>
    <m/>
    <s v="Nov"/>
    <n v="2014"/>
    <s v="Account"/>
    <n v="0"/>
    <s v="No"/>
    <s v="None"/>
    <s v="[Target Red Card]"/>
  </r>
  <r>
    <s v="First Tech - Checking (5544)"/>
    <d v="2014-11-06T00:00:00"/>
    <n v="-30"/>
    <s v="X"/>
    <x v="143"/>
    <s v="3x SWOG cookbooks"/>
    <s v="Gifts"/>
    <n v="2135"/>
    <m/>
    <m/>
    <x v="28"/>
    <x v="0"/>
    <x v="0"/>
    <m/>
    <x v="0"/>
    <m/>
    <s v="Nov"/>
    <n v="2014"/>
    <s v="Monthly"/>
    <n v="0"/>
    <s v="No"/>
    <s v="None"/>
    <s v="Gifts"/>
  </r>
  <r>
    <s v="MasterCard (Capital One)"/>
    <d v="2014-11-06T00:00:00"/>
    <n v="-1.65"/>
    <s v="X"/>
    <x v="20"/>
    <m/>
    <s v="Food &amp; Dining:Groceries"/>
    <m/>
    <m/>
    <m/>
    <x v="15"/>
    <x v="3"/>
    <x v="0"/>
    <m/>
    <x v="0"/>
    <m/>
    <s v="Nov"/>
    <n v="2014"/>
    <s v="Monthly"/>
    <n v="0"/>
    <s v="No"/>
    <s v="None"/>
    <s v="Food &amp; Dining|Groceries"/>
  </r>
  <r>
    <s v="Target Red Card"/>
    <d v="2014-11-06T00:00:00"/>
    <n v="54.49"/>
    <s v="X"/>
    <x v="142"/>
    <s v="@BAL:$0.00@@CAT:@"/>
    <s v="[First Tech - Checking (5544)]"/>
    <m/>
    <m/>
    <m/>
    <x v="21"/>
    <x v="0"/>
    <x v="0"/>
    <m/>
    <x v="0"/>
    <m/>
    <s v="Nov"/>
    <n v="2014"/>
    <s v="Account"/>
    <n v="0"/>
    <s v="No"/>
    <s v="None"/>
    <s v="[First Tech - Checking (5544)]"/>
  </r>
  <r>
    <s v="First Tech - Checking (5544)"/>
    <d v="2014-11-05T00:00:00"/>
    <n v="-3864.19"/>
    <s v="X"/>
    <x v="69"/>
    <s v="ACH Debit--WF HOME MTG ACH - AUTO PAY"/>
    <s v="Home:Mortgage"/>
    <m/>
    <m/>
    <m/>
    <x v="14"/>
    <x v="27"/>
    <x v="0"/>
    <m/>
    <x v="0"/>
    <m/>
    <s v="Nov"/>
    <n v="2014"/>
    <s v="Monthly"/>
    <n v="0"/>
    <s v="No"/>
    <s v="None"/>
    <s v="Home|Mortgage"/>
  </r>
  <r>
    <s v="Koolikai - Checking XX2129"/>
    <d v="2014-11-05T00:00:00"/>
    <n v="2295"/>
    <s v="X"/>
    <x v="144"/>
    <s v="Deposit--Shared Branch Mobile Deposit          First Tech FC CA"/>
    <s v="Business Income (Koolikai):Rent/7231"/>
    <m/>
    <m/>
    <n v="7231"/>
    <x v="37"/>
    <x v="25"/>
    <x v="0"/>
    <m/>
    <x v="0"/>
    <m/>
    <s v="Nov"/>
    <n v="2014"/>
    <s v="Monthly"/>
    <n v="0"/>
    <s v="No"/>
    <s v="None"/>
    <s v="Business Income (Koolikai)|Rent"/>
  </r>
  <r>
    <s v="Discover Card"/>
    <d v="2014-11-05T00:00:00"/>
    <n v="-148.91"/>
    <s v="X"/>
    <x v="145"/>
    <s v="#Stay Fit# Running watch@BAL:$-895.13@@CAT:@"/>
    <s v="Health &amp; Fitness:Sports"/>
    <m/>
    <m/>
    <m/>
    <x v="18"/>
    <x v="23"/>
    <x v="0"/>
    <m/>
    <x v="5"/>
    <m/>
    <s v="Nov"/>
    <n v="2014"/>
    <s v="Irregular"/>
    <n v="0"/>
    <s v="No"/>
    <s v="None"/>
    <s v="Health &amp; Fitness|Sports"/>
  </r>
  <r>
    <s v="First Tech - Checking (5544)"/>
    <d v="2014-11-04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Nov"/>
    <n v="2014"/>
    <s v="Monthly"/>
    <n v="0"/>
    <s v="No"/>
    <s v="None"/>
    <s v="Kids|American Funds 529A"/>
  </r>
  <r>
    <s v="Discover Card"/>
    <d v="2014-11-04T00:00:00"/>
    <n v="-10"/>
    <s v="X"/>
    <x v="146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4T00:00:00"/>
    <n v="-4.25"/>
    <s v="X"/>
    <x v="87"/>
    <s v="Change fee for swimming lessons"/>
    <s v="Kids:Kids Activities"/>
    <m/>
    <m/>
    <m/>
    <x v="27"/>
    <x v="12"/>
    <x v="0"/>
    <m/>
    <x v="0"/>
    <m/>
    <s v="Nov"/>
    <n v="2014"/>
    <s v="Monthly"/>
    <n v="0"/>
    <s v="No"/>
    <s v="None"/>
    <s v="Kids|Kids Activities"/>
  </r>
  <r>
    <s v="MasterCard (Capital One)"/>
    <d v="2014-11-04T00:00:00"/>
    <n v="-12.04"/>
    <s v="X"/>
    <x v="34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4T00:00:00"/>
    <n v="-21.19"/>
    <s v="X"/>
    <x v="88"/>
    <s v="October"/>
    <s v="Bills &amp; Utilities:Television"/>
    <m/>
    <s v="Split"/>
    <m/>
    <x v="34"/>
    <x v="32"/>
    <x v="0"/>
    <m/>
    <x v="0"/>
    <m/>
    <s v="Nov"/>
    <n v="2014"/>
    <s v="Monthly"/>
    <n v="0"/>
    <s v="No"/>
    <s v="None"/>
    <s v="Bills &amp; Utilities|Television"/>
  </r>
  <r>
    <s v="MasterCard (Capital One)"/>
    <d v="2014-11-04T00:00:00"/>
    <n v="-66.739999999999995"/>
    <s v="X"/>
    <x v="88"/>
    <s v="October"/>
    <s v="Business Expenses (Koolikai):Internet"/>
    <m/>
    <s v="Split"/>
    <m/>
    <x v="36"/>
    <x v="33"/>
    <x v="0"/>
    <m/>
    <x v="0"/>
    <m/>
    <s v="Nov"/>
    <n v="2014"/>
    <s v="Monthly"/>
    <n v="0"/>
    <s v="No"/>
    <s v="None"/>
    <s v="Business Expenses (Koolikai)|Internet"/>
  </r>
  <r>
    <s v="MasterCard (Capital One)"/>
    <d v="2014-11-04T00:00:00"/>
    <n v="-44.74"/>
    <s v="X"/>
    <x v="88"/>
    <s v="October"/>
    <s v="Bills &amp; Utilities:Home Phone"/>
    <m/>
    <s v="Split"/>
    <m/>
    <x v="34"/>
    <x v="34"/>
    <x v="0"/>
    <m/>
    <x v="0"/>
    <m/>
    <s v="Nov"/>
    <n v="2014"/>
    <s v="Monthly"/>
    <n v="0"/>
    <s v="No"/>
    <s v="None"/>
    <s v="Bills &amp; Utilities|Home Phone"/>
  </r>
  <r>
    <s v="MasterCard (Capital One)"/>
    <d v="2014-11-04T00:00:00"/>
    <n v="-21.36"/>
    <s v="X"/>
    <x v="88"/>
    <m/>
    <s v="Bills &amp; Utilities:Television"/>
    <m/>
    <s v="Split"/>
    <m/>
    <x v="34"/>
    <x v="32"/>
    <x v="0"/>
    <m/>
    <x v="0"/>
    <m/>
    <s v="Nov"/>
    <n v="2014"/>
    <s v="Monthly"/>
    <n v="0"/>
    <s v="No"/>
    <s v="None"/>
    <s v="Bills &amp; Utilities|Television"/>
  </r>
  <r>
    <s v="MasterCard (Capital One)"/>
    <d v="2014-11-04T00:00:00"/>
    <n v="-66.91"/>
    <s v="X"/>
    <x v="88"/>
    <m/>
    <s v="Business Expenses (Koolikai):Internet"/>
    <m/>
    <s v="Split"/>
    <m/>
    <x v="36"/>
    <x v="33"/>
    <x v="0"/>
    <m/>
    <x v="0"/>
    <m/>
    <s v="Nov"/>
    <n v="2014"/>
    <s v="Monthly"/>
    <n v="0"/>
    <s v="No"/>
    <s v="None"/>
    <s v="Business Expenses (Koolikai)|Internet"/>
  </r>
  <r>
    <s v="MasterCard (Capital One)"/>
    <d v="2014-11-04T00:00:00"/>
    <n v="-44.91"/>
    <s v="X"/>
    <x v="88"/>
    <m/>
    <s v="Bills &amp; Utilities:Home Phone"/>
    <m/>
    <s v="Split"/>
    <m/>
    <x v="34"/>
    <x v="34"/>
    <x v="0"/>
    <m/>
    <x v="0"/>
    <m/>
    <s v="Nov"/>
    <n v="2014"/>
    <s v="Monthly"/>
    <n v="0"/>
    <s v="No"/>
    <s v="None"/>
    <s v="Bills &amp; Utilities|Home Phone"/>
  </r>
  <r>
    <s v="MasterCard (Capital One)"/>
    <d v="2014-11-04T00:00:00"/>
    <n v="-8.86"/>
    <s v="X"/>
    <x v="88"/>
    <s v="Bill says $9.50 late fee and $"/>
    <s v="Bank Fees &amp; Charges:Bank Fee"/>
    <m/>
    <s v="Split"/>
    <m/>
    <x v="32"/>
    <x v="31"/>
    <x v="0"/>
    <m/>
    <x v="0"/>
    <m/>
    <s v="Nov"/>
    <n v="2014"/>
    <s v="Irregular"/>
    <n v="0"/>
    <s v="No"/>
    <s v="None"/>
    <s v="Bank Fees &amp; Charges|Bank Fee"/>
  </r>
  <r>
    <s v="First Tech - Checking (5544)"/>
    <d v="2014-11-03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Nov"/>
    <n v="2014"/>
    <s v="Monthly"/>
    <n v="0"/>
    <s v="No"/>
    <s v="None"/>
    <s v="Business Expenses (Koolikai)|Mortgage (Business)"/>
  </r>
  <r>
    <s v="First Tech - Checking (5544)"/>
    <d v="2014-11-03T00:00:00"/>
    <n v="-2052"/>
    <s v="X"/>
    <x v="90"/>
    <s v="ACH Debit--PHINNEY RIDGE LU 504759859 - CONTRIBUTN"/>
    <s v="Kids:Daycare"/>
    <m/>
    <m/>
    <m/>
    <x v="27"/>
    <x v="35"/>
    <x v="0"/>
    <m/>
    <x v="0"/>
    <m/>
    <s v="Nov"/>
    <n v="2014"/>
    <s v="Monthly"/>
    <n v="0"/>
    <s v="No"/>
    <s v="None"/>
    <s v="Kids|Daycare"/>
  </r>
  <r>
    <s v="First Tech - Checking (5544)"/>
    <d v="2014-11-03T00:00:00"/>
    <n v="-2386.54"/>
    <s v="X"/>
    <x v="85"/>
    <s v="ACH Debit--CAPITAL ONE  - CRCARDPMT"/>
    <s v="[MasterCard (Capital One)]"/>
    <m/>
    <m/>
    <m/>
    <x v="38"/>
    <x v="0"/>
    <x v="0"/>
    <m/>
    <x v="0"/>
    <m/>
    <s v="Nov"/>
    <n v="2014"/>
    <s v="Account"/>
    <n v="0"/>
    <s v="No"/>
    <s v="None"/>
    <s v="[MasterCard (Capital One)]"/>
  </r>
  <r>
    <s v="First Tech - Checking (5544)"/>
    <d v="2014-11-03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Nov"/>
    <n v="2014"/>
    <s v="Monthly"/>
    <n v="0"/>
    <s v="No"/>
    <s v="None"/>
    <s v="Business Expenses (Koolikai)|Mortgage (Business)"/>
  </r>
  <r>
    <s v="MasterCard (Capital One)"/>
    <d v="2014-11-03T00:00:00"/>
    <n v="2386.54"/>
    <s v="X"/>
    <x v="85"/>
    <s v="ACH Debit--CAPITAL ONE  - CRCARDPMT"/>
    <s v="[First Tech - Checking (5544)]"/>
    <m/>
    <m/>
    <m/>
    <x v="21"/>
    <x v="0"/>
    <x v="0"/>
    <m/>
    <x v="0"/>
    <m/>
    <s v="Nov"/>
    <n v="2014"/>
    <s v="Account"/>
    <n v="0"/>
    <s v="No"/>
    <s v="None"/>
    <s v="[First Tech - Checking (5544)]"/>
  </r>
  <r>
    <s v="MasterCard (Capital One)"/>
    <d v="2014-11-03T00:00:00"/>
    <n v="-8.75"/>
    <s v="X"/>
    <x v="81"/>
    <m/>
    <s v="Entertainment:Movies &amp; DVDs"/>
    <m/>
    <m/>
    <m/>
    <x v="30"/>
    <x v="43"/>
    <x v="0"/>
    <m/>
    <x v="0"/>
    <m/>
    <s v="Nov"/>
    <n v="2014"/>
    <s v="Unplanned"/>
    <n v="0"/>
    <s v="No"/>
    <s v="None"/>
    <s v="Entertainment|Movies &amp; DVDs"/>
  </r>
  <r>
    <s v="MasterCard (Capital One)"/>
    <d v="2014-11-03T00:00:00"/>
    <n v="-20.76"/>
    <s v="X"/>
    <x v="111"/>
    <m/>
    <s v="Auto &amp; Transport:Gas &amp; Fuel"/>
    <m/>
    <m/>
    <m/>
    <x v="17"/>
    <x v="37"/>
    <x v="0"/>
    <m/>
    <x v="0"/>
    <m/>
    <s v="Nov"/>
    <n v="2014"/>
    <s v="Monthly"/>
    <n v="0"/>
    <s v="No"/>
    <s v="None"/>
    <s v="Auto &amp; Transport|Gas &amp; Fuel"/>
  </r>
  <r>
    <s v="MasterCard (Capital One)"/>
    <d v="2014-11-03T00:00:00"/>
    <n v="-65"/>
    <s v="X"/>
    <x v="147"/>
    <m/>
    <s v="Kids:School Fees"/>
    <m/>
    <m/>
    <m/>
    <x v="27"/>
    <x v="44"/>
    <x v="0"/>
    <m/>
    <x v="0"/>
    <m/>
    <s v="Nov"/>
    <n v="2014"/>
    <s v="Monthly"/>
    <n v="0"/>
    <s v="No"/>
    <s v="None"/>
    <s v="Kids|School Fees"/>
  </r>
  <r>
    <s v="MasterCard (Capital One)"/>
    <d v="2014-11-03T00:00:00"/>
    <n v="-65"/>
    <s v="X"/>
    <x v="147"/>
    <s v="@BAL:$4069.25@@CAT:@"/>
    <s v="Kids:School Fees"/>
    <m/>
    <m/>
    <m/>
    <x v="27"/>
    <x v="44"/>
    <x v="0"/>
    <m/>
    <x v="0"/>
    <m/>
    <s v="Nov"/>
    <n v="2014"/>
    <s v="Monthly"/>
    <n v="0"/>
    <s v="No"/>
    <s v="None"/>
    <s v="Kids|School Fees"/>
  </r>
  <r>
    <s v="MasterCard (Capital One)"/>
    <d v="2014-11-02T00:00:00"/>
    <n v="-4.93"/>
    <s v="X"/>
    <x v="148"/>
    <m/>
    <s v="Kids:Kids Activities/From Receipt"/>
    <m/>
    <m/>
    <s v="From Receipt"/>
    <x v="27"/>
    <x v="12"/>
    <x v="0"/>
    <m/>
    <x v="0"/>
    <m/>
    <s v="Nov"/>
    <n v="2014"/>
    <s v="Monthly"/>
    <n v="0"/>
    <s v="No"/>
    <s v="None"/>
    <s v="Kids|Kids Activities"/>
  </r>
  <r>
    <s v="MasterCard (Capital One)"/>
    <d v="2014-11-02T00:00:00"/>
    <n v="-5.2"/>
    <s v="X"/>
    <x v="148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2T00:00:00"/>
    <n v="-8.76"/>
    <s v="X"/>
    <x v="148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2T00:00:00"/>
    <n v="-9.76"/>
    <s v="X"/>
    <x v="148"/>
    <m/>
    <s v="Kids:Kids Activities"/>
    <m/>
    <m/>
    <m/>
    <x v="27"/>
    <x v="12"/>
    <x v="0"/>
    <m/>
    <x v="0"/>
    <m/>
    <s v="Nov"/>
    <n v="2014"/>
    <s v="Monthly"/>
    <n v="0"/>
    <s v="No"/>
    <s v="None"/>
    <s v="Kids|Kids Activities"/>
  </r>
  <r>
    <s v="MasterCard (Capital One)"/>
    <d v="2014-11-02T00:00:00"/>
    <n v="-142.59"/>
    <s v="X"/>
    <x v="2"/>
    <m/>
    <s v="Food &amp; Dining:Groceries/From Receipt"/>
    <m/>
    <m/>
    <s v="From Receipt"/>
    <x v="15"/>
    <x v="3"/>
    <x v="0"/>
    <m/>
    <x v="0"/>
    <m/>
    <s v="Nov"/>
    <n v="2014"/>
    <s v="Monthly"/>
    <n v="0"/>
    <s v="No"/>
    <s v="None"/>
    <s v="Food &amp; Dining|Groceries"/>
  </r>
  <r>
    <s v="Koolikai - Sec Dep XX1200"/>
    <d v="2014-11-01T00:00:00"/>
    <n v="0.19"/>
    <s v="X"/>
    <x v="93"/>
    <s v="Credit Dividend--"/>
    <s v="Interest Income"/>
    <m/>
    <m/>
    <m/>
    <x v="40"/>
    <x v="0"/>
    <x v="0"/>
    <m/>
    <x v="0"/>
    <m/>
    <s v="Nov"/>
    <n v="2014"/>
    <s v="Monthly"/>
    <n v="0"/>
    <s v="No"/>
    <s v="None"/>
    <s v="Interest Income"/>
  </r>
  <r>
    <s v="Schwab - Checking (9784)"/>
    <d v="2014-11-01T00:00:00"/>
    <n v="-9.84"/>
    <s v="X"/>
    <x v="1"/>
    <s v="Dot-to-dot for Halley"/>
    <s v="Gifts"/>
    <m/>
    <s v="Split"/>
    <m/>
    <x v="28"/>
    <x v="0"/>
    <x v="0"/>
    <m/>
    <x v="0"/>
    <m/>
    <s v="Nov"/>
    <n v="2014"/>
    <s v="Monthly"/>
    <n v="0"/>
    <s v="No"/>
    <s v="None"/>
    <s v="Gifts"/>
  </r>
  <r>
    <s v="Schwab - Checking (9784)"/>
    <d v="2014-11-01T00:00:00"/>
    <n v="-8.75"/>
    <s v="X"/>
    <x v="1"/>
    <s v="Writing book for the boys"/>
    <s v="Kids:Toys"/>
    <m/>
    <s v="Split"/>
    <m/>
    <x v="27"/>
    <x v="14"/>
    <x v="0"/>
    <m/>
    <x v="0"/>
    <m/>
    <s v="Nov"/>
    <n v="2014"/>
    <s v="Monthly"/>
    <n v="0"/>
    <s v="No"/>
    <s v="None"/>
    <s v="Kids|Toys"/>
  </r>
  <r>
    <s v="Schwab - Checking (9784)"/>
    <d v="2014-11-01T00:00:00"/>
    <n v="-13.89"/>
    <s v="X"/>
    <x v="1"/>
    <m/>
    <s v="Food &amp; Dining:Groceries"/>
    <m/>
    <s v="Split"/>
    <m/>
    <x v="15"/>
    <x v="3"/>
    <x v="0"/>
    <m/>
    <x v="0"/>
    <m/>
    <s v="Nov"/>
    <n v="2014"/>
    <s v="Monthly"/>
    <n v="0"/>
    <s v="No"/>
    <s v="None"/>
    <s v="Food &amp; Dining|Groceries"/>
  </r>
  <r>
    <s v="MasterCard (Capital One)"/>
    <d v="2014-11-01T00:00:00"/>
    <n v="-15.34"/>
    <s v="X"/>
    <x v="149"/>
    <s v="Ice cream with Pierre and Jesse"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MasterCard (Capital One)"/>
    <d v="2014-11-01T00:00:00"/>
    <n v="-68.58"/>
    <s v="X"/>
    <x v="150"/>
    <m/>
    <s v="Food &amp; Dining:Restaurants"/>
    <m/>
    <m/>
    <m/>
    <x v="15"/>
    <x v="15"/>
    <x v="0"/>
    <m/>
    <x v="0"/>
    <m/>
    <s v="Nov"/>
    <n v="2014"/>
    <s v="Monthly"/>
    <n v="0"/>
    <s v="No"/>
    <s v="None"/>
    <s v="Food &amp; Dining|Restaurants"/>
  </r>
  <r>
    <s v="Capital One - Investment (6759)"/>
    <d v="2014-10-31T00:00:00"/>
    <n v="20.059999999999999"/>
    <s v="X"/>
    <x v="100"/>
    <s v="@CAT:@@BAL:47,255.66@"/>
    <s v="Interest Income"/>
    <m/>
    <m/>
    <m/>
    <x v="40"/>
    <x v="0"/>
    <x v="0"/>
    <m/>
    <x v="0"/>
    <m/>
    <s v="Oct"/>
    <n v="2014"/>
    <s v="Monthly"/>
    <n v="0"/>
    <s v="No"/>
    <s v="None"/>
    <s v="Interest Income"/>
  </r>
  <r>
    <s v="Capital One - Long Term Emergency (1201)"/>
    <d v="2014-10-31T00:00:00"/>
    <n v="50.37"/>
    <s v="X"/>
    <x v="100"/>
    <s v="@CAT:@@BAL:118646.76@"/>
    <s v="Interest Income"/>
    <m/>
    <m/>
    <m/>
    <x v="40"/>
    <x v="0"/>
    <x v="0"/>
    <m/>
    <x v="0"/>
    <m/>
    <s v="Oct"/>
    <n v="2014"/>
    <s v="Monthly"/>
    <n v="0"/>
    <s v="No"/>
    <s v="None"/>
    <s v="Interest Income"/>
  </r>
  <r>
    <s v="Capital One - Secondary Savings (3126)"/>
    <d v="2014-10-31T00:00:00"/>
    <n v="0.02"/>
    <s v="X"/>
    <x v="100"/>
    <s v="@CAT:@@BAL:$123.20@"/>
    <s v="Interest Income"/>
    <m/>
    <m/>
    <m/>
    <x v="40"/>
    <x v="0"/>
    <x v="0"/>
    <m/>
    <x v="0"/>
    <m/>
    <s v="Oct"/>
    <n v="2014"/>
    <s v="Monthly"/>
    <n v="0"/>
    <s v="No"/>
    <s v="None"/>
    <s v="Interest Income"/>
  </r>
  <r>
    <s v="Capital One - Vacation (4959)"/>
    <d v="2014-10-31T00:00:00"/>
    <n v="5.96"/>
    <s v="X"/>
    <x v="100"/>
    <s v="@BAL:$36,031.06@@CAT:@"/>
    <s v="Interest Income"/>
    <m/>
    <m/>
    <m/>
    <x v="40"/>
    <x v="0"/>
    <x v="0"/>
    <m/>
    <x v="0"/>
    <m/>
    <s v="Oct"/>
    <n v="2014"/>
    <s v="Monthly"/>
    <n v="0"/>
    <s v="No"/>
    <s v="None"/>
    <s v="Interest Income"/>
  </r>
  <r>
    <s v="First Tech - Checking (5544)"/>
    <d v="2014-10-31T00:00:00"/>
    <n v="5492.31"/>
    <s v="X"/>
    <x v="47"/>
    <s v="ACH Deposit--MICROSOFT  - EDIPAYMENT"/>
    <s v="Net Salary"/>
    <m/>
    <m/>
    <m/>
    <x v="35"/>
    <x v="0"/>
    <x v="0"/>
    <m/>
    <x v="0"/>
    <m/>
    <s v="Oct"/>
    <n v="2014"/>
    <s v="Monthly"/>
    <n v="0"/>
    <s v="No"/>
    <s v="None"/>
    <s v="Net Salary"/>
  </r>
  <r>
    <s v="First Tech - Checking (5544)"/>
    <d v="2014-10-31T00:00:00"/>
    <n v="6058.12"/>
    <s v="X"/>
    <x v="109"/>
    <s v="ACH Deposit--Cancer Research  - Payroll"/>
    <s v="Net Salary"/>
    <m/>
    <m/>
    <m/>
    <x v="35"/>
    <x v="0"/>
    <x v="0"/>
    <m/>
    <x v="0"/>
    <m/>
    <s v="Oct"/>
    <n v="2014"/>
    <s v="Monthly"/>
    <n v="0"/>
    <s v="No"/>
    <s v="None"/>
    <s v="Net Salary"/>
  </r>
  <r>
    <s v="First Tech - Checking (5544)"/>
    <d v="2014-10-31T00:00:00"/>
    <n v="-70"/>
    <s v="X"/>
    <x v="18"/>
    <s v="@BAL:$39,256.33@@CAT:@"/>
    <s v="Kids:Babysitter"/>
    <n v="2138"/>
    <m/>
    <m/>
    <x v="27"/>
    <x v="13"/>
    <x v="0"/>
    <m/>
    <x v="0"/>
    <m/>
    <s v="Oct"/>
    <n v="2014"/>
    <s v="Monthly"/>
    <n v="0"/>
    <s v="No"/>
    <s v="None"/>
    <s v="Kids|Babysitter"/>
  </r>
  <r>
    <s v="Koolikai - Checking XX2129"/>
    <d v="2014-10-31T00:00:00"/>
    <n v="2195"/>
    <s v="X"/>
    <x v="133"/>
    <s v="Deposit--Shared Branch Mobile Deposit          First Tech FC CA"/>
    <s v="Business Income (Koolikai):Rent/9602"/>
    <m/>
    <m/>
    <n v="9602"/>
    <x v="37"/>
    <x v="25"/>
    <x v="0"/>
    <m/>
    <x v="0"/>
    <m/>
    <s v="Oct"/>
    <n v="2014"/>
    <s v="Monthly"/>
    <n v="0"/>
    <s v="No"/>
    <s v="None"/>
    <s v="Business Income (Koolikai)|Rent"/>
  </r>
  <r>
    <s v="Schwab - Checking (9784)"/>
    <d v="2014-10-31T00:00:00"/>
    <n v="0.05"/>
    <s v="X"/>
    <x v="102"/>
    <s v="@BAL:$516.36@"/>
    <s v="Interest Income"/>
    <m/>
    <m/>
    <m/>
    <x v="40"/>
    <x v="0"/>
    <x v="0"/>
    <m/>
    <x v="0"/>
    <m/>
    <s v="Oct"/>
    <n v="2014"/>
    <s v="Monthly"/>
    <n v="0"/>
    <s v="No"/>
    <s v="None"/>
    <s v="Interest Income"/>
  </r>
  <r>
    <s v="Discover Card"/>
    <d v="2014-10-31T00:00:00"/>
    <n v="-500"/>
    <s v="X"/>
    <x v="151"/>
    <s v="826 Seattle"/>
    <s v="Charity:Charity (Cash)"/>
    <m/>
    <m/>
    <m/>
    <x v="22"/>
    <x v="7"/>
    <x v="0"/>
    <m/>
    <x v="0"/>
    <m/>
    <s v="Oct"/>
    <n v="2014"/>
    <s v="Annual"/>
    <n v="0"/>
    <s v="No"/>
    <s v="None"/>
    <s v="Charity|Charity (Cash)"/>
  </r>
  <r>
    <s v="MasterCard (Capital One)"/>
    <d v="2014-10-31T00:00:00"/>
    <n v="-111.5"/>
    <s v="X"/>
    <x v="152"/>
    <s v="#Orcas Island 2015#"/>
    <s v="Vacation:Lodging"/>
    <m/>
    <m/>
    <m/>
    <x v="23"/>
    <x v="9"/>
    <x v="0"/>
    <m/>
    <x v="9"/>
    <m/>
    <s v="Oct"/>
    <n v="2014"/>
    <s v="Irregular"/>
    <n v="0"/>
    <s v="No"/>
    <s v="None"/>
    <s v="Vacation|Lodging"/>
  </r>
  <r>
    <s v="First Tech - Checking (5544)"/>
    <d v="2014-10-30T00:00:00"/>
    <n v="-250.13"/>
    <s v="X"/>
    <x v="153"/>
    <s v="ACH Debit--CITY OF SEATTLE  - 2 - SPU De"/>
    <s v="Bills &amp; Utilities:Utilities"/>
    <m/>
    <m/>
    <m/>
    <x v="34"/>
    <x v="18"/>
    <x v="0"/>
    <m/>
    <x v="0"/>
    <m/>
    <s v="Oct"/>
    <n v="2014"/>
    <s v="Monthly"/>
    <n v="0"/>
    <s v="No"/>
    <s v="None"/>
    <s v="Bills &amp; Utilities|Utilities"/>
  </r>
  <r>
    <s v="MasterCard (Capital One)"/>
    <d v="2014-10-30T00:00:00"/>
    <n v="-15.86"/>
    <s v="X"/>
    <x v="15"/>
    <m/>
    <s v="Auto &amp; Transport:Parking"/>
    <m/>
    <m/>
    <m/>
    <x v="17"/>
    <x v="11"/>
    <x v="0"/>
    <m/>
    <x v="0"/>
    <m/>
    <s v="Oct"/>
    <n v="2014"/>
    <s v="Monthly"/>
    <n v="0"/>
    <s v="No"/>
    <s v="None"/>
    <s v="Auto &amp; Transport|Parking"/>
  </r>
  <r>
    <s v="MasterCard (Capital One)"/>
    <d v="2014-10-29T00:00:00"/>
    <n v="-15.86"/>
    <s v="X"/>
    <x v="15"/>
    <m/>
    <s v="Auto &amp; Transport:Parking"/>
    <m/>
    <m/>
    <m/>
    <x v="17"/>
    <x v="11"/>
    <x v="0"/>
    <m/>
    <x v="0"/>
    <m/>
    <s v="Oct"/>
    <n v="2014"/>
    <s v="Monthly"/>
    <n v="0"/>
    <s v="No"/>
    <s v="None"/>
    <s v="Auto &amp; Transport|Parking"/>
  </r>
  <r>
    <s v="First Tech - Checking (5544)"/>
    <d v="2014-10-28T00:00:00"/>
    <n v="263.08"/>
    <s v="X"/>
    <x v="63"/>
    <s v="Deposit--Shared Branch Mobile Deposit          First Tech FC CA"/>
    <s v="Other Inc"/>
    <m/>
    <m/>
    <m/>
    <x v="29"/>
    <x v="0"/>
    <x v="0"/>
    <m/>
    <x v="0"/>
    <m/>
    <s v="Oct"/>
    <n v="2014"/>
    <s v="Monthly"/>
    <n v="0"/>
    <s v="No"/>
    <s v="None"/>
    <s v="Other Inc"/>
  </r>
  <r>
    <s v="MasterCard (Capital One)"/>
    <d v="2014-10-28T00:00:00"/>
    <n v="25"/>
    <s v="X"/>
    <x v="60"/>
    <m/>
    <s v="Other Inc"/>
    <m/>
    <m/>
    <m/>
    <x v="29"/>
    <x v="0"/>
    <x v="0"/>
    <m/>
    <x v="0"/>
    <m/>
    <s v="Oct"/>
    <n v="2014"/>
    <s v="Monthly"/>
    <n v="0"/>
    <s v="No"/>
    <s v="None"/>
    <s v="Other Inc"/>
  </r>
  <r>
    <s v="MasterCard (Capital One)"/>
    <d v="2014-10-28T00:00:00"/>
    <n v="-8.7899999999999991"/>
    <s v="X"/>
    <x v="20"/>
    <m/>
    <s v="Food &amp; Dining:Groceries"/>
    <m/>
    <m/>
    <m/>
    <x v="15"/>
    <x v="3"/>
    <x v="0"/>
    <m/>
    <x v="0"/>
    <m/>
    <s v="Oct"/>
    <n v="2014"/>
    <s v="Monthly"/>
    <n v="0"/>
    <s v="No"/>
    <s v="None"/>
    <s v="Food &amp; Dining|Groceries"/>
  </r>
  <r>
    <s v="First Tech - Checking (5544)"/>
    <d v="2014-10-27T00:00:00"/>
    <n v="-860.28"/>
    <s v="X"/>
    <x v="154"/>
    <m/>
    <s v="[Chase Freedom XX9381]"/>
    <m/>
    <m/>
    <m/>
    <x v="7"/>
    <x v="0"/>
    <x v="0"/>
    <m/>
    <x v="0"/>
    <m/>
    <s v="Oct"/>
    <n v="2014"/>
    <e v="#N/A"/>
    <e v="#N/A"/>
    <e v="#N/A"/>
    <e v="#N/A"/>
    <s v="[Chase Freedom XX9381]"/>
  </r>
  <r>
    <s v="Chase Freedom XX9381"/>
    <d v="2014-10-27T00:00:00"/>
    <n v="860.28"/>
    <s v="X"/>
    <x v="154"/>
    <s v="@CAT:@@BAL:$9.05@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MasterCard (Capital One)"/>
    <d v="2014-10-27T00:00:00"/>
    <n v="-50"/>
    <s v="X"/>
    <x v="32"/>
    <m/>
    <s v="Food &amp; Dining:Restaurants/From Receipt"/>
    <m/>
    <m/>
    <s v="From Receipt"/>
    <x v="15"/>
    <x v="15"/>
    <x v="0"/>
    <m/>
    <x v="0"/>
    <m/>
    <s v="Oct"/>
    <n v="2014"/>
    <s v="Monthly"/>
    <n v="0"/>
    <s v="No"/>
    <s v="None"/>
    <s v="Food &amp; Dining|Restaurants"/>
  </r>
  <r>
    <s v="Discover Card"/>
    <d v="2014-10-25T00:00:00"/>
    <n v="-8.68"/>
    <s v="X"/>
    <x v="155"/>
    <s v="Hats for Zach andJosh"/>
    <s v="Kids:Clothing"/>
    <m/>
    <m/>
    <m/>
    <x v="27"/>
    <x v="1"/>
    <x v="0"/>
    <m/>
    <x v="0"/>
    <m/>
    <s v="Oct"/>
    <n v="2014"/>
    <s v="Monthly"/>
    <n v="0"/>
    <s v="No"/>
    <s v="None"/>
    <s v="Kids|Clothing"/>
  </r>
  <r>
    <s v="MasterCard (Capital One)"/>
    <d v="2014-10-25T00:00:00"/>
    <n v="-3.01"/>
    <s v="X"/>
    <x v="39"/>
    <m/>
    <s v="Auto &amp; Transport:Parking"/>
    <m/>
    <m/>
    <m/>
    <x v="17"/>
    <x v="11"/>
    <x v="0"/>
    <m/>
    <x v="0"/>
    <m/>
    <s v="Oct"/>
    <n v="2014"/>
    <s v="Monthly"/>
    <n v="0"/>
    <s v="No"/>
    <s v="None"/>
    <s v="Auto &amp; Transport|Parking"/>
  </r>
  <r>
    <s v="MasterCard (Capital One)"/>
    <d v="2014-10-25T00:00:00"/>
    <n v="-68"/>
    <s v="X"/>
    <x v="87"/>
    <s v="Swimming lessons for Zach"/>
    <s v="Kids:Kids Activities"/>
    <m/>
    <m/>
    <m/>
    <x v="27"/>
    <x v="12"/>
    <x v="0"/>
    <m/>
    <x v="0"/>
    <m/>
    <s v="Oct"/>
    <n v="2014"/>
    <s v="Monthly"/>
    <n v="0"/>
    <s v="No"/>
    <s v="None"/>
    <s v="Kids|Kids Activities"/>
  </r>
  <r>
    <s v="MasterCard (Capital One)"/>
    <d v="2014-10-25T00:00:00"/>
    <n v="-68.23"/>
    <s v="X"/>
    <x v="53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25T00:00:00"/>
    <n v="-17.510000000000002"/>
    <s v="X"/>
    <x v="2"/>
    <s v="umbrella"/>
    <s v="Shopping:Clothing:Accessories/From Receipt"/>
    <m/>
    <s v="Split"/>
    <s v="From Receipt"/>
    <x v="13"/>
    <x v="1"/>
    <x v="1"/>
    <m/>
    <x v="0"/>
    <m/>
    <s v="Oct"/>
    <n v="2014"/>
    <s v="Annual"/>
    <n v="0"/>
    <s v="No"/>
    <s v="None"/>
    <s v="Shopping|Clothing"/>
  </r>
  <r>
    <s v="MasterCard (Capital One)"/>
    <d v="2014-10-25T00:00:00"/>
    <n v="-110.47"/>
    <s v="X"/>
    <x v="2"/>
    <m/>
    <s v="Food &amp; Dining:Groceries/From Receipt"/>
    <m/>
    <s v="Split"/>
    <s v="From Receipt"/>
    <x v="15"/>
    <x v="3"/>
    <x v="0"/>
    <m/>
    <x v="0"/>
    <m/>
    <s v="Oct"/>
    <n v="2014"/>
    <s v="Monthly"/>
    <n v="0"/>
    <s v="No"/>
    <s v="None"/>
    <s v="Food &amp; Dining|Groceries"/>
  </r>
  <r>
    <s v="First Tech - Checking (5544)"/>
    <d v="2014-10-24T00:00:00"/>
    <n v="-101.01"/>
    <s v="X"/>
    <x v="156"/>
    <s v="ACH Debit--AMEX EPayment AM - ACH PMT"/>
    <s v="[American Express (Costco)]"/>
    <m/>
    <m/>
    <m/>
    <x v="20"/>
    <x v="0"/>
    <x v="0"/>
    <m/>
    <x v="0"/>
    <m/>
    <s v="Oct"/>
    <n v="2014"/>
    <s v="Account"/>
    <n v="0"/>
    <s v="No"/>
    <s v="None"/>
    <s v="[American Express (Costco)]"/>
  </r>
  <r>
    <s v="Koolikai - Checking XX2129"/>
    <d v="2014-10-24T00:00:00"/>
    <n v="-148.16"/>
    <s v="X"/>
    <x v="11"/>
    <s v="ACH Debit--CHASE  - AUTOPAYBUS"/>
    <s v="[Koolikai Credit Card]"/>
    <m/>
    <m/>
    <m/>
    <x v="9"/>
    <x v="0"/>
    <x v="0"/>
    <m/>
    <x v="0"/>
    <m/>
    <s v="Oct"/>
    <n v="2014"/>
    <s v="Account"/>
    <n v="0"/>
    <s v="No"/>
    <s v="None"/>
    <s v="[Koolikai Credit Card]"/>
  </r>
  <r>
    <s v="American Express (Costco)"/>
    <d v="2014-10-24T00:00:00"/>
    <n v="101.01"/>
    <s v="*"/>
    <x v="157"/>
    <s v="@CAT:@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Koolikai Credit Card"/>
    <d v="2014-10-24T00:00:00"/>
    <n v="148.16"/>
    <s v="X"/>
    <x v="11"/>
    <s v="@BAL:$148.16@@CAT:@"/>
    <s v="[Koolikai - Checking XX2129]"/>
    <m/>
    <m/>
    <m/>
    <x v="25"/>
    <x v="0"/>
    <x v="0"/>
    <m/>
    <x v="0"/>
    <m/>
    <s v="Oct"/>
    <n v="2014"/>
    <s v="Account"/>
    <n v="0"/>
    <s v="No"/>
    <s v="None"/>
    <s v="[Koolikai - Checking XX2129]"/>
  </r>
  <r>
    <s v="MasterCard (Capital One)"/>
    <d v="2014-10-24T00:00:00"/>
    <n v="-2.0699999999999998"/>
    <s v="X"/>
    <x v="2"/>
    <s v="Glue for costumes"/>
    <s v="Kids:Toys/From Receipt"/>
    <m/>
    <s v="Split"/>
    <s v="From Receipt"/>
    <x v="27"/>
    <x v="14"/>
    <x v="0"/>
    <m/>
    <x v="0"/>
    <m/>
    <s v="Oct"/>
    <n v="2014"/>
    <s v="Monthly"/>
    <n v="0"/>
    <s v="No"/>
    <s v="None"/>
    <s v="Kids|Toys"/>
  </r>
  <r>
    <s v="MasterCard (Capital One)"/>
    <d v="2014-10-24T00:00:00"/>
    <n v="-7.64"/>
    <s v="X"/>
    <x v="2"/>
    <s v="Cotton for costumes"/>
    <s v="Kids:Toys/From Receipt"/>
    <m/>
    <s v="Split"/>
    <s v="From Receipt"/>
    <x v="27"/>
    <x v="14"/>
    <x v="0"/>
    <m/>
    <x v="0"/>
    <m/>
    <s v="Oct"/>
    <n v="2014"/>
    <s v="Monthly"/>
    <n v="0"/>
    <s v="No"/>
    <s v="None"/>
    <s v="Kids|Toys"/>
  </r>
  <r>
    <s v="MasterCard (Capital One)"/>
    <d v="2014-10-24T00:00:00"/>
    <n v="-38.31"/>
    <s v="X"/>
    <x v="2"/>
    <s v="Boots"/>
    <s v="Shopping:Clothing/From Receipt"/>
    <m/>
    <s v="Split"/>
    <s v="From Receipt"/>
    <x v="13"/>
    <x v="1"/>
    <x v="0"/>
    <m/>
    <x v="0"/>
    <m/>
    <s v="Oct"/>
    <n v="2014"/>
    <s v="Annual"/>
    <n v="0"/>
    <s v="No"/>
    <s v="None"/>
    <s v="Shopping|Clothing"/>
  </r>
  <r>
    <s v="MasterCard (Capital One)"/>
    <d v="2014-10-24T00:00:00"/>
    <n v="-3"/>
    <s v="X"/>
    <x v="2"/>
    <s v="Milk"/>
    <s v="Food &amp; Dining:Groceries/From Receipt"/>
    <m/>
    <s v="Split"/>
    <s v="From Receipt"/>
    <x v="15"/>
    <x v="3"/>
    <x v="0"/>
    <m/>
    <x v="0"/>
    <m/>
    <s v="Oct"/>
    <n v="2014"/>
    <s v="Monthly"/>
    <n v="0"/>
    <s v="No"/>
    <s v="None"/>
    <s v="Food &amp; Dining|Groceries"/>
  </r>
  <r>
    <s v="MasterCard (Capital One)"/>
    <d v="2014-10-24T00:00:00"/>
    <n v="-598.24"/>
    <s v="X"/>
    <x v="158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Capital One - Vacation (4959)"/>
    <d v="2014-10-23T00:00:00"/>
    <n v="31000"/>
    <s v="X"/>
    <x v="159"/>
    <s v="Moving sabbatical cash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First Tech - Checking (5544)"/>
    <d v="2014-10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Oct"/>
    <n v="2014"/>
    <s v="Monthly"/>
    <n v="0"/>
    <s v="No"/>
    <s v="None"/>
    <s v="Auto &amp; Transport|Auto Lease Payment"/>
  </r>
  <r>
    <s v="First Tech - Checking (5544)"/>
    <d v="2014-10-23T00:00:00"/>
    <n v="-31000"/>
    <s v="X"/>
    <x v="159"/>
    <s v="Moving sabbatical cash out"/>
    <s v="[Capital One - Vacation (4959)]"/>
    <m/>
    <m/>
    <m/>
    <x v="3"/>
    <x v="0"/>
    <x v="0"/>
    <m/>
    <x v="0"/>
    <m/>
    <s v="Oct"/>
    <n v="2014"/>
    <s v="Account"/>
    <n v="0"/>
    <s v="No"/>
    <s v="None"/>
    <s v="[Capital One - Vacation (4959)]"/>
  </r>
  <r>
    <s v="Discover Card"/>
    <d v="2014-10-23T00:00:00"/>
    <n v="-5"/>
    <s v="X"/>
    <x v="160"/>
    <m/>
    <s v="Auto &amp; Transport:Gas &amp; Fuel"/>
    <m/>
    <m/>
    <m/>
    <x v="17"/>
    <x v="37"/>
    <x v="0"/>
    <m/>
    <x v="0"/>
    <m/>
    <s v="Oct"/>
    <n v="2014"/>
    <s v="Monthly"/>
    <n v="0"/>
    <s v="No"/>
    <s v="None"/>
    <s v="Auto &amp; Transport|Gas &amp; Fuel"/>
  </r>
  <r>
    <s v="MasterCard (Capital One)"/>
    <d v="2014-10-23T00:00:00"/>
    <n v="-3"/>
    <s v="X"/>
    <x v="161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MasterCard (Capital One)"/>
    <d v="2014-10-23T00:00:00"/>
    <n v="-11.03"/>
    <s v="X"/>
    <x v="162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MasterCard (Capital One)"/>
    <d v="2014-10-23T00:00:00"/>
    <n v="-19.11"/>
    <s v="X"/>
    <x v="163"/>
    <s v="#Group Meeting Fall#"/>
    <s v="Work Expense:Reimbursable expense/From Receipt"/>
    <m/>
    <m/>
    <s v="From Receipt"/>
    <x v="19"/>
    <x v="21"/>
    <x v="0"/>
    <m/>
    <x v="7"/>
    <m/>
    <s v="Oct"/>
    <n v="2014"/>
    <s v="Irregular"/>
    <n v="0"/>
    <s v="No"/>
    <s v="None"/>
    <s v="Work Expense|Reimbursable expense"/>
  </r>
  <r>
    <s v="MasterCard (Capital One)"/>
    <d v="2014-10-23T00:00:00"/>
    <n v="-30.89"/>
    <s v="X"/>
    <x v="67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First Tech - Checking (5544)"/>
    <d v="2014-10-22T00:00:00"/>
    <n v="31007.51"/>
    <s v="X"/>
    <x v="159"/>
    <s v="Moving sabbatical cash out"/>
    <s v="[First Tech - Short Term Emergency (5400)]"/>
    <m/>
    <m/>
    <m/>
    <x v="4"/>
    <x v="0"/>
    <x v="0"/>
    <m/>
    <x v="0"/>
    <m/>
    <s v="Oct"/>
    <n v="2014"/>
    <s v="Account"/>
    <n v="0"/>
    <s v="No"/>
    <s v="None"/>
    <s v="[First Tech - Short Term Emergency (5400)]"/>
  </r>
  <r>
    <s v="First Tech - Checking (5544)"/>
    <d v="2014-10-22T00:00:00"/>
    <n v="-31000"/>
    <s v="X"/>
    <x v="159"/>
    <s v="Moving sabbatical cash out"/>
    <s v="[First Tech - Short Term Emergency (5400)]"/>
    <m/>
    <m/>
    <m/>
    <x v="4"/>
    <x v="0"/>
    <x v="0"/>
    <m/>
    <x v="0"/>
    <m/>
    <s v="Oct"/>
    <n v="2014"/>
    <s v="Account"/>
    <n v="0"/>
    <s v="No"/>
    <s v="None"/>
    <s v="[First Tech - Short Term Emergency (5400)]"/>
  </r>
  <r>
    <s v="First Tech - Short Term Emergency (5400)"/>
    <d v="2014-10-22T00:00:00"/>
    <n v="31000"/>
    <s v="X"/>
    <x v="159"/>
    <s v="Moving sabbatical cash out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First Tech - Short Term Emergency (5400)"/>
    <d v="2014-10-22T00:00:00"/>
    <n v="-31007.51"/>
    <s v="X"/>
    <x v="159"/>
    <s v="Withdrawal-- Transfer to 914775544, Moving funds to Capital One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MasterCard (Capital One)"/>
    <d v="2014-10-22T00:00:00"/>
    <n v="-2.19"/>
    <s v="X"/>
    <x v="96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MasterCard (Capital One)"/>
    <d v="2014-10-22T00:00:00"/>
    <n v="-4.42"/>
    <s v="X"/>
    <x v="158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MasterCard (Capital One)"/>
    <d v="2014-10-22T00:00:00"/>
    <n v="-43.02"/>
    <s v="X"/>
    <x v="164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Capital One - Long Term Emergency (1201)"/>
    <d v="2014-10-21T00:00:00"/>
    <n v="14.93"/>
    <s v="X"/>
    <x v="165"/>
    <m/>
    <s v="Interest Income"/>
    <m/>
    <m/>
    <m/>
    <x v="40"/>
    <x v="0"/>
    <x v="0"/>
    <m/>
    <x v="0"/>
    <m/>
    <s v="Oct"/>
    <n v="2014"/>
    <s v="Monthly"/>
    <n v="0"/>
    <s v="No"/>
    <s v="None"/>
    <s v="Interest Income"/>
  </r>
  <r>
    <s v="Schwab - Checking (9784)"/>
    <d v="2014-10-21T00:00:00"/>
    <n v="-20"/>
    <s v="X"/>
    <x v="166"/>
    <s v="Santorinis"/>
    <s v="Food &amp; Dining:Restaurants/From Receipt"/>
    <m/>
    <m/>
    <s v="From Receipt"/>
    <x v="15"/>
    <x v="15"/>
    <x v="0"/>
    <m/>
    <x v="0"/>
    <m/>
    <s v="Oct"/>
    <n v="2014"/>
    <s v="Monthly"/>
    <n v="0"/>
    <s v="No"/>
    <s v="None"/>
    <s v="Food &amp; Dining|Restaurants"/>
  </r>
  <r>
    <s v="Discover Card"/>
    <d v="2014-10-21T00:00:00"/>
    <n v="-6.3"/>
    <s v="X"/>
    <x v="131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Discover Card"/>
    <d v="2014-10-21T00:00:00"/>
    <n v="-8.56"/>
    <s v="X"/>
    <x v="34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21T00:00:00"/>
    <n v="-6"/>
    <s v="X"/>
    <x v="167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MasterCard (Capital One)"/>
    <d v="2014-10-21T00:00:00"/>
    <n v="-30.44"/>
    <s v="X"/>
    <x v="96"/>
    <m/>
    <s v="Personal Care:Beauty &amp; Makeup/From Receipt"/>
    <m/>
    <m/>
    <s v="From Receipt"/>
    <x v="31"/>
    <x v="45"/>
    <x v="0"/>
    <m/>
    <x v="0"/>
    <m/>
    <s v="Oct"/>
    <n v="2014"/>
    <s v="Monthly"/>
    <n v="0"/>
    <s v="No"/>
    <s v="None"/>
    <s v="Personal Care|Beauty &amp; Makeup"/>
  </r>
  <r>
    <s v="MasterCard (Capital One)"/>
    <d v="2014-10-21T00:00:00"/>
    <n v="-54.68"/>
    <s v="X"/>
    <x v="168"/>
    <s v="#Group Meeting Fall#"/>
    <s v="Work Expense:Reimbursable expense"/>
    <m/>
    <m/>
    <m/>
    <x v="19"/>
    <x v="21"/>
    <x v="0"/>
    <m/>
    <x v="7"/>
    <m/>
    <s v="Oct"/>
    <n v="2014"/>
    <s v="Irregular"/>
    <n v="0"/>
    <s v="No"/>
    <s v="None"/>
    <s v="Work Expense|Reimbursable expense"/>
  </r>
  <r>
    <s v="MasterCard (Capital One)"/>
    <d v="2014-10-21T00:00:00"/>
    <n v="-59.54"/>
    <s v="X"/>
    <x v="169"/>
    <s v="Make up"/>
    <s v="Personal Care:Beauty &amp; Makeup/From Receipt"/>
    <m/>
    <m/>
    <s v="From Receipt"/>
    <x v="31"/>
    <x v="45"/>
    <x v="0"/>
    <m/>
    <x v="0"/>
    <m/>
    <s v="Oct"/>
    <n v="2014"/>
    <s v="Monthly"/>
    <n v="0"/>
    <s v="No"/>
    <s v="None"/>
    <s v="Personal Care|Beauty &amp; Makeup"/>
  </r>
  <r>
    <s v="MasterCard (Capital One)"/>
    <d v="2014-10-20T00:00:00"/>
    <n v="-24.75"/>
    <s v="X"/>
    <x v="170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Schwab - Checking (9784)"/>
    <d v="2014-10-19T00:00:00"/>
    <n v="-8.75"/>
    <s v="X"/>
    <x v="1"/>
    <s v="book for Grayden"/>
    <s v="Gifts"/>
    <m/>
    <s v="Split"/>
    <m/>
    <x v="28"/>
    <x v="0"/>
    <x v="0"/>
    <m/>
    <x v="0"/>
    <m/>
    <s v="Oct"/>
    <n v="2014"/>
    <s v="Monthly"/>
    <n v="0"/>
    <s v="No"/>
    <s v="None"/>
    <s v="Gifts"/>
  </r>
  <r>
    <s v="Schwab - Checking (9784)"/>
    <d v="2014-10-19T00:00:00"/>
    <n v="-16.399999999999999"/>
    <s v="X"/>
    <x v="1"/>
    <s v="Pajamas"/>
    <s v="Kids:Clothing"/>
    <m/>
    <s v="Split"/>
    <m/>
    <x v="27"/>
    <x v="1"/>
    <x v="0"/>
    <m/>
    <x v="0"/>
    <m/>
    <s v="Oct"/>
    <n v="2014"/>
    <s v="Monthly"/>
    <n v="0"/>
    <s v="No"/>
    <s v="None"/>
    <s v="Kids|Clothing"/>
  </r>
  <r>
    <s v="Schwab - Checking (9784)"/>
    <d v="2014-10-19T00:00:00"/>
    <n v="-51.78"/>
    <s v="X"/>
    <x v="1"/>
    <m/>
    <s v="Food &amp; Dining:Groceries"/>
    <m/>
    <s v="Split"/>
    <m/>
    <x v="15"/>
    <x v="3"/>
    <x v="0"/>
    <m/>
    <x v="0"/>
    <m/>
    <s v="Oct"/>
    <n v="2014"/>
    <s v="Monthly"/>
    <n v="0"/>
    <s v="No"/>
    <s v="None"/>
    <s v="Food &amp; Dining|Groceries"/>
  </r>
  <r>
    <s v="Chase Freedom XX9381"/>
    <d v="2014-10-19T00:00:00"/>
    <n v="216.36"/>
    <s v="X"/>
    <x v="171"/>
    <m/>
    <s v="Other Inc"/>
    <m/>
    <m/>
    <m/>
    <x v="29"/>
    <x v="0"/>
    <x v="0"/>
    <m/>
    <x v="0"/>
    <m/>
    <s v="Oct"/>
    <n v="2014"/>
    <s v="Monthly"/>
    <n v="0"/>
    <s v="No"/>
    <s v="None"/>
    <s v="Other Inc"/>
  </r>
  <r>
    <s v="MasterCard (Capital One)"/>
    <d v="2014-10-19T00:00:00"/>
    <n v="-10.37"/>
    <s v="X"/>
    <x v="34"/>
    <m/>
    <s v="Food &amp; Dining:Restaurants/From Receipt"/>
    <m/>
    <m/>
    <s v="From Receipt"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9T00:00:00"/>
    <n v="-10.5"/>
    <s v="X"/>
    <x v="172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9T00:00:00"/>
    <n v="-15"/>
    <s v="X"/>
    <x v="172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Schwab - Checking (9784)"/>
    <d v="2014-10-18T00:00:00"/>
    <n v="-98.99"/>
    <s v="X"/>
    <x v="1"/>
    <s v="Zach's glasses"/>
    <s v="Health &amp; Fitness:Eyecare/From Receipt"/>
    <m/>
    <m/>
    <s v="From Receipt"/>
    <x v="18"/>
    <x v="5"/>
    <x v="0"/>
    <m/>
    <x v="0"/>
    <m/>
    <s v="Oct"/>
    <n v="2014"/>
    <s v="Irregular"/>
    <n v="0"/>
    <s v="No"/>
    <s v="None"/>
    <s v="Health &amp; Fitness|Eyecare"/>
  </r>
  <r>
    <s v="MasterCard (Capital One)"/>
    <d v="2014-10-18T00:00:00"/>
    <n v="-7.95"/>
    <s v="X"/>
    <x v="13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8T00:00:00"/>
    <n v="-10.039999999999999"/>
    <s v="X"/>
    <x v="13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8T00:00:00"/>
    <n v="-16.399999999999999"/>
    <s v="X"/>
    <x v="173"/>
    <s v="Haloween costumes"/>
    <s v="Kids:Clothing/From Receipt"/>
    <m/>
    <m/>
    <s v="From Receipt"/>
    <x v="27"/>
    <x v="1"/>
    <x v="0"/>
    <m/>
    <x v="0"/>
    <m/>
    <s v="Oct"/>
    <n v="2014"/>
    <s v="Monthly"/>
    <n v="0"/>
    <s v="No"/>
    <s v="None"/>
    <s v="Kids|Clothing"/>
  </r>
  <r>
    <s v="MasterCard (Capital One)"/>
    <d v="2014-10-18T00:00:00"/>
    <n v="-25.98"/>
    <s v="X"/>
    <x v="174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8T00:00:00"/>
    <n v="-54.33"/>
    <s v="X"/>
    <x v="43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MasterCard (Capital One)"/>
    <d v="2014-10-18T00:00:00"/>
    <n v="-3.82"/>
    <s v="X"/>
    <x v="2"/>
    <s v="Cotton balls for costume"/>
    <s v="Kids:Toys/From Receipt"/>
    <m/>
    <s v="Split"/>
    <s v="From Receipt"/>
    <x v="27"/>
    <x v="14"/>
    <x v="0"/>
    <m/>
    <x v="0"/>
    <m/>
    <s v="Oct"/>
    <n v="2014"/>
    <s v="Monthly"/>
    <n v="0"/>
    <s v="No"/>
    <s v="None"/>
    <s v="Kids|Toys"/>
  </r>
  <r>
    <s v="MasterCard (Capital One)"/>
    <d v="2014-10-18T00:00:00"/>
    <n v="-95.77"/>
    <s v="X"/>
    <x v="2"/>
    <m/>
    <s v="Food &amp; Dining:Groceries/From Receipt"/>
    <m/>
    <s v="Split"/>
    <s v="From Receipt"/>
    <x v="15"/>
    <x v="3"/>
    <x v="0"/>
    <m/>
    <x v="0"/>
    <m/>
    <s v="Oct"/>
    <n v="2014"/>
    <s v="Monthly"/>
    <n v="0"/>
    <s v="No"/>
    <s v="None"/>
    <s v="Food &amp; Dining|Groceries"/>
  </r>
  <r>
    <s v="First Tech - Checking (5544)"/>
    <d v="2014-10-17T00:00:00"/>
    <n v="5000"/>
    <s v="X"/>
    <x v="175"/>
    <s v="Reimbursement for dependent care account"/>
    <s v="[Premera Health Care Payment]"/>
    <m/>
    <m/>
    <m/>
    <x v="42"/>
    <x v="0"/>
    <x v="0"/>
    <m/>
    <x v="0"/>
    <m/>
    <s v="Oct"/>
    <n v="2014"/>
    <s v="Account"/>
    <n v="0"/>
    <s v="No"/>
    <s v="None"/>
    <s v="[Premera Health Care Payment]"/>
  </r>
  <r>
    <s v="First Tech - Checking (5544)"/>
    <d v="2014-10-17T00:00:00"/>
    <n v="-117"/>
    <s v="X"/>
    <x v="176"/>
    <s v="ACH Debit--THE CLEANING AUT  - ONLINE PMT"/>
    <s v="Home:Home Services"/>
    <m/>
    <m/>
    <m/>
    <x v="14"/>
    <x v="46"/>
    <x v="0"/>
    <m/>
    <x v="0"/>
    <m/>
    <s v="Oct"/>
    <n v="2014"/>
    <s v="Monthly"/>
    <n v="0"/>
    <s v="No"/>
    <s v="None"/>
    <s v="Home|Home Services"/>
  </r>
  <r>
    <s v="Premera Health Care Payment"/>
    <d v="2014-10-17T00:00:00"/>
    <n v="-5000"/>
    <m/>
    <x v="175"/>
    <s v="Reimbursement for dependent care account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First Tech - Checking (5544)"/>
    <d v="2014-10-16T00:00:00"/>
    <n v="-13.5"/>
    <s v="X"/>
    <x v="126"/>
    <s v="Purchases from Fall sale"/>
    <s v="Kids:Toys"/>
    <n v="2137"/>
    <s v="Split"/>
    <m/>
    <x v="27"/>
    <x v="14"/>
    <x v="0"/>
    <m/>
    <x v="0"/>
    <m/>
    <s v="Oct"/>
    <n v="2014"/>
    <s v="Monthly"/>
    <n v="0"/>
    <s v="No"/>
    <s v="None"/>
    <s v="Kids|Toys"/>
  </r>
  <r>
    <s v="First Tech - Checking (5544)"/>
    <d v="2014-10-16T00:00:00"/>
    <n v="-13.5"/>
    <s v="X"/>
    <x v="126"/>
    <m/>
    <s v="Kids:Clothing"/>
    <n v="2137"/>
    <s v="Split"/>
    <m/>
    <x v="27"/>
    <x v="1"/>
    <x v="0"/>
    <m/>
    <x v="0"/>
    <m/>
    <s v="Oct"/>
    <n v="2014"/>
    <s v="Monthly"/>
    <n v="0"/>
    <s v="No"/>
    <s v="None"/>
    <s v="Kids|Clothing"/>
  </r>
  <r>
    <s v="MasterCard (Capital One)"/>
    <d v="2014-10-16T00:00:00"/>
    <n v="-7.11"/>
    <s v="X"/>
    <x v="177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First Tech - Checking (5544)"/>
    <d v="2014-10-15T00:00:00"/>
    <n v="-47.41"/>
    <s v="X"/>
    <x v="45"/>
    <s v="ACH Debit--PUGET SOUND ENER DIRECT DEBITING - PSE BILL  37505102"/>
    <s v="Bills &amp; Utilities:Utilities"/>
    <m/>
    <m/>
    <m/>
    <x v="34"/>
    <x v="18"/>
    <x v="0"/>
    <m/>
    <x v="0"/>
    <m/>
    <s v="Oct"/>
    <n v="2014"/>
    <s v="Monthly"/>
    <n v="0"/>
    <s v="No"/>
    <s v="None"/>
    <s v="Bills &amp; Utilities|Utilities"/>
  </r>
  <r>
    <s v="First Tech - Checking (5544)"/>
    <d v="2014-10-15T00:00:00"/>
    <n v="-58"/>
    <s v="X"/>
    <x v="126"/>
    <s v="Purchases from Fall sale"/>
    <s v="Kids:Toys"/>
    <n v="2136"/>
    <s v="Split"/>
    <m/>
    <x v="27"/>
    <x v="14"/>
    <x v="0"/>
    <m/>
    <x v="0"/>
    <m/>
    <s v="Oct"/>
    <n v="2014"/>
    <s v="Monthly"/>
    <n v="0"/>
    <s v="No"/>
    <s v="None"/>
    <s v="Kids|Toys"/>
  </r>
  <r>
    <s v="First Tech - Checking (5544)"/>
    <d v="2014-10-15T00:00:00"/>
    <n v="-80"/>
    <s v="X"/>
    <x v="126"/>
    <m/>
    <s v="Kids:Clothing"/>
    <n v="2136"/>
    <s v="Split"/>
    <m/>
    <x v="27"/>
    <x v="1"/>
    <x v="0"/>
    <m/>
    <x v="0"/>
    <m/>
    <s v="Oct"/>
    <n v="2014"/>
    <s v="Monthly"/>
    <n v="0"/>
    <s v="No"/>
    <s v="None"/>
    <s v="Kids|Clothing"/>
  </r>
  <r>
    <s v="MasterCard (Capital One)"/>
    <d v="2014-10-15T00:00:00"/>
    <n v="-15.08"/>
    <s v="X"/>
    <x v="96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First Tech - Checking (5544)"/>
    <d v="2014-10-14T00:00:00"/>
    <n v="13905.58"/>
    <s v="X"/>
    <x v="47"/>
    <s v="ACH Deposit--MICROSOFT  - EDIPAYMENT"/>
    <s v="Net Salary"/>
    <m/>
    <m/>
    <m/>
    <x v="35"/>
    <x v="0"/>
    <x v="0"/>
    <m/>
    <x v="0"/>
    <m/>
    <s v="Oct"/>
    <n v="2014"/>
    <s v="Monthly"/>
    <n v="0"/>
    <s v="No"/>
    <s v="None"/>
    <s v="Net Salary"/>
  </r>
  <r>
    <s v="MasterCard (Capital One)"/>
    <d v="2014-10-14T00:00:00"/>
    <n v="-7.63"/>
    <s v="X"/>
    <x v="20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Koolikai - Checking XX2129"/>
    <d v="2014-10-13T00:00:00"/>
    <n v="2195"/>
    <s v="X"/>
    <x v="133"/>
    <s v="Deposit--Shared Branch Mobile Deposit          First Tech FC CA"/>
    <s v="Business Income (Koolikai):Rent/9602"/>
    <m/>
    <m/>
    <n v="9602"/>
    <x v="37"/>
    <x v="25"/>
    <x v="0"/>
    <m/>
    <x v="0"/>
    <m/>
    <s v="Oct"/>
    <n v="2014"/>
    <s v="Monthly"/>
    <n v="0"/>
    <s v="No"/>
    <s v="None"/>
    <s v="Business Income (Koolikai)|Rent"/>
  </r>
  <r>
    <s v="Discover Card"/>
    <d v="2014-10-13T00:00:00"/>
    <n v="-129.97999999999999"/>
    <s v="X"/>
    <x v="178"/>
    <s v="Projector lamp"/>
    <s v="Shopping:Electronics &amp; Software"/>
    <m/>
    <m/>
    <m/>
    <x v="13"/>
    <x v="20"/>
    <x v="0"/>
    <m/>
    <x v="0"/>
    <m/>
    <s v="Oct"/>
    <n v="2014"/>
    <s v="Annual"/>
    <n v="0"/>
    <s v="No"/>
    <s v="None"/>
    <s v="Shopping|Electronics &amp; Software"/>
  </r>
  <r>
    <s v="Chase Freedom XX9381"/>
    <d v="2014-10-12T00:00:00"/>
    <n v="-0.01"/>
    <s v="X"/>
    <x v="54"/>
    <s v="#Apps#"/>
    <s v="Work Expense:Reimbursable expense"/>
    <m/>
    <m/>
    <m/>
    <x v="19"/>
    <x v="21"/>
    <x v="0"/>
    <m/>
    <x v="4"/>
    <m/>
    <s v="Oct"/>
    <n v="2014"/>
    <s v="Irregular"/>
    <n v="0"/>
    <s v="No"/>
    <s v="None"/>
    <s v="Work Expense|Reimbursable expense"/>
  </r>
  <r>
    <s v="Chase Freedom XX9381"/>
    <d v="2014-10-12T00:00:00"/>
    <n v="-0.01"/>
    <s v="X"/>
    <x v="54"/>
    <s v="#Apps#"/>
    <s v="Work Expense:Reimbursable expense"/>
    <m/>
    <m/>
    <m/>
    <x v="19"/>
    <x v="21"/>
    <x v="0"/>
    <m/>
    <x v="4"/>
    <m/>
    <s v="Oct"/>
    <n v="2014"/>
    <s v="Irregular"/>
    <n v="0"/>
    <s v="No"/>
    <s v="None"/>
    <s v="Work Expense|Reimbursable expense"/>
  </r>
  <r>
    <s v="Koolikai Credit Card"/>
    <d v="2014-10-12T00:00:00"/>
    <n v="-146.84"/>
    <s v="X"/>
    <x v="55"/>
    <m/>
    <s v="Business Expenses (Koolikai):Cell Phone"/>
    <m/>
    <m/>
    <m/>
    <x v="36"/>
    <x v="22"/>
    <x v="0"/>
    <m/>
    <x v="0"/>
    <m/>
    <s v="Oct"/>
    <n v="2014"/>
    <s v="Monthly"/>
    <n v="0"/>
    <s v="No"/>
    <s v="None"/>
    <s v="Business Expenses (Koolikai)|Cell Phone"/>
  </r>
  <r>
    <s v="MasterCard (Capital One)"/>
    <d v="2014-10-12T00:00:00"/>
    <n v="25"/>
    <s v="X"/>
    <x v="60"/>
    <m/>
    <s v="Other Inc"/>
    <m/>
    <m/>
    <m/>
    <x v="29"/>
    <x v="0"/>
    <x v="0"/>
    <m/>
    <x v="0"/>
    <m/>
    <s v="Oct"/>
    <n v="2014"/>
    <s v="Monthly"/>
    <n v="0"/>
    <s v="No"/>
    <s v="None"/>
    <s v="Other Inc"/>
  </r>
  <r>
    <s v="MasterCard (Capital One)"/>
    <d v="2014-10-12T00:00:00"/>
    <n v="-6.11"/>
    <s v="X"/>
    <x v="2"/>
    <m/>
    <s v="Food &amp; Dining:Groceries"/>
    <m/>
    <m/>
    <m/>
    <x v="15"/>
    <x v="3"/>
    <x v="0"/>
    <m/>
    <x v="0"/>
    <m/>
    <s v="Oct"/>
    <n v="2014"/>
    <s v="Monthly"/>
    <n v="0"/>
    <s v="No"/>
    <s v="None"/>
    <s v="Food &amp; Dining|Groceries"/>
  </r>
  <r>
    <s v="MasterCard (Capital One)"/>
    <d v="2014-10-12T00:00:00"/>
    <n v="-34"/>
    <s v="X"/>
    <x v="97"/>
    <m/>
    <s v="Personal Care:Hair"/>
    <m/>
    <m/>
    <m/>
    <x v="31"/>
    <x v="16"/>
    <x v="0"/>
    <m/>
    <x v="0"/>
    <m/>
    <s v="Oct"/>
    <n v="2014"/>
    <s v="Monthly"/>
    <n v="0"/>
    <s v="No"/>
    <s v="None"/>
    <s v="Personal Care|Hair"/>
  </r>
  <r>
    <s v="MasterCard (Capital One)"/>
    <d v="2014-10-12T00:00:00"/>
    <n v="-69.13"/>
    <s v="X"/>
    <x v="2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Fideity ESPP and Stock Awards"/>
    <d v="2014-10-12T00:00:00"/>
    <m/>
    <m/>
    <x v="16"/>
    <m/>
    <s v="[Fideity ESPP and Stock Awards]"/>
    <s v="Cash"/>
    <m/>
    <m/>
    <x v="43"/>
    <x v="0"/>
    <x v="0"/>
    <m/>
    <x v="0"/>
    <m/>
    <s v="Oct"/>
    <n v="2014"/>
    <e v="#N/A"/>
    <e v="#N/A"/>
    <e v="#N/A"/>
    <e v="#N/A"/>
    <s v="[Fideity ESPP and Stock Awards]"/>
  </r>
  <r>
    <s v="LPL Financial"/>
    <d v="2014-10-12T00:00:00"/>
    <m/>
    <m/>
    <x v="16"/>
    <m/>
    <s v="[LPL Financial]"/>
    <s v="Cash"/>
    <m/>
    <m/>
    <x v="44"/>
    <x v="0"/>
    <x v="0"/>
    <m/>
    <x v="0"/>
    <m/>
    <s v="Oct"/>
    <n v="2014"/>
    <e v="#N/A"/>
    <e v="#N/A"/>
    <e v="#N/A"/>
    <e v="#N/A"/>
    <s v="[LPL Financial]"/>
  </r>
  <r>
    <s v="Discover Card"/>
    <d v="2014-10-11T00:00:00"/>
    <n v="-77.7"/>
    <s v="X"/>
    <x v="179"/>
    <s v="Family night out"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1T00:00:00"/>
    <n v="-12.34"/>
    <s v="X"/>
    <x v="180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First Tech - Checking (5544)"/>
    <d v="2014-10-10T00:00:00"/>
    <n v="-5651.04"/>
    <s v="X"/>
    <x v="181"/>
    <s v="ACH Debit--CATHLEEN CAESAR  - ONLINE PMT"/>
    <s v="Projects:Landscaping"/>
    <m/>
    <m/>
    <m/>
    <x v="39"/>
    <x v="47"/>
    <x v="0"/>
    <m/>
    <x v="0"/>
    <m/>
    <s v="Oct"/>
    <n v="2014"/>
    <s v="Unplanned"/>
    <n v="0"/>
    <s v="No"/>
    <s v="None"/>
    <s v="Projects|Landscaping"/>
  </r>
  <r>
    <s v="Koolikai - Checking XX2129"/>
    <d v="2014-10-10T00:00:00"/>
    <n v="2295"/>
    <s v="X"/>
    <x v="144"/>
    <s v="Deposit--Shared Branch Mobile Deposit          First Tech FC CA"/>
    <s v="Business Income (Koolikai):Rent/7231"/>
    <m/>
    <m/>
    <n v="7231"/>
    <x v="37"/>
    <x v="25"/>
    <x v="0"/>
    <m/>
    <x v="0"/>
    <m/>
    <s v="Oct"/>
    <n v="2014"/>
    <s v="Monthly"/>
    <n v="0"/>
    <s v="No"/>
    <s v="None"/>
    <s v="Business Income (Koolikai)|Rent"/>
  </r>
  <r>
    <s v="Chase Freedom XX9381"/>
    <d v="2014-10-10T00:00:00"/>
    <n v="-0.01"/>
    <s v="X"/>
    <x v="54"/>
    <s v="#Apps#"/>
    <s v="Work Expense:Reimbursable expense"/>
    <m/>
    <m/>
    <m/>
    <x v="19"/>
    <x v="21"/>
    <x v="0"/>
    <m/>
    <x v="4"/>
    <m/>
    <s v="Oct"/>
    <n v="2014"/>
    <s v="Irregular"/>
    <n v="0"/>
    <s v="No"/>
    <s v="None"/>
    <s v="Work Expense|Reimbursable expense"/>
  </r>
  <r>
    <s v="Chase Freedom XX9381"/>
    <d v="2014-10-10T00:00:00"/>
    <n v="-0.01"/>
    <s v="X"/>
    <x v="54"/>
    <s v="#Apps#"/>
    <s v="Work Expense:Reimbursable expense"/>
    <m/>
    <m/>
    <m/>
    <x v="19"/>
    <x v="21"/>
    <x v="0"/>
    <m/>
    <x v="4"/>
    <m/>
    <s v="Oct"/>
    <n v="2014"/>
    <s v="Irregular"/>
    <n v="0"/>
    <s v="No"/>
    <s v="None"/>
    <s v="Work Expense|Reimbursable expense"/>
  </r>
  <r>
    <s v="MasterCard (Capital One)"/>
    <d v="2014-10-10T00:00:00"/>
    <n v="-3.91"/>
    <s v="X"/>
    <x v="182"/>
    <s v="Slurpees"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0T00:00:00"/>
    <n v="-7.59"/>
    <s v="X"/>
    <x v="183"/>
    <m/>
    <s v="Food &amp; Dining:Restaurants/From Receipt"/>
    <m/>
    <m/>
    <s v="From Receipt"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10T00:00:00"/>
    <n v="-32.630000000000003"/>
    <s v="X"/>
    <x v="184"/>
    <m/>
    <s v="Shopping:Clothing/From Receipt"/>
    <m/>
    <m/>
    <s v="From Receipt"/>
    <x v="13"/>
    <x v="1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38"/>
    <s v="X"/>
    <x v="185"/>
    <m/>
    <s v="Shopping:Clothing"/>
    <m/>
    <m/>
    <m/>
    <x v="13"/>
    <x v="1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64.569999999999993"/>
    <s v="X"/>
    <x v="186"/>
    <m/>
    <s v="Shopping:Clothing/From Receipt"/>
    <m/>
    <m/>
    <s v="From Receipt"/>
    <x v="13"/>
    <x v="1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65.099999999999994"/>
    <s v="X"/>
    <x v="187"/>
    <s v="Coats for Zach and Josh"/>
    <s v="Kids:Clothing/From Receipt"/>
    <m/>
    <m/>
    <s v="From Receipt"/>
    <x v="27"/>
    <x v="1"/>
    <x v="0"/>
    <m/>
    <x v="0"/>
    <m/>
    <s v="Oct"/>
    <n v="2014"/>
    <s v="Monthly"/>
    <n v="0"/>
    <s v="No"/>
    <s v="None"/>
    <s v="Kids|Clothing"/>
  </r>
  <r>
    <s v="MasterCard (Capital One)"/>
    <d v="2014-10-10T00:00:00"/>
    <n v="-73.849999999999994"/>
    <s v="X"/>
    <x v="188"/>
    <m/>
    <s v="Shopping:Clothing/From Receipt"/>
    <m/>
    <m/>
    <s v="From Receipt"/>
    <x v="13"/>
    <x v="1"/>
    <x v="0"/>
    <m/>
    <x v="0"/>
    <m/>
    <s v="Oct"/>
    <n v="2014"/>
    <s v="Annual"/>
    <n v="0"/>
    <s v="No"/>
    <s v="None"/>
    <s v="Shopping|Clothing"/>
  </r>
  <r>
    <s v="MasterCard (Capital One)"/>
    <d v="2014-10-10T00:00:00"/>
    <n v="-138.43"/>
    <s v="X"/>
    <x v="188"/>
    <m/>
    <s v="Shopping:Clothing/From Receipt"/>
    <m/>
    <m/>
    <s v="From Receipt"/>
    <x v="13"/>
    <x v="1"/>
    <x v="0"/>
    <m/>
    <x v="0"/>
    <m/>
    <s v="Oct"/>
    <n v="2014"/>
    <s v="Annual"/>
    <n v="0"/>
    <s v="No"/>
    <s v="None"/>
    <s v="Shopping|Clothing"/>
  </r>
  <r>
    <s v="MasterCard (Capital One)"/>
    <d v="2014-10-09T00:00:00"/>
    <n v="-5"/>
    <s v="X"/>
    <x v="189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09T00:00:00"/>
    <n v="-12.1"/>
    <s v="X"/>
    <x v="190"/>
    <s v="#Sedona#"/>
    <s v="Vacation:Transportation"/>
    <m/>
    <m/>
    <m/>
    <x v="23"/>
    <x v="26"/>
    <x v="0"/>
    <m/>
    <x v="10"/>
    <m/>
    <s v="Oct"/>
    <n v="2014"/>
    <s v="Irregular"/>
    <n v="0"/>
    <s v="No"/>
    <s v="None"/>
    <s v="Vacation|Transportation"/>
  </r>
  <r>
    <s v="MasterCard (Capital One)"/>
    <d v="2014-10-09T00:00:00"/>
    <n v="-36.49"/>
    <s v="X"/>
    <x v="115"/>
    <s v="#Sedona#"/>
    <s v="Vacation:Transportation"/>
    <m/>
    <m/>
    <m/>
    <x v="23"/>
    <x v="26"/>
    <x v="0"/>
    <m/>
    <x v="10"/>
    <m/>
    <s v="Oct"/>
    <n v="2014"/>
    <s v="Irregular"/>
    <n v="0"/>
    <s v="No"/>
    <s v="None"/>
    <s v="Vacation|Transportation"/>
  </r>
  <r>
    <s v="MasterCard (Capital One)"/>
    <d v="2014-10-09T00:00:00"/>
    <n v="-53.76"/>
    <s v="X"/>
    <x v="67"/>
    <s v="#Sedona#"/>
    <s v="Vacation:Transportation"/>
    <m/>
    <m/>
    <m/>
    <x v="23"/>
    <x v="26"/>
    <x v="0"/>
    <m/>
    <x v="10"/>
    <m/>
    <s v="Oct"/>
    <n v="2014"/>
    <s v="Irregular"/>
    <n v="0"/>
    <s v="No"/>
    <s v="None"/>
    <s v="Vacation|Transportation"/>
  </r>
  <r>
    <s v="MasterCard (Capital One)"/>
    <d v="2014-10-09T00:00:00"/>
    <n v="-527.30999999999995"/>
    <s v="X"/>
    <x v="191"/>
    <s v="#Sedona#"/>
    <s v="Vacation:Lodging/From Receipt"/>
    <m/>
    <m/>
    <s v="From Receipt"/>
    <x v="23"/>
    <x v="9"/>
    <x v="0"/>
    <m/>
    <x v="10"/>
    <m/>
    <s v="Oct"/>
    <n v="2014"/>
    <s v="Irregular"/>
    <n v="0"/>
    <s v="No"/>
    <s v="None"/>
    <s v="Vacation|Lodging"/>
  </r>
  <r>
    <s v="First Tech - Checking (5544)"/>
    <d v="2014-10-08T00:00:00"/>
    <n v="-65.599999999999994"/>
    <s v="X"/>
    <x v="192"/>
    <s v="New checks"/>
    <s v="Business Expenses (Koolikai):Office Expenses (Business)"/>
    <m/>
    <m/>
    <m/>
    <x v="36"/>
    <x v="42"/>
    <x v="0"/>
    <m/>
    <x v="0"/>
    <m/>
    <s v="Oct"/>
    <n v="2014"/>
    <s v="Monthly"/>
    <n v="0"/>
    <s v="No"/>
    <s v="None"/>
    <s v="Business Expenses (Koolikai)|Office Expenses (Business)"/>
  </r>
  <r>
    <s v="MasterCard (Capital One)"/>
    <d v="2014-10-08T00:00:00"/>
    <n v="-7.64"/>
    <s v="X"/>
    <x v="96"/>
    <s v="#Sedona#Hat for hiking in the rain."/>
    <s v="Vacation:Trinkets/From Receipt"/>
    <m/>
    <m/>
    <s v="From Receipt"/>
    <x v="23"/>
    <x v="28"/>
    <x v="0"/>
    <m/>
    <x v="10"/>
    <m/>
    <s v="Oct"/>
    <n v="2014"/>
    <s v="Irregular"/>
    <n v="0"/>
    <s v="No"/>
    <s v="None"/>
    <s v="Vacation|Trinkets"/>
  </r>
  <r>
    <s v="MasterCard (Capital One)"/>
    <d v="2014-10-08T00:00:00"/>
    <n v="-10.97"/>
    <s v="X"/>
    <x v="193"/>
    <s v="#Sedona#"/>
    <s v="Vacation:Trinkets/From Receipt"/>
    <m/>
    <m/>
    <s v="From Receipt"/>
    <x v="23"/>
    <x v="28"/>
    <x v="0"/>
    <m/>
    <x v="10"/>
    <m/>
    <s v="Oct"/>
    <n v="2014"/>
    <s v="Irregular"/>
    <n v="0"/>
    <s v="No"/>
    <s v="None"/>
    <s v="Vacation|Trinkets"/>
  </r>
  <r>
    <s v="MasterCard (Capital One)"/>
    <d v="2014-10-08T00:00:00"/>
    <n v="-11.98"/>
    <s v="X"/>
    <x v="194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8T00:00:00"/>
    <n v="-13.46"/>
    <s v="X"/>
    <x v="194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8T00:00:00"/>
    <n v="-52.99"/>
    <s v="X"/>
    <x v="195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First Tech - Checking (5544)"/>
    <d v="2014-10-07T00:00:00"/>
    <n v="-3864.19"/>
    <s v="X"/>
    <x v="69"/>
    <s v="ACH Debit--WF HOME MTG ACH - AUTO PAY"/>
    <s v="Home:Mortgage"/>
    <m/>
    <m/>
    <m/>
    <x v="14"/>
    <x v="27"/>
    <x v="0"/>
    <m/>
    <x v="0"/>
    <m/>
    <s v="Oct"/>
    <n v="2014"/>
    <s v="Monthly"/>
    <n v="0"/>
    <s v="No"/>
    <s v="None"/>
    <s v="Home|Mortgage"/>
  </r>
  <r>
    <s v="MasterCard (Capital One)"/>
    <d v="2014-10-07T00:00:00"/>
    <n v="-18.899999999999999"/>
    <s v="X"/>
    <x v="196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7T00:00:00"/>
    <n v="-54.02"/>
    <s v="X"/>
    <x v="197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7T00:00:00"/>
    <n v="-67.900000000000006"/>
    <s v="X"/>
    <x v="198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7T00:00:00"/>
    <n v="-114"/>
    <s v="X"/>
    <x v="199"/>
    <s v="#Sedona# Spa"/>
    <s v="Vacation:Activities/From Receipt"/>
    <m/>
    <m/>
    <s v="From Receipt"/>
    <x v="23"/>
    <x v="39"/>
    <x v="0"/>
    <m/>
    <x v="10"/>
    <m/>
    <s v="Oct"/>
    <n v="2014"/>
    <s v="Irregular"/>
    <n v="0"/>
    <s v="No"/>
    <s v="None"/>
    <s v="Vacation|Activities"/>
  </r>
  <r>
    <s v="First Tech - Checking (5544)"/>
    <d v="2014-10-06T00:00:00"/>
    <n v="-98.42"/>
    <s v="X"/>
    <x v="200"/>
    <s v="Account xx8482"/>
    <s v="[Chase Amazon (XX8482)]"/>
    <m/>
    <m/>
    <m/>
    <x v="6"/>
    <x v="0"/>
    <x v="0"/>
    <m/>
    <x v="0"/>
    <m/>
    <s v="Oct"/>
    <n v="2014"/>
    <e v="#N/A"/>
    <e v="#N/A"/>
    <e v="#N/A"/>
    <e v="#N/A"/>
    <s v="[Chase Amazon (XX8482)]"/>
  </r>
  <r>
    <s v="Chase Amazon (XX8482)"/>
    <d v="2014-10-06T00:00:00"/>
    <n v="98.42"/>
    <s v="X"/>
    <x v="200"/>
    <s v="Account xx8482@BAL:$0.00@@CAT:@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MasterCard (Capital One)"/>
    <d v="2014-10-06T00:00:00"/>
    <n v="-4.95"/>
    <s v="X"/>
    <x v="194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6T00:00:00"/>
    <n v="-6.4"/>
    <s v="X"/>
    <x v="194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6T00:00:00"/>
    <n v="-6.53"/>
    <s v="X"/>
    <x v="201"/>
    <s v="#Sedona#"/>
    <s v="Vacation:Trinkets/From Receipt"/>
    <m/>
    <m/>
    <s v="From Receipt"/>
    <x v="23"/>
    <x v="28"/>
    <x v="0"/>
    <m/>
    <x v="10"/>
    <m/>
    <s v="Oct"/>
    <n v="2014"/>
    <s v="Irregular"/>
    <n v="0"/>
    <s v="No"/>
    <s v="None"/>
    <s v="Vacation|Trinkets"/>
  </r>
  <r>
    <s v="MasterCard (Capital One)"/>
    <d v="2014-10-06T00:00:00"/>
    <n v="-28.53"/>
    <s v="X"/>
    <x v="202"/>
    <s v="#Sedona#"/>
    <s v="Vacation:Trinkets/From Receipt"/>
    <m/>
    <m/>
    <s v="From Receipt"/>
    <x v="23"/>
    <x v="28"/>
    <x v="0"/>
    <m/>
    <x v="10"/>
    <m/>
    <s v="Oct"/>
    <n v="2014"/>
    <s v="Irregular"/>
    <n v="0"/>
    <s v="No"/>
    <s v="None"/>
    <s v="Vacation|Trinkets"/>
  </r>
  <r>
    <s v="MasterCard (Capital One)"/>
    <d v="2014-10-06T00:00:00"/>
    <n v="-30.67"/>
    <s v="X"/>
    <x v="201"/>
    <s v="#Sedona#"/>
    <s v="Vacation:Trinkets/From Receipt"/>
    <m/>
    <m/>
    <s v="From Receipt"/>
    <x v="23"/>
    <x v="28"/>
    <x v="0"/>
    <m/>
    <x v="10"/>
    <m/>
    <s v="Oct"/>
    <n v="2014"/>
    <s v="Irregular"/>
    <n v="0"/>
    <s v="No"/>
    <s v="None"/>
    <s v="Vacation|Trinkets"/>
  </r>
  <r>
    <s v="MasterCard (Capital One)"/>
    <d v="2014-10-06T00:00:00"/>
    <n v="-40.53"/>
    <s v="X"/>
    <x v="203"/>
    <s v="#Sedona#"/>
    <s v="Vacation:Trinkets"/>
    <m/>
    <m/>
    <m/>
    <x v="23"/>
    <x v="28"/>
    <x v="0"/>
    <m/>
    <x v="10"/>
    <m/>
    <s v="Oct"/>
    <n v="2014"/>
    <s v="Irregular"/>
    <n v="0"/>
    <s v="No"/>
    <s v="None"/>
    <s v="Vacation|Trinkets"/>
  </r>
  <r>
    <s v="Edward Jones - Investment Account"/>
    <d v="2014-10-06T00:00:00"/>
    <n v="28.8"/>
    <s v="c"/>
    <x v="16"/>
    <s v="CASH DIV ON 120 AT $.24 PER SHARE"/>
    <m/>
    <s v="Div"/>
    <m/>
    <m/>
    <x v="26"/>
    <x v="0"/>
    <x v="0"/>
    <m/>
    <x v="0"/>
    <m/>
    <s v="Oct"/>
    <n v="2014"/>
    <e v="#N/A"/>
    <e v="#N/A"/>
    <e v="#N/A"/>
    <e v="#N/A"/>
    <n v="0"/>
  </r>
  <r>
    <s v="MasterCard (Capital One)"/>
    <d v="2014-10-05T00:00:00"/>
    <n v="-8.89"/>
    <s v="X"/>
    <x v="34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05T00:00:00"/>
    <n v="-13.16"/>
    <s v="X"/>
    <x v="204"/>
    <s v="#Sedona# Prickly pear cactus"/>
    <s v="Vacation:Trinkets/From Receipt"/>
    <m/>
    <m/>
    <s v="From Receipt"/>
    <x v="23"/>
    <x v="28"/>
    <x v="0"/>
    <m/>
    <x v="10"/>
    <m/>
    <s v="Oct"/>
    <n v="2014"/>
    <s v="Irregular"/>
    <n v="0"/>
    <s v="No"/>
    <s v="None"/>
    <s v="Vacation|Trinkets"/>
  </r>
  <r>
    <s v="MasterCard (Capital One)"/>
    <d v="2014-10-05T00:00:00"/>
    <n v="-25.12"/>
    <s v="X"/>
    <x v="205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5T00:00:00"/>
    <n v="-35.75"/>
    <s v="X"/>
    <x v="206"/>
    <s v="#Sedona#"/>
    <s v="Vacation:Food/From Receipt"/>
    <m/>
    <m/>
    <s v="From Receipt"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5T00:00:00"/>
    <n v="-41.5"/>
    <s v="X"/>
    <x v="207"/>
    <s v="#Sedona#"/>
    <s v="Vacation:Food"/>
    <m/>
    <m/>
    <m/>
    <x v="23"/>
    <x v="8"/>
    <x v="0"/>
    <m/>
    <x v="10"/>
    <m/>
    <s v="Oct"/>
    <n v="2014"/>
    <s v="Irregular"/>
    <n v="0"/>
    <s v="No"/>
    <s v="None"/>
    <s v="Vacation|Food"/>
  </r>
  <r>
    <s v="MasterCard (Capital One)"/>
    <d v="2014-10-04T00:00:00"/>
    <n v="-20"/>
    <s v="X"/>
    <x v="98"/>
    <s v="@BAL:2386.54@@CAT:@ Kangaroo &amp; Kiwi (exp 1/31/15)"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04T00:00:00"/>
    <n v="-20.76"/>
    <s v="X"/>
    <x v="111"/>
    <s v="Subscription for DC Fast chargers"/>
    <s v="Auto &amp; Transport:Gas &amp; Fuel"/>
    <m/>
    <m/>
    <m/>
    <x v="17"/>
    <x v="37"/>
    <x v="0"/>
    <m/>
    <x v="0"/>
    <m/>
    <s v="Oct"/>
    <n v="2014"/>
    <s v="Monthly"/>
    <n v="0"/>
    <s v="No"/>
    <s v="None"/>
    <s v="Auto &amp; Transport|Gas &amp; Fuel"/>
  </r>
  <r>
    <s v="MasterCard (Capital One)"/>
    <d v="2014-10-04T00:00:00"/>
    <n v="-40.659999999999997"/>
    <s v="X"/>
    <x v="115"/>
    <m/>
    <s v="Auto &amp; Transport:Gas &amp; Fuel"/>
    <m/>
    <m/>
    <m/>
    <x v="17"/>
    <x v="37"/>
    <x v="0"/>
    <m/>
    <x v="0"/>
    <m/>
    <s v="Oct"/>
    <n v="2014"/>
    <s v="Monthly"/>
    <n v="0"/>
    <s v="No"/>
    <s v="None"/>
    <s v="Auto &amp; Transport|Gas &amp; Fuel"/>
  </r>
  <r>
    <s v="MasterCard (Capital One)"/>
    <d v="2014-10-04T00:00:00"/>
    <n v="-84.78"/>
    <s v="X"/>
    <x v="2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MasterCard (Capital One)"/>
    <d v="2014-10-04T00:00:00"/>
    <n v="-96.63"/>
    <s v="X"/>
    <x v="43"/>
    <m/>
    <s v="Food &amp; Dining:Groceries/From Receipt"/>
    <m/>
    <m/>
    <s v="From Receipt"/>
    <x v="15"/>
    <x v="3"/>
    <x v="0"/>
    <m/>
    <x v="0"/>
    <m/>
    <s v="Oct"/>
    <n v="2014"/>
    <s v="Monthly"/>
    <n v="0"/>
    <s v="No"/>
    <s v="None"/>
    <s v="Food &amp; Dining|Groceries"/>
  </r>
  <r>
    <s v="First Tech - Checking (5544)"/>
    <d v="2014-10-03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Oct"/>
    <n v="2014"/>
    <s v="Monthly"/>
    <n v="0"/>
    <s v="No"/>
    <s v="None"/>
    <s v="Kids|American Funds 529A"/>
  </r>
  <r>
    <s v="MasterCard (Capital One)"/>
    <d v="2014-10-03T00:00:00"/>
    <n v="-8.75"/>
    <s v="X"/>
    <x v="81"/>
    <m/>
    <s v="Entertainment:Movies &amp; DVDs"/>
    <m/>
    <m/>
    <m/>
    <x v="30"/>
    <x v="43"/>
    <x v="0"/>
    <m/>
    <x v="0"/>
    <m/>
    <s v="Oct"/>
    <n v="2014"/>
    <s v="Unplanned"/>
    <n v="0"/>
    <s v="No"/>
    <s v="None"/>
    <s v="Entertainment|Movies &amp; DVDs"/>
  </r>
  <r>
    <s v="MasterCard (Capital One)"/>
    <d v="2014-10-03T00:00:00"/>
    <n v="-20.170000000000002"/>
    <s v="X"/>
    <x v="2"/>
    <m/>
    <s v="Food &amp; Dining:Groceries"/>
    <m/>
    <m/>
    <m/>
    <x v="15"/>
    <x v="3"/>
    <x v="0"/>
    <m/>
    <x v="0"/>
    <m/>
    <s v="Oct"/>
    <n v="2014"/>
    <s v="Monthly"/>
    <n v="0"/>
    <s v="No"/>
    <s v="None"/>
    <s v="Food &amp; Dining|Groceries"/>
  </r>
  <r>
    <s v="First Tech - Checking (5544)"/>
    <d v="2014-10-02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Oct"/>
    <n v="2014"/>
    <s v="Monthly"/>
    <n v="0"/>
    <s v="No"/>
    <s v="None"/>
    <s v="Business Expenses (Koolikai)|Mortgage (Business)"/>
  </r>
  <r>
    <s v="First Tech - Checking (5544)"/>
    <d v="2014-10-02T00:00:00"/>
    <n v="-2679.43"/>
    <s v="X"/>
    <x v="85"/>
    <s v="ACH Debit--CAPITAL ONE  - CRCARDPMT"/>
    <s v="[MasterCard (Capital One)]"/>
    <m/>
    <m/>
    <m/>
    <x v="38"/>
    <x v="0"/>
    <x v="0"/>
    <m/>
    <x v="0"/>
    <m/>
    <s v="Oct"/>
    <n v="2014"/>
    <s v="Account"/>
    <n v="0"/>
    <s v="No"/>
    <s v="None"/>
    <s v="[MasterCard (Capital One)]"/>
  </r>
  <r>
    <s v="First Tech - Checking (5544)"/>
    <d v="2014-10-02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Oct"/>
    <n v="2014"/>
    <s v="Monthly"/>
    <n v="0"/>
    <s v="No"/>
    <s v="None"/>
    <s v="Business Expenses (Koolikai)|Mortgage (Business)"/>
  </r>
  <r>
    <s v="Chase Freedom XX9381"/>
    <d v="2014-10-02T00:00:00"/>
    <n v="-9.01"/>
    <s v="X"/>
    <x v="208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MasterCard (Capital One)"/>
    <d v="2014-10-02T00:00:00"/>
    <n v="2679.43"/>
    <s v="X"/>
    <x v="85"/>
    <s v="ACH Debit--CAPITAL ONE  - CRCARDPMT"/>
    <s v="[First Tech - Checking (5544)]"/>
    <m/>
    <m/>
    <m/>
    <x v="21"/>
    <x v="0"/>
    <x v="0"/>
    <m/>
    <x v="0"/>
    <m/>
    <s v="Oct"/>
    <n v="2014"/>
    <s v="Account"/>
    <n v="0"/>
    <s v="No"/>
    <s v="None"/>
    <s v="[First Tech - Checking (5544)]"/>
  </r>
  <r>
    <s v="MasterCard (Capital One)"/>
    <d v="2014-10-02T00:00:00"/>
    <n v="-13.2"/>
    <s v="X"/>
    <x v="209"/>
    <m/>
    <s v="Food &amp; Dining:Restaurants"/>
    <m/>
    <m/>
    <m/>
    <x v="15"/>
    <x v="15"/>
    <x v="0"/>
    <m/>
    <x v="0"/>
    <m/>
    <s v="Oct"/>
    <n v="2014"/>
    <s v="Monthly"/>
    <n v="0"/>
    <s v="No"/>
    <s v="None"/>
    <s v="Food &amp; Dining|Restaurants"/>
  </r>
  <r>
    <s v="First Tech - Checking (5544)"/>
    <d v="2014-10-01T00:00:00"/>
    <n v="-2052"/>
    <s v="X"/>
    <x v="90"/>
    <s v="ACH Debit--PHINNEY RIDGE LU 504759859 - CONTRIBUTN"/>
    <s v="Kids:Daycare"/>
    <m/>
    <m/>
    <m/>
    <x v="27"/>
    <x v="35"/>
    <x v="0"/>
    <m/>
    <x v="0"/>
    <m/>
    <s v="Oct"/>
    <n v="2014"/>
    <s v="Monthly"/>
    <n v="0"/>
    <s v="No"/>
    <s v="None"/>
    <s v="Kids|Daycare"/>
  </r>
  <r>
    <s v="Capital One - Investment (6759)"/>
    <d v="2014-09-30T00:00:00"/>
    <n v="19.41"/>
    <s v="X"/>
    <x v="100"/>
    <m/>
    <s v="Interest Income"/>
    <m/>
    <m/>
    <m/>
    <x v="40"/>
    <x v="0"/>
    <x v="0"/>
    <m/>
    <x v="0"/>
    <m/>
    <s v="Sep"/>
    <n v="2014"/>
    <s v="Monthly"/>
    <n v="0"/>
    <s v="No"/>
    <s v="None"/>
    <s v="Interest Income"/>
  </r>
  <r>
    <s v="Capital One - Long Term Emergency (1201)"/>
    <d v="2014-09-30T00:00:00"/>
    <n v="48.72"/>
    <s v="X"/>
    <x v="100"/>
    <m/>
    <s v="Interest Income"/>
    <m/>
    <m/>
    <m/>
    <x v="40"/>
    <x v="0"/>
    <x v="0"/>
    <m/>
    <x v="0"/>
    <m/>
    <s v="Sep"/>
    <n v="2014"/>
    <s v="Monthly"/>
    <n v="0"/>
    <s v="No"/>
    <s v="None"/>
    <s v="Interest Income"/>
  </r>
  <r>
    <s v="Capital One - Secondary Savings (3126)"/>
    <d v="2014-09-30T00:00:00"/>
    <n v="0.02"/>
    <s v="X"/>
    <x v="100"/>
    <m/>
    <s v="Interest Income"/>
    <m/>
    <m/>
    <m/>
    <x v="40"/>
    <x v="0"/>
    <x v="0"/>
    <m/>
    <x v="0"/>
    <m/>
    <s v="Sep"/>
    <n v="2014"/>
    <s v="Monthly"/>
    <n v="0"/>
    <s v="No"/>
    <s v="None"/>
    <s v="Interest Income"/>
  </r>
  <r>
    <s v="Capital One - Vacation (4959)"/>
    <d v="2014-09-30T00:00:00"/>
    <n v="2.06"/>
    <s v="X"/>
    <x v="100"/>
    <m/>
    <s v="Interest Income"/>
    <m/>
    <m/>
    <m/>
    <x v="40"/>
    <x v="0"/>
    <x v="0"/>
    <m/>
    <x v="0"/>
    <m/>
    <s v="Sep"/>
    <n v="2014"/>
    <s v="Monthly"/>
    <n v="0"/>
    <s v="No"/>
    <s v="None"/>
    <s v="Interest Income"/>
  </r>
  <r>
    <s v="Koolikai - Sec Dep XX1200"/>
    <d v="2014-09-30T00:00:00"/>
    <n v="0.19"/>
    <s v="X"/>
    <x v="93"/>
    <s v="Credit Dividend--"/>
    <s v="Interest Income"/>
    <m/>
    <m/>
    <m/>
    <x v="40"/>
    <x v="0"/>
    <x v="0"/>
    <m/>
    <x v="0"/>
    <m/>
    <s v="Sep"/>
    <n v="2014"/>
    <s v="Monthly"/>
    <n v="0"/>
    <s v="No"/>
    <s v="None"/>
    <s v="Interest Income"/>
  </r>
  <r>
    <s v="Schwab - Checking (9784)"/>
    <d v="2014-09-30T00:00:00"/>
    <n v="0.06"/>
    <s v="X"/>
    <x v="102"/>
    <m/>
    <s v="Interest Income"/>
    <m/>
    <m/>
    <m/>
    <x v="40"/>
    <x v="0"/>
    <x v="0"/>
    <m/>
    <x v="0"/>
    <m/>
    <s v="Sep"/>
    <n v="2014"/>
    <s v="Monthly"/>
    <n v="0"/>
    <s v="No"/>
    <s v="None"/>
    <s v="Interest Income"/>
  </r>
  <r>
    <s v="MasterCard (Capital One)"/>
    <d v="2014-09-30T00:00:00"/>
    <n v="-2.37"/>
    <s v="X"/>
    <x v="20"/>
    <m/>
    <s v="Food &amp; Dining:Groceries"/>
    <m/>
    <m/>
    <m/>
    <x v="15"/>
    <x v="3"/>
    <x v="0"/>
    <m/>
    <x v="0"/>
    <m/>
    <s v="Sep"/>
    <n v="2014"/>
    <s v="Monthly"/>
    <n v="0"/>
    <s v="No"/>
    <s v="None"/>
    <s v="Food &amp; Dining|Groceries"/>
  </r>
  <r>
    <s v="MasterCard (Capital One)"/>
    <d v="2014-09-30T00:00:00"/>
    <n v="-4.75"/>
    <s v="X"/>
    <x v="177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30T00:00:00"/>
    <n v="-8.1999999999999993"/>
    <s v="X"/>
    <x v="177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30T00:00:00"/>
    <n v="-43.8"/>
    <s v="X"/>
    <x v="210"/>
    <s v="#Stay Fit# Ang's shoe inserts"/>
    <s v="Health &amp; Fitness:Sports"/>
    <m/>
    <m/>
    <m/>
    <x v="18"/>
    <x v="23"/>
    <x v="0"/>
    <m/>
    <x v="5"/>
    <m/>
    <s v="Sep"/>
    <n v="2014"/>
    <s v="Irregular"/>
    <n v="0"/>
    <s v="No"/>
    <s v="None"/>
    <s v="Health &amp; Fitness|Sports"/>
  </r>
  <r>
    <s v="MasterCard (Capital One)"/>
    <d v="2014-09-30T00:00:00"/>
    <n v="-263.2"/>
    <s v="X"/>
    <x v="65"/>
    <s v="#Disneyland 2014#"/>
    <s v="Vacation:Transportation"/>
    <m/>
    <m/>
    <m/>
    <x v="23"/>
    <x v="26"/>
    <x v="0"/>
    <m/>
    <x v="6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x v="65"/>
    <s v="#Disneyland 2014#"/>
    <s v="Vacation:Transportation"/>
    <m/>
    <m/>
    <m/>
    <x v="23"/>
    <x v="26"/>
    <x v="0"/>
    <m/>
    <x v="6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x v="65"/>
    <s v="#Disneyland 2014#"/>
    <s v="Vacation:Transportation"/>
    <m/>
    <m/>
    <m/>
    <x v="23"/>
    <x v="26"/>
    <x v="0"/>
    <m/>
    <x v="6"/>
    <m/>
    <s v="Sep"/>
    <n v="2014"/>
    <s v="Irregular"/>
    <n v="0"/>
    <s v="No"/>
    <s v="None"/>
    <s v="Vacation|Transportation"/>
  </r>
  <r>
    <s v="MasterCard (Capital One)"/>
    <d v="2014-09-30T00:00:00"/>
    <n v="-263.2"/>
    <s v="X"/>
    <x v="65"/>
    <s v="#Disneyland 2014#"/>
    <s v="Vacation:Transportation"/>
    <m/>
    <m/>
    <m/>
    <x v="23"/>
    <x v="26"/>
    <x v="0"/>
    <m/>
    <x v="6"/>
    <m/>
    <s v="Sep"/>
    <n v="2014"/>
    <s v="Irregular"/>
    <n v="0"/>
    <s v="No"/>
    <s v="None"/>
    <s v="Vacation|Transportation"/>
  </r>
  <r>
    <s v="First Tech - Checking (5544)"/>
    <d v="2014-09-29T00:00:00"/>
    <n v="6058.12"/>
    <s v="X"/>
    <x v="109"/>
    <s v="ACH Deposit--Cancer Research  - Payroll"/>
    <s v="Net Salary"/>
    <m/>
    <m/>
    <m/>
    <x v="35"/>
    <x v="0"/>
    <x v="0"/>
    <m/>
    <x v="0"/>
    <m/>
    <s v="Sep"/>
    <n v="2014"/>
    <s v="Monthly"/>
    <n v="0"/>
    <s v="No"/>
    <s v="None"/>
    <s v="Net Salary"/>
  </r>
  <r>
    <s v="First Tech - Checking (5544)"/>
    <d v="2014-09-29T00:00:00"/>
    <n v="22136.080000000002"/>
    <s v="X"/>
    <x v="47"/>
    <s v="ACH Deposit--MICROSOFT  - EDIPAYMENT"/>
    <s v="Net Salary"/>
    <m/>
    <m/>
    <m/>
    <x v="35"/>
    <x v="0"/>
    <x v="0"/>
    <m/>
    <x v="0"/>
    <m/>
    <s v="Sep"/>
    <n v="2014"/>
    <s v="Monthly"/>
    <n v="0"/>
    <s v="No"/>
    <s v="None"/>
    <s v="Net Salary"/>
  </r>
  <r>
    <s v="First Tech - Checking (5544)"/>
    <d v="2014-09-29T00:00:00"/>
    <n v="-117"/>
    <s v="X"/>
    <x v="176"/>
    <s v="ACH Debit--THE CLEANING AUT  - ONLINE PMT"/>
    <s v="Home:Home Services"/>
    <m/>
    <m/>
    <m/>
    <x v="14"/>
    <x v="46"/>
    <x v="0"/>
    <m/>
    <x v="0"/>
    <m/>
    <s v="Sep"/>
    <n v="2014"/>
    <s v="Monthly"/>
    <n v="0"/>
    <s v="No"/>
    <s v="None"/>
    <s v="Home|Home Services"/>
  </r>
  <r>
    <s v="First Tech - Checking (5544)"/>
    <d v="2014-09-29T00:00:00"/>
    <n v="-539.61"/>
    <s v="X"/>
    <x v="6"/>
    <s v="@BAL:61785.65@@CAT:@"/>
    <s v="[Chase Freedom XX9381]"/>
    <m/>
    <m/>
    <m/>
    <x v="7"/>
    <x v="0"/>
    <x v="0"/>
    <m/>
    <x v="0"/>
    <m/>
    <s v="Sep"/>
    <n v="2014"/>
    <e v="#N/A"/>
    <e v="#N/A"/>
    <e v="#N/A"/>
    <e v="#N/A"/>
    <s v="[Chase Freedom XX9381]"/>
  </r>
  <r>
    <s v="Chase Freedom XX9381"/>
    <d v="2014-09-29T00:00:00"/>
    <n v="539.61"/>
    <s v="X"/>
    <x v="6"/>
    <s v="ACH Debit--CHASE  - AUTOPAY"/>
    <s v="[First Tech - Checking (5544)]"/>
    <m/>
    <m/>
    <m/>
    <x v="21"/>
    <x v="0"/>
    <x v="0"/>
    <m/>
    <x v="0"/>
    <m/>
    <s v="Sep"/>
    <n v="2014"/>
    <s v="Account"/>
    <n v="0"/>
    <s v="No"/>
    <s v="None"/>
    <s v="[First Tech - Checking (5544)]"/>
  </r>
  <r>
    <s v="Target Red Card"/>
    <d v="2014-09-29T00:00:00"/>
    <n v="-54.49"/>
    <s v="X"/>
    <x v="21"/>
    <m/>
    <s v="Kids:Clothing/From Receipt"/>
    <m/>
    <m/>
    <s v="From Receipt"/>
    <x v="27"/>
    <x v="1"/>
    <x v="0"/>
    <m/>
    <x v="0"/>
    <m/>
    <s v="Sep"/>
    <n v="2014"/>
    <s v="Monthly"/>
    <n v="0"/>
    <s v="No"/>
    <s v="None"/>
    <s v="Kids|Clothing"/>
  </r>
  <r>
    <s v="Edward Jones - Roth IRA"/>
    <d v="2014-09-29T00:00:00"/>
    <m/>
    <m/>
    <x v="16"/>
    <s v="0.274 shares added to account"/>
    <m/>
    <s v="ShrsIn"/>
    <m/>
    <m/>
    <x v="26"/>
    <x v="0"/>
    <x v="0"/>
    <m/>
    <x v="0"/>
    <m/>
    <s v="Sep"/>
    <n v="2014"/>
    <e v="#N/A"/>
    <e v="#N/A"/>
    <e v="#N/A"/>
    <e v="#N/A"/>
    <n v="0"/>
  </r>
  <r>
    <s v="Chase Freedom XX9381"/>
    <d v="2014-09-28T00:00:00"/>
    <n v="-7.57"/>
    <s v="X"/>
    <x v="211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Freedom XX9381"/>
    <d v="2014-09-28T00:00:00"/>
    <n v="-100"/>
    <s v="X"/>
    <x v="211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28T00:00:00"/>
    <n v="43.79"/>
    <s v="X"/>
    <x v="2"/>
    <m/>
    <s v="Kids:Clothing/From Receipt"/>
    <m/>
    <m/>
    <s v="From Receipt"/>
    <x v="27"/>
    <x v="1"/>
    <x v="0"/>
    <m/>
    <x v="0"/>
    <m/>
    <s v="Sep"/>
    <n v="2014"/>
    <s v="Monthly"/>
    <n v="0"/>
    <s v="No"/>
    <s v="None"/>
    <s v="Kids|Clothing"/>
  </r>
  <r>
    <s v="MasterCard (Capital One)"/>
    <d v="2014-09-28T00:00:00"/>
    <n v="-22.71"/>
    <s v="X"/>
    <x v="2"/>
    <s v="Flowers"/>
    <s v="Projects:Landscaping/From Receipt"/>
    <m/>
    <s v="Split"/>
    <s v="From Receipt"/>
    <x v="39"/>
    <x v="47"/>
    <x v="0"/>
    <m/>
    <x v="0"/>
    <m/>
    <s v="Sep"/>
    <n v="2014"/>
    <s v="Unplanned"/>
    <n v="0"/>
    <s v="No"/>
    <s v="None"/>
    <s v="Projects|Landscaping"/>
  </r>
  <r>
    <s v="MasterCard (Capital One)"/>
    <d v="2014-09-28T00:00:00"/>
    <n v="-2.5"/>
    <s v="X"/>
    <x v="2"/>
    <m/>
    <s v="Food &amp; Dining:Groceries/From Receipt"/>
    <m/>
    <s v="Split"/>
    <s v="From Receipt"/>
    <x v="15"/>
    <x v="3"/>
    <x v="0"/>
    <m/>
    <x v="0"/>
    <m/>
    <s v="Sep"/>
    <n v="2014"/>
    <s v="Monthly"/>
    <n v="0"/>
    <s v="No"/>
    <s v="None"/>
    <s v="Food &amp; Dining|Groceries"/>
  </r>
  <r>
    <s v="MasterCard (Capital One)"/>
    <d v="2014-09-28T00:00:00"/>
    <n v="-50.45"/>
    <s v="X"/>
    <x v="212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27T00:00:00"/>
    <n v="-9.86"/>
    <s v="X"/>
    <x v="148"/>
    <m/>
    <s v="Kids:Kids Activities"/>
    <m/>
    <m/>
    <m/>
    <x v="27"/>
    <x v="12"/>
    <x v="0"/>
    <m/>
    <x v="0"/>
    <m/>
    <s v="Sep"/>
    <n v="2014"/>
    <s v="Monthly"/>
    <n v="0"/>
    <s v="No"/>
    <s v="None"/>
    <s v="Kids|Kids Activities"/>
  </r>
  <r>
    <s v="MasterCard (Capital One)"/>
    <d v="2014-09-27T00:00:00"/>
    <n v="-17.5"/>
    <s v="X"/>
    <x v="2"/>
    <s v="Swimming goggles"/>
    <s v="Health &amp; Fitness:Sports/From Receipt"/>
    <m/>
    <m/>
    <s v="From Receipt"/>
    <x v="18"/>
    <x v="23"/>
    <x v="0"/>
    <m/>
    <x v="0"/>
    <m/>
    <s v="Sep"/>
    <n v="2014"/>
    <s v="Irregular"/>
    <n v="0"/>
    <s v="No"/>
    <s v="None"/>
    <s v="Health &amp; Fitness|Sports"/>
  </r>
  <r>
    <s v="MasterCard (Capital One)"/>
    <d v="2014-09-27T00:00:00"/>
    <n v="-25.6"/>
    <s v="X"/>
    <x v="148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27T00:00:00"/>
    <n v="-9.84"/>
    <s v="X"/>
    <x v="2"/>
    <s v="Propane #Kalaloch 2015#"/>
    <s v="Vacation:Food/From Receipt"/>
    <m/>
    <s v="Split"/>
    <s v="From Receipt"/>
    <x v="23"/>
    <x v="8"/>
    <x v="0"/>
    <m/>
    <x v="11"/>
    <m/>
    <s v="Sep"/>
    <n v="2014"/>
    <s v="Irregular"/>
    <n v="0"/>
    <s v="No"/>
    <s v="None"/>
    <s v="Vacation|Food"/>
  </r>
  <r>
    <s v="MasterCard (Capital One)"/>
    <d v="2014-09-27T00:00:00"/>
    <n v="-13.13"/>
    <s v="X"/>
    <x v="2"/>
    <s v="Lantern globe"/>
    <s v="Shopping:Hobbies:Camping Equipment/From Receipt"/>
    <m/>
    <s v="Split"/>
    <s v="From Receipt"/>
    <x v="13"/>
    <x v="48"/>
    <x v="2"/>
    <m/>
    <x v="0"/>
    <m/>
    <s v="Sep"/>
    <n v="2014"/>
    <s v="Annual"/>
    <n v="0"/>
    <s v="No"/>
    <s v="None"/>
    <s v="Shopping|Hobbies"/>
  </r>
  <r>
    <s v="MasterCard (Capital One)"/>
    <d v="2014-09-27T00:00:00"/>
    <n v="-37.22"/>
    <s v="X"/>
    <x v="2"/>
    <s v="Tod boy 4-1"/>
    <s v="Kids:Clothing/From Receipt"/>
    <m/>
    <s v="Split"/>
    <s v="From Receipt"/>
    <x v="27"/>
    <x v="1"/>
    <x v="0"/>
    <m/>
    <x v="0"/>
    <m/>
    <s v="Sep"/>
    <n v="2014"/>
    <s v="Monthly"/>
    <n v="0"/>
    <s v="No"/>
    <s v="None"/>
    <s v="Kids|Clothing"/>
  </r>
  <r>
    <s v="MasterCard (Capital One)"/>
    <d v="2014-09-27T00:00:00"/>
    <n v="-27.36"/>
    <s v="X"/>
    <x v="2"/>
    <s v="Tod girl 4-1"/>
    <s v="Kids:Clothing/From Receipt"/>
    <m/>
    <s v="Split"/>
    <s v="From Receipt"/>
    <x v="27"/>
    <x v="1"/>
    <x v="0"/>
    <m/>
    <x v="0"/>
    <m/>
    <s v="Sep"/>
    <n v="2014"/>
    <s v="Monthly"/>
    <n v="0"/>
    <s v="No"/>
    <s v="None"/>
    <s v="Kids|Clothing"/>
  </r>
  <r>
    <s v="MasterCard (Capital One)"/>
    <d v="2014-09-27T00:00:00"/>
    <n v="-24.07"/>
    <s v="X"/>
    <x v="2"/>
    <s v="2x Slippers for boys"/>
    <s v="Kids:Clothing/From Receipt"/>
    <m/>
    <s v="Split"/>
    <s v="From Receipt"/>
    <x v="27"/>
    <x v="1"/>
    <x v="0"/>
    <m/>
    <x v="0"/>
    <m/>
    <s v="Sep"/>
    <n v="2014"/>
    <s v="Monthly"/>
    <n v="0"/>
    <s v="No"/>
    <s v="None"/>
    <s v="Kids|Clothing"/>
  </r>
  <r>
    <s v="MasterCard (Capital One)"/>
    <d v="2014-09-27T00:00:00"/>
    <n v="-87.39"/>
    <s v="X"/>
    <x v="2"/>
    <m/>
    <s v="Food &amp; Dining:Groceries/From Receipt"/>
    <m/>
    <s v="Split"/>
    <s v="From Receipt"/>
    <x v="15"/>
    <x v="3"/>
    <x v="0"/>
    <m/>
    <x v="0"/>
    <m/>
    <s v="Sep"/>
    <n v="2014"/>
    <s v="Monthly"/>
    <n v="0"/>
    <s v="No"/>
    <s v="None"/>
    <s v="Food &amp; Dining|Groceries"/>
  </r>
  <r>
    <s v="Chase Freedom XX9381"/>
    <d v="2014-09-26T00:00:00"/>
    <n v="-32.47"/>
    <s v="X"/>
    <x v="213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26T00:00:00"/>
    <n v="-26.59"/>
    <s v="X"/>
    <x v="57"/>
    <m/>
    <s v="Food &amp; Dining:Groceries"/>
    <m/>
    <m/>
    <m/>
    <x v="15"/>
    <x v="3"/>
    <x v="0"/>
    <m/>
    <x v="0"/>
    <m/>
    <s v="Sep"/>
    <n v="2014"/>
    <s v="Monthly"/>
    <n v="0"/>
    <s v="No"/>
    <s v="None"/>
    <s v="Food &amp; Dining|Groceries"/>
  </r>
  <r>
    <s v="Chase Freedom XX9381"/>
    <d v="2014-09-25T00:00:00"/>
    <n v="-6.1"/>
    <s v="X"/>
    <x v="214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Freedom XX9381"/>
    <d v="2014-09-25T00:00:00"/>
    <n v="-8.67"/>
    <s v="X"/>
    <x v="34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Koolikai - Checking XX2129"/>
    <d v="2014-09-24T00:00:00"/>
    <n v="-146.91999999999999"/>
    <s v="X"/>
    <x v="11"/>
    <s v="ACH Debit--CHASE  - AUTOPAYBUS"/>
    <s v="[Koolikai Credit Card]"/>
    <m/>
    <m/>
    <m/>
    <x v="9"/>
    <x v="0"/>
    <x v="0"/>
    <m/>
    <x v="0"/>
    <m/>
    <s v="Sep"/>
    <n v="2014"/>
    <s v="Account"/>
    <n v="0"/>
    <s v="No"/>
    <s v="None"/>
    <s v="[Koolikai Credit Card]"/>
  </r>
  <r>
    <s v="Chase Freedom XX9381"/>
    <d v="2014-09-24T00:00:00"/>
    <n v="-6.3"/>
    <s v="X"/>
    <x v="215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24T00:00:00"/>
    <n v="50"/>
    <s v="X"/>
    <x v="60"/>
    <m/>
    <s v="Other Inc"/>
    <m/>
    <m/>
    <m/>
    <x v="29"/>
    <x v="0"/>
    <x v="0"/>
    <m/>
    <x v="0"/>
    <m/>
    <s v="Sep"/>
    <n v="2014"/>
    <s v="Monthly"/>
    <n v="0"/>
    <s v="No"/>
    <s v="None"/>
    <s v="Other Inc"/>
  </r>
  <r>
    <s v="First Tech - Checking (5544)"/>
    <d v="2014-09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Sep"/>
    <n v="2014"/>
    <s v="Monthly"/>
    <n v="0"/>
    <s v="No"/>
    <s v="None"/>
    <s v="Auto &amp; Transport|Auto Lease Payment"/>
  </r>
  <r>
    <s v="Chase Freedom XX9381"/>
    <d v="2014-09-23T00:00:00"/>
    <n v="-31.96"/>
    <s v="X"/>
    <x v="105"/>
    <s v="Hack saw blades, door sweeps, caulk"/>
    <s v="Business Expenses (Koolikai):Tools"/>
    <m/>
    <m/>
    <m/>
    <x v="36"/>
    <x v="49"/>
    <x v="0"/>
    <m/>
    <x v="0"/>
    <m/>
    <s v="Sep"/>
    <n v="2014"/>
    <s v="Irregular"/>
    <n v="0"/>
    <s v="No"/>
    <s v="None"/>
    <s v="Business Expenses (Koolikai)|Tools"/>
  </r>
  <r>
    <s v="Koolikai Credit Card"/>
    <d v="2014-09-23T00:00:00"/>
    <n v="146.91999999999999"/>
    <s v="X"/>
    <x v="11"/>
    <m/>
    <s v="[Koolikai - Checking XX2129]"/>
    <m/>
    <m/>
    <m/>
    <x v="25"/>
    <x v="0"/>
    <x v="0"/>
    <m/>
    <x v="0"/>
    <m/>
    <s v="Sep"/>
    <n v="2014"/>
    <s v="Account"/>
    <n v="0"/>
    <s v="No"/>
    <s v="None"/>
    <s v="[Koolikai - Checking XX2129]"/>
  </r>
  <r>
    <s v="First Tech - Checking (5544)"/>
    <d v="2014-09-22T00:00:00"/>
    <n v="-85.11"/>
    <s v="X"/>
    <x v="125"/>
    <s v="ACH Debit--CITY OF SEATTLE  - 1 - SCL De"/>
    <s v="Bills &amp; Utilities:Utilities"/>
    <m/>
    <m/>
    <m/>
    <x v="34"/>
    <x v="18"/>
    <x v="0"/>
    <m/>
    <x v="0"/>
    <m/>
    <s v="Sep"/>
    <n v="2014"/>
    <s v="Monthly"/>
    <n v="0"/>
    <s v="No"/>
    <s v="None"/>
    <s v="Bills &amp; Utilities|Utilities"/>
  </r>
  <r>
    <s v="Chase Freedom XX9381"/>
    <d v="2014-09-22T00:00:00"/>
    <n v="-0.5"/>
    <s v="X"/>
    <x v="39"/>
    <m/>
    <s v="Auto &amp; Transport:Parking"/>
    <m/>
    <m/>
    <m/>
    <x v="17"/>
    <x v="11"/>
    <x v="0"/>
    <m/>
    <x v="0"/>
    <m/>
    <s v="Sep"/>
    <n v="2014"/>
    <s v="Monthly"/>
    <n v="0"/>
    <s v="No"/>
    <s v="None"/>
    <s v="Auto &amp; Transport|Parking"/>
  </r>
  <r>
    <s v="Chase Freedom XX9381"/>
    <d v="2014-09-22T00:00:00"/>
    <n v="-29.09"/>
    <s v="X"/>
    <x v="150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Freedom XX9381"/>
    <d v="2014-09-22T00:00:00"/>
    <n v="-52.92"/>
    <s v="X"/>
    <x v="216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Freedom XX9381"/>
    <d v="2014-09-21T00:00:00"/>
    <n v="-6.3"/>
    <s v="X"/>
    <x v="215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Freedom XX9381"/>
    <d v="2014-09-21T00:00:00"/>
    <n v="-8.2100000000000009"/>
    <s v="X"/>
    <x v="134"/>
    <s v="Envelopes"/>
    <s v="Business Expenses (Koolikai):Office Expenses (Business)"/>
    <m/>
    <m/>
    <m/>
    <x v="36"/>
    <x v="42"/>
    <x v="0"/>
    <m/>
    <x v="0"/>
    <m/>
    <s v="Sep"/>
    <n v="2014"/>
    <s v="Monthly"/>
    <n v="0"/>
    <s v="No"/>
    <s v="None"/>
    <s v="Business Expenses (Koolikai)|Office Expenses (Business)"/>
  </r>
  <r>
    <s v="Chase Freedom XX9381"/>
    <d v="2014-09-21T00:00:00"/>
    <n v="-57"/>
    <s v="X"/>
    <x v="52"/>
    <m/>
    <s v="Personal Care:Hair"/>
    <m/>
    <m/>
    <m/>
    <x v="31"/>
    <x v="16"/>
    <x v="0"/>
    <m/>
    <x v="0"/>
    <m/>
    <s v="Sep"/>
    <n v="2014"/>
    <s v="Monthly"/>
    <n v="0"/>
    <s v="No"/>
    <s v="None"/>
    <s v="Personal Care|Hair"/>
  </r>
  <r>
    <s v="Chase Freedom XX9381"/>
    <d v="2014-09-21T00:00:00"/>
    <n v="-19.690000000000001"/>
    <s v="X"/>
    <x v="2"/>
    <s v="Flowers"/>
    <s v="Projects:Landscaping/From Receipt"/>
    <m/>
    <s v="Split"/>
    <s v="From Receipt"/>
    <x v="39"/>
    <x v="47"/>
    <x v="0"/>
    <m/>
    <x v="0"/>
    <m/>
    <s v="Sep"/>
    <n v="2014"/>
    <s v="Unplanned"/>
    <n v="0"/>
    <s v="No"/>
    <s v="None"/>
    <s v="Projects|Landscaping"/>
  </r>
  <r>
    <s v="Chase Freedom XX9381"/>
    <d v="2014-09-21T00:00:00"/>
    <n v="-105.64"/>
    <s v="X"/>
    <x v="2"/>
    <m/>
    <s v="Food &amp; Dining:Groceries/From Receipt"/>
    <m/>
    <s v="Split"/>
    <s v="From Receipt"/>
    <x v="15"/>
    <x v="3"/>
    <x v="0"/>
    <m/>
    <x v="0"/>
    <m/>
    <s v="Sep"/>
    <n v="2014"/>
    <s v="Monthly"/>
    <n v="0"/>
    <s v="No"/>
    <s v="None"/>
    <s v="Food &amp; Dining|Groceries"/>
  </r>
  <r>
    <s v="Chase Freedom XX9381"/>
    <d v="2014-09-19T00:00:00"/>
    <n v="-11.95"/>
    <s v="X"/>
    <x v="94"/>
    <m/>
    <s v="Bills &amp; Utilities:Mobile Phone"/>
    <m/>
    <m/>
    <m/>
    <x v="34"/>
    <x v="24"/>
    <x v="0"/>
    <m/>
    <x v="0"/>
    <m/>
    <s v="Sep"/>
    <n v="2014"/>
    <s v="Hidden"/>
    <n v="0"/>
    <s v="No"/>
    <s v="None"/>
    <s v="Bills &amp; Utilities|Mobile Phone"/>
  </r>
  <r>
    <s v="Chase Freedom XX9381"/>
    <d v="2014-09-19T00:00:00"/>
    <n v="-575.15"/>
    <s v="X"/>
    <x v="217"/>
    <s v="Mom's insurance"/>
    <s v="Gifts"/>
    <m/>
    <m/>
    <m/>
    <x v="28"/>
    <x v="0"/>
    <x v="0"/>
    <m/>
    <x v="0"/>
    <m/>
    <s v="Sep"/>
    <n v="2014"/>
    <s v="Monthly"/>
    <n v="0"/>
    <s v="No"/>
    <s v="None"/>
    <s v="Gifts"/>
  </r>
  <r>
    <s v="Chase Freedom XX9381"/>
    <d v="2014-09-18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8T00:00:00"/>
    <n v="-6.1"/>
    <s v="X"/>
    <x v="214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Edward Jones - Roth IRA"/>
    <d v="2014-09-18T00:00:00"/>
    <n v="15.72"/>
    <s v="c"/>
    <x v="16"/>
    <m/>
    <m/>
    <s v="ReinvDiv"/>
    <m/>
    <m/>
    <x v="26"/>
    <x v="0"/>
    <x v="0"/>
    <m/>
    <x v="0"/>
    <m/>
    <s v="Sep"/>
    <n v="2014"/>
    <e v="#N/A"/>
    <e v="#N/A"/>
    <e v="#N/A"/>
    <e v="#N/A"/>
    <n v="0"/>
  </r>
  <r>
    <s v="Chase Freedom XX9381"/>
    <d v="2014-09-17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6.9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43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43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8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7.8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33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51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6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7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78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94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94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28.95"/>
    <s v="X"/>
    <x v="218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2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3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3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2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6.98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43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43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88"/>
    <s v="X"/>
    <x v="221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7.8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33"/>
    <s v="X"/>
    <x v="222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51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68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78"/>
    <s v="X"/>
    <x v="222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78"/>
    <s v="X"/>
    <x v="222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94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94"/>
    <s v="X"/>
    <x v="219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7T00:00:00"/>
    <n v="-28.95"/>
    <s v="X"/>
    <x v="220"/>
    <m/>
    <s v="Misc Expenses:Fraud"/>
    <m/>
    <m/>
    <m/>
    <x v="45"/>
    <x v="50"/>
    <x v="0"/>
    <m/>
    <x v="0"/>
    <m/>
    <s v="Sep"/>
    <n v="2014"/>
    <e v="#N/A"/>
    <e v="#N/A"/>
    <e v="#N/A"/>
    <e v="#N/A"/>
    <s v="Misc Expenses|Fraud"/>
  </r>
  <r>
    <s v="MasterCard (Capital One)"/>
    <d v="2014-09-16T00:00:00"/>
    <n v="-5.49"/>
    <s v="X"/>
    <x v="224"/>
    <s v="Food truck at Microsoft"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First Tech - Checking (5544)"/>
    <d v="2014-09-15T00:00:00"/>
    <n v="62"/>
    <s v="X"/>
    <x v="225"/>
    <s v="Received as a check"/>
    <s v="[REI Mastercard (xx1787)]"/>
    <m/>
    <m/>
    <m/>
    <x v="11"/>
    <x v="0"/>
    <x v="0"/>
    <m/>
    <x v="0"/>
    <m/>
    <s v="Sep"/>
    <n v="2014"/>
    <e v="#N/A"/>
    <e v="#N/A"/>
    <e v="#N/A"/>
    <e v="#N/A"/>
    <s v="[REI Mastercard (xx1787)]"/>
  </r>
  <r>
    <s v="First Tech - Checking (5544)"/>
    <d v="2014-09-15T00:00:00"/>
    <n v="-45.02"/>
    <s v="X"/>
    <x v="45"/>
    <s v="ACH Debit--PUGET SOUND ENER DIRECT DEBITING - PSE BILL  41250464"/>
    <s v="Bills &amp; Utilities:Utilities"/>
    <m/>
    <m/>
    <m/>
    <x v="34"/>
    <x v="18"/>
    <x v="0"/>
    <m/>
    <x v="0"/>
    <m/>
    <s v="Sep"/>
    <n v="2014"/>
    <s v="Monthly"/>
    <n v="0"/>
    <s v="No"/>
    <s v="None"/>
    <s v="Bills &amp; Utilities|Utilities"/>
  </r>
  <r>
    <s v="First Tech - Checking (5544)"/>
    <d v="2014-09-15T00:00:00"/>
    <n v="-115"/>
    <s v="X"/>
    <x v="176"/>
    <s v="ACH Debit--THE CLEANING AUT  - ONLINE PMT"/>
    <s v="Home:Home Services"/>
    <m/>
    <m/>
    <m/>
    <x v="14"/>
    <x v="46"/>
    <x v="0"/>
    <m/>
    <x v="0"/>
    <m/>
    <s v="Sep"/>
    <n v="2014"/>
    <s v="Monthly"/>
    <n v="0"/>
    <s v="No"/>
    <s v="None"/>
    <s v="Home|Home Services"/>
  </r>
  <r>
    <s v="First Tech - Checking (5544)"/>
    <d v="2014-09-15T00:00:00"/>
    <n v="-48"/>
    <s v="X"/>
    <x v="18"/>
    <s v="Check--"/>
    <s v="Kids:Babysitter"/>
    <n v="2134"/>
    <m/>
    <m/>
    <x v="27"/>
    <x v="13"/>
    <x v="0"/>
    <m/>
    <x v="0"/>
    <m/>
    <s v="Sep"/>
    <n v="2014"/>
    <s v="Monthly"/>
    <n v="0"/>
    <s v="No"/>
    <s v="None"/>
    <s v="Kids|Babysitter"/>
  </r>
  <r>
    <s v="Chase Amazon (XX8482)"/>
    <d v="2014-09-15T00:00:00"/>
    <n v="-1.62"/>
    <s v="X"/>
    <x v="37"/>
    <s v="5pc SN74HC595N Shift Registers"/>
    <s v="Shopping:Electronics &amp; Software"/>
    <m/>
    <m/>
    <m/>
    <x v="13"/>
    <x v="20"/>
    <x v="0"/>
    <m/>
    <x v="0"/>
    <m/>
    <s v="Sep"/>
    <n v="2014"/>
    <s v="Annual"/>
    <n v="0"/>
    <s v="No"/>
    <s v="None"/>
    <s v="Shopping|Electronics &amp; Software"/>
  </r>
  <r>
    <s v="MasterCard (Capital One)"/>
    <d v="2014-09-15T00:00:00"/>
    <n v="-5.6"/>
    <s v="X"/>
    <x v="20"/>
    <m/>
    <s v="Food &amp; Dining:Groceries"/>
    <m/>
    <m/>
    <m/>
    <x v="15"/>
    <x v="3"/>
    <x v="0"/>
    <m/>
    <x v="0"/>
    <m/>
    <s v="Sep"/>
    <n v="2014"/>
    <s v="Monthly"/>
    <n v="0"/>
    <s v="No"/>
    <s v="None"/>
    <s v="Food &amp; Dining|Groceries"/>
  </r>
  <r>
    <s v="MasterCard (Capital One)"/>
    <d v="2014-09-15T00:00:00"/>
    <n v="-60"/>
    <s v="X"/>
    <x v="226"/>
    <m/>
    <s v="Charity:Charity (Cash)"/>
    <m/>
    <m/>
    <m/>
    <x v="22"/>
    <x v="7"/>
    <x v="0"/>
    <m/>
    <x v="0"/>
    <m/>
    <s v="Sep"/>
    <n v="2014"/>
    <s v="Annual"/>
    <n v="0"/>
    <s v="No"/>
    <s v="None"/>
    <s v="Charity|Charity (Cash)"/>
  </r>
  <r>
    <s v="MasterCard (Capital One)"/>
    <d v="2014-09-15T00:00:00"/>
    <n v="-72.92"/>
    <s v="X"/>
    <x v="2"/>
    <m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REI Mastercard (xx1787)"/>
    <d v="2014-09-15T00:00:00"/>
    <n v="-62"/>
    <s v="X"/>
    <x v="225"/>
    <s v="Received as a check"/>
    <s v="[First Tech - Checking (5544)]"/>
    <m/>
    <m/>
    <m/>
    <x v="21"/>
    <x v="0"/>
    <x v="0"/>
    <m/>
    <x v="0"/>
    <m/>
    <s v="Sep"/>
    <n v="2014"/>
    <s v="Account"/>
    <n v="0"/>
    <s v="No"/>
    <s v="None"/>
    <s v="[First Tech - Checking (5544)]"/>
  </r>
  <r>
    <s v="First Tech - Checking (5544)"/>
    <d v="2014-09-14T00:00:00"/>
    <n v="23434.66"/>
    <s v="X"/>
    <x v="47"/>
    <s v="ACH Deposit--MICROSOFT  - EDIPAYMENT"/>
    <s v="Net Salary"/>
    <m/>
    <m/>
    <m/>
    <x v="35"/>
    <x v="0"/>
    <x v="0"/>
    <m/>
    <x v="0"/>
    <m/>
    <s v="Sep"/>
    <n v="2014"/>
    <s v="Monthly"/>
    <n v="0"/>
    <s v="No"/>
    <s v="None"/>
    <s v="Net Salary"/>
  </r>
  <r>
    <s v="Chase Freedom XX9381"/>
    <d v="2014-09-14T00:00:00"/>
    <n v="-10.9"/>
    <s v="X"/>
    <x v="209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4T00:00:00"/>
    <n v="-21.72"/>
    <s v="X"/>
    <x v="13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4T00:00:00"/>
    <n v="-23.4"/>
    <s v="X"/>
    <x v="227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3T00:00:00"/>
    <n v="-4.37"/>
    <s v="X"/>
    <x v="106"/>
    <m/>
    <s v="Shopping:Books"/>
    <m/>
    <m/>
    <m/>
    <x v="13"/>
    <x v="51"/>
    <x v="0"/>
    <m/>
    <x v="0"/>
    <m/>
    <s v="Sep"/>
    <n v="2014"/>
    <s v="Unplanned"/>
    <n v="0"/>
    <s v="No"/>
    <s v="None"/>
    <s v="Shopping|Books"/>
  </r>
  <r>
    <s v="MasterCard (Capital One)"/>
    <d v="2014-09-13T00:00:00"/>
    <n v="-5.45"/>
    <s v="X"/>
    <x v="64"/>
    <m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MasterCard (Capital One)"/>
    <d v="2014-09-13T00:00:00"/>
    <n v="-12.5"/>
    <s v="X"/>
    <x v="228"/>
    <s v="Food at the fair"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3T00:00:00"/>
    <n v="-14"/>
    <s v="X"/>
    <x v="229"/>
    <s v="Puyallup Fair - Rides"/>
    <s v="Kids:Kids Activities"/>
    <m/>
    <m/>
    <m/>
    <x v="27"/>
    <x v="12"/>
    <x v="0"/>
    <m/>
    <x v="0"/>
    <m/>
    <s v="Sep"/>
    <n v="2014"/>
    <s v="Monthly"/>
    <n v="0"/>
    <s v="No"/>
    <s v="None"/>
    <s v="Kids|Kids Activities"/>
  </r>
  <r>
    <s v="MasterCard (Capital One)"/>
    <d v="2014-09-13T00:00:00"/>
    <n v="-20"/>
    <s v="X"/>
    <x v="64"/>
    <s v="Puyallup Fair - Tickets"/>
    <s v="Kids:Kids Activities/From Receipt"/>
    <m/>
    <m/>
    <s v="From Receipt"/>
    <x v="27"/>
    <x v="12"/>
    <x v="0"/>
    <m/>
    <x v="0"/>
    <m/>
    <s v="Sep"/>
    <n v="2014"/>
    <s v="Monthly"/>
    <n v="0"/>
    <s v="No"/>
    <s v="None"/>
    <s v="Kids|Kids Activities"/>
  </r>
  <r>
    <s v="MasterCard (Capital One)"/>
    <d v="2014-09-13T00:00:00"/>
    <n v="-28.5"/>
    <s v="X"/>
    <x v="229"/>
    <s v="Puyallup Fair - Rides"/>
    <s v="Kids:Kids Activities"/>
    <m/>
    <m/>
    <m/>
    <x v="27"/>
    <x v="12"/>
    <x v="0"/>
    <m/>
    <x v="0"/>
    <m/>
    <s v="Sep"/>
    <n v="2014"/>
    <s v="Monthly"/>
    <n v="0"/>
    <s v="No"/>
    <s v="None"/>
    <s v="Kids|Kids Activities"/>
  </r>
  <r>
    <s v="MasterCard (Capital One)"/>
    <d v="2014-09-13T00:00:00"/>
    <n v="-84"/>
    <s v="X"/>
    <x v="99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Chase Freedom XX9381"/>
    <d v="2014-09-12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Koolikai Credit Card"/>
    <d v="2014-09-12T00:00:00"/>
    <n v="-148.16"/>
    <s v="X"/>
    <x v="55"/>
    <m/>
    <s v="Business Expenses (Koolikai):Cell Phone"/>
    <m/>
    <m/>
    <m/>
    <x v="36"/>
    <x v="22"/>
    <x v="0"/>
    <m/>
    <x v="0"/>
    <m/>
    <s v="Sep"/>
    <n v="2014"/>
    <s v="Monthly"/>
    <n v="0"/>
    <s v="No"/>
    <s v="None"/>
    <s v="Business Expenses (Koolikai)|Cell Phone"/>
  </r>
  <r>
    <s v="MasterCard (Capital One)"/>
    <d v="2014-09-12T00:00:00"/>
    <n v="-7.11"/>
    <s v="X"/>
    <x v="177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2T00:00:00"/>
    <n v="-27"/>
    <s v="X"/>
    <x v="230"/>
    <s v="Book fair"/>
    <s v="Shopping:Books/From Receipt"/>
    <m/>
    <m/>
    <s v="From Receipt"/>
    <x v="13"/>
    <x v="51"/>
    <x v="0"/>
    <m/>
    <x v="0"/>
    <m/>
    <s v="Sep"/>
    <n v="2014"/>
    <s v="Unplanned"/>
    <n v="0"/>
    <s v="No"/>
    <s v="None"/>
    <s v="Shopping|Books"/>
  </r>
  <r>
    <s v="MasterCard (Capital One)"/>
    <d v="2014-09-12T00:00:00"/>
    <n v="-56.43"/>
    <s v="X"/>
    <x v="231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Chase Amazon (XX8482)"/>
    <d v="2014-09-11T00:00:00"/>
    <n v="-4.4800000000000004"/>
    <s v="X"/>
    <x v="37"/>
    <s v="Colored LEDs"/>
    <s v="Shopping:Electronics &amp; Software"/>
    <m/>
    <m/>
    <m/>
    <x v="13"/>
    <x v="20"/>
    <x v="0"/>
    <m/>
    <x v="0"/>
    <m/>
    <s v="Sep"/>
    <n v="2014"/>
    <s v="Annual"/>
    <n v="0"/>
    <s v="No"/>
    <s v="None"/>
    <s v="Shopping|Electronics &amp; Software"/>
  </r>
  <r>
    <s v="Chase Amazon (XX8482)"/>
    <d v="2014-09-11T00:00:00"/>
    <n v="-79.56"/>
    <s v="X"/>
    <x v="37"/>
    <s v="Wet suits for Zach and Josh"/>
    <s v="Health &amp; Fitness:Sports"/>
    <m/>
    <m/>
    <m/>
    <x v="18"/>
    <x v="23"/>
    <x v="0"/>
    <m/>
    <x v="0"/>
    <m/>
    <s v="Sep"/>
    <n v="2014"/>
    <s v="Irregular"/>
    <n v="0"/>
    <s v="No"/>
    <s v="None"/>
    <s v="Health &amp; Fitness|Sports"/>
  </r>
  <r>
    <s v="MasterCard (Capital One)"/>
    <d v="2014-09-11T00:00:00"/>
    <n v="-5.22"/>
    <s v="X"/>
    <x v="13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1T00:00:00"/>
    <n v="-9.4"/>
    <s v="X"/>
    <x v="232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1T00:00:00"/>
    <n v="-18.329999999999998"/>
    <s v="X"/>
    <x v="233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11T00:00:00"/>
    <n v="-25"/>
    <s v="X"/>
    <x v="234"/>
    <s v="Angela's contacts"/>
    <s v="Health &amp; Fitness:Eyecare/From Receipt"/>
    <m/>
    <m/>
    <s v="From Receipt"/>
    <x v="18"/>
    <x v="5"/>
    <x v="0"/>
    <m/>
    <x v="0"/>
    <m/>
    <s v="Sep"/>
    <n v="2014"/>
    <s v="Irregular"/>
    <n v="0"/>
    <s v="No"/>
    <s v="None"/>
    <s v="Health &amp; Fitness|Eyecare"/>
  </r>
  <r>
    <s v="Chase Amazon (XX8482)"/>
    <d v="2014-09-10T00:00:00"/>
    <n v="-2.76"/>
    <s v="X"/>
    <x v="37"/>
    <s v="Anti-static tweezers"/>
    <s v="Business Expenses (Koolikai):Tools"/>
    <m/>
    <m/>
    <m/>
    <x v="36"/>
    <x v="49"/>
    <x v="0"/>
    <m/>
    <x v="0"/>
    <m/>
    <s v="Sep"/>
    <n v="2014"/>
    <s v="Irregular"/>
    <n v="0"/>
    <s v="No"/>
    <s v="None"/>
    <s v="Business Expenses (Koolikai)|Tools"/>
  </r>
  <r>
    <s v="Chase Amazon (XX8482)"/>
    <d v="2014-09-09T00:00:00"/>
    <n v="-10"/>
    <s v="X"/>
    <x v="37"/>
    <s v="Potentiometers"/>
    <s v="Shopping:Electronics &amp; Software"/>
    <m/>
    <m/>
    <m/>
    <x v="13"/>
    <x v="20"/>
    <x v="0"/>
    <m/>
    <x v="0"/>
    <m/>
    <s v="Sep"/>
    <n v="2014"/>
    <s v="Annual"/>
    <n v="0"/>
    <s v="No"/>
    <s v="None"/>
    <s v="Shopping|Electronics &amp; Software"/>
  </r>
  <r>
    <s v="Chase Freedom XX9381"/>
    <d v="2014-09-09T00:00:00"/>
    <n v="-0.01"/>
    <s v="X"/>
    <x v="54"/>
    <s v="#Apps#"/>
    <s v="Work Expense:Reimbursable expense"/>
    <m/>
    <m/>
    <m/>
    <x v="19"/>
    <x v="21"/>
    <x v="0"/>
    <m/>
    <x v="4"/>
    <m/>
    <s v="Sep"/>
    <n v="2014"/>
    <s v="Irregular"/>
    <n v="0"/>
    <s v="No"/>
    <s v="None"/>
    <s v="Work Expense|Reimbursable expense"/>
  </r>
  <r>
    <s v="MasterCard (Capital One)"/>
    <d v="2014-09-09T00:00:00"/>
    <n v="-10"/>
    <s v="X"/>
    <x v="96"/>
    <m/>
    <s v="Health &amp; Fitness:Pharmacy/From Receipt"/>
    <m/>
    <m/>
    <s v="From Receipt"/>
    <x v="18"/>
    <x v="38"/>
    <x v="0"/>
    <m/>
    <x v="0"/>
    <m/>
    <s v="Sep"/>
    <n v="2014"/>
    <s v="Irregular"/>
    <n v="0"/>
    <s v="No"/>
    <s v="None"/>
    <s v="Health &amp; Fitness|Pharmacy"/>
  </r>
  <r>
    <s v="MasterCard (Capital One)"/>
    <d v="2014-09-09T00:00:00"/>
    <n v="-29.61"/>
    <s v="X"/>
    <x v="2"/>
    <m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First Tech - Checking (5544)"/>
    <d v="2014-09-08T00:00:00"/>
    <n v="109.69"/>
    <s v="X"/>
    <x v="235"/>
    <s v="Angela's book royalties"/>
    <s v="Morale Money"/>
    <m/>
    <m/>
    <m/>
    <x v="46"/>
    <x v="0"/>
    <x v="0"/>
    <m/>
    <x v="0"/>
    <m/>
    <s v="Sep"/>
    <n v="2014"/>
    <e v="#N/A"/>
    <e v="#N/A"/>
    <e v="#N/A"/>
    <e v="#N/A"/>
    <s v="Morale Money"/>
  </r>
  <r>
    <s v="Koolikai - Checking XX2129"/>
    <d v="2014-09-08T00:00:00"/>
    <n v="2295"/>
    <s v="X"/>
    <x v="144"/>
    <s v="Deposit--Shared Branch Mobile Deposit          First Tech FC CA"/>
    <s v="Business Income (Koolikai):Rent/7231"/>
    <m/>
    <m/>
    <n v="7231"/>
    <x v="37"/>
    <x v="25"/>
    <x v="0"/>
    <m/>
    <x v="0"/>
    <m/>
    <s v="Sep"/>
    <n v="2014"/>
    <s v="Monthly"/>
    <n v="0"/>
    <s v="No"/>
    <s v="None"/>
    <s v="Business Income (Koolikai)|Rent"/>
  </r>
  <r>
    <s v="American Express (Costco)"/>
    <d v="2014-09-08T00:00:00"/>
    <n v="26.84"/>
    <s v="X"/>
    <x v="236"/>
    <s v="Matress Inflator (Return)"/>
    <s v="Shopping:Hobbies:Camping Equipment/From Receipt"/>
    <m/>
    <m/>
    <s v="From Receipt"/>
    <x v="13"/>
    <x v="48"/>
    <x v="2"/>
    <m/>
    <x v="0"/>
    <m/>
    <s v="Sep"/>
    <n v="2014"/>
    <s v="Annual"/>
    <n v="0"/>
    <s v="No"/>
    <s v="None"/>
    <s v="Shopping|Hobbies"/>
  </r>
  <r>
    <s v="American Express (Costco)"/>
    <d v="2014-09-08T00:00:00"/>
    <n v="-127.85"/>
    <s v="X"/>
    <x v="1"/>
    <s v="@BAL:-$101.01@@CAT:@"/>
    <s v="Food &amp; Dining:Groceries"/>
    <m/>
    <m/>
    <m/>
    <x v="15"/>
    <x v="3"/>
    <x v="0"/>
    <m/>
    <x v="0"/>
    <m/>
    <s v="Sep"/>
    <n v="2014"/>
    <s v="Monthly"/>
    <n v="0"/>
    <s v="No"/>
    <s v="None"/>
    <s v="Food &amp; Dining|Groceries"/>
  </r>
  <r>
    <s v="Chase Amazon (XX8482)"/>
    <d v="2014-09-08T00:00:00"/>
    <n v="0"/>
    <s v="X"/>
    <x v="127"/>
    <m/>
    <s v="[Chase Amazon (XX8482)]"/>
    <m/>
    <m/>
    <m/>
    <x v="6"/>
    <x v="0"/>
    <x v="0"/>
    <m/>
    <x v="0"/>
    <m/>
    <s v="Sep"/>
    <n v="2014"/>
    <e v="#N/A"/>
    <e v="#N/A"/>
    <e v="#N/A"/>
    <e v="#N/A"/>
    <s v="[Chase Amazon (XX8482)]"/>
  </r>
  <r>
    <s v="MasterCard (Capital One)"/>
    <d v="2014-09-07T00:00:00"/>
    <n v="2.93"/>
    <s v="X"/>
    <x v="105"/>
    <s v="Returned conduit"/>
    <s v="Projects:Electric Car Setup"/>
    <m/>
    <m/>
    <m/>
    <x v="39"/>
    <x v="52"/>
    <x v="0"/>
    <m/>
    <x v="0"/>
    <m/>
    <s v="Sep"/>
    <n v="2014"/>
    <s v="Unplanned"/>
    <n v="0"/>
    <s v="No"/>
    <s v="None"/>
    <s v="Projects|Electric Car Setup"/>
  </r>
  <r>
    <s v="MasterCard (Capital One)"/>
    <d v="2014-09-07T00:00:00"/>
    <n v="-36"/>
    <s v="X"/>
    <x v="237"/>
    <m/>
    <s v="Kids:Daycare"/>
    <m/>
    <m/>
    <m/>
    <x v="27"/>
    <x v="35"/>
    <x v="0"/>
    <m/>
    <x v="0"/>
    <m/>
    <s v="Sep"/>
    <n v="2014"/>
    <s v="Monthly"/>
    <n v="0"/>
    <s v="No"/>
    <s v="None"/>
    <s v="Kids|Daycare"/>
  </r>
  <r>
    <s v="MasterCard (Capital One)"/>
    <d v="2014-09-06T00:00:00"/>
    <n v="-3.7"/>
    <s v="X"/>
    <x v="39"/>
    <m/>
    <s v="Auto &amp; Transport:Parking"/>
    <m/>
    <m/>
    <m/>
    <x v="17"/>
    <x v="11"/>
    <x v="0"/>
    <m/>
    <x v="0"/>
    <m/>
    <s v="Sep"/>
    <n v="2014"/>
    <s v="Monthly"/>
    <n v="0"/>
    <s v="No"/>
    <s v="None"/>
    <s v="Auto &amp; Transport|Parking"/>
  </r>
  <r>
    <s v="MasterCard (Capital One)"/>
    <d v="2014-09-06T00:00:00"/>
    <n v="-5.25"/>
    <s v="X"/>
    <x v="238"/>
    <m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MasterCard (Capital One)"/>
    <d v="2014-09-06T00:00:00"/>
    <n v="-26.99"/>
    <s v="X"/>
    <x v="239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06T00:00:00"/>
    <n v="-30.45"/>
    <s v="X"/>
    <x v="240"/>
    <m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MasterCard (Capital One)"/>
    <d v="2014-09-06T00:00:00"/>
    <n v="-98.08"/>
    <s v="X"/>
    <x v="241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06T00:00:00"/>
    <n v="-128.30000000000001"/>
    <s v="X"/>
    <x v="2"/>
    <m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First Tech - Checking (5544)"/>
    <d v="2014-09-05T00:00:00"/>
    <n v="-53.25"/>
    <s v="X"/>
    <x v="242"/>
    <s v="ACH Debit--KIRK BOETTCHER  - ONLINE PMT"/>
    <s v="Health &amp; Fitness:Dentist"/>
    <m/>
    <m/>
    <m/>
    <x v="18"/>
    <x v="53"/>
    <x v="0"/>
    <m/>
    <x v="0"/>
    <m/>
    <s v="Sep"/>
    <n v="2014"/>
    <s v="Irregular"/>
    <n v="0"/>
    <s v="No"/>
    <s v="None"/>
    <s v="Health &amp; Fitness|Dentist"/>
  </r>
  <r>
    <s v="First Tech - Checking (5544)"/>
    <d v="2014-09-05T00:00:00"/>
    <n v="-3864.19"/>
    <s v="X"/>
    <x v="69"/>
    <s v="ACH Debit--WF HOME MTG ACH - AUTO PAY"/>
    <s v="Home:Mortgage"/>
    <m/>
    <m/>
    <m/>
    <x v="14"/>
    <x v="27"/>
    <x v="0"/>
    <m/>
    <x v="0"/>
    <m/>
    <s v="Sep"/>
    <n v="2014"/>
    <s v="Monthly"/>
    <n v="0"/>
    <s v="No"/>
    <s v="None"/>
    <s v="Home|Mortgage"/>
  </r>
  <r>
    <s v="MasterCard (Capital One)"/>
    <d v="2014-09-05T00:00:00"/>
    <n v="-7.04"/>
    <s v="X"/>
    <x v="34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04T00:00:00"/>
    <n v="-5.1100000000000003"/>
    <s v="X"/>
    <x v="243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04T00:00:00"/>
    <n v="-32.03"/>
    <s v="X"/>
    <x v="244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04T00:00:00"/>
    <n v="-36"/>
    <s v="X"/>
    <x v="245"/>
    <s v="Upcharge for ticket exchange"/>
    <s v="Entertainment"/>
    <m/>
    <m/>
    <m/>
    <x v="30"/>
    <x v="0"/>
    <x v="0"/>
    <m/>
    <x v="0"/>
    <m/>
    <s v="Sep"/>
    <n v="2014"/>
    <s v="Monthly"/>
    <n v="0"/>
    <s v="No"/>
    <s v="None"/>
    <s v="Entertainment"/>
  </r>
  <r>
    <s v="First Tech - Checking (5544)"/>
    <d v="2014-09-03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Sep"/>
    <n v="2014"/>
    <s v="Monthly"/>
    <n v="0"/>
    <s v="No"/>
    <s v="None"/>
    <s v="Kids|American Funds 529A"/>
  </r>
  <r>
    <s v="First Tech - Checking (5544)"/>
    <d v="2014-09-03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Sep"/>
    <n v="2014"/>
    <s v="Monthly"/>
    <n v="0"/>
    <s v="No"/>
    <s v="None"/>
    <s v="Business Expenses (Koolikai)|Mortgage (Business)"/>
  </r>
  <r>
    <s v="First Tech - Checking (5544)"/>
    <d v="2014-09-03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Sep"/>
    <n v="2014"/>
    <s v="Monthly"/>
    <n v="0"/>
    <s v="No"/>
    <s v="None"/>
    <s v="Business Expenses (Koolikai)|Mortgage (Business)"/>
  </r>
  <r>
    <s v="MasterCard (Capital One)"/>
    <d v="2014-09-03T00:00:00"/>
    <n v="-8.75"/>
    <s v="X"/>
    <x v="81"/>
    <m/>
    <s v="Entertainment:Movies &amp; DVDs"/>
    <m/>
    <m/>
    <m/>
    <x v="30"/>
    <x v="43"/>
    <x v="0"/>
    <m/>
    <x v="0"/>
    <m/>
    <s v="Sep"/>
    <n v="2014"/>
    <s v="Unplanned"/>
    <n v="0"/>
    <s v="No"/>
    <s v="None"/>
    <s v="Entertainment|Movies &amp; DVDs"/>
  </r>
  <r>
    <s v="MasterCard (Capital One)"/>
    <d v="2014-09-03T00:00:00"/>
    <n v="-30"/>
    <s v="X"/>
    <x v="246"/>
    <m/>
    <s v="Charity:Charity (Cash)"/>
    <m/>
    <m/>
    <m/>
    <x v="22"/>
    <x v="7"/>
    <x v="0"/>
    <m/>
    <x v="0"/>
    <m/>
    <s v="Sep"/>
    <n v="2014"/>
    <s v="Annual"/>
    <n v="0"/>
    <s v="No"/>
    <s v="None"/>
    <s v="Charity|Charity (Cash)"/>
  </r>
  <r>
    <s v="MasterCard (Capital One)"/>
    <d v="2014-09-03T00:00:00"/>
    <n v="-43.45"/>
    <s v="X"/>
    <x v="2"/>
    <s v="@BAL:2679.43@@CAT:@"/>
    <s v="Food &amp; Dining:Groceries/From Receipt"/>
    <m/>
    <m/>
    <s v="From Receipt"/>
    <x v="15"/>
    <x v="3"/>
    <x v="0"/>
    <m/>
    <x v="0"/>
    <m/>
    <s v="Sep"/>
    <n v="2014"/>
    <s v="Monthly"/>
    <n v="0"/>
    <s v="No"/>
    <s v="None"/>
    <s v="Food &amp; Dining|Groceries"/>
  </r>
  <r>
    <s v="First Tech - Checking (5544)"/>
    <d v="2014-09-02T00:00:00"/>
    <n v="-2459.96"/>
    <s v="X"/>
    <x v="85"/>
    <s v="ACH Debit--CAPITAL ONE  - CRCARDPMT"/>
    <s v="[MasterCard (Capital One)]"/>
    <m/>
    <m/>
    <m/>
    <x v="38"/>
    <x v="0"/>
    <x v="0"/>
    <m/>
    <x v="0"/>
    <m/>
    <s v="Sep"/>
    <n v="2014"/>
    <s v="Account"/>
    <n v="0"/>
    <s v="No"/>
    <s v="None"/>
    <s v="[MasterCard (Capital One)]"/>
  </r>
  <r>
    <s v="MasterCard (Capital One)"/>
    <d v="2014-09-02T00:00:00"/>
    <n v="2459.96"/>
    <s v="X"/>
    <x v="85"/>
    <s v="ACH Debit--CAPITAL ONE  - CRCARDPMT"/>
    <s v="[First Tech - Checking (5544)]"/>
    <m/>
    <m/>
    <m/>
    <x v="21"/>
    <x v="0"/>
    <x v="0"/>
    <m/>
    <x v="0"/>
    <m/>
    <s v="Sep"/>
    <n v="2014"/>
    <s v="Account"/>
    <n v="0"/>
    <s v="No"/>
    <s v="None"/>
    <s v="[First Tech - Checking (5544)]"/>
  </r>
  <r>
    <s v="MasterCard (Capital One)"/>
    <d v="2014-09-02T00:00:00"/>
    <n v="-4.37"/>
    <s v="X"/>
    <x v="238"/>
    <s v="Cards"/>
    <s v="Gifts/From Receipt"/>
    <m/>
    <m/>
    <s v="From Receipt"/>
    <x v="28"/>
    <x v="0"/>
    <x v="0"/>
    <m/>
    <x v="0"/>
    <m/>
    <s v="Sep"/>
    <n v="2014"/>
    <s v="Monthly"/>
    <n v="0"/>
    <s v="No"/>
    <s v="None"/>
    <s v="Gifts"/>
  </r>
  <r>
    <s v="MasterCard (Capital One)"/>
    <d v="2014-09-02T00:00:00"/>
    <n v="-9.3000000000000007"/>
    <s v="X"/>
    <x v="177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MasterCard (Capital One)"/>
    <d v="2014-09-02T00:00:00"/>
    <n v="-20.98"/>
    <s v="X"/>
    <x v="88"/>
    <m/>
    <s v="Bills &amp; Utilities:Television"/>
    <m/>
    <s v="Split"/>
    <m/>
    <x v="34"/>
    <x v="32"/>
    <x v="0"/>
    <m/>
    <x v="0"/>
    <m/>
    <s v="Sep"/>
    <n v="2014"/>
    <s v="Monthly"/>
    <n v="0"/>
    <s v="No"/>
    <s v="None"/>
    <s v="Bills &amp; Utilities|Television"/>
  </r>
  <r>
    <s v="MasterCard (Capital One)"/>
    <d v="2014-09-02T00:00:00"/>
    <n v="-66.53"/>
    <s v="X"/>
    <x v="88"/>
    <m/>
    <s v="Business Expenses (Koolikai):Internet"/>
    <m/>
    <s v="Split"/>
    <m/>
    <x v="36"/>
    <x v="33"/>
    <x v="0"/>
    <m/>
    <x v="0"/>
    <m/>
    <s v="Sep"/>
    <n v="2014"/>
    <s v="Monthly"/>
    <n v="0"/>
    <s v="No"/>
    <s v="None"/>
    <s v="Business Expenses (Koolikai)|Internet"/>
  </r>
  <r>
    <s v="MasterCard (Capital One)"/>
    <d v="2014-09-02T00:00:00"/>
    <n v="-44.52"/>
    <s v="X"/>
    <x v="88"/>
    <m/>
    <s v="Bills &amp; Utilities:Home Phone"/>
    <m/>
    <s v="Split"/>
    <m/>
    <x v="34"/>
    <x v="34"/>
    <x v="0"/>
    <m/>
    <x v="0"/>
    <m/>
    <s v="Sep"/>
    <n v="2014"/>
    <s v="Monthly"/>
    <n v="0"/>
    <s v="No"/>
    <s v="None"/>
    <s v="Bills &amp; Utilities|Home Phone"/>
  </r>
  <r>
    <s v="First Tech - Checking (5544)"/>
    <d v="2014-09-01T00:00:00"/>
    <n v="-2052"/>
    <s v="X"/>
    <x v="90"/>
    <s v="ACH Debit--PHINNEY RIDGE LU 504759859 - CONTRIBUTN"/>
    <s v="Kids:Daycare"/>
    <m/>
    <m/>
    <m/>
    <x v="27"/>
    <x v="35"/>
    <x v="0"/>
    <m/>
    <x v="0"/>
    <m/>
    <s v="Sep"/>
    <n v="2014"/>
    <s v="Monthly"/>
    <n v="0"/>
    <s v="No"/>
    <s v="None"/>
    <s v="Kids|Daycare"/>
  </r>
  <r>
    <s v="Chase Freedom XX9381"/>
    <d v="2014-09-01T00:00:00"/>
    <n v="-5.45"/>
    <s v="X"/>
    <x v="247"/>
    <m/>
    <s v="Food &amp; Dining:Restaurants"/>
    <m/>
    <m/>
    <m/>
    <x v="15"/>
    <x v="15"/>
    <x v="0"/>
    <m/>
    <x v="0"/>
    <m/>
    <s v="Sep"/>
    <n v="2014"/>
    <s v="Monthly"/>
    <n v="0"/>
    <s v="No"/>
    <s v="None"/>
    <s v="Food &amp; Dining|Restaurants"/>
  </r>
  <r>
    <s v="Koolikai - Sec Dep XX1200"/>
    <d v="2014-08-31T00:00:00"/>
    <n v="0.19"/>
    <s v="X"/>
    <x v="93"/>
    <s v="Credit Dividend--"/>
    <s v="Interest Income"/>
    <m/>
    <m/>
    <m/>
    <x v="40"/>
    <x v="0"/>
    <x v="0"/>
    <m/>
    <x v="0"/>
    <m/>
    <s v="Aug"/>
    <n v="2014"/>
    <s v="Monthly"/>
    <n v="0"/>
    <s v="No"/>
    <s v="None"/>
    <s v="Interest Income"/>
  </r>
  <r>
    <s v="Chase Freedom XX9381"/>
    <d v="2014-08-31T00:00:00"/>
    <n v="-29.63"/>
    <s v="X"/>
    <x v="182"/>
    <s v="#Mt. Rainier 2014#"/>
    <s v="Vacation:Transportation"/>
    <m/>
    <m/>
    <m/>
    <x v="23"/>
    <x v="26"/>
    <x v="0"/>
    <m/>
    <x v="12"/>
    <m/>
    <s v="Aug"/>
    <n v="2014"/>
    <s v="Irregular"/>
    <n v="0"/>
    <s v="No"/>
    <s v="None"/>
    <s v="Vacation|Transportation"/>
  </r>
  <r>
    <s v="MasterCard (Capital One)"/>
    <d v="2014-08-31T00:00:00"/>
    <n v="21.79"/>
    <s v="X"/>
    <x v="248"/>
    <m/>
    <s v="Kids:Toys/From Receipt"/>
    <m/>
    <m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31T00:00:00"/>
    <n v="-1"/>
    <s v="X"/>
    <x v="95"/>
    <m/>
    <s v="Auto &amp; Transport:Gas &amp; Fuel"/>
    <m/>
    <m/>
    <m/>
    <x v="17"/>
    <x v="37"/>
    <x v="0"/>
    <m/>
    <x v="0"/>
    <m/>
    <s v="Aug"/>
    <n v="2014"/>
    <s v="Monthly"/>
    <n v="0"/>
    <s v="No"/>
    <s v="None"/>
    <s v="Auto &amp; Transport|Gas &amp; Fuel"/>
  </r>
  <r>
    <s v="MasterCard (Capital One)"/>
    <d v="2014-08-31T00:00:00"/>
    <n v="-3.82"/>
    <s v="X"/>
    <x v="249"/>
    <m/>
    <s v="Gifts"/>
    <m/>
    <m/>
    <m/>
    <x v="28"/>
    <x v="0"/>
    <x v="0"/>
    <m/>
    <x v="0"/>
    <m/>
    <s v="Aug"/>
    <n v="2014"/>
    <s v="Monthly"/>
    <n v="0"/>
    <s v="No"/>
    <s v="None"/>
    <s v="Gifts"/>
  </r>
  <r>
    <s v="MasterCard (Capital One)"/>
    <d v="2014-08-31T00:00:00"/>
    <n v="-4.38"/>
    <s v="X"/>
    <x v="137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31T00:00:00"/>
    <n v="-4.93"/>
    <s v="X"/>
    <x v="137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31T00:00:00"/>
    <n v="-7.39"/>
    <s v="X"/>
    <x v="250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31T00:00:00"/>
    <n v="-8.7899999999999991"/>
    <s v="X"/>
    <x v="26"/>
    <m/>
    <s v="Shopping:Books/From Receipt"/>
    <m/>
    <m/>
    <s v="From Receipt"/>
    <x v="13"/>
    <x v="51"/>
    <x v="0"/>
    <m/>
    <x v="0"/>
    <m/>
    <s v="Aug"/>
    <n v="2014"/>
    <s v="Unplanned"/>
    <n v="0"/>
    <s v="No"/>
    <s v="None"/>
    <s v="Shopping|Books"/>
  </r>
  <r>
    <s v="MasterCard (Capital One)"/>
    <d v="2014-08-31T00:00:00"/>
    <n v="-21.66"/>
    <s v="X"/>
    <x v="2"/>
    <m/>
    <s v="Kids:Clothing/From Receipt"/>
    <m/>
    <m/>
    <s v="From Receipt"/>
    <x v="27"/>
    <x v="1"/>
    <x v="0"/>
    <m/>
    <x v="0"/>
    <m/>
    <s v="Aug"/>
    <n v="2014"/>
    <s v="Monthly"/>
    <n v="0"/>
    <s v="No"/>
    <s v="None"/>
    <s v="Kids|Clothing"/>
  </r>
  <r>
    <s v="MasterCard (Capital One)"/>
    <d v="2014-08-31T00:00:00"/>
    <n v="-31.34"/>
    <s v="X"/>
    <x v="2"/>
    <m/>
    <s v="Kids:Toys/From Receipt"/>
    <m/>
    <m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31T00:00:00"/>
    <n v="-58.61"/>
    <s v="X"/>
    <x v="2"/>
    <m/>
    <s v="Food &amp; Dining:Groceries/From Receipt"/>
    <m/>
    <s v="Split"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31T00:00:00"/>
    <n v="-5.46"/>
    <s v="X"/>
    <x v="2"/>
    <s v="Card holder"/>
    <s v="Home:Furnishings/From Receipt"/>
    <m/>
    <s v="Split"/>
    <s v="From Receipt"/>
    <x v="14"/>
    <x v="2"/>
    <x v="0"/>
    <m/>
    <x v="0"/>
    <m/>
    <s v="Aug"/>
    <n v="2014"/>
    <s v="Monthly"/>
    <n v="0"/>
    <s v="No"/>
    <s v="None"/>
    <s v="Home|Furnishings"/>
  </r>
  <r>
    <s v="Koolikai - Checking XX2129"/>
    <d v="2014-08-30T00:00:00"/>
    <n v="2195"/>
    <s v="X"/>
    <x v="133"/>
    <s v="Deposit--Shared Branch Mobile Deposit          First Tech FC CA"/>
    <s v="Business Income (Koolikai):Rent/9602:From Receipt"/>
    <m/>
    <m/>
    <s v="9602:From Receipt"/>
    <x v="37"/>
    <x v="25"/>
    <x v="0"/>
    <m/>
    <x v="0"/>
    <m/>
    <s v="Aug"/>
    <n v="2014"/>
    <s v="Monthly"/>
    <n v="0"/>
    <s v="No"/>
    <s v="None"/>
    <s v="Business Income (Koolikai)|Rent"/>
  </r>
  <r>
    <s v="MasterCard (Capital One)"/>
    <d v="2014-08-30T00:00:00"/>
    <n v="-7.06"/>
    <s v="X"/>
    <x v="37"/>
    <s v="Alligator clips"/>
    <s v="Shopping:Electronics &amp; Software"/>
    <m/>
    <m/>
    <m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30T00:00:00"/>
    <n v="-19.23"/>
    <s v="X"/>
    <x v="251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Capital One - Investment (6759)"/>
    <d v="2014-08-29T00:00:00"/>
    <n v="20.05"/>
    <s v="X"/>
    <x v="100"/>
    <s v="@CAT:@@BAL:$47,216.19@"/>
    <s v="Interest Income"/>
    <s v="INT"/>
    <m/>
    <m/>
    <x v="40"/>
    <x v="0"/>
    <x v="0"/>
    <m/>
    <x v="0"/>
    <m/>
    <s v="Aug"/>
    <n v="2014"/>
    <s v="Monthly"/>
    <n v="0"/>
    <s v="No"/>
    <s v="None"/>
    <s v="Interest Income"/>
  </r>
  <r>
    <s v="Capital One - Long Term Emergency (1201)"/>
    <d v="2014-08-29T00:00:00"/>
    <n v="50.32"/>
    <s v="X"/>
    <x v="100"/>
    <m/>
    <s v="Interest Income"/>
    <s v="INT"/>
    <m/>
    <m/>
    <x v="40"/>
    <x v="0"/>
    <x v="0"/>
    <m/>
    <x v="0"/>
    <m/>
    <s v="Aug"/>
    <n v="2014"/>
    <s v="Monthly"/>
    <n v="0"/>
    <s v="No"/>
    <s v="None"/>
    <s v="Interest Income"/>
  </r>
  <r>
    <s v="Capital One - Secondary Savings (3126)"/>
    <d v="2014-08-29T00:00:00"/>
    <n v="0.02"/>
    <s v="X"/>
    <x v="100"/>
    <m/>
    <s v="Interest Income"/>
    <s v="INT"/>
    <m/>
    <m/>
    <x v="40"/>
    <x v="0"/>
    <x v="0"/>
    <m/>
    <x v="0"/>
    <m/>
    <s v="Aug"/>
    <n v="2014"/>
    <s v="Monthly"/>
    <n v="0"/>
    <s v="No"/>
    <s v="None"/>
    <s v="Interest Income"/>
  </r>
  <r>
    <s v="Capital One - Vacation (4959)"/>
    <d v="2014-08-29T00:00:00"/>
    <n v="2.13"/>
    <s v="X"/>
    <x v="100"/>
    <m/>
    <s v="Interest Income"/>
    <s v="INT"/>
    <m/>
    <m/>
    <x v="40"/>
    <x v="0"/>
    <x v="0"/>
    <m/>
    <x v="0"/>
    <m/>
    <s v="Aug"/>
    <n v="2014"/>
    <s v="Monthly"/>
    <n v="0"/>
    <s v="No"/>
    <s v="None"/>
    <s v="Interest Income"/>
  </r>
  <r>
    <s v="First Tech - Checking (5544)"/>
    <d v="2014-08-29T00:00:00"/>
    <n v="3649.46"/>
    <s v="X"/>
    <x v="47"/>
    <s v="ACH Deposit--MICROSOFT  - EDIPAYMENT"/>
    <s v="Net Salary"/>
    <m/>
    <m/>
    <m/>
    <x v="35"/>
    <x v="0"/>
    <x v="0"/>
    <m/>
    <x v="0"/>
    <m/>
    <s v="Aug"/>
    <n v="2014"/>
    <s v="Monthly"/>
    <n v="0"/>
    <s v="No"/>
    <s v="None"/>
    <s v="Net Salary"/>
  </r>
  <r>
    <s v="First Tech - Checking (5544)"/>
    <d v="2014-08-29T00:00:00"/>
    <n v="6058.12"/>
    <s v="X"/>
    <x v="109"/>
    <s v="ACH Deposit--Cancer Research  - Payroll"/>
    <s v="Net Salary"/>
    <m/>
    <m/>
    <m/>
    <x v="35"/>
    <x v="0"/>
    <x v="0"/>
    <m/>
    <x v="0"/>
    <m/>
    <s v="Aug"/>
    <n v="2014"/>
    <s v="Monthly"/>
    <n v="0"/>
    <s v="No"/>
    <s v="None"/>
    <s v="Net Salary"/>
  </r>
  <r>
    <s v="First Tech - Checking (5544)"/>
    <d v="2014-08-29T00:00:00"/>
    <n v="-252.79"/>
    <s v="X"/>
    <x v="252"/>
    <s v="@BAL:$25,600.65@;@CAT:@"/>
    <s v="Bills &amp; Utilities:Utilities"/>
    <m/>
    <m/>
    <m/>
    <x v="34"/>
    <x v="18"/>
    <x v="0"/>
    <m/>
    <x v="0"/>
    <m/>
    <s v="Aug"/>
    <n v="2014"/>
    <s v="Monthly"/>
    <n v="0"/>
    <s v="No"/>
    <s v="None"/>
    <s v="Bills &amp; Utilities|Utilities"/>
  </r>
  <r>
    <s v="Schwab - Checking (9784)"/>
    <d v="2014-08-29T00:00:00"/>
    <n v="0.06"/>
    <s v="X"/>
    <x v="102"/>
    <m/>
    <s v="Interest Income"/>
    <m/>
    <m/>
    <m/>
    <x v="40"/>
    <x v="0"/>
    <x v="0"/>
    <m/>
    <x v="0"/>
    <m/>
    <s v="Aug"/>
    <n v="2014"/>
    <s v="Monthly"/>
    <n v="0"/>
    <s v="No"/>
    <s v="None"/>
    <s v="Interest Income"/>
  </r>
  <r>
    <s v="Chase Freedom XX9381"/>
    <d v="2014-08-29T00:00:00"/>
    <n v="-28.28"/>
    <s v="X"/>
    <x v="115"/>
    <m/>
    <s v="Auto &amp; Transport:Gas &amp; Fuel"/>
    <m/>
    <m/>
    <m/>
    <x v="17"/>
    <x v="37"/>
    <x v="0"/>
    <m/>
    <x v="0"/>
    <m/>
    <s v="Aug"/>
    <n v="2014"/>
    <s v="Monthly"/>
    <n v="0"/>
    <s v="No"/>
    <s v="None"/>
    <s v="Auto &amp; Transport|Gas &amp; Fuel"/>
  </r>
  <r>
    <s v="Chase Freedom XX9381"/>
    <d v="2014-08-29T00:00:00"/>
    <n v="-95.85"/>
    <s v="X"/>
    <x v="253"/>
    <s v="#Mt. Rainier 2014#"/>
    <s v="Vacation:Food"/>
    <m/>
    <m/>
    <m/>
    <x v="23"/>
    <x v="8"/>
    <x v="0"/>
    <m/>
    <x v="12"/>
    <m/>
    <s v="Aug"/>
    <n v="2014"/>
    <s v="Irregular"/>
    <n v="0"/>
    <s v="No"/>
    <s v="None"/>
    <s v="Vacation|Food"/>
  </r>
  <r>
    <s v="MasterCard (Capital One)"/>
    <d v="2014-08-29T00:00:00"/>
    <n v="-9.9"/>
    <s v="X"/>
    <x v="37"/>
    <s v="Shift registers"/>
    <s v="Shopping:Electronics &amp; Software/From Receipt"/>
    <m/>
    <m/>
    <s v="From Receipt"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29T00:00:00"/>
    <n v="-15"/>
    <s v="X"/>
    <x v="254"/>
    <s v="#Mt. Rainier 2014#"/>
    <s v="Vacation:Activities"/>
    <m/>
    <m/>
    <m/>
    <x v="23"/>
    <x v="39"/>
    <x v="0"/>
    <m/>
    <x v="12"/>
    <m/>
    <s v="Aug"/>
    <n v="2014"/>
    <s v="Irregular"/>
    <n v="0"/>
    <s v="No"/>
    <s v="None"/>
    <s v="Vacation|Activities"/>
  </r>
  <r>
    <s v="MasterCard (Capital One)"/>
    <d v="2014-08-29T00:00:00"/>
    <n v="-16.079999999999998"/>
    <s v="X"/>
    <x v="255"/>
    <s v="#Mt. Rainier 2014#"/>
    <s v="Vacation:Food"/>
    <m/>
    <m/>
    <m/>
    <x v="23"/>
    <x v="8"/>
    <x v="0"/>
    <m/>
    <x v="12"/>
    <m/>
    <s v="Aug"/>
    <n v="2014"/>
    <s v="Irregular"/>
    <n v="0"/>
    <s v="No"/>
    <s v="None"/>
    <s v="Vacation|Food"/>
  </r>
  <r>
    <s v="MasterCard (Capital One)"/>
    <d v="2014-08-29T00:00:00"/>
    <n v="-21.53"/>
    <s v="X"/>
    <x v="256"/>
    <s v="#Mt. Rainier 2014# T-Shirts"/>
    <s v="Vacation:Trinkets/From Receipt"/>
    <m/>
    <m/>
    <s v="From Receipt"/>
    <x v="23"/>
    <x v="28"/>
    <x v="0"/>
    <m/>
    <x v="12"/>
    <m/>
    <s v="Aug"/>
    <n v="2014"/>
    <s v="Irregular"/>
    <n v="0"/>
    <s v="No"/>
    <s v="None"/>
    <s v="Vacation|Trinkets"/>
  </r>
  <r>
    <s v="MasterCard (Capital One)"/>
    <d v="2014-08-29T00:00:00"/>
    <n v="-25.9"/>
    <s v="X"/>
    <x v="257"/>
    <m/>
    <s v="Health &amp; Fitness:Eyecare"/>
    <m/>
    <m/>
    <m/>
    <x v="18"/>
    <x v="5"/>
    <x v="0"/>
    <m/>
    <x v="0"/>
    <m/>
    <s v="Aug"/>
    <n v="2014"/>
    <s v="Irregular"/>
    <n v="0"/>
    <s v="No"/>
    <s v="None"/>
    <s v="Health &amp; Fitness|Eyecare"/>
  </r>
  <r>
    <s v="MasterCard (Capital One)"/>
    <d v="2014-08-29T00:00:00"/>
    <n v="-37.71"/>
    <s v="X"/>
    <x v="255"/>
    <s v="#Mt. Rainier 2014#"/>
    <s v="Vacation:Food"/>
    <m/>
    <m/>
    <m/>
    <x v="23"/>
    <x v="8"/>
    <x v="0"/>
    <m/>
    <x v="12"/>
    <m/>
    <s v="Aug"/>
    <n v="2014"/>
    <s v="Irregular"/>
    <n v="0"/>
    <s v="No"/>
    <s v="None"/>
    <s v="Vacation|Food"/>
  </r>
  <r>
    <s v="MasterCard (Capital One)"/>
    <d v="2014-08-29T00:00:00"/>
    <n v="-73.84"/>
    <s v="X"/>
    <x v="255"/>
    <s v="#Mt. Rainier 2014#"/>
    <s v="Vacation:Food"/>
    <m/>
    <m/>
    <m/>
    <x v="23"/>
    <x v="8"/>
    <x v="0"/>
    <m/>
    <x v="12"/>
    <m/>
    <s v="Aug"/>
    <n v="2014"/>
    <s v="Irregular"/>
    <n v="0"/>
    <s v="No"/>
    <s v="None"/>
    <s v="Vacation|Food"/>
  </r>
  <r>
    <s v="MasterCard (Capital One)"/>
    <d v="2014-08-28T00:00:00"/>
    <n v="-10.89"/>
    <s v="X"/>
    <x v="258"/>
    <s v="#Mt. Rainier 2014#"/>
    <s v="Vacation:Food"/>
    <m/>
    <m/>
    <m/>
    <x v="23"/>
    <x v="8"/>
    <x v="0"/>
    <m/>
    <x v="12"/>
    <m/>
    <s v="Aug"/>
    <n v="2014"/>
    <s v="Irregular"/>
    <n v="0"/>
    <s v="No"/>
    <s v="None"/>
    <s v="Vacation|Food"/>
  </r>
  <r>
    <s v="MasterCard (Capital One)"/>
    <d v="2014-08-28T00:00:00"/>
    <n v="-21.58"/>
    <s v="X"/>
    <x v="258"/>
    <s v="Bubble guns"/>
    <s v="Kids:Toys/From Receipt"/>
    <m/>
    <m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28T00:00:00"/>
    <n v="-24.02"/>
    <s v="X"/>
    <x v="128"/>
    <m/>
    <s v="Home:Furnishings"/>
    <m/>
    <m/>
    <m/>
    <x v="14"/>
    <x v="2"/>
    <x v="0"/>
    <m/>
    <x v="0"/>
    <m/>
    <s v="Aug"/>
    <n v="2014"/>
    <s v="Monthly"/>
    <n v="0"/>
    <s v="No"/>
    <s v="None"/>
    <s v="Home|Furnishings"/>
  </r>
  <r>
    <s v="MasterCard (Capital One)"/>
    <d v="2014-08-28T00:00:00"/>
    <n v="-46"/>
    <s v="X"/>
    <x v="259"/>
    <s v="#Mt. Rainier 2014#"/>
    <s v="Vacation:Activities"/>
    <m/>
    <m/>
    <m/>
    <x v="23"/>
    <x v="39"/>
    <x v="0"/>
    <m/>
    <x v="12"/>
    <m/>
    <s v="Aug"/>
    <n v="2014"/>
    <s v="Irregular"/>
    <n v="0"/>
    <s v="No"/>
    <s v="None"/>
    <s v="Vacation|Activities"/>
  </r>
  <r>
    <s v="MasterCard (Capital One)"/>
    <d v="2014-08-28T00:00:00"/>
    <n v="-258.27"/>
    <s v="X"/>
    <x v="253"/>
    <s v="#Mt. Rainier 2014#"/>
    <s v="Vacation:Lodging"/>
    <m/>
    <m/>
    <m/>
    <x v="23"/>
    <x v="9"/>
    <x v="0"/>
    <m/>
    <x v="12"/>
    <m/>
    <s v="Aug"/>
    <n v="2014"/>
    <s v="Irregular"/>
    <n v="0"/>
    <s v="No"/>
    <s v="None"/>
    <s v="Vacation|Lodging"/>
  </r>
  <r>
    <s v="First Tech - Checking (5544)"/>
    <d v="2014-08-27T00:00:00"/>
    <n v="-186.29"/>
    <s v="X"/>
    <x v="6"/>
    <s v="ACH Debit--CHASE  - AUTOPAY"/>
    <s v="[Chase Freedom XX9381]"/>
    <m/>
    <m/>
    <m/>
    <x v="7"/>
    <x v="0"/>
    <x v="0"/>
    <m/>
    <x v="0"/>
    <m/>
    <s v="Aug"/>
    <n v="2014"/>
    <e v="#N/A"/>
    <e v="#N/A"/>
    <e v="#N/A"/>
    <e v="#N/A"/>
    <s v="[Chase Freedom XX9381]"/>
  </r>
  <r>
    <s v="Chase Freedom XX9381"/>
    <d v="2014-08-27T00:00:00"/>
    <n v="186.29"/>
    <s v="X"/>
    <x v="6"/>
    <s v="ACH Debit--CHASE  - AUTOPAY"/>
    <s v="[First Tech - Checking (5544)]"/>
    <m/>
    <m/>
    <m/>
    <x v="21"/>
    <x v="0"/>
    <x v="0"/>
    <m/>
    <x v="0"/>
    <m/>
    <s v="Aug"/>
    <n v="2014"/>
    <s v="Account"/>
    <n v="0"/>
    <s v="No"/>
    <s v="None"/>
    <s v="[First Tech - Checking (5544)]"/>
  </r>
  <r>
    <s v="MasterCard (Capital One)"/>
    <d v="2014-08-27T00:00:00"/>
    <n v="25"/>
    <s v="X"/>
    <x v="60"/>
    <m/>
    <s v="Other Inc"/>
    <m/>
    <m/>
    <m/>
    <x v="29"/>
    <x v="0"/>
    <x v="0"/>
    <m/>
    <x v="0"/>
    <m/>
    <s v="Aug"/>
    <n v="2014"/>
    <s v="Monthly"/>
    <n v="0"/>
    <s v="No"/>
    <s v="None"/>
    <s v="Other Inc"/>
  </r>
  <r>
    <s v="MasterCard (Capital One)"/>
    <d v="2014-08-27T00:00:00"/>
    <n v="-4.37"/>
    <s v="X"/>
    <x v="2"/>
    <s v="#Kalaloch 2014# Camping fuel"/>
    <s v="Vacation:Food/From Receipt"/>
    <m/>
    <m/>
    <s v="From Receipt"/>
    <x v="23"/>
    <x v="8"/>
    <x v="0"/>
    <m/>
    <x v="13"/>
    <m/>
    <s v="Aug"/>
    <n v="2014"/>
    <s v="Irregular"/>
    <n v="0"/>
    <s v="No"/>
    <s v="None"/>
    <s v="Vacation|Food"/>
  </r>
  <r>
    <s v="MasterCard (Capital One)"/>
    <d v="2014-08-27T00:00:00"/>
    <n v="-5.5"/>
    <s v="X"/>
    <x v="260"/>
    <s v="#Orcas Island 2014#"/>
    <s v="Vacation:Food/From Receipt"/>
    <m/>
    <m/>
    <s v="From Receipt"/>
    <x v="23"/>
    <x v="8"/>
    <x v="0"/>
    <m/>
    <x v="14"/>
    <m/>
    <s v="Aug"/>
    <n v="2014"/>
    <s v="Irregular"/>
    <n v="0"/>
    <s v="No"/>
    <s v="None"/>
    <s v="Vacation|Food"/>
  </r>
  <r>
    <s v="MasterCard (Capital One)"/>
    <d v="2014-08-26T00:00:00"/>
    <n v="-1.99"/>
    <s v="X"/>
    <x v="261"/>
    <s v="Ice  #Orcas Island 2014#"/>
    <s v="Vacation:Food/From Receipt"/>
    <m/>
    <m/>
    <s v="From Receipt"/>
    <x v="23"/>
    <x v="8"/>
    <x v="0"/>
    <m/>
    <x v="14"/>
    <m/>
    <s v="Aug"/>
    <n v="2014"/>
    <s v="Irregular"/>
    <n v="0"/>
    <s v="No"/>
    <s v="None"/>
    <s v="Vacation|Food"/>
  </r>
  <r>
    <s v="MasterCard (Capital One)"/>
    <d v="2014-08-26T00:00:00"/>
    <n v="-6.49"/>
    <s v="X"/>
    <x v="262"/>
    <s v="#Orcas Island 2014#"/>
    <s v="Vacation:Food"/>
    <m/>
    <m/>
    <m/>
    <x v="23"/>
    <x v="8"/>
    <x v="0"/>
    <m/>
    <x v="14"/>
    <m/>
    <s v="Aug"/>
    <n v="2014"/>
    <s v="Irregular"/>
    <n v="0"/>
    <s v="No"/>
    <s v="None"/>
    <s v="Vacation|Food"/>
  </r>
  <r>
    <s v="MasterCard (Capital One)"/>
    <d v="2014-08-26T00:00:00"/>
    <n v="-19.420000000000002"/>
    <s v="X"/>
    <x v="115"/>
    <s v="#Orcas Island 2014#"/>
    <s v="Vacation:Transportation"/>
    <m/>
    <m/>
    <m/>
    <x v="23"/>
    <x v="26"/>
    <x v="0"/>
    <m/>
    <x v="14"/>
    <m/>
    <s v="Aug"/>
    <n v="2014"/>
    <s v="Irregular"/>
    <n v="0"/>
    <s v="No"/>
    <s v="None"/>
    <s v="Vacation|Transportation"/>
  </r>
  <r>
    <s v="MasterCard (Capital One)"/>
    <d v="2014-08-26T00:00:00"/>
    <n v="-32.69"/>
    <s v="X"/>
    <x v="263"/>
    <s v="#Orcas Island 2014#"/>
    <s v="Vacation:Food"/>
    <m/>
    <m/>
    <m/>
    <x v="23"/>
    <x v="8"/>
    <x v="0"/>
    <m/>
    <x v="14"/>
    <m/>
    <s v="Aug"/>
    <n v="2014"/>
    <s v="Irregular"/>
    <n v="0"/>
    <s v="No"/>
    <s v="None"/>
    <s v="Vacation|Food"/>
  </r>
  <r>
    <s v="First Tech - Checking (5544)"/>
    <d v="2014-08-25T00:00:00"/>
    <n v="-88.17"/>
    <s v="X"/>
    <x v="157"/>
    <s v="ACH Debit--AMEX EPayment AM - ACH PMT"/>
    <s v="[American Express (Costco)]"/>
    <m/>
    <m/>
    <m/>
    <x v="20"/>
    <x v="0"/>
    <x v="0"/>
    <m/>
    <x v="0"/>
    <m/>
    <s v="Aug"/>
    <n v="2014"/>
    <s v="Account"/>
    <n v="0"/>
    <s v="No"/>
    <s v="None"/>
    <s v="[American Express (Costco)]"/>
  </r>
  <r>
    <s v="First Tech - Checking (5544)"/>
    <d v="2014-08-25T00:00:00"/>
    <n v="-394.2"/>
    <s v="X"/>
    <x v="181"/>
    <s v="ACH Debit--CATHLEEN CAESAR  - ONLINE PMT"/>
    <s v="Projects:Landscaping"/>
    <m/>
    <m/>
    <m/>
    <x v="39"/>
    <x v="47"/>
    <x v="0"/>
    <m/>
    <x v="0"/>
    <m/>
    <s v="Aug"/>
    <n v="2014"/>
    <s v="Unplanned"/>
    <n v="0"/>
    <s v="No"/>
    <s v="None"/>
    <s v="Projects|Landscaping"/>
  </r>
  <r>
    <s v="Koolikai - Checking XX2129"/>
    <d v="2014-08-25T00:00:00"/>
    <n v="-146.97999999999999"/>
    <s v="X"/>
    <x v="11"/>
    <s v="ACH Debit--CHASE  - AUTOPAYBUS"/>
    <s v="[Koolikai Credit Card]"/>
    <m/>
    <m/>
    <m/>
    <x v="9"/>
    <x v="0"/>
    <x v="0"/>
    <m/>
    <x v="0"/>
    <m/>
    <s v="Aug"/>
    <n v="2014"/>
    <s v="Account"/>
    <n v="0"/>
    <s v="No"/>
    <s v="None"/>
    <s v="[Koolikai Credit Card]"/>
  </r>
  <r>
    <s v="American Express (Costco)"/>
    <d v="2014-08-25T00:00:00"/>
    <n v="88.17"/>
    <s v="X"/>
    <x v="157"/>
    <s v="ACH Debit--AMEX EPayment AM - ACH PMT"/>
    <s v="[First Tech - Checking (5544)]"/>
    <m/>
    <m/>
    <m/>
    <x v="21"/>
    <x v="0"/>
    <x v="0"/>
    <m/>
    <x v="0"/>
    <m/>
    <s v="Aug"/>
    <n v="2014"/>
    <s v="Account"/>
    <n v="0"/>
    <s v="No"/>
    <s v="None"/>
    <s v="[First Tech - Checking (5544)]"/>
  </r>
  <r>
    <s v="MasterCard (Capital One)"/>
    <d v="2014-08-25T00:00:00"/>
    <n v="-64.05"/>
    <s v="X"/>
    <x v="264"/>
    <s v="#Orcas Island 2014#"/>
    <s v="Vacation:Transportation"/>
    <m/>
    <m/>
    <m/>
    <x v="23"/>
    <x v="26"/>
    <x v="0"/>
    <m/>
    <x v="14"/>
    <m/>
    <s v="Aug"/>
    <n v="2014"/>
    <s v="Irregular"/>
    <n v="0"/>
    <s v="No"/>
    <s v="None"/>
    <s v="Vacation|Transportation"/>
  </r>
  <r>
    <s v="MasterCard (Capital One)"/>
    <d v="2014-08-25T00:00:00"/>
    <n v="-211.4"/>
    <s v="X"/>
    <x v="263"/>
    <s v="#Orcas Island 2014#"/>
    <s v="Vacation:Lodging/From Receipt"/>
    <m/>
    <m/>
    <s v="From Receipt"/>
    <x v="23"/>
    <x v="9"/>
    <x v="0"/>
    <m/>
    <x v="14"/>
    <m/>
    <s v="Aug"/>
    <n v="2014"/>
    <s v="Irregular"/>
    <n v="0"/>
    <s v="No"/>
    <s v="None"/>
    <s v="Vacation|Lodging"/>
  </r>
  <r>
    <s v="MasterCard (Capital One)"/>
    <d v="2014-08-24T00:00:00"/>
    <n v="14.77"/>
    <s v="X"/>
    <x v="265"/>
    <s v="Accidental purchase of arduino book on Kindle"/>
    <s v="Shopping:Books/From Receipt"/>
    <m/>
    <m/>
    <s v="From Receipt"/>
    <x v="13"/>
    <x v="51"/>
    <x v="0"/>
    <m/>
    <x v="0"/>
    <m/>
    <s v="Aug"/>
    <n v="2014"/>
    <s v="Unplanned"/>
    <n v="0"/>
    <s v="No"/>
    <s v="None"/>
    <s v="Shopping|Books"/>
  </r>
  <r>
    <s v="MasterCard (Capital One)"/>
    <d v="2014-08-24T00:00:00"/>
    <n v="25.93"/>
    <s v="X"/>
    <x v="105"/>
    <s v="Returned unnecessary items for roof repair"/>
    <s v="Business Expenses (Koolikai):Repairs/7231:From Receipt"/>
    <m/>
    <m/>
    <s v="7231:From Receipt"/>
    <x v="36"/>
    <x v="41"/>
    <x v="0"/>
    <m/>
    <x v="0"/>
    <m/>
    <s v="Aug"/>
    <n v="2014"/>
    <s v="Irregular"/>
    <n v="0"/>
    <s v="No"/>
    <s v="None"/>
    <s v="Business Expenses (Koolikai)|Repairs"/>
  </r>
  <r>
    <s v="MasterCard (Capital One)"/>
    <d v="2014-08-24T00:00:00"/>
    <n v="-7.49"/>
    <s v="X"/>
    <x v="2"/>
    <m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24T00:00:00"/>
    <n v="-14.77"/>
    <s v="X"/>
    <x v="265"/>
    <s v="Accidental purchase of arduino book on Kindle"/>
    <s v="Shopping:Books/From Receipt"/>
    <m/>
    <m/>
    <s v="From Receipt"/>
    <x v="13"/>
    <x v="51"/>
    <x v="0"/>
    <m/>
    <x v="0"/>
    <m/>
    <s v="Aug"/>
    <n v="2014"/>
    <s v="Unplanned"/>
    <n v="0"/>
    <s v="No"/>
    <s v="None"/>
    <s v="Shopping|Books"/>
  </r>
  <r>
    <s v="MasterCard (Capital One)"/>
    <d v="2014-08-24T00:00:00"/>
    <n v="-27.3"/>
    <s v="X"/>
    <x v="248"/>
    <m/>
    <s v="Gifts/From Receipt"/>
    <m/>
    <m/>
    <s v="From Receipt"/>
    <x v="28"/>
    <x v="0"/>
    <x v="0"/>
    <m/>
    <x v="0"/>
    <m/>
    <s v="Aug"/>
    <n v="2014"/>
    <s v="Monthly"/>
    <n v="0"/>
    <s v="No"/>
    <s v="None"/>
    <s v="Gifts"/>
  </r>
  <r>
    <s v="MasterCard (Capital One)"/>
    <d v="2014-08-24T00:00:00"/>
    <n v="-29.41"/>
    <s v="X"/>
    <x v="2"/>
    <m/>
    <s v="Kids:Clothing"/>
    <m/>
    <m/>
    <m/>
    <x v="27"/>
    <x v="1"/>
    <x v="0"/>
    <m/>
    <x v="0"/>
    <m/>
    <s v="Aug"/>
    <n v="2014"/>
    <s v="Monthly"/>
    <n v="0"/>
    <s v="No"/>
    <s v="None"/>
    <s v="Kids|Clothing"/>
  </r>
  <r>
    <s v="MasterCard (Capital One)"/>
    <d v="2014-08-24T00:00:00"/>
    <n v="-34"/>
    <s v="X"/>
    <x v="97"/>
    <m/>
    <s v="Personal Care:Hair"/>
    <m/>
    <m/>
    <m/>
    <x v="31"/>
    <x v="16"/>
    <x v="0"/>
    <m/>
    <x v="0"/>
    <m/>
    <s v="Aug"/>
    <n v="2014"/>
    <s v="Monthly"/>
    <n v="0"/>
    <s v="No"/>
    <s v="None"/>
    <s v="Personal Care|Hair"/>
  </r>
  <r>
    <s v="MasterCard (Capital One)"/>
    <d v="2014-08-24T00:00:00"/>
    <n v="-45.53"/>
    <s v="X"/>
    <x v="105"/>
    <s v="Bathroom Sink repairs at 7231"/>
    <s v="Business Expenses (Koolikai):Repairs/7231"/>
    <m/>
    <m/>
    <n v="7231"/>
    <x v="36"/>
    <x v="41"/>
    <x v="0"/>
    <m/>
    <x v="0"/>
    <m/>
    <s v="Aug"/>
    <n v="2014"/>
    <s v="Irregular"/>
    <n v="0"/>
    <s v="No"/>
    <s v="None"/>
    <s v="Business Expenses (Koolikai)|Repairs"/>
  </r>
  <r>
    <s v="MasterCard (Capital One)"/>
    <d v="2014-08-23T00:00:00"/>
    <n v="-2.74"/>
    <s v="X"/>
    <x v="2"/>
    <m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23T00:00:00"/>
    <n v="-26.61"/>
    <s v="X"/>
    <x v="2"/>
    <m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23T00:00:00"/>
    <n v="-104.63"/>
    <s v="X"/>
    <x v="2"/>
    <s v="#Kalaloch 2014#"/>
    <s v="Vacation:Food/From Receipt"/>
    <m/>
    <m/>
    <s v="From Receipt"/>
    <x v="23"/>
    <x v="8"/>
    <x v="0"/>
    <m/>
    <x v="13"/>
    <m/>
    <s v="Aug"/>
    <n v="2014"/>
    <s v="Irregular"/>
    <n v="0"/>
    <s v="No"/>
    <s v="None"/>
    <s v="Vacation|Food"/>
  </r>
  <r>
    <s v="Koolikai Credit Card"/>
    <d v="2014-08-22T00:00:00"/>
    <n v="146.97999999999999"/>
    <s v="X"/>
    <x v="11"/>
    <m/>
    <s v="[Koolikai - Checking XX2129]"/>
    <m/>
    <m/>
    <m/>
    <x v="25"/>
    <x v="0"/>
    <x v="0"/>
    <m/>
    <x v="0"/>
    <m/>
    <s v="Aug"/>
    <n v="2014"/>
    <s v="Account"/>
    <n v="0"/>
    <s v="No"/>
    <s v="None"/>
    <s v="[Koolikai - Checking XX2129]"/>
  </r>
  <r>
    <s v="First Tech - Checking (5544)"/>
    <d v="2014-08-21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Aug"/>
    <n v="2014"/>
    <s v="Monthly"/>
    <n v="0"/>
    <s v="No"/>
    <s v="None"/>
    <s v="Auto &amp; Transport|Auto Lease Payment"/>
  </r>
  <r>
    <s v="MasterCard (Capital One)"/>
    <d v="2014-08-21T00:00:00"/>
    <n v="-24.14"/>
    <s v="X"/>
    <x v="2"/>
    <s v="#CRAB Breakfast# Bagels, juice"/>
    <s v="Work Expense:Reimbursable expense/From Receipt"/>
    <m/>
    <s v="Split"/>
    <s v="From Receipt"/>
    <x v="19"/>
    <x v="21"/>
    <x v="0"/>
    <m/>
    <x v="15"/>
    <m/>
    <s v="Aug"/>
    <n v="2014"/>
    <s v="Irregular"/>
    <n v="0"/>
    <s v="No"/>
    <s v="None"/>
    <s v="Work Expense|Reimbursable expense"/>
  </r>
  <r>
    <s v="MasterCard (Capital One)"/>
    <d v="2014-08-21T00:00:00"/>
    <n v="-1.27"/>
    <s v="X"/>
    <x v="2"/>
    <s v="Pencil box"/>
    <s v="Kids:Toys/From Receipt"/>
    <m/>
    <s v="Split"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20T00:00:00"/>
    <n v="-5.73"/>
    <s v="X"/>
    <x v="20"/>
    <m/>
    <s v="Food &amp; Dining:Groceries"/>
    <m/>
    <m/>
    <m/>
    <x v="15"/>
    <x v="3"/>
    <x v="0"/>
    <m/>
    <x v="0"/>
    <m/>
    <s v="Aug"/>
    <n v="2014"/>
    <s v="Monthly"/>
    <n v="0"/>
    <s v="No"/>
    <s v="None"/>
    <s v="Food &amp; Dining|Groceries"/>
  </r>
  <r>
    <s v="Chase Freedom XX9381"/>
    <d v="2014-08-19T00:00:00"/>
    <n v="-8.5299999999999994"/>
    <s v="X"/>
    <x v="37"/>
    <s v="Voltage regulator and key pad"/>
    <s v="Shopping:Electronics &amp; Software"/>
    <m/>
    <m/>
    <m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19T00:00:00"/>
    <n v="-64"/>
    <s v="X"/>
    <x v="266"/>
    <s v="2011: BEACHCOMBER KIDS CUT SEATTLE WA 981030000 USA"/>
    <s v="Personal Care:Hair"/>
    <m/>
    <m/>
    <m/>
    <x v="31"/>
    <x v="16"/>
    <x v="0"/>
    <m/>
    <x v="0"/>
    <m/>
    <s v="Aug"/>
    <n v="2014"/>
    <s v="Monthly"/>
    <n v="0"/>
    <s v="No"/>
    <s v="None"/>
    <s v="Personal Care|Hair"/>
  </r>
  <r>
    <s v="First Tech - Checking (5544)"/>
    <d v="2014-08-18T00:00:00"/>
    <n v="-10000"/>
    <s v="X"/>
    <x v="267"/>
    <s v="ACH Debit--IRS  - USATAXPYMT"/>
    <s v="Tax:Fed"/>
    <m/>
    <m/>
    <m/>
    <x v="47"/>
    <x v="54"/>
    <x v="0"/>
    <m/>
    <x v="0"/>
    <m/>
    <s v="Aug"/>
    <n v="2014"/>
    <s v="Unplanned"/>
    <n v="0"/>
    <s v="No"/>
    <s v="None"/>
    <s v="Tax|Fed"/>
  </r>
  <r>
    <s v="MasterCard (Capital One)"/>
    <d v="2014-08-18T00:00:00"/>
    <n v="-4.8"/>
    <s v="X"/>
    <x v="37"/>
    <s v="Multimeter"/>
    <s v="Shopping:Electronics &amp; Software/From Receipt"/>
    <m/>
    <m/>
    <s v="From Receipt"/>
    <x v="13"/>
    <x v="20"/>
    <x v="0"/>
    <m/>
    <x v="0"/>
    <m/>
    <s v="Aug"/>
    <n v="2014"/>
    <s v="Annual"/>
    <n v="0"/>
    <s v="No"/>
    <s v="None"/>
    <s v="Shopping|Electronics &amp; Software"/>
  </r>
  <r>
    <s v="Chase Freedom XX9381"/>
    <d v="2014-08-17T00:00:00"/>
    <n v="-3.54"/>
    <s v="X"/>
    <x v="37"/>
    <s v="Photo resistors"/>
    <s v="Shopping:Electronics &amp; Software"/>
    <m/>
    <m/>
    <m/>
    <x v="13"/>
    <x v="20"/>
    <x v="0"/>
    <m/>
    <x v="0"/>
    <m/>
    <s v="Aug"/>
    <n v="2014"/>
    <s v="Annual"/>
    <n v="0"/>
    <s v="No"/>
    <s v="None"/>
    <s v="Shopping|Electronics &amp; Software"/>
  </r>
  <r>
    <s v="Chase Freedom XX9381"/>
    <d v="2014-08-17T00:00:00"/>
    <n v="-15.01"/>
    <s v="X"/>
    <x v="37"/>
    <s v="Jumper wires"/>
    <s v="Shopping:Electronics &amp; Software"/>
    <m/>
    <m/>
    <m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17T00:00:00"/>
    <n v="27.34"/>
    <s v="X"/>
    <x v="105"/>
    <s v="Returned 10 year smoke alarm"/>
    <s v="Home:Home Improvement/From Receipt"/>
    <m/>
    <m/>
    <s v="From Receipt"/>
    <x v="14"/>
    <x v="19"/>
    <x v="0"/>
    <m/>
    <x v="0"/>
    <m/>
    <s v="Aug"/>
    <n v="2014"/>
    <s v="Irregular"/>
    <n v="0"/>
    <s v="No"/>
    <s v="None"/>
    <s v="Home|Home Improvement"/>
  </r>
  <r>
    <s v="MasterCard (Capital One)"/>
    <d v="2014-08-17T00:00:00"/>
    <n v="-5.75"/>
    <s v="X"/>
    <x v="37"/>
    <s v="Distance sensor"/>
    <s v="Shopping:Electronics &amp; Software/From Receipt"/>
    <m/>
    <m/>
    <s v="From Receipt"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17T00:00:00"/>
    <n v="-8.19"/>
    <s v="X"/>
    <x v="37"/>
    <s v="Multimeter"/>
    <s v="Shopping:Electronics &amp; Software/From Receipt"/>
    <m/>
    <m/>
    <s v="From Receipt"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17T00:00:00"/>
    <n v="-8.73"/>
    <s v="X"/>
    <x v="13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7T00:00:00"/>
    <n v="-105.25"/>
    <s v="X"/>
    <x v="105"/>
    <s v="Garage repairs at 7231"/>
    <s v="Business Expenses (Koolikai):Repairs/7231:From Receipt"/>
    <m/>
    <m/>
    <s v="7231:From Receipt"/>
    <x v="36"/>
    <x v="41"/>
    <x v="0"/>
    <m/>
    <x v="0"/>
    <m/>
    <s v="Aug"/>
    <n v="2014"/>
    <s v="Irregular"/>
    <n v="0"/>
    <s v="No"/>
    <s v="None"/>
    <s v="Business Expenses (Koolikai)|Repairs"/>
  </r>
  <r>
    <s v="MasterCard (Capital One)"/>
    <d v="2014-08-16T00:00:00"/>
    <n v="-7.78"/>
    <s v="X"/>
    <x v="268"/>
    <s v="Bouncy lights"/>
    <s v="Kids:Toys/From Receipt"/>
    <m/>
    <m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16T00:00:00"/>
    <n v="-12.77"/>
    <s v="X"/>
    <x v="269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6T00:00:00"/>
    <n v="-17.02"/>
    <s v="X"/>
    <x v="43"/>
    <m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16T00:00:00"/>
    <n v="-24.93"/>
    <s v="X"/>
    <x v="270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6T00:00:00"/>
    <n v="-71.05"/>
    <s v="X"/>
    <x v="2"/>
    <m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First Tech - Checking (5544)"/>
    <d v="2014-08-15T00:00:00"/>
    <n v="3221.49"/>
    <s v="X"/>
    <x v="47"/>
    <s v="ACH Deposit--MICROSOFT  - EDIPAYMENT"/>
    <s v="Net Salary"/>
    <m/>
    <m/>
    <m/>
    <x v="35"/>
    <x v="0"/>
    <x v="0"/>
    <m/>
    <x v="0"/>
    <m/>
    <s v="Aug"/>
    <n v="2014"/>
    <s v="Monthly"/>
    <n v="0"/>
    <s v="No"/>
    <s v="None"/>
    <s v="Net Salary"/>
  </r>
  <r>
    <s v="MasterCard (Capital One)"/>
    <d v="2014-08-15T00:00:00"/>
    <n v="-4.93"/>
    <s v="X"/>
    <x v="182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5T00:00:00"/>
    <n v="-6"/>
    <s v="X"/>
    <x v="39"/>
    <m/>
    <s v="Auto &amp; Transport:Parking"/>
    <m/>
    <m/>
    <m/>
    <x v="17"/>
    <x v="11"/>
    <x v="0"/>
    <m/>
    <x v="0"/>
    <m/>
    <s v="Aug"/>
    <n v="2014"/>
    <s v="Monthly"/>
    <n v="0"/>
    <s v="No"/>
    <s v="None"/>
    <s v="Auto &amp; Transport|Parking"/>
  </r>
  <r>
    <s v="MasterCard (Capital One)"/>
    <d v="2014-08-15T00:00:00"/>
    <n v="-8"/>
    <s v="X"/>
    <x v="271"/>
    <m/>
    <s v="Auto &amp; Transport:Parking"/>
    <m/>
    <m/>
    <m/>
    <x v="17"/>
    <x v="11"/>
    <x v="0"/>
    <m/>
    <x v="0"/>
    <m/>
    <s v="Aug"/>
    <n v="2014"/>
    <s v="Monthly"/>
    <n v="0"/>
    <s v="No"/>
    <s v="None"/>
    <s v="Auto &amp; Transport|Parking"/>
  </r>
  <r>
    <s v="First Tech - Checking (5544)"/>
    <d v="2014-08-13T00:00:00"/>
    <n v="-45.2"/>
    <s v="X"/>
    <x v="45"/>
    <s v="ACH Debit--PUGET SOUND ENER DIRECT DEBITING - PSE BILL  45000438"/>
    <s v="Bills &amp; Utilities:Utilities"/>
    <m/>
    <m/>
    <m/>
    <x v="34"/>
    <x v="18"/>
    <x v="0"/>
    <m/>
    <x v="0"/>
    <m/>
    <s v="Aug"/>
    <n v="2014"/>
    <s v="Monthly"/>
    <n v="0"/>
    <s v="No"/>
    <s v="None"/>
    <s v="Bills &amp; Utilities|Utilities"/>
  </r>
  <r>
    <s v="MasterCard (Capital One)"/>
    <d v="2014-08-13T00:00:00"/>
    <n v="-12.95"/>
    <s v="X"/>
    <x v="272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3T00:00:00"/>
    <n v="-42.13"/>
    <s v="X"/>
    <x v="273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3T00:00:00"/>
    <n v="-8.08"/>
    <s v="X"/>
    <x v="2"/>
    <m/>
    <s v="Gifts/From Receipt"/>
    <m/>
    <s v="Split"/>
    <s v="From Receipt"/>
    <x v="28"/>
    <x v="0"/>
    <x v="0"/>
    <m/>
    <x v="0"/>
    <m/>
    <s v="Aug"/>
    <n v="2014"/>
    <s v="Monthly"/>
    <n v="0"/>
    <s v="No"/>
    <s v="None"/>
    <s v="Gifts"/>
  </r>
  <r>
    <s v="MasterCard (Capital One)"/>
    <d v="2014-08-13T00:00:00"/>
    <n v="-81.5"/>
    <s v="X"/>
    <x v="2"/>
    <m/>
    <s v="Food &amp; Dining:Groceries/From Receipt"/>
    <m/>
    <s v="Split"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13T00:00:00"/>
    <n v="-3.93"/>
    <s v="X"/>
    <x v="274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13T00:00:00"/>
    <n v="-93"/>
    <s v="X"/>
    <x v="275"/>
    <s v="Twelfth night"/>
    <s v="Entertainment"/>
    <m/>
    <m/>
    <m/>
    <x v="30"/>
    <x v="0"/>
    <x v="0"/>
    <m/>
    <x v="0"/>
    <m/>
    <s v="Aug"/>
    <n v="2014"/>
    <s v="Monthly"/>
    <n v="0"/>
    <s v="No"/>
    <s v="None"/>
    <s v="Entertainment"/>
  </r>
  <r>
    <s v="Chase Freedom XX9381"/>
    <d v="2014-08-12T00:00:00"/>
    <n v="-3.63"/>
    <s v="X"/>
    <x v="37"/>
    <s v="More blind repair materials"/>
    <s v="Home:Home Improvement"/>
    <m/>
    <m/>
    <m/>
    <x v="14"/>
    <x v="19"/>
    <x v="0"/>
    <m/>
    <x v="0"/>
    <m/>
    <s v="Aug"/>
    <n v="2014"/>
    <s v="Irregular"/>
    <n v="0"/>
    <s v="No"/>
    <s v="None"/>
    <s v="Home|Home Improvement"/>
  </r>
  <r>
    <s v="Chase Freedom XX9381"/>
    <d v="2014-08-12T00:00:00"/>
    <n v="-43.37"/>
    <s v="X"/>
    <x v="276"/>
    <m/>
    <s v="Auto &amp; Transport:Gas &amp; Fuel"/>
    <m/>
    <m/>
    <m/>
    <x v="17"/>
    <x v="37"/>
    <x v="0"/>
    <m/>
    <x v="0"/>
    <m/>
    <s v="Aug"/>
    <n v="2014"/>
    <s v="Monthly"/>
    <n v="0"/>
    <s v="No"/>
    <s v="None"/>
    <s v="Auto &amp; Transport|Gas &amp; Fuel"/>
  </r>
  <r>
    <s v="Koolikai Credit Card"/>
    <d v="2014-08-12T00:00:00"/>
    <n v="-146.91999999999999"/>
    <s v="X"/>
    <x v="55"/>
    <m/>
    <s v="Business Expenses (Koolikai):Cell Phone"/>
    <m/>
    <m/>
    <m/>
    <x v="36"/>
    <x v="22"/>
    <x v="0"/>
    <m/>
    <x v="0"/>
    <m/>
    <s v="Aug"/>
    <n v="2014"/>
    <s v="Monthly"/>
    <n v="0"/>
    <s v="No"/>
    <s v="None"/>
    <s v="Business Expenses (Koolikai)|Cell Phone"/>
  </r>
  <r>
    <s v="MasterCard (Capital One)"/>
    <d v="2014-08-12T00:00:00"/>
    <n v="-103.19"/>
    <s v="X"/>
    <x v="277"/>
    <s v="Arduino kit"/>
    <s v="Shopping:Electronics &amp; Software"/>
    <m/>
    <m/>
    <m/>
    <x v="13"/>
    <x v="20"/>
    <x v="0"/>
    <m/>
    <x v="0"/>
    <m/>
    <s v="Aug"/>
    <n v="2014"/>
    <s v="Annual"/>
    <n v="0"/>
    <s v="No"/>
    <s v="None"/>
    <s v="Shopping|Electronics &amp; Software"/>
  </r>
  <r>
    <s v="MasterCard (Capital One)"/>
    <d v="2014-08-11T00:00:00"/>
    <n v="-37.72"/>
    <s v="X"/>
    <x v="2"/>
    <m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11T00:00:00"/>
    <n v="-50"/>
    <s v="X"/>
    <x v="278"/>
    <m/>
    <s v="Charity:Charity (Cash)"/>
    <m/>
    <m/>
    <m/>
    <x v="22"/>
    <x v="7"/>
    <x v="0"/>
    <m/>
    <x v="0"/>
    <m/>
    <s v="Aug"/>
    <n v="2014"/>
    <s v="Annual"/>
    <n v="0"/>
    <s v="No"/>
    <s v="None"/>
    <s v="Charity|Charity (Cash)"/>
  </r>
  <r>
    <s v="MasterCard (Capital One)"/>
    <d v="2014-08-11T00:00:00"/>
    <n v="-136"/>
    <s v="X"/>
    <x v="87"/>
    <s v="Swimming lessons for Zach and Josh"/>
    <s v="Kids:Kids Activities"/>
    <m/>
    <m/>
    <m/>
    <x v="27"/>
    <x v="12"/>
    <x v="0"/>
    <m/>
    <x v="0"/>
    <m/>
    <s v="Aug"/>
    <n v="2014"/>
    <s v="Monthly"/>
    <n v="0"/>
    <s v="No"/>
    <s v="None"/>
    <s v="Kids|Kids Activities"/>
  </r>
  <r>
    <s v="First Tech - Checking (5544)"/>
    <d v="2014-08-10T00:00:00"/>
    <n v="100"/>
    <s v="X"/>
    <x v="279"/>
    <s v="Rebate for purchase of washing machine"/>
    <s v="Projects:Appliances"/>
    <m/>
    <m/>
    <m/>
    <x v="39"/>
    <x v="36"/>
    <x v="0"/>
    <m/>
    <x v="0"/>
    <m/>
    <s v="Aug"/>
    <n v="2014"/>
    <s v="Unplanned"/>
    <n v="0"/>
    <s v="No"/>
    <s v="None"/>
    <s v="Projects|Appliances"/>
  </r>
  <r>
    <s v="Chase Freedom XX9381"/>
    <d v="2014-08-10T00:00:00"/>
    <n v="-36.78"/>
    <s v="X"/>
    <x v="115"/>
    <m/>
    <s v="Auto &amp; Transport:Gas &amp; Fuel"/>
    <m/>
    <m/>
    <m/>
    <x v="17"/>
    <x v="37"/>
    <x v="0"/>
    <m/>
    <x v="0"/>
    <m/>
    <s v="Aug"/>
    <n v="2014"/>
    <s v="Monthly"/>
    <n v="0"/>
    <s v="No"/>
    <s v="None"/>
    <s v="Auto &amp; Transport|Gas &amp; Fuel"/>
  </r>
  <r>
    <s v="MasterCard (Capital One)"/>
    <d v="2014-08-10T00:00:00"/>
    <n v="-20.420000000000002"/>
    <s v="X"/>
    <x v="280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First Tech - Checking (5544)"/>
    <d v="2014-08-08T00:00:00"/>
    <n v="-60.35"/>
    <s v="X"/>
    <x v="142"/>
    <s v="ACH Debit--TARGET CARD SRVC 001 - AUTO PYMT"/>
    <s v="[Target Red Card]"/>
    <m/>
    <m/>
    <m/>
    <x v="12"/>
    <x v="0"/>
    <x v="0"/>
    <m/>
    <x v="0"/>
    <m/>
    <s v="Aug"/>
    <n v="2014"/>
    <s v="Account"/>
    <n v="0"/>
    <s v="No"/>
    <s v="None"/>
    <s v="[Target Red Card]"/>
  </r>
  <r>
    <s v="Chase Freedom XX9381"/>
    <d v="2014-08-08T00:00:00"/>
    <n v="-20.329999999999998"/>
    <s v="X"/>
    <x v="37"/>
    <s v="Rechargeable batteries"/>
    <s v="Kids:Toys"/>
    <m/>
    <m/>
    <m/>
    <x v="27"/>
    <x v="14"/>
    <x v="0"/>
    <m/>
    <x v="0"/>
    <m/>
    <s v="Aug"/>
    <n v="2014"/>
    <s v="Monthly"/>
    <n v="0"/>
    <s v="No"/>
    <s v="None"/>
    <s v="Kids|Toys"/>
  </r>
  <r>
    <s v="Target Red Card"/>
    <d v="2014-08-08T00:00:00"/>
    <n v="60.35"/>
    <s v="X"/>
    <x v="142"/>
    <s v="ACH Debit--TARGET CARD SRVC 001 - AUTO PYMT"/>
    <s v="[First Tech - Checking (5544)]"/>
    <m/>
    <m/>
    <m/>
    <x v="21"/>
    <x v="0"/>
    <x v="0"/>
    <m/>
    <x v="0"/>
    <m/>
    <s v="Aug"/>
    <n v="2014"/>
    <s v="Account"/>
    <n v="0"/>
    <s v="No"/>
    <s v="None"/>
    <s v="[First Tech - Checking (5544)]"/>
  </r>
  <r>
    <s v="MasterCard (Capital One)"/>
    <d v="2014-08-07T00:00:00"/>
    <n v="-7.65"/>
    <s v="X"/>
    <x v="2"/>
    <s v="Water gun"/>
    <s v="Kids:Toys/From Receipt"/>
    <m/>
    <s v="Split"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07T00:00:00"/>
    <n v="-43.79"/>
    <s v="X"/>
    <x v="2"/>
    <s v="Air pump"/>
    <s v="Shopping:Hobbies:Camping Equipment/From Receipt"/>
    <m/>
    <s v="Split"/>
    <s v="From Receipt"/>
    <x v="13"/>
    <x v="48"/>
    <x v="2"/>
    <m/>
    <x v="0"/>
    <m/>
    <s v="Aug"/>
    <n v="2014"/>
    <s v="Annual"/>
    <n v="0"/>
    <s v="No"/>
    <s v="None"/>
    <s v="Shopping|Hobbies"/>
  </r>
  <r>
    <s v="MasterCard (Capital One)"/>
    <d v="2014-08-07T00:00:00"/>
    <n v="-10.94"/>
    <s v="X"/>
    <x v="2"/>
    <s v="Batteries"/>
    <s v="Kids:Toys/From Receipt"/>
    <m/>
    <s v="Split"/>
    <s v="From Receipt"/>
    <x v="27"/>
    <x v="14"/>
    <x v="0"/>
    <m/>
    <x v="0"/>
    <m/>
    <s v="Aug"/>
    <n v="2014"/>
    <s v="Monthly"/>
    <n v="0"/>
    <s v="No"/>
    <s v="None"/>
    <s v="Kids|Toys"/>
  </r>
  <r>
    <s v="MasterCard (Capital One)"/>
    <d v="2014-08-07T00:00:00"/>
    <n v="-10.86"/>
    <s v="X"/>
    <x v="281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Schwab - Checking (9784)"/>
    <d v="2014-08-06T00:00:00"/>
    <n v="-40"/>
    <s v="X"/>
    <x v="282"/>
    <s v="Cash for lunches, etc."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06T00:00:00"/>
    <n v="-6"/>
    <s v="X"/>
    <x v="2"/>
    <s v="Mini biners and mantel"/>
    <s v="Shopping:Hobbies:Camping Equipment/From Receipt"/>
    <m/>
    <s v="Split"/>
    <s v="From Receipt"/>
    <x v="13"/>
    <x v="48"/>
    <x v="2"/>
    <m/>
    <x v="0"/>
    <m/>
    <s v="Aug"/>
    <n v="2014"/>
    <s v="Annual"/>
    <n v="0"/>
    <s v="No"/>
    <s v="None"/>
    <s v="Shopping|Hobbies"/>
  </r>
  <r>
    <s v="MasterCard (Capital One)"/>
    <d v="2014-08-06T00:00:00"/>
    <n v="-67.77"/>
    <s v="X"/>
    <x v="2"/>
    <m/>
    <s v="Food &amp; Dining:Groceries/From Receipt"/>
    <m/>
    <s v="Split"/>
    <s v="From Receipt"/>
    <x v="15"/>
    <x v="3"/>
    <x v="0"/>
    <m/>
    <x v="0"/>
    <m/>
    <s v="Aug"/>
    <n v="2014"/>
    <s v="Monthly"/>
    <n v="0"/>
    <s v="No"/>
    <s v="None"/>
    <s v="Food &amp; Dining|Groceries"/>
  </r>
  <r>
    <s v="First Tech - Checking (5544)"/>
    <d v="2014-08-05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Aug"/>
    <n v="2014"/>
    <s v="Monthly"/>
    <n v="0"/>
    <s v="No"/>
    <s v="None"/>
    <s v="Kids|American Funds 529A"/>
  </r>
  <r>
    <s v="First Tech - Checking (5544)"/>
    <d v="2014-08-05T00:00:00"/>
    <n v="-3864.19"/>
    <s v="X"/>
    <x v="69"/>
    <s v="ACH Debit--WF HOME MTG ACH - AUTO PAY"/>
    <s v="Home:Mortgage"/>
    <m/>
    <m/>
    <m/>
    <x v="14"/>
    <x v="27"/>
    <x v="0"/>
    <m/>
    <x v="0"/>
    <m/>
    <s v="Aug"/>
    <n v="2014"/>
    <s v="Monthly"/>
    <n v="0"/>
    <s v="No"/>
    <s v="None"/>
    <s v="Home|Mortgage"/>
  </r>
  <r>
    <s v="First Tech - Checking (5544)"/>
    <d v="2014-08-05T00:00:00"/>
    <n v="-70"/>
    <s v="X"/>
    <x v="107"/>
    <s v="Check--"/>
    <s v="Kids:Babysitter"/>
    <n v="2133"/>
    <m/>
    <m/>
    <x v="27"/>
    <x v="13"/>
    <x v="0"/>
    <m/>
    <x v="0"/>
    <m/>
    <s v="Aug"/>
    <n v="2014"/>
    <s v="Monthly"/>
    <n v="0"/>
    <s v="No"/>
    <s v="None"/>
    <s v="Kids|Babysitter"/>
  </r>
  <r>
    <s v="MasterCard (Capital One)"/>
    <d v="2014-08-05T00:00:00"/>
    <n v="25"/>
    <s v="X"/>
    <x v="60"/>
    <s v="2011: CREDIT-CASH BACK REWARD"/>
    <s v="Other Inc"/>
    <m/>
    <m/>
    <m/>
    <x v="29"/>
    <x v="0"/>
    <x v="0"/>
    <m/>
    <x v="0"/>
    <m/>
    <s v="Aug"/>
    <n v="2014"/>
    <s v="Monthly"/>
    <n v="0"/>
    <s v="No"/>
    <s v="None"/>
    <s v="Other Inc"/>
  </r>
  <r>
    <s v="MasterCard (Capital One)"/>
    <d v="2014-08-05T00:00:00"/>
    <n v="-14.22"/>
    <s v="X"/>
    <x v="37"/>
    <s v="Camping lantern"/>
    <s v="Shopping:Hobbies:Camping Equipment/From Receipt"/>
    <m/>
    <m/>
    <s v="From Receipt"/>
    <x v="13"/>
    <x v="48"/>
    <x v="2"/>
    <m/>
    <x v="0"/>
    <m/>
    <s v="Aug"/>
    <n v="2014"/>
    <s v="Annual"/>
    <n v="0"/>
    <s v="No"/>
    <s v="None"/>
    <s v="Shopping|Hobbies"/>
  </r>
  <r>
    <s v="MasterCard (Capital One)"/>
    <d v="2014-08-05T00:00:00"/>
    <n v="-2.25"/>
    <s v="X"/>
    <x v="39"/>
    <m/>
    <s v="Auto &amp; Transport:Parking"/>
    <m/>
    <m/>
    <m/>
    <x v="17"/>
    <x v="11"/>
    <x v="0"/>
    <m/>
    <x v="0"/>
    <m/>
    <s v="Aug"/>
    <n v="2014"/>
    <s v="Monthly"/>
    <n v="0"/>
    <s v="No"/>
    <s v="None"/>
    <s v="Auto &amp; Transport|Parking"/>
  </r>
  <r>
    <s v="MasterCard (Capital One)"/>
    <d v="2014-08-05T00:00:00"/>
    <n v="-29.09"/>
    <s v="X"/>
    <x v="283"/>
    <m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First Tech - Checking (5544)"/>
    <d v="2014-08-04T00:00:00"/>
    <n v="632.09"/>
    <s v="X"/>
    <x v="284"/>
    <s v="Deposit--Shared Branch Mobile Deposit          First Tech FC CA"/>
    <s v="Projects:Fence/7231"/>
    <m/>
    <m/>
    <n v="7231"/>
    <x v="39"/>
    <x v="55"/>
    <x v="0"/>
    <m/>
    <x v="0"/>
    <m/>
    <s v="Aug"/>
    <n v="2014"/>
    <s v="Unplanned"/>
    <n v="0"/>
    <s v="No"/>
    <s v="None"/>
    <s v="Projects|Fence"/>
  </r>
  <r>
    <s v="First Tech - Checking (5544)"/>
    <d v="2014-08-04T00:00:00"/>
    <n v="1000"/>
    <s v="X"/>
    <x v="285"/>
    <s v="Compensation for Angela participating in round table"/>
    <s v="Other Inc"/>
    <m/>
    <m/>
    <m/>
    <x v="29"/>
    <x v="0"/>
    <x v="0"/>
    <m/>
    <x v="0"/>
    <m/>
    <s v="Aug"/>
    <n v="2014"/>
    <s v="Monthly"/>
    <n v="0"/>
    <s v="No"/>
    <s v="None"/>
    <s v="Other Inc"/>
  </r>
  <r>
    <s v="First Tech - Checking (5544)"/>
    <d v="2014-08-04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Aug"/>
    <n v="2014"/>
    <s v="Monthly"/>
    <n v="0"/>
    <s v="No"/>
    <s v="None"/>
    <s v="Business Expenses (Koolikai)|Mortgage (Business)"/>
  </r>
  <r>
    <s v="First Tech - Checking (5544)"/>
    <d v="2014-08-04T00:00:00"/>
    <n v="-2837.01"/>
    <s v="X"/>
    <x v="85"/>
    <s v="ACH Debit--CAPITAL ONE  - CRCARDPMT"/>
    <s v="[MasterCard (Capital One)]"/>
    <m/>
    <m/>
    <m/>
    <x v="38"/>
    <x v="0"/>
    <x v="0"/>
    <m/>
    <x v="0"/>
    <m/>
    <s v="Aug"/>
    <n v="2014"/>
    <s v="Account"/>
    <n v="0"/>
    <s v="No"/>
    <s v="None"/>
    <s v="[MasterCard (Capital One)]"/>
  </r>
  <r>
    <s v="First Tech - Checking (5544)"/>
    <d v="2014-08-04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Aug"/>
    <n v="2014"/>
    <s v="Monthly"/>
    <n v="0"/>
    <s v="No"/>
    <s v="None"/>
    <s v="Business Expenses (Koolikai)|Mortgage (Business)"/>
  </r>
  <r>
    <s v="Koolikai - Checking XX2129"/>
    <d v="2014-08-04T00:00:00"/>
    <n v="2295"/>
    <s v="X"/>
    <x v="144"/>
    <s v="Deposit--Shared Branch Mobile Deposit          First Tech FC CA"/>
    <s v="Business Income (Koolikai):Rent/7231:From Receipt"/>
    <m/>
    <m/>
    <s v="7231:From Receipt"/>
    <x v="37"/>
    <x v="25"/>
    <x v="0"/>
    <m/>
    <x v="0"/>
    <m/>
    <s v="Aug"/>
    <n v="2014"/>
    <s v="Monthly"/>
    <n v="0"/>
    <s v="No"/>
    <s v="None"/>
    <s v="Business Income (Koolikai)|Rent"/>
  </r>
  <r>
    <s v="MasterCard (Capital One)"/>
    <d v="2014-08-04T00:00:00"/>
    <n v="-23.9"/>
    <s v="X"/>
    <x v="37"/>
    <s v="Camping toaster and griddle"/>
    <s v="Shopping:Hobbies:Camping Equipment/From Receipt"/>
    <m/>
    <m/>
    <s v="From Receipt"/>
    <x v="13"/>
    <x v="48"/>
    <x v="2"/>
    <m/>
    <x v="0"/>
    <m/>
    <s v="Aug"/>
    <n v="2014"/>
    <s v="Annual"/>
    <n v="0"/>
    <s v="No"/>
    <s v="None"/>
    <s v="Shopping|Hobbies"/>
  </r>
  <r>
    <s v="MasterCard (Capital One)"/>
    <d v="2014-08-04T00:00:00"/>
    <n v="-32.85"/>
    <s v="X"/>
    <x v="286"/>
    <s v="2011: Groundspeak Membership 866-436-2224 WA 98103 USA"/>
    <s v="Shopping:Hobbies"/>
    <m/>
    <m/>
    <m/>
    <x v="13"/>
    <x v="48"/>
    <x v="0"/>
    <m/>
    <x v="0"/>
    <m/>
    <s v="Aug"/>
    <n v="2014"/>
    <s v="Annual"/>
    <n v="0"/>
    <s v="No"/>
    <s v="None"/>
    <s v="Shopping|Hobbies"/>
  </r>
  <r>
    <s v="Chase Freedom XX9381"/>
    <d v="2014-08-03T00:00:00"/>
    <n v="-249.21"/>
    <s v="X"/>
    <x v="37"/>
    <s v="Smoke detectors"/>
    <s v="Home:Home Improvement"/>
    <m/>
    <m/>
    <m/>
    <x v="14"/>
    <x v="19"/>
    <x v="0"/>
    <m/>
    <x v="0"/>
    <m/>
    <s v="Aug"/>
    <n v="2014"/>
    <s v="Irregular"/>
    <n v="0"/>
    <s v="No"/>
    <s v="None"/>
    <s v="Home|Home Improvement"/>
  </r>
  <r>
    <s v="MasterCard (Capital One)"/>
    <d v="2014-08-03T00:00:00"/>
    <n v="-8.75"/>
    <s v="X"/>
    <x v="81"/>
    <s v="2011: NETFLIX.COM NETFLIX.COM CA 95032 USA"/>
    <s v="Entertainment:Movies &amp; DVDs"/>
    <m/>
    <m/>
    <m/>
    <x v="30"/>
    <x v="43"/>
    <x v="0"/>
    <m/>
    <x v="0"/>
    <m/>
    <s v="Aug"/>
    <n v="2014"/>
    <s v="Unplanned"/>
    <n v="0"/>
    <s v="No"/>
    <s v="None"/>
    <s v="Entertainment|Movies &amp; DVDs"/>
  </r>
  <r>
    <s v="MasterCard (Capital One)"/>
    <d v="2014-08-03T00:00:00"/>
    <n v="-12.97"/>
    <s v="X"/>
    <x v="34"/>
    <s v="2011: TACO DEL MAR GREENWOOD SEATTLE WA 98103 USA"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03T00:00:00"/>
    <n v="-37.04"/>
    <s v="X"/>
    <x v="43"/>
    <s v="2011: TRADER JOE'S #147 QPS SEATTLE WA 98107 USA"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03T00:00:00"/>
    <n v="-78.959999999999994"/>
    <s v="X"/>
    <x v="2"/>
    <s v="@BAL:2459.96@@CAT:@"/>
    <s v="Food &amp; Dining:Groceries/From Receipt"/>
    <m/>
    <m/>
    <s v="From Receipt"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02T00:00:00"/>
    <n v="-0.6"/>
    <s v="X"/>
    <x v="287"/>
    <s v="2011: SEATTLE 684-PARK SEATTLE WA 98104 USA"/>
    <s v="Auto &amp; Transport:Parking"/>
    <m/>
    <m/>
    <m/>
    <x v="17"/>
    <x v="11"/>
    <x v="0"/>
    <m/>
    <x v="0"/>
    <m/>
    <s v="Aug"/>
    <n v="2014"/>
    <s v="Monthly"/>
    <n v="0"/>
    <s v="No"/>
    <s v="None"/>
    <s v="Auto &amp; Transport|Parking"/>
  </r>
  <r>
    <s v="MasterCard (Capital One)"/>
    <d v="2014-08-02T00:00:00"/>
    <n v="-8.15"/>
    <s v="X"/>
    <x v="288"/>
    <s v="2011: J'AIME LES CREPES KINGSTON WA 98346 USA"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MasterCard (Capital One)"/>
    <d v="2014-08-02T00:00:00"/>
    <n v="-16"/>
    <s v="X"/>
    <x v="289"/>
    <s v="2011: WSFERRIES-ED 888087971 SEATTLE WA 98121 USA"/>
    <s v="Kids:Kids Activities"/>
    <m/>
    <m/>
    <m/>
    <x v="27"/>
    <x v="12"/>
    <x v="0"/>
    <m/>
    <x v="0"/>
    <m/>
    <s v="Aug"/>
    <n v="2014"/>
    <s v="Monthly"/>
    <n v="0"/>
    <s v="No"/>
    <s v="None"/>
    <s v="Kids|Kids Activities"/>
  </r>
  <r>
    <s v="MasterCard (Capital One)"/>
    <d v="2014-08-02T00:00:00"/>
    <n v="-20"/>
    <s v="X"/>
    <x v="57"/>
    <s v="2011: KEN'S MARKET #75-116 SEATTLE WA 98103 USA"/>
    <s v="Food &amp; Dining:Groceries"/>
    <m/>
    <m/>
    <m/>
    <x v="15"/>
    <x v="3"/>
    <x v="0"/>
    <m/>
    <x v="0"/>
    <m/>
    <s v="Aug"/>
    <n v="2014"/>
    <s v="Monthly"/>
    <n v="0"/>
    <s v="No"/>
    <s v="None"/>
    <s v="Food &amp; Dining|Groceries"/>
  </r>
  <r>
    <s v="MasterCard (Capital One)"/>
    <d v="2014-08-02T00:00:00"/>
    <n v="-20.98"/>
    <s v="X"/>
    <x v="88"/>
    <s v="2011: COMCAST CABLE COMM 800-COMCAST WA 98087 USA"/>
    <s v="Bills &amp; Utilities:Television"/>
    <m/>
    <s v="Split"/>
    <m/>
    <x v="34"/>
    <x v="32"/>
    <x v="0"/>
    <m/>
    <x v="0"/>
    <m/>
    <s v="Aug"/>
    <n v="2014"/>
    <s v="Monthly"/>
    <n v="0"/>
    <s v="No"/>
    <s v="None"/>
    <s v="Bills &amp; Utilities|Television"/>
  </r>
  <r>
    <s v="MasterCard (Capital One)"/>
    <d v="2014-08-02T00:00:00"/>
    <n v="-66.53"/>
    <s v="X"/>
    <x v="88"/>
    <m/>
    <s v="Business Expenses (Koolikai):Internet"/>
    <m/>
    <s v="Split"/>
    <m/>
    <x v="36"/>
    <x v="33"/>
    <x v="0"/>
    <m/>
    <x v="0"/>
    <m/>
    <s v="Aug"/>
    <n v="2014"/>
    <s v="Monthly"/>
    <n v="0"/>
    <s v="No"/>
    <s v="None"/>
    <s v="Business Expenses (Koolikai)|Internet"/>
  </r>
  <r>
    <s v="MasterCard (Capital One)"/>
    <d v="2014-08-02T00:00:00"/>
    <n v="-44.54"/>
    <s v="X"/>
    <x v="88"/>
    <m/>
    <s v="Bills &amp; Utilities:Home Phone"/>
    <m/>
    <s v="Split"/>
    <m/>
    <x v="34"/>
    <x v="34"/>
    <x v="0"/>
    <m/>
    <x v="0"/>
    <m/>
    <s v="Aug"/>
    <n v="2014"/>
    <s v="Monthly"/>
    <n v="0"/>
    <s v="No"/>
    <s v="None"/>
    <s v="Bills &amp; Utilities|Home Phone"/>
  </r>
  <r>
    <s v="MasterCard (Capital One)"/>
    <d v="2014-08-02T00:00:00"/>
    <n v="-149.38"/>
    <s v="X"/>
    <x v="290"/>
    <s v="2011: VOLTERRA SEATTLE WA 98107 USA"/>
    <s v="Food &amp; Dining:Restaurants"/>
    <m/>
    <m/>
    <m/>
    <x v="15"/>
    <x v="15"/>
    <x v="0"/>
    <m/>
    <x v="0"/>
    <m/>
    <s v="Aug"/>
    <n v="2014"/>
    <s v="Monthly"/>
    <n v="0"/>
    <s v="No"/>
    <s v="None"/>
    <s v="Food &amp; Dining|Restaurants"/>
  </r>
  <r>
    <s v="First Tech - Checking (5544)"/>
    <d v="2014-08-01T00:00:00"/>
    <n v="-1976"/>
    <s v="X"/>
    <x v="291"/>
    <s v="ACH Debit--PHINNEY RIDGE LU 504759859 - CONTRIBUTN"/>
    <s v="Kids:Daycare"/>
    <m/>
    <m/>
    <m/>
    <x v="27"/>
    <x v="35"/>
    <x v="0"/>
    <m/>
    <x v="0"/>
    <m/>
    <s v="Aug"/>
    <n v="2014"/>
    <s v="Monthly"/>
    <n v="0"/>
    <s v="No"/>
    <s v="None"/>
    <s v="Kids|Daycare"/>
  </r>
  <r>
    <s v="MasterCard (Capital One)"/>
    <d v="2014-08-01T00:00:00"/>
    <n v="2837.01"/>
    <s v="X"/>
    <x v="85"/>
    <s v="2011: CAPITAL ONE AUTOPAY PYMT AuthDate 06-JUL"/>
    <s v="[First Tech - Checking (5544)]"/>
    <m/>
    <m/>
    <m/>
    <x v="21"/>
    <x v="0"/>
    <x v="0"/>
    <m/>
    <x v="0"/>
    <m/>
    <s v="Aug"/>
    <n v="2014"/>
    <s v="Account"/>
    <n v="0"/>
    <s v="No"/>
    <s v="None"/>
    <s v="[First Tech - Checking (5544)]"/>
  </r>
  <r>
    <s v="Capital One - Investment (6759)"/>
    <d v="2014-07-31T00:00:00"/>
    <n v="20.04"/>
    <s v="X"/>
    <x v="100"/>
    <s v="@CAT:@"/>
    <s v="Interest Income"/>
    <s v="INT"/>
    <m/>
    <m/>
    <x v="40"/>
    <x v="0"/>
    <x v="0"/>
    <m/>
    <x v="0"/>
    <m/>
    <s v="Jul"/>
    <n v="2014"/>
    <s v="Monthly"/>
    <n v="0"/>
    <s v="No"/>
    <s v="None"/>
    <s v="Interest Income"/>
  </r>
  <r>
    <s v="Capital One - Long Term Emergency (1201)"/>
    <d v="2014-07-31T00:00:00"/>
    <n v="50.3"/>
    <s v="X"/>
    <x v="100"/>
    <m/>
    <s v="Interest Income"/>
    <s v="INT"/>
    <m/>
    <m/>
    <x v="40"/>
    <x v="0"/>
    <x v="0"/>
    <m/>
    <x v="0"/>
    <m/>
    <s v="Jul"/>
    <n v="2014"/>
    <s v="Monthly"/>
    <n v="0"/>
    <s v="No"/>
    <s v="None"/>
    <s v="Interest Income"/>
  </r>
  <r>
    <s v="Capital One - Secondary Savings (3126)"/>
    <d v="2014-07-31T00:00:00"/>
    <n v="0.02"/>
    <s v="X"/>
    <x v="100"/>
    <m/>
    <s v="Interest Income"/>
    <s v="INT"/>
    <m/>
    <m/>
    <x v="40"/>
    <x v="0"/>
    <x v="0"/>
    <m/>
    <x v="0"/>
    <m/>
    <s v="Jul"/>
    <n v="2014"/>
    <s v="Monthly"/>
    <n v="0"/>
    <s v="No"/>
    <s v="None"/>
    <s v="Interest Income"/>
  </r>
  <r>
    <s v="Capital One - Vacation (4959)"/>
    <d v="2014-07-31T00:00:00"/>
    <n v="2.13"/>
    <s v="X"/>
    <x v="100"/>
    <m/>
    <s v="Interest Income"/>
    <s v="INT"/>
    <m/>
    <m/>
    <x v="40"/>
    <x v="0"/>
    <x v="0"/>
    <m/>
    <x v="0"/>
    <m/>
    <s v="Jul"/>
    <n v="2014"/>
    <s v="Monthly"/>
    <n v="0"/>
    <s v="No"/>
    <s v="None"/>
    <s v="Interest Income"/>
  </r>
  <r>
    <s v="Koolikai - Checking XX2129"/>
    <d v="2014-07-31T00:00:00"/>
    <n v="2195"/>
    <s v="X"/>
    <x v="133"/>
    <s v="Deposit--Shared Branch Mobile Deposit          First Tech FC CA"/>
    <s v="Business Income (Koolikai):Rent/9602:From Receipt"/>
    <m/>
    <m/>
    <s v="9602:From Receipt"/>
    <x v="37"/>
    <x v="25"/>
    <x v="0"/>
    <m/>
    <x v="0"/>
    <m/>
    <s v="Jul"/>
    <n v="2014"/>
    <s v="Monthly"/>
    <n v="0"/>
    <s v="No"/>
    <s v="None"/>
    <s v="Business Income (Koolikai)|Rent"/>
  </r>
  <r>
    <s v="Koolikai - Sec Dep XX1200"/>
    <d v="2014-07-31T00:00:00"/>
    <n v="0.19"/>
    <s v="X"/>
    <x v="93"/>
    <s v="Credit Dividend--"/>
    <s v="Interest Income"/>
    <m/>
    <m/>
    <m/>
    <x v="40"/>
    <x v="0"/>
    <x v="0"/>
    <m/>
    <x v="0"/>
    <m/>
    <s v="Jul"/>
    <n v="2014"/>
    <s v="Monthly"/>
    <n v="0"/>
    <s v="No"/>
    <s v="None"/>
    <s v="Interest Income"/>
  </r>
  <r>
    <s v="Schwab - Checking (9784)"/>
    <d v="2014-07-31T00:00:00"/>
    <n v="7.0000000000000007E-2"/>
    <s v="X"/>
    <x v="102"/>
    <m/>
    <s v="Interest Income"/>
    <m/>
    <m/>
    <m/>
    <x v="40"/>
    <x v="0"/>
    <x v="0"/>
    <m/>
    <x v="0"/>
    <m/>
    <s v="Jul"/>
    <n v="2014"/>
    <s v="Monthly"/>
    <n v="0"/>
    <s v="No"/>
    <s v="None"/>
    <s v="Interest Income"/>
  </r>
  <r>
    <s v="Schwab - Checking (9784)"/>
    <d v="2014-07-31T00:00:00"/>
    <n v="5"/>
    <s v="X"/>
    <x v="103"/>
    <m/>
    <s v="Bank Fees &amp; Charges:ATM Fee"/>
    <m/>
    <m/>
    <m/>
    <x v="32"/>
    <x v="17"/>
    <x v="0"/>
    <m/>
    <x v="0"/>
    <m/>
    <s v="Jul"/>
    <n v="2014"/>
    <s v="Monthly"/>
    <n v="0"/>
    <s v="No"/>
    <s v="None"/>
    <s v="Bank Fees &amp; Charges|ATM Fee"/>
  </r>
  <r>
    <s v="American Express (Costco)"/>
    <d v="2014-07-31T00:00:00"/>
    <n v="-26.27"/>
    <s v="X"/>
    <x v="1"/>
    <s v="Matress inflator"/>
    <s v="Shopping:Hobbies:Camping Equipment"/>
    <m/>
    <s v="Split"/>
    <m/>
    <x v="13"/>
    <x v="48"/>
    <x v="2"/>
    <m/>
    <x v="0"/>
    <m/>
    <s v="Jul"/>
    <n v="2014"/>
    <s v="Annual"/>
    <n v="0"/>
    <s v="No"/>
    <s v="None"/>
    <s v="Shopping|Hobbies"/>
  </r>
  <r>
    <s v="American Express (Costco)"/>
    <d v="2014-07-31T00:00:00"/>
    <n v="-61.9"/>
    <s v="X"/>
    <x v="1"/>
    <m/>
    <s v="Food &amp; Dining:Groceries"/>
    <m/>
    <s v="Split"/>
    <m/>
    <x v="15"/>
    <x v="3"/>
    <x v="0"/>
    <m/>
    <x v="0"/>
    <m/>
    <s v="Jul"/>
    <n v="2014"/>
    <s v="Monthly"/>
    <n v="0"/>
    <s v="No"/>
    <s v="None"/>
    <s v="Food &amp; Dining|Groceries"/>
  </r>
  <r>
    <s v="Chase Freedom XX9381"/>
    <d v="2014-07-31T00:00:00"/>
    <n v="-35.520000000000003"/>
    <s v="X"/>
    <x v="292"/>
    <s v="Repair materials for blinds"/>
    <s v="Home:Home Improvement"/>
    <m/>
    <m/>
    <m/>
    <x v="14"/>
    <x v="19"/>
    <x v="0"/>
    <m/>
    <x v="0"/>
    <m/>
    <s v="Jul"/>
    <n v="2014"/>
    <s v="Irregular"/>
    <n v="0"/>
    <s v="No"/>
    <s v="None"/>
    <s v="Home|Home Improvement"/>
  </r>
  <r>
    <s v="First Tech - Checking (5544)"/>
    <d v="2014-07-30T00:00:00"/>
    <n v="3159.33"/>
    <s v="X"/>
    <x v="47"/>
    <s v="ACH Deposit--MICROSOFT  - EDIPAYMENT"/>
    <s v="Net Salary"/>
    <m/>
    <m/>
    <m/>
    <x v="35"/>
    <x v="0"/>
    <x v="0"/>
    <m/>
    <x v="0"/>
    <m/>
    <s v="Jul"/>
    <n v="2014"/>
    <s v="Monthly"/>
    <n v="0"/>
    <s v="No"/>
    <s v="None"/>
    <s v="Net Salary"/>
  </r>
  <r>
    <s v="First Tech - Checking (5544)"/>
    <d v="2014-07-30T00:00:00"/>
    <n v="6058.12"/>
    <s v="X"/>
    <x v="109"/>
    <s v="@CAT:@;@BAL:36,949.10@"/>
    <s v="Net Salary"/>
    <m/>
    <m/>
    <m/>
    <x v="35"/>
    <x v="0"/>
    <x v="0"/>
    <m/>
    <x v="0"/>
    <m/>
    <s v="Jul"/>
    <n v="2014"/>
    <s v="Monthly"/>
    <n v="0"/>
    <s v="No"/>
    <s v="None"/>
    <s v="Net Salary"/>
  </r>
  <r>
    <s v="MasterCard (Capital One)"/>
    <d v="2014-07-30T00:00:00"/>
    <n v="-1"/>
    <s v="X"/>
    <x v="2"/>
    <s v="2011: FRED-MEYER #0122 SEATTLE WA 98117 USA"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30T00:00:00"/>
    <n v="-21.9"/>
    <s v="X"/>
    <x v="2"/>
    <m/>
    <s v="Kids:Clothing/From Receipt"/>
    <m/>
    <s v="Split"/>
    <s v="From Receipt"/>
    <x v="27"/>
    <x v="1"/>
    <x v="0"/>
    <m/>
    <x v="0"/>
    <m/>
    <s v="Jul"/>
    <n v="2014"/>
    <s v="Monthly"/>
    <n v="0"/>
    <s v="No"/>
    <s v="None"/>
    <s v="Kids|Clothing"/>
  </r>
  <r>
    <s v="First Tech - Checking (5544)"/>
    <d v="2014-07-28T00:00:00"/>
    <n v="-115"/>
    <s v="X"/>
    <x v="176"/>
    <s v="ACH Debit--THE CLEANING AUT  - ONLINE PMT"/>
    <s v="Home:Home Services"/>
    <m/>
    <m/>
    <m/>
    <x v="14"/>
    <x v="46"/>
    <x v="0"/>
    <m/>
    <x v="0"/>
    <m/>
    <s v="Jul"/>
    <n v="2014"/>
    <s v="Monthly"/>
    <n v="0"/>
    <s v="No"/>
    <s v="None"/>
    <s v="Home|Home Services"/>
  </r>
  <r>
    <s v="First Tech - Checking (5544)"/>
    <d v="2014-07-28T00:00:00"/>
    <n v="-968.25"/>
    <s v="X"/>
    <x v="293"/>
    <s v="ACH Debit--CHASE  - AUTOPAY"/>
    <s v="[Chase Freedom XX9381]"/>
    <m/>
    <m/>
    <m/>
    <x v="7"/>
    <x v="0"/>
    <x v="0"/>
    <m/>
    <x v="0"/>
    <m/>
    <s v="Jul"/>
    <n v="2014"/>
    <e v="#N/A"/>
    <e v="#N/A"/>
    <e v="#N/A"/>
    <e v="#N/A"/>
    <s v="[Chase Freedom XX9381]"/>
  </r>
  <r>
    <s v="Chase Freedom XX9381"/>
    <d v="2014-07-28T00:00:00"/>
    <n v="-20"/>
    <s v="X"/>
    <x v="64"/>
    <m/>
    <s v="Food &amp; Dining:Groceries"/>
    <m/>
    <m/>
    <m/>
    <x v="15"/>
    <x v="3"/>
    <x v="0"/>
    <m/>
    <x v="0"/>
    <m/>
    <s v="Jul"/>
    <n v="2014"/>
    <s v="Monthly"/>
    <n v="0"/>
    <s v="No"/>
    <s v="None"/>
    <s v="Food &amp; Dining|Groceries"/>
  </r>
  <r>
    <s v="Chase Freedom XX9381"/>
    <d v="2014-07-28T00:00:00"/>
    <n v="-47.4"/>
    <s v="X"/>
    <x v="64"/>
    <s v="#Deception Pass 2014#"/>
    <s v="Vacation:Food/From Receipt"/>
    <m/>
    <m/>
    <s v="From Receipt"/>
    <x v="23"/>
    <x v="8"/>
    <x v="0"/>
    <m/>
    <x v="16"/>
    <m/>
    <s v="Jul"/>
    <n v="2014"/>
    <s v="Irregular"/>
    <n v="0"/>
    <s v="No"/>
    <s v="None"/>
    <s v="Vacation|Food"/>
  </r>
  <r>
    <s v="MasterCard (Capital One)"/>
    <d v="2014-07-28T00:00:00"/>
    <n v="-53.65"/>
    <s v="X"/>
    <x v="2"/>
    <s v="2011: FRED-MEYER #0122 SEATTLE WA 98117 USA"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28T00:00:00"/>
    <n v="-9.84"/>
    <s v="X"/>
    <x v="2"/>
    <s v="Camping fuel #Kalaloch 2014#"/>
    <s v="Vacation:Food/From Receipt"/>
    <m/>
    <s v="Split"/>
    <s v="From Receipt"/>
    <x v="23"/>
    <x v="8"/>
    <x v="0"/>
    <m/>
    <x v="13"/>
    <m/>
    <s v="Jul"/>
    <n v="2014"/>
    <s v="Irregular"/>
    <n v="0"/>
    <s v="No"/>
    <s v="None"/>
    <s v="Vacation|Food"/>
  </r>
  <r>
    <s v="Capital One - Long Term Emergency (1201)"/>
    <d v="2014-07-25T00:00:00"/>
    <n v="14.75"/>
    <s v="X"/>
    <x v="165"/>
    <m/>
    <s v="Interest Income"/>
    <m/>
    <m/>
    <m/>
    <x v="40"/>
    <x v="0"/>
    <x v="0"/>
    <m/>
    <x v="0"/>
    <m/>
    <s v="Jul"/>
    <n v="2014"/>
    <s v="Monthly"/>
    <n v="0"/>
    <s v="No"/>
    <s v="None"/>
    <s v="Interest Income"/>
  </r>
  <r>
    <s v="Chase Freedom XX9381"/>
    <d v="2014-07-25T00:00:00"/>
    <n v="968.25"/>
    <s v="X"/>
    <x v="6"/>
    <m/>
    <s v="[First Tech - Checking (5544)]"/>
    <m/>
    <m/>
    <m/>
    <x v="21"/>
    <x v="0"/>
    <x v="0"/>
    <m/>
    <x v="0"/>
    <m/>
    <s v="Jul"/>
    <n v="2014"/>
    <s v="Account"/>
    <n v="0"/>
    <s v="No"/>
    <s v="None"/>
    <s v="[First Tech - Checking (5544)]"/>
  </r>
  <r>
    <s v="First Tech - Checking (5544)"/>
    <d v="2014-07-24T00:00:00"/>
    <n v="16.41"/>
    <s v="X"/>
    <x v="130"/>
    <s v="#Stay Fit# ACH Deposit--STAY FIT MICROSO 304254681"/>
    <s v="Health &amp; Fitness:Sports"/>
    <m/>
    <m/>
    <m/>
    <x v="18"/>
    <x v="23"/>
    <x v="0"/>
    <m/>
    <x v="5"/>
    <m/>
    <s v="Jul"/>
    <n v="2014"/>
    <s v="Irregular"/>
    <n v="0"/>
    <s v="No"/>
    <s v="None"/>
    <s v="Health &amp; Fitness|Sports"/>
  </r>
  <r>
    <s v="Koolikai - Checking XX2129"/>
    <d v="2014-07-24T00:00:00"/>
    <n v="-231.67"/>
    <s v="X"/>
    <x v="11"/>
    <s v="ACH Debit--CHASE  - AUTOPAYBUS"/>
    <s v="[Koolikai Credit Card]"/>
    <m/>
    <m/>
    <m/>
    <x v="9"/>
    <x v="0"/>
    <x v="0"/>
    <m/>
    <x v="0"/>
    <m/>
    <s v="Jul"/>
    <n v="2014"/>
    <s v="Account"/>
    <n v="0"/>
    <s v="No"/>
    <s v="None"/>
    <s v="[Koolikai Credit Card]"/>
  </r>
  <r>
    <s v="MasterCard (Capital One)"/>
    <d v="2014-07-24T00:00:00"/>
    <n v="-122.1"/>
    <s v="X"/>
    <x v="2"/>
    <s v="2011: FRED-MEYER #0122 SEATTLE WA 98117 USA"/>
    <s v="Food &amp; Dining:Groceries"/>
    <m/>
    <s v="Split"/>
    <m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24T00:00:00"/>
    <n v="-5.46"/>
    <s v="X"/>
    <x v="2"/>
    <s v="Glow sticks"/>
    <s v="Kids:Toys/From Receipt"/>
    <m/>
    <s v="Split"/>
    <s v="From Receipt"/>
    <x v="27"/>
    <x v="14"/>
    <x v="0"/>
    <m/>
    <x v="0"/>
    <m/>
    <s v="Jul"/>
    <n v="2014"/>
    <s v="Monthly"/>
    <n v="0"/>
    <s v="No"/>
    <s v="None"/>
    <s v="Kids|Toys"/>
  </r>
  <r>
    <s v="First Tech - Checking (5544)"/>
    <d v="2014-07-23T00:00:00"/>
    <n v="-75.19"/>
    <s v="X"/>
    <x v="157"/>
    <s v="ACH Debit--AMEX EPayment AM - ACH PMT"/>
    <s v="[American Express (Costco)]"/>
    <m/>
    <m/>
    <m/>
    <x v="20"/>
    <x v="0"/>
    <x v="0"/>
    <m/>
    <x v="0"/>
    <m/>
    <s v="Jul"/>
    <n v="2014"/>
    <s v="Account"/>
    <n v="0"/>
    <s v="No"/>
    <s v="None"/>
    <s v="[American Express (Costco)]"/>
  </r>
  <r>
    <s v="First Tech - Checking (5544)"/>
    <d v="2014-07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Jul"/>
    <n v="2014"/>
    <s v="Monthly"/>
    <n v="0"/>
    <s v="No"/>
    <s v="None"/>
    <s v="Auto &amp; Transport|Auto Lease Payment"/>
  </r>
  <r>
    <s v="American Express (Costco)"/>
    <d v="2014-07-23T00:00:00"/>
    <n v="75.19"/>
    <s v="X"/>
    <x v="157"/>
    <s v="ACH Debit--AMEX EPayment AM - ACH PMT"/>
    <s v="[First Tech - Checking (5544)]"/>
    <m/>
    <m/>
    <m/>
    <x v="21"/>
    <x v="0"/>
    <x v="0"/>
    <m/>
    <x v="0"/>
    <m/>
    <s v="Jul"/>
    <n v="2014"/>
    <s v="Account"/>
    <n v="0"/>
    <s v="No"/>
    <s v="None"/>
    <s v="[First Tech - Checking (5544)]"/>
  </r>
  <r>
    <s v="Koolikai Credit Card"/>
    <d v="2014-07-23T00:00:00"/>
    <n v="231.67"/>
    <s v="X"/>
    <x v="11"/>
    <m/>
    <s v="[Koolikai - Checking XX2129]"/>
    <m/>
    <m/>
    <m/>
    <x v="25"/>
    <x v="0"/>
    <x v="0"/>
    <m/>
    <x v="0"/>
    <m/>
    <s v="Jul"/>
    <n v="2014"/>
    <s v="Account"/>
    <n v="0"/>
    <s v="No"/>
    <s v="None"/>
    <s v="[Koolikai - Checking XX2129]"/>
  </r>
  <r>
    <s v="Schwab - Checking (9784)"/>
    <d v="2014-07-22T00:00:00"/>
    <n v="-26.66"/>
    <s v="X"/>
    <x v="2"/>
    <m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Schwab - Checking (9784)"/>
    <d v="2014-07-22T00:00:00"/>
    <n v="-20"/>
    <s v="X"/>
    <x v="2"/>
    <s v="Cash back"/>
    <s v="Food &amp; Dining:Restaurants/From Receipt"/>
    <m/>
    <s v="Split"/>
    <s v="From Receipt"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20T00:00:00"/>
    <n v="-11.83"/>
    <s v="X"/>
    <x v="294"/>
    <s v="2011: PIE - SEATTLE CENTER SEATTLE WA 98109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20T00:00:00"/>
    <n v="-12"/>
    <s v="X"/>
    <x v="295"/>
    <s v="2011: THE CHILDRENS MUSEUM S 206-4411768 WA 981094623 USA"/>
    <s v="Kids:Kids Activities"/>
    <m/>
    <m/>
    <m/>
    <x v="27"/>
    <x v="12"/>
    <x v="0"/>
    <m/>
    <x v="0"/>
    <m/>
    <s v="Jul"/>
    <n v="2014"/>
    <s v="Monthly"/>
    <n v="0"/>
    <s v="No"/>
    <s v="None"/>
    <s v="Kids|Kids Activities"/>
  </r>
  <r>
    <s v="MasterCard (Capital One)"/>
    <d v="2014-07-20T00:00:00"/>
    <n v="-18.23"/>
    <s v="X"/>
    <x v="25"/>
    <s v="2011: MOD SUPERFAST PIZZA - SEATTLE WA 98109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9T00:00:00"/>
    <n v="-31.68"/>
    <s v="X"/>
    <x v="105"/>
    <s v="Smoke alarm, tape measures, hole cover"/>
    <s v="Business Expenses (Koolikai):Office Expenses (Business)/From Receipt"/>
    <m/>
    <m/>
    <s v="From Receipt"/>
    <x v="36"/>
    <x v="42"/>
    <x v="0"/>
    <m/>
    <x v="0"/>
    <m/>
    <s v="Jul"/>
    <n v="2014"/>
    <s v="Monthly"/>
    <n v="0"/>
    <s v="No"/>
    <s v="None"/>
    <s v="Business Expenses (Koolikai)|Office Expenses (Business)"/>
  </r>
  <r>
    <s v="MasterCard (Capital One)"/>
    <d v="2014-07-19T00:00:00"/>
    <n v="-50.03"/>
    <s v="X"/>
    <x v="296"/>
    <s v="2011: LUCIANOS PIZZA AND PAS SEATTLE WA 98116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9T00:00:00"/>
    <n v="-2.6"/>
    <s v="X"/>
    <x v="2"/>
    <s v="Drawing pad and notebooks"/>
    <s v="Kids:Toys/From Receipt"/>
    <m/>
    <s v="Split"/>
    <s v="From Receipt"/>
    <x v="27"/>
    <x v="14"/>
    <x v="0"/>
    <m/>
    <x v="0"/>
    <m/>
    <s v="Jul"/>
    <n v="2014"/>
    <s v="Monthly"/>
    <n v="0"/>
    <s v="No"/>
    <s v="None"/>
    <s v="Kids|Toys"/>
  </r>
  <r>
    <s v="MasterCard (Capital One)"/>
    <d v="2014-07-19T00:00:00"/>
    <n v="-70.73"/>
    <s v="X"/>
    <x v="2"/>
    <m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18T00:00:00"/>
    <n v="-6.56"/>
    <s v="X"/>
    <x v="48"/>
    <s v="Sprinkler"/>
    <s v="Projects:Landscaping"/>
    <m/>
    <m/>
    <m/>
    <x v="39"/>
    <x v="47"/>
    <x v="0"/>
    <m/>
    <x v="0"/>
    <m/>
    <s v="Jul"/>
    <n v="2014"/>
    <s v="Unplanned"/>
    <n v="0"/>
    <s v="No"/>
    <s v="None"/>
    <s v="Projects|Landscaping"/>
  </r>
  <r>
    <s v="MasterCard (Capital One)"/>
    <d v="2014-07-17T00:00:00"/>
    <n v="-21.9"/>
    <s v="X"/>
    <x v="297"/>
    <s v="#Stay Fit# Bike repairs"/>
    <s v="Health &amp; Fitness:Sports/From Receipt"/>
    <m/>
    <m/>
    <s v="From Receipt"/>
    <x v="18"/>
    <x v="23"/>
    <x v="0"/>
    <m/>
    <x v="5"/>
    <m/>
    <s v="Jul"/>
    <n v="2014"/>
    <s v="Irregular"/>
    <n v="0"/>
    <s v="No"/>
    <s v="None"/>
    <s v="Health &amp; Fitness|Sports"/>
  </r>
  <r>
    <s v="MasterCard (Capital One)"/>
    <d v="2014-07-17T00:00:00"/>
    <n v="-42.14"/>
    <s v="X"/>
    <x v="298"/>
    <s v="2011: PHINNEY MARKET PUB &amp; E SEATTLE WA 9810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7T00:00:00"/>
    <n v="-46.87"/>
    <s v="X"/>
    <x v="244"/>
    <s v="2011: POQUITOS SEATTLE WA 98122 USA"/>
    <s v="Food &amp; Dining:Restaurants/From Receipt"/>
    <m/>
    <m/>
    <s v="From Receipt"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7T00:00:00"/>
    <n v="-100"/>
    <s v="X"/>
    <x v="299"/>
    <s v="2011: CAFE 86 11171386 REDMOND WA 98052 USA"/>
    <s v="Food &amp; Dining:Restaurants/From Receipt"/>
    <m/>
    <m/>
    <s v="From Receipt"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7T00:00:00"/>
    <n v="-170.77"/>
    <s v="X"/>
    <x v="191"/>
    <s v="#Sedona#"/>
    <s v="Vacation:Transportation"/>
    <m/>
    <m/>
    <m/>
    <x v="23"/>
    <x v="26"/>
    <x v="0"/>
    <m/>
    <x v="10"/>
    <m/>
    <s v="Jul"/>
    <n v="2014"/>
    <s v="Irregular"/>
    <n v="0"/>
    <s v="No"/>
    <s v="None"/>
    <s v="Vacation|Transportation"/>
  </r>
  <r>
    <s v="First Tech - Checking (5544)"/>
    <d v="2014-07-16T00:00:00"/>
    <n v="-65"/>
    <s v="X"/>
    <x v="300"/>
    <s v="Check--"/>
    <s v="Kids:Babysitter"/>
    <n v="2132"/>
    <m/>
    <m/>
    <x v="27"/>
    <x v="13"/>
    <x v="0"/>
    <m/>
    <x v="0"/>
    <m/>
    <s v="Jul"/>
    <n v="2014"/>
    <s v="Monthly"/>
    <n v="0"/>
    <s v="No"/>
    <s v="None"/>
    <s v="Kids|Babysitter"/>
  </r>
  <r>
    <s v="First Tech - Checking (5544)"/>
    <d v="2014-07-15T00:00:00"/>
    <n v="-51.08"/>
    <s v="X"/>
    <x v="45"/>
    <s v="ACH Debit--PUGET SOUND ENER DIRECT DEBITING - PSE BILL  12504348"/>
    <s v="Bills &amp; Utilities:Utilities"/>
    <m/>
    <m/>
    <m/>
    <x v="34"/>
    <x v="18"/>
    <x v="0"/>
    <m/>
    <x v="0"/>
    <m/>
    <s v="Jul"/>
    <n v="2014"/>
    <s v="Monthly"/>
    <n v="0"/>
    <s v="No"/>
    <s v="None"/>
    <s v="Bills &amp; Utilities|Utilities"/>
  </r>
  <r>
    <s v="MasterCard (Capital One)"/>
    <d v="2014-07-15T00:00:00"/>
    <n v="25"/>
    <s v="X"/>
    <x v="60"/>
    <s v="2011: CREDIT-CASH BACK REWARD"/>
    <s v="Other Inc"/>
    <m/>
    <m/>
    <m/>
    <x v="29"/>
    <x v="0"/>
    <x v="0"/>
    <m/>
    <x v="0"/>
    <m/>
    <s v="Jul"/>
    <n v="2014"/>
    <s v="Monthly"/>
    <n v="0"/>
    <s v="No"/>
    <s v="None"/>
    <s v="Other Inc"/>
  </r>
  <r>
    <s v="MasterCard (Capital One)"/>
    <d v="2014-07-15T00:00:00"/>
    <n v="-298"/>
    <s v="X"/>
    <x v="167"/>
    <s v="#Sedona#"/>
    <s v="Vacation:Transportation"/>
    <m/>
    <m/>
    <m/>
    <x v="23"/>
    <x v="26"/>
    <x v="0"/>
    <m/>
    <x v="10"/>
    <m/>
    <s v="Jul"/>
    <n v="2014"/>
    <s v="Irregular"/>
    <n v="0"/>
    <s v="No"/>
    <s v="None"/>
    <s v="Vacation|Transportation"/>
  </r>
  <r>
    <s v="First Tech - Checking (5544)"/>
    <d v="2014-07-14T00:00:00"/>
    <n v="3165.2"/>
    <s v="X"/>
    <x v="47"/>
    <s v="ACH Deposit--MICROSOFT  - EDIPAYMENT"/>
    <s v="Net Salary"/>
    <m/>
    <m/>
    <m/>
    <x v="35"/>
    <x v="0"/>
    <x v="0"/>
    <m/>
    <x v="0"/>
    <m/>
    <s v="Jul"/>
    <n v="2014"/>
    <s v="Monthly"/>
    <n v="0"/>
    <s v="No"/>
    <s v="None"/>
    <s v="Net Salary"/>
  </r>
  <r>
    <s v="First Tech - Checking (5544)"/>
    <d v="2014-07-14T00:00:00"/>
    <n v="-105.38"/>
    <s v="X"/>
    <x v="125"/>
    <s v="ACH Debit--CITY OF SEATTLE  - 1 - SCL De"/>
    <s v="Bills &amp; Utilities:Utilities"/>
    <m/>
    <m/>
    <m/>
    <x v="34"/>
    <x v="18"/>
    <x v="0"/>
    <m/>
    <x v="0"/>
    <m/>
    <s v="Jul"/>
    <n v="2014"/>
    <s v="Monthly"/>
    <n v="0"/>
    <s v="No"/>
    <s v="None"/>
    <s v="Bills &amp; Utilities|Utilities"/>
  </r>
  <r>
    <s v="MasterCard (Capital One)"/>
    <d v="2014-07-14T00:00:00"/>
    <n v="-15.86"/>
    <s v="X"/>
    <x v="15"/>
    <s v="2011: DIAMOND PARKING A096 SEATTLE WA 98101 USA"/>
    <s v="Auto &amp; Transport:Parking"/>
    <m/>
    <m/>
    <m/>
    <x v="17"/>
    <x v="11"/>
    <x v="0"/>
    <m/>
    <x v="0"/>
    <m/>
    <s v="Jul"/>
    <n v="2014"/>
    <s v="Monthly"/>
    <n v="0"/>
    <s v="No"/>
    <s v="None"/>
    <s v="Auto &amp; Transport|Parking"/>
  </r>
  <r>
    <s v="Koolikai Credit Card"/>
    <d v="2014-07-13T00:00:00"/>
    <n v="-146.97999999999999"/>
    <s v="X"/>
    <x v="55"/>
    <m/>
    <s v="Business Expenses (Koolikai):Cell Phone"/>
    <m/>
    <m/>
    <m/>
    <x v="36"/>
    <x v="22"/>
    <x v="0"/>
    <m/>
    <x v="0"/>
    <m/>
    <s v="Jul"/>
    <n v="2014"/>
    <s v="Monthly"/>
    <n v="0"/>
    <s v="No"/>
    <s v="None"/>
    <s v="Business Expenses (Koolikai)|Cell Phone"/>
  </r>
  <r>
    <s v="MasterCard (Capital One)"/>
    <d v="2014-07-13T00:00:00"/>
    <n v="-13.13"/>
    <s v="X"/>
    <x v="238"/>
    <s v="Sunscreen"/>
    <s v="Food &amp; Dining:Groceries/From Receipt"/>
    <m/>
    <m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13T00:00:00"/>
    <n v="-16.43"/>
    <s v="X"/>
    <x v="2"/>
    <s v="2011: FRED-MEYER #0122 SEATTLE WA 98117 USA"/>
    <s v="Food &amp; Dining:Groceries/From Receipt"/>
    <m/>
    <m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13T00:00:00"/>
    <n v="-19.510000000000002"/>
    <s v="X"/>
    <x v="13"/>
    <s v="2011: MCDONALD'S F459 SEATTLE WA 98107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3T00:00:00"/>
    <n v="-21.88"/>
    <s v="X"/>
    <x v="134"/>
    <s v="Mesh stacking letter trays"/>
    <s v="Business Expenses (Koolikai):Office Expenses (Business)/From Receipt"/>
    <m/>
    <m/>
    <s v="From Receipt"/>
    <x v="36"/>
    <x v="42"/>
    <x v="0"/>
    <m/>
    <x v="0"/>
    <m/>
    <s v="Jul"/>
    <n v="2014"/>
    <s v="Monthly"/>
    <n v="0"/>
    <s v="No"/>
    <s v="None"/>
    <s v="Business Expenses (Koolikai)|Office Expenses (Business)"/>
  </r>
  <r>
    <s v="MasterCard (Capital One)"/>
    <d v="2014-07-13T00:00:00"/>
    <n v="-24.16"/>
    <s v="X"/>
    <x v="43"/>
    <s v="2011: TRADER JOE'S #147 QPS SEATTLE WA 98107 USA"/>
    <s v="Food &amp; Dining:Groceries/From Receipt"/>
    <m/>
    <m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13T00:00:00"/>
    <n v="-4.92"/>
    <s v="X"/>
    <x v="2"/>
    <s v="2011: FRED-MEYER #0608 SEATTLE WA 98107 USA"/>
    <s v="Kids:Toys/From Receipt"/>
    <m/>
    <s v="Split"/>
    <s v="From Receipt"/>
    <x v="27"/>
    <x v="14"/>
    <x v="0"/>
    <m/>
    <x v="0"/>
    <m/>
    <s v="Jul"/>
    <n v="2014"/>
    <s v="Monthly"/>
    <n v="0"/>
    <s v="No"/>
    <s v="None"/>
    <s v="Kids|Toys"/>
  </r>
  <r>
    <s v="MasterCard (Capital One)"/>
    <d v="2014-07-13T00:00:00"/>
    <n v="-3.27"/>
    <s v="X"/>
    <x v="2"/>
    <s v="Gladware"/>
    <s v="Home:Furnishings/From Receipt"/>
    <m/>
    <s v="Split"/>
    <s v="From Receipt"/>
    <x v="14"/>
    <x v="2"/>
    <x v="0"/>
    <m/>
    <x v="0"/>
    <m/>
    <s v="Jul"/>
    <n v="2014"/>
    <s v="Monthly"/>
    <n v="0"/>
    <s v="No"/>
    <s v="None"/>
    <s v="Home|Furnishings"/>
  </r>
  <r>
    <s v="MasterCard (Capital One)"/>
    <d v="2014-07-13T00:00:00"/>
    <n v="-69.760000000000005"/>
    <s v="X"/>
    <x v="2"/>
    <m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Schwab - Checking (9784)"/>
    <d v="2014-07-12T00:00:00"/>
    <n v="-2"/>
    <s v="X"/>
    <x v="57"/>
    <m/>
    <s v="Bank Fees &amp; Charges:ATM Fee/From Receipt"/>
    <m/>
    <s v="Split"/>
    <s v="From Receipt"/>
    <x v="32"/>
    <x v="17"/>
    <x v="0"/>
    <m/>
    <x v="0"/>
    <m/>
    <s v="Jul"/>
    <n v="2014"/>
    <s v="Monthly"/>
    <n v="0"/>
    <s v="No"/>
    <s v="None"/>
    <s v="Bank Fees &amp; Charges|ATM Fee"/>
  </r>
  <r>
    <s v="Schwab - Checking (9784)"/>
    <d v="2014-07-12T00:00:00"/>
    <n v="-15"/>
    <s v="X"/>
    <x v="57"/>
    <s v="Folding table"/>
    <s v="Shopping:Hobbies:Camping Equipment/From Receipt"/>
    <m/>
    <s v="Split"/>
    <s v="From Receipt"/>
    <x v="13"/>
    <x v="48"/>
    <x v="2"/>
    <m/>
    <x v="0"/>
    <m/>
    <s v="Jul"/>
    <n v="2014"/>
    <s v="Annual"/>
    <n v="0"/>
    <s v="No"/>
    <s v="None"/>
    <s v="Shopping|Hobbies"/>
  </r>
  <r>
    <s v="Schwab - Checking (9784)"/>
    <d v="2014-07-12T00:00:00"/>
    <n v="-5"/>
    <s v="X"/>
    <x v="57"/>
    <m/>
    <s v="Food &amp; Dining:Restaurants/From Receipt"/>
    <m/>
    <s v="Split"/>
    <s v="From Receipt"/>
    <x v="15"/>
    <x v="15"/>
    <x v="0"/>
    <m/>
    <x v="0"/>
    <m/>
    <s v="Jul"/>
    <n v="2014"/>
    <s v="Monthly"/>
    <n v="0"/>
    <s v="No"/>
    <s v="None"/>
    <s v="Food &amp; Dining|Restaurants"/>
  </r>
  <r>
    <s v="Schwab - Checking (9784)"/>
    <d v="2014-07-12T00:00:00"/>
    <n v="-40"/>
    <s v="X"/>
    <x v="113"/>
    <s v="Seattle Science Center, Polish"/>
    <s v="Food &amp; Dining:Restaurants"/>
    <m/>
    <s v="Split"/>
    <m/>
    <x v="15"/>
    <x v="15"/>
    <x v="0"/>
    <m/>
    <x v="0"/>
    <m/>
    <s v="Jul"/>
    <n v="2014"/>
    <s v="Monthly"/>
    <n v="0"/>
    <s v="No"/>
    <s v="None"/>
    <s v="Food &amp; Dining|Restaurants"/>
  </r>
  <r>
    <s v="Schwab - Checking (9784)"/>
    <d v="2014-07-12T00:00:00"/>
    <n v="-3"/>
    <s v="X"/>
    <x v="113"/>
    <m/>
    <s v="Bank Fees &amp; Charges:ATM Fee"/>
    <m/>
    <s v="Split"/>
    <m/>
    <x v="32"/>
    <x v="17"/>
    <x v="0"/>
    <m/>
    <x v="0"/>
    <m/>
    <s v="Jul"/>
    <n v="2014"/>
    <s v="Monthly"/>
    <n v="0"/>
    <s v="No"/>
    <s v="None"/>
    <s v="Bank Fees &amp; Charges|ATM Fee"/>
  </r>
  <r>
    <s v="MasterCard (Capital One)"/>
    <d v="2014-07-12T00:00:00"/>
    <n v="-1.1000000000000001"/>
    <s v="X"/>
    <x v="301"/>
    <s v="2011: CITY KIRKLAND PARKING KIRKLAND WA 98033 USA"/>
    <s v="Auto &amp; Transport:Parking"/>
    <m/>
    <m/>
    <m/>
    <x v="17"/>
    <x v="11"/>
    <x v="0"/>
    <m/>
    <x v="0"/>
    <m/>
    <s v="Jul"/>
    <n v="2014"/>
    <s v="Monthly"/>
    <n v="0"/>
    <s v="No"/>
    <s v="None"/>
    <s v="Auto &amp; Transport|Parking"/>
  </r>
  <r>
    <s v="MasterCard (Capital One)"/>
    <d v="2014-07-12T00:00:00"/>
    <n v="-3.85"/>
    <s v="X"/>
    <x v="302"/>
    <s v="2011: BLUEBIRD ICE CREAM GRE SEATTLE WA 9810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2T00:00:00"/>
    <n v="-85.47"/>
    <s v="X"/>
    <x v="52"/>
    <s v="2011: BEEHIVE SALON SEATTLE WA 981036264 USA"/>
    <s v="Personal Care:Hair"/>
    <m/>
    <m/>
    <m/>
    <x v="31"/>
    <x v="16"/>
    <x v="0"/>
    <m/>
    <x v="0"/>
    <m/>
    <s v="Jul"/>
    <n v="2014"/>
    <s v="Monthly"/>
    <n v="0"/>
    <s v="No"/>
    <s v="None"/>
    <s v="Personal Care|Hair"/>
  </r>
  <r>
    <s v="MasterCard (Capital One)"/>
    <d v="2014-07-12T00:00:00"/>
    <n v="-115.45"/>
    <s v="X"/>
    <x v="303"/>
    <s v="2011: ZIG ZAG CAFE SEATTLE WA 98101 USA"/>
    <s v="Food &amp; Dining:Restaurants/From Receipt"/>
    <m/>
    <m/>
    <s v="From Receipt"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11T00:00:00"/>
    <n v="-7.2"/>
    <s v="X"/>
    <x v="304"/>
    <s v="2011: GOOD2GO-INTERNET 08669368246 WA 98105 USA"/>
    <s v="Auto &amp; Transport:Tolls"/>
    <m/>
    <m/>
    <m/>
    <x v="17"/>
    <x v="40"/>
    <x v="0"/>
    <m/>
    <x v="0"/>
    <m/>
    <s v="Jul"/>
    <n v="2014"/>
    <s v="Irregular"/>
    <n v="0"/>
    <s v="No"/>
    <s v="None"/>
    <s v="Auto &amp; Transport|Tolls"/>
  </r>
  <r>
    <s v="MasterCard (Capital One)"/>
    <d v="2014-07-11T00:00:00"/>
    <n v="-17"/>
    <s v="X"/>
    <x v="305"/>
    <s v="2011: THE GRAPE CHOICE KIRKLAND WA 9803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First Tech - Checking (5544)"/>
    <d v="2014-07-10T00:00:00"/>
    <n v="-115"/>
    <s v="X"/>
    <x v="176"/>
    <s v="ACH Debit--THE CLEANING AUT  - ONLINE PMT"/>
    <s v="Home:Home Services"/>
    <m/>
    <m/>
    <m/>
    <x v="14"/>
    <x v="46"/>
    <x v="0"/>
    <m/>
    <x v="0"/>
    <m/>
    <s v="Jul"/>
    <n v="2014"/>
    <s v="Monthly"/>
    <n v="0"/>
    <s v="No"/>
    <s v="None"/>
    <s v="Home|Home Services"/>
  </r>
  <r>
    <s v="Koolikai - Checking XX2129"/>
    <d v="2014-07-09T00:00:00"/>
    <n v="2295"/>
    <s v="X"/>
    <x v="144"/>
    <s v="Deposit--Shared Branch Mobile Deposit          First Tech FC CA"/>
    <s v="Business Income (Koolikai):Rent/7231"/>
    <m/>
    <m/>
    <n v="7231"/>
    <x v="37"/>
    <x v="25"/>
    <x v="0"/>
    <m/>
    <x v="0"/>
    <m/>
    <s v="Jul"/>
    <n v="2014"/>
    <s v="Monthly"/>
    <n v="0"/>
    <s v="No"/>
    <s v="None"/>
    <s v="Business Income (Koolikai)|Rent"/>
  </r>
  <r>
    <s v="MasterCard (Capital One)"/>
    <d v="2014-07-09T00:00:00"/>
    <n v="-6.55"/>
    <s v="X"/>
    <x v="48"/>
    <s v="House keys"/>
    <s v="Business Expenses (Koolikai):Office Expenses (Business)"/>
    <m/>
    <m/>
    <m/>
    <x v="36"/>
    <x v="42"/>
    <x v="0"/>
    <m/>
    <x v="0"/>
    <m/>
    <s v="Jul"/>
    <n v="2014"/>
    <s v="Monthly"/>
    <n v="0"/>
    <s v="No"/>
    <s v="None"/>
    <s v="Business Expenses (Koolikai)|Office Expenses (Business)"/>
  </r>
  <r>
    <s v="First Tech - Checking (5544)"/>
    <d v="2014-07-08T00:00:00"/>
    <n v="-109.06"/>
    <s v="X"/>
    <x v="142"/>
    <s v="ACH Debit--TARGET CARD SRVC 001 - AUTO PYMT"/>
    <s v="[Target Red Card]"/>
    <m/>
    <m/>
    <m/>
    <x v="12"/>
    <x v="0"/>
    <x v="0"/>
    <m/>
    <x v="0"/>
    <m/>
    <s v="Jul"/>
    <n v="2014"/>
    <s v="Account"/>
    <n v="0"/>
    <s v="No"/>
    <s v="None"/>
    <s v="[Target Red Card]"/>
  </r>
  <r>
    <s v="First Tech - Checking (5544)"/>
    <d v="2014-07-08T00:00:00"/>
    <n v="-3748.69"/>
    <s v="X"/>
    <x v="69"/>
    <s v="ACH Debit--WF HOME MTG ACH - AUTO PAY"/>
    <s v="Home:Mortgage"/>
    <m/>
    <m/>
    <m/>
    <x v="14"/>
    <x v="27"/>
    <x v="0"/>
    <m/>
    <x v="0"/>
    <m/>
    <s v="Jul"/>
    <n v="2014"/>
    <s v="Monthly"/>
    <n v="0"/>
    <s v="No"/>
    <s v="None"/>
    <s v="Home|Mortgage"/>
  </r>
  <r>
    <s v="Chase Freedom XX9381"/>
    <d v="2014-07-08T00:00:00"/>
    <n v="-5.1100000000000003"/>
    <s v="X"/>
    <x v="115"/>
    <s v="#Mt. St. Helens#"/>
    <s v="Vacation:Food"/>
    <m/>
    <m/>
    <m/>
    <x v="23"/>
    <x v="8"/>
    <x v="0"/>
    <m/>
    <x v="17"/>
    <m/>
    <s v="Jul"/>
    <n v="2014"/>
    <s v="Irregular"/>
    <n v="0"/>
    <s v="No"/>
    <s v="None"/>
    <s v="Vacation|Food"/>
  </r>
  <r>
    <s v="Chase Freedom XX9381"/>
    <d v="2014-07-08T00:00:00"/>
    <n v="-23.44"/>
    <s v="X"/>
    <x v="115"/>
    <s v="#Mt. St. Helens#"/>
    <s v="Vacation:Transportation"/>
    <m/>
    <m/>
    <m/>
    <x v="23"/>
    <x v="26"/>
    <x v="0"/>
    <m/>
    <x v="17"/>
    <m/>
    <s v="Jul"/>
    <n v="2014"/>
    <s v="Irregular"/>
    <n v="0"/>
    <s v="No"/>
    <s v="None"/>
    <s v="Vacation|Transportation"/>
  </r>
  <r>
    <s v="MasterCard (Capital One)"/>
    <d v="2014-07-08T00:00:00"/>
    <n v="-6.13"/>
    <s v="X"/>
    <x v="306"/>
    <s v="2011: BAKKER'S FINE DRYCLEAN SEATTLE WA 98103 USA"/>
    <s v="Shopping:Clothing"/>
    <m/>
    <m/>
    <m/>
    <x v="13"/>
    <x v="1"/>
    <x v="0"/>
    <m/>
    <x v="0"/>
    <m/>
    <s v="Jul"/>
    <n v="2014"/>
    <s v="Annual"/>
    <n v="0"/>
    <s v="No"/>
    <s v="None"/>
    <s v="Shopping|Clothing"/>
  </r>
  <r>
    <s v="MasterCard (Capital One)"/>
    <d v="2014-07-08T00:00:00"/>
    <n v="-258.27"/>
    <s v="X"/>
    <x v="307"/>
    <s v="#Mt. Rainier 2014#"/>
    <s v="Vacation:Lodging"/>
    <m/>
    <m/>
    <m/>
    <x v="23"/>
    <x v="9"/>
    <x v="0"/>
    <m/>
    <x v="12"/>
    <m/>
    <s v="Jul"/>
    <n v="2014"/>
    <s v="Irregular"/>
    <n v="0"/>
    <s v="No"/>
    <s v="None"/>
    <s v="Vacation|Lodging"/>
  </r>
  <r>
    <s v="Chase Freedom XX9381"/>
    <d v="2014-07-07T00:00:00"/>
    <n v="-1.31"/>
    <s v="X"/>
    <x v="308"/>
    <m/>
    <s v="Entertainment:Movies &amp; DVDs"/>
    <m/>
    <m/>
    <m/>
    <x v="30"/>
    <x v="43"/>
    <x v="0"/>
    <m/>
    <x v="0"/>
    <m/>
    <s v="Jul"/>
    <n v="2014"/>
    <s v="Unplanned"/>
    <n v="0"/>
    <s v="No"/>
    <s v="None"/>
    <s v="Entertainment|Movies &amp; DVDs"/>
  </r>
  <r>
    <s v="Chase Freedom XX9381"/>
    <d v="2014-07-07T00:00:00"/>
    <n v="-49.58"/>
    <s v="X"/>
    <x v="115"/>
    <s v="#Mt. St. Helens#"/>
    <s v="Vacation:Transportation"/>
    <m/>
    <m/>
    <m/>
    <x v="23"/>
    <x v="26"/>
    <x v="0"/>
    <m/>
    <x v="17"/>
    <m/>
    <s v="Jul"/>
    <n v="2014"/>
    <s v="Irregular"/>
    <n v="0"/>
    <s v="No"/>
    <s v="None"/>
    <s v="Vacation|Transportation"/>
  </r>
  <r>
    <s v="Edward Jones - Investment Account"/>
    <d v="2014-07-07T00:00:00"/>
    <n v="28.8"/>
    <s v="c"/>
    <x v="16"/>
    <s v="CASH DIV ON 120 AT $.24 PER SHARE"/>
    <m/>
    <s v="Div"/>
    <m/>
    <m/>
    <x v="26"/>
    <x v="0"/>
    <x v="0"/>
    <m/>
    <x v="0"/>
    <m/>
    <s v="Jul"/>
    <n v="2014"/>
    <e v="#N/A"/>
    <e v="#N/A"/>
    <e v="#N/A"/>
    <e v="#N/A"/>
    <n v="0"/>
  </r>
  <r>
    <s v="Chase Freedom XX9381"/>
    <d v="2014-07-06T00:00:00"/>
    <n v="-3.93"/>
    <s v="X"/>
    <x v="309"/>
    <m/>
    <s v="Auto &amp; Transport:Gas &amp; Fuel"/>
    <m/>
    <m/>
    <m/>
    <x v="17"/>
    <x v="37"/>
    <x v="0"/>
    <m/>
    <x v="0"/>
    <m/>
    <s v="Jul"/>
    <n v="2014"/>
    <s v="Monthly"/>
    <n v="0"/>
    <s v="No"/>
    <s v="None"/>
    <s v="Auto &amp; Transport|Gas &amp; Fuel"/>
  </r>
  <r>
    <s v="MasterCard (Capital One)"/>
    <d v="2014-07-06T00:00:00"/>
    <n v="-5"/>
    <s v="X"/>
    <x v="310"/>
    <s v="#Mt. St. Helens# Visitor's center"/>
    <s v="Vacation:Activities"/>
    <m/>
    <m/>
    <m/>
    <x v="23"/>
    <x v="39"/>
    <x v="0"/>
    <m/>
    <x v="17"/>
    <m/>
    <s v="Jul"/>
    <n v="2014"/>
    <s v="Irregular"/>
    <n v="0"/>
    <s v="No"/>
    <s v="None"/>
    <s v="Vacation|Activities"/>
  </r>
  <r>
    <s v="MasterCard (Capital One)"/>
    <d v="2014-07-06T00:00:00"/>
    <n v="-6.3"/>
    <s v="X"/>
    <x v="139"/>
    <s v="2011: SUBWAY 00525212 KIRKLAND WA 9803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Target Red Card"/>
    <d v="2014-07-06T00:00:00"/>
    <n v="109.06"/>
    <s v="X"/>
    <x v="142"/>
    <m/>
    <s v="[First Tech - Checking (5544)]"/>
    <m/>
    <m/>
    <m/>
    <x v="21"/>
    <x v="0"/>
    <x v="0"/>
    <m/>
    <x v="0"/>
    <m/>
    <s v="Jul"/>
    <n v="2014"/>
    <s v="Account"/>
    <n v="0"/>
    <s v="No"/>
    <s v="None"/>
    <s v="[First Tech - Checking (5544)]"/>
  </r>
  <r>
    <s v="MasterCard (Capital One)"/>
    <d v="2014-07-05T00:00:00"/>
    <n v="19.68"/>
    <s v="X"/>
    <x v="105"/>
    <s v="@CAT:@ Cat5E expansion board (returned)"/>
    <s v="Business Expenses (Koolikai):Repairs/7231:From Receipt"/>
    <m/>
    <m/>
    <s v="7231:From Receipt"/>
    <x v="36"/>
    <x v="41"/>
    <x v="0"/>
    <m/>
    <x v="0"/>
    <m/>
    <s v="Jul"/>
    <n v="2014"/>
    <s v="Irregular"/>
    <n v="0"/>
    <s v="No"/>
    <s v="None"/>
    <s v="Business Expenses (Koolikai)|Repairs"/>
  </r>
  <r>
    <s v="MasterCard (Capital One)"/>
    <d v="2014-07-05T00:00:00"/>
    <n v="-6.76"/>
    <s v="X"/>
    <x v="208"/>
    <s v="2011: MENCHIE`S FROZEN YOGUR KIRKLAND WA 9803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05T00:00:00"/>
    <n v="-8.48"/>
    <s v="X"/>
    <x v="105"/>
    <s v="Office conversion (grommit for cables, shelf supports, etc)"/>
    <s v="Business Expenses (Koolikai):Office Expenses (Business)/From Receipt"/>
    <m/>
    <m/>
    <s v="From Receipt"/>
    <x v="36"/>
    <x v="42"/>
    <x v="0"/>
    <m/>
    <x v="0"/>
    <m/>
    <s v="Jul"/>
    <n v="2014"/>
    <s v="Monthly"/>
    <n v="0"/>
    <s v="No"/>
    <s v="None"/>
    <s v="Business Expenses (Koolikai)|Office Expenses (Business)"/>
  </r>
  <r>
    <s v="MasterCard (Capital One)"/>
    <d v="2014-07-05T00:00:00"/>
    <n v="-8.67"/>
    <s v="X"/>
    <x v="105"/>
    <s v="Alligator clips"/>
    <s v="Home:Home Improvement/From Receipt"/>
    <m/>
    <m/>
    <s v="From Receipt"/>
    <x v="14"/>
    <x v="19"/>
    <x v="0"/>
    <m/>
    <x v="0"/>
    <m/>
    <s v="Jul"/>
    <n v="2014"/>
    <s v="Irregular"/>
    <n v="0"/>
    <s v="No"/>
    <s v="None"/>
    <s v="Home|Home Improvement"/>
  </r>
  <r>
    <s v="MasterCard (Capital One)"/>
    <d v="2014-07-05T00:00:00"/>
    <n v="-26.15"/>
    <s v="X"/>
    <x v="311"/>
    <s v="2011: NAKED CITY BREWERY SEATTLE WA 9810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04T00:00:00"/>
    <n v="-9.76"/>
    <s v="X"/>
    <x v="57"/>
    <s v="2011: KEN'S MARKET #75-116 SEATTLE WA 98103 USA"/>
    <s v="Food &amp; Dining:Groceries"/>
    <m/>
    <m/>
    <m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04T00:00:00"/>
    <n v="-12.81"/>
    <s v="X"/>
    <x v="312"/>
    <s v="Quesedillas at Woodland Park Zoo"/>
    <s v="Food &amp; Dining:Restaurants/From Receipt"/>
    <m/>
    <m/>
    <s v="From Receipt"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04T00:00:00"/>
    <n v="-12.95"/>
    <s v="X"/>
    <x v="313"/>
    <s v="2011: MARTINO'S SEATTLE WA 98103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MasterCard (Capital One)"/>
    <d v="2014-07-04T00:00:00"/>
    <n v="-8.75"/>
    <s v="X"/>
    <x v="2"/>
    <s v="4D Pump... returned for gift c"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04T00:00:00"/>
    <n v="-122.99"/>
    <s v="X"/>
    <x v="2"/>
    <m/>
    <s v="Food &amp; Dining:Groceries/From Receipt"/>
    <m/>
    <s v="Split"/>
    <s v="From Receipt"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03T00:00:00"/>
    <n v="-8.75"/>
    <s v="X"/>
    <x v="81"/>
    <s v="2011: NETFLIX.COM NETFLIX.COM CA 95032 USA"/>
    <s v="Entertainment:Movies &amp; DVDs"/>
    <m/>
    <m/>
    <m/>
    <x v="30"/>
    <x v="43"/>
    <x v="0"/>
    <m/>
    <x v="0"/>
    <m/>
    <s v="Jul"/>
    <n v="2014"/>
    <s v="Unplanned"/>
    <n v="0"/>
    <s v="No"/>
    <s v="None"/>
    <s v="Entertainment|Movies &amp; DVDs"/>
  </r>
  <r>
    <s v="MasterCard (Capital One)"/>
    <d v="2014-07-03T00:00:00"/>
    <n v="-24.89"/>
    <s v="X"/>
    <x v="174"/>
    <s v="2011: THAI SIAM RESTAURANT SEATTLE WA 98117 USA"/>
    <s v="Food &amp; Dining:Restaurants"/>
    <m/>
    <m/>
    <m/>
    <x v="15"/>
    <x v="15"/>
    <x v="0"/>
    <m/>
    <x v="0"/>
    <m/>
    <s v="Jul"/>
    <n v="2014"/>
    <s v="Monthly"/>
    <n v="0"/>
    <s v="No"/>
    <s v="None"/>
    <s v="Food &amp; Dining|Restaurants"/>
  </r>
  <r>
    <s v="First Tech - Checking (5544)"/>
    <d v="2014-07-02T00:00:00"/>
    <n v="903.11"/>
    <s v="X"/>
    <x v="314"/>
    <s v="#Go Cart Racing# with team"/>
    <s v="Work Expense:Reimbursement"/>
    <m/>
    <m/>
    <m/>
    <x v="19"/>
    <x v="6"/>
    <x v="0"/>
    <m/>
    <x v="18"/>
    <m/>
    <s v="Jul"/>
    <n v="2014"/>
    <s v="Irregular"/>
    <n v="0"/>
    <s v="No"/>
    <s v="None"/>
    <s v="Work Expense|Reimbursement"/>
  </r>
  <r>
    <s v="First Tech - Checking (5544)"/>
    <d v="2014-07-02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Jul"/>
    <n v="2014"/>
    <s v="Monthly"/>
    <n v="0"/>
    <s v="No"/>
    <s v="None"/>
    <s v="Business Expenses (Koolikai)|Mortgage (Business)"/>
  </r>
  <r>
    <s v="First Tech - Checking (5544)"/>
    <d v="2014-07-02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Jul"/>
    <n v="2014"/>
    <s v="Monthly"/>
    <n v="0"/>
    <s v="No"/>
    <s v="None"/>
    <s v="Business Expenses (Koolikai)|Mortgage (Business)"/>
  </r>
  <r>
    <s v="First Tech - Checking (5544)"/>
    <d v="2014-07-02T00:00:00"/>
    <n v="-4284.17"/>
    <s v="X"/>
    <x v="85"/>
    <s v="ACH Debit--CAPITAL ONE  - CRCARDPMT"/>
    <s v="[MasterCard (Capital One)]"/>
    <m/>
    <m/>
    <m/>
    <x v="38"/>
    <x v="0"/>
    <x v="0"/>
    <m/>
    <x v="0"/>
    <m/>
    <s v="Jul"/>
    <n v="2014"/>
    <s v="Account"/>
    <n v="0"/>
    <s v="No"/>
    <s v="None"/>
    <s v="[MasterCard (Capital One)]"/>
  </r>
  <r>
    <s v="MasterCard (Capital One)"/>
    <d v="2014-07-02T00:00:00"/>
    <n v="-9.8000000000000007"/>
    <s v="X"/>
    <x v="57"/>
    <s v="2011: KEN'S MARKET #75-116 SEATTLE WA 98103 USA"/>
    <s v="Food &amp; Dining:Groceries"/>
    <m/>
    <m/>
    <m/>
    <x v="15"/>
    <x v="3"/>
    <x v="0"/>
    <m/>
    <x v="0"/>
    <m/>
    <s v="Jul"/>
    <n v="2014"/>
    <s v="Monthly"/>
    <n v="0"/>
    <s v="No"/>
    <s v="None"/>
    <s v="Food &amp; Dining|Groceries"/>
  </r>
  <r>
    <s v="MasterCard (Capital One)"/>
    <d v="2014-07-02T00:00:00"/>
    <n v="-15.86"/>
    <s v="X"/>
    <x v="15"/>
    <s v="2011: DIAMOND PARKING A096 SEATTLE WA 98101 USA"/>
    <s v="Auto &amp; Transport:Parking"/>
    <m/>
    <m/>
    <m/>
    <x v="17"/>
    <x v="11"/>
    <x v="0"/>
    <m/>
    <x v="0"/>
    <m/>
    <s v="Jul"/>
    <n v="2014"/>
    <s v="Monthly"/>
    <n v="0"/>
    <s v="No"/>
    <s v="None"/>
    <s v="Auto &amp; Transport|Parking"/>
  </r>
  <r>
    <s v="MasterCard (Capital One)"/>
    <d v="2014-07-02T00:00:00"/>
    <n v="-22.03"/>
    <s v="X"/>
    <x v="88"/>
    <s v="2011: COMCAST CABLE COMM 800-COMCAST WA 98103 USA"/>
    <s v="Bills &amp; Utilities:Television"/>
    <m/>
    <s v="Split"/>
    <m/>
    <x v="34"/>
    <x v="32"/>
    <x v="0"/>
    <m/>
    <x v="0"/>
    <m/>
    <s v="Jul"/>
    <n v="2014"/>
    <s v="Monthly"/>
    <n v="0"/>
    <s v="No"/>
    <s v="None"/>
    <s v="Bills &amp; Utilities|Television"/>
  </r>
  <r>
    <s v="MasterCard (Capital One)"/>
    <d v="2014-07-02T00:00:00"/>
    <n v="-64.08"/>
    <s v="X"/>
    <x v="88"/>
    <m/>
    <s v="Business Expenses (Koolikai):Internet"/>
    <m/>
    <s v="Split"/>
    <m/>
    <x v="36"/>
    <x v="33"/>
    <x v="0"/>
    <m/>
    <x v="0"/>
    <m/>
    <s v="Jul"/>
    <n v="2014"/>
    <s v="Monthly"/>
    <n v="0"/>
    <s v="No"/>
    <s v="None"/>
    <s v="Business Expenses (Koolikai)|Internet"/>
  </r>
  <r>
    <s v="MasterCard (Capital One)"/>
    <d v="2014-07-02T00:00:00"/>
    <n v="-44.08"/>
    <s v="X"/>
    <x v="88"/>
    <m/>
    <s v="Bills &amp; Utilities:Home Phone"/>
    <m/>
    <s v="Split"/>
    <m/>
    <x v="34"/>
    <x v="34"/>
    <x v="0"/>
    <m/>
    <x v="0"/>
    <m/>
    <s v="Jul"/>
    <n v="2014"/>
    <s v="Monthly"/>
    <n v="0"/>
    <s v="No"/>
    <s v="None"/>
    <s v="Bills &amp; Utilities|Home Phone"/>
  </r>
  <r>
    <s v="First Tech - Checking (5544)"/>
    <d v="2014-07-01T00:00:00"/>
    <n v="-1976"/>
    <s v="X"/>
    <x v="90"/>
    <s v="ACH Debit--PHINNEY RIDGE LU 504759859 - CONTRIBUTN"/>
    <s v="Kids:Daycare"/>
    <m/>
    <m/>
    <m/>
    <x v="27"/>
    <x v="35"/>
    <x v="0"/>
    <m/>
    <x v="0"/>
    <m/>
    <s v="Jul"/>
    <n v="2014"/>
    <s v="Monthly"/>
    <n v="0"/>
    <s v="No"/>
    <s v="None"/>
    <s v="Kids|Daycare"/>
  </r>
  <r>
    <s v="First Tech - Checking (5544)"/>
    <d v="2014-07-01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Jul"/>
    <n v="2014"/>
    <s v="Monthly"/>
    <n v="0"/>
    <s v="No"/>
    <s v="None"/>
    <s v="Kids|American Funds 529A"/>
  </r>
  <r>
    <s v="MasterCard (Capital One)"/>
    <d v="2014-07-01T00:00:00"/>
    <n v="4284.17"/>
    <s v="X"/>
    <x v="85"/>
    <s v="2011: CAPITAL ONE AUTOPAY PYMT AuthDate 06-JUN"/>
    <s v="[First Tech - Checking (5544)]"/>
    <m/>
    <m/>
    <m/>
    <x v="21"/>
    <x v="0"/>
    <x v="0"/>
    <m/>
    <x v="0"/>
    <m/>
    <s v="Jul"/>
    <n v="2014"/>
    <s v="Account"/>
    <n v="0"/>
    <s v="No"/>
    <s v="None"/>
    <s v="[First Tech - Checking (5544)]"/>
  </r>
  <r>
    <s v="Capital One - Investment (6759)"/>
    <d v="2014-06-30T00:00:00"/>
    <n v="19.38"/>
    <s v="X"/>
    <x v="100"/>
    <s v="@CAT:@"/>
    <s v="Interest Income"/>
    <s v="INT"/>
    <m/>
    <m/>
    <x v="40"/>
    <x v="0"/>
    <x v="0"/>
    <m/>
    <x v="0"/>
    <m/>
    <s v="Jun"/>
    <n v="2014"/>
    <s v="Monthly"/>
    <n v="0"/>
    <s v="No"/>
    <s v="None"/>
    <s v="Interest Income"/>
  </r>
  <r>
    <s v="Capital One - Long Term Emergency (1201)"/>
    <d v="2014-06-30T00:00:00"/>
    <n v="48.65"/>
    <s v="X"/>
    <x v="100"/>
    <s v="@CAT:@"/>
    <s v="Interest Income"/>
    <s v="INT"/>
    <m/>
    <m/>
    <x v="40"/>
    <x v="0"/>
    <x v="0"/>
    <m/>
    <x v="0"/>
    <m/>
    <s v="Jun"/>
    <n v="2014"/>
    <s v="Monthly"/>
    <n v="0"/>
    <s v="No"/>
    <s v="None"/>
    <s v="Interest Income"/>
  </r>
  <r>
    <s v="Capital One - Secondary Savings (3126)"/>
    <d v="2014-06-30T00:00:00"/>
    <n v="0.02"/>
    <s v="X"/>
    <x v="100"/>
    <s v="@CAT:@"/>
    <s v="Interest Income"/>
    <s v="INT"/>
    <m/>
    <m/>
    <x v="40"/>
    <x v="0"/>
    <x v="0"/>
    <m/>
    <x v="0"/>
    <m/>
    <s v="Jun"/>
    <n v="2014"/>
    <s v="Monthly"/>
    <n v="0"/>
    <s v="No"/>
    <s v="None"/>
    <s v="Interest Income"/>
  </r>
  <r>
    <s v="Capital One - Vacation (4959)"/>
    <d v="2014-06-30T00:00:00"/>
    <n v="2.06"/>
    <s v="X"/>
    <x v="100"/>
    <s v="@CAT:@"/>
    <s v="Interest Income"/>
    <s v="INT"/>
    <m/>
    <m/>
    <x v="40"/>
    <x v="0"/>
    <x v="0"/>
    <m/>
    <x v="0"/>
    <m/>
    <s v="Jun"/>
    <n v="2014"/>
    <s v="Monthly"/>
    <n v="0"/>
    <s v="No"/>
    <s v="None"/>
    <s v="Interest Income"/>
  </r>
  <r>
    <s v="First Tech - Checking (5544)"/>
    <d v="2014-06-30T00:00:00"/>
    <n v="-211.95"/>
    <s v="X"/>
    <x v="315"/>
    <s v="@BAL:41495.16@;@CAT:@"/>
    <s v="Bills &amp; Utilities:Utilities"/>
    <m/>
    <m/>
    <m/>
    <x v="34"/>
    <x v="18"/>
    <x v="0"/>
    <m/>
    <x v="0"/>
    <m/>
    <s v="Jun"/>
    <n v="2014"/>
    <s v="Monthly"/>
    <n v="0"/>
    <s v="No"/>
    <s v="None"/>
    <s v="Bills &amp; Utilities|Utilities"/>
  </r>
  <r>
    <s v="First Tech - Short Term Emergency (5400)"/>
    <d v="2014-06-30T00:00:00"/>
    <n v="1.57"/>
    <s v="X"/>
    <x v="93"/>
    <s v="Credit Dividend--"/>
    <s v="Interest Income"/>
    <m/>
    <m/>
    <m/>
    <x v="40"/>
    <x v="0"/>
    <x v="0"/>
    <m/>
    <x v="0"/>
    <m/>
    <s v="Jun"/>
    <n v="2014"/>
    <s v="Monthly"/>
    <n v="0"/>
    <s v="No"/>
    <s v="None"/>
    <s v="Interest Income"/>
  </r>
  <r>
    <s v="Koolikai - Sec Dep XX1200"/>
    <d v="2014-06-30T00:00:00"/>
    <n v="0.18"/>
    <s v="X"/>
    <x v="93"/>
    <s v="Credit Dividend--"/>
    <s v="Interest Income"/>
    <m/>
    <m/>
    <m/>
    <x v="40"/>
    <x v="0"/>
    <x v="0"/>
    <m/>
    <x v="0"/>
    <m/>
    <s v="Jun"/>
    <n v="2014"/>
    <s v="Monthly"/>
    <n v="0"/>
    <s v="No"/>
    <s v="None"/>
    <s v="Interest Income"/>
  </r>
  <r>
    <s v="Schwab - Checking (9784)"/>
    <d v="2014-06-30T00:00:00"/>
    <n v="0.08"/>
    <s v="X"/>
    <x v="102"/>
    <m/>
    <s v="Interest Income"/>
    <m/>
    <m/>
    <m/>
    <x v="40"/>
    <x v="0"/>
    <x v="0"/>
    <m/>
    <x v="0"/>
    <m/>
    <s v="Jun"/>
    <n v="2014"/>
    <s v="Monthly"/>
    <n v="0"/>
    <s v="No"/>
    <s v="None"/>
    <s v="Interest Income"/>
  </r>
  <r>
    <s v="Schwab - Checking (9784)"/>
    <d v="2014-06-30T00:00:00"/>
    <n v="7.25"/>
    <s v="X"/>
    <x v="103"/>
    <m/>
    <s v="Bank Fees &amp; Charges:ATM Fee"/>
    <m/>
    <m/>
    <m/>
    <x v="32"/>
    <x v="17"/>
    <x v="0"/>
    <m/>
    <x v="0"/>
    <m/>
    <s v="Jun"/>
    <n v="2014"/>
    <s v="Monthly"/>
    <n v="0"/>
    <s v="No"/>
    <s v="None"/>
    <s v="Bank Fees &amp; Charges|ATM Fee"/>
  </r>
  <r>
    <s v="MasterCard (Capital One)"/>
    <d v="2014-06-30T00:00:00"/>
    <n v="-27.34"/>
    <s v="X"/>
    <x v="105"/>
    <s v="Smoke detector"/>
    <s v="Business Expenses (Koolikai):Office Expenses (Business)"/>
    <m/>
    <m/>
    <m/>
    <x v="36"/>
    <x v="42"/>
    <x v="0"/>
    <m/>
    <x v="0"/>
    <m/>
    <s v="Jun"/>
    <n v="2014"/>
    <s v="Monthly"/>
    <n v="0"/>
    <s v="No"/>
    <s v="None"/>
    <s v="Business Expenses (Koolikai)|Office Expenses (Business)"/>
  </r>
  <r>
    <s v="First Tech - Checking (5544)"/>
    <d v="2014-06-29T00:00:00"/>
    <n v="21.17"/>
    <s v="X"/>
    <x v="316"/>
    <s v="Deposit--Shared Branch Mobile Deposit          First Tech FC CA"/>
    <s v="Health &amp; Fitness:Doctor"/>
    <m/>
    <m/>
    <m/>
    <x v="18"/>
    <x v="56"/>
    <x v="0"/>
    <m/>
    <x v="0"/>
    <m/>
    <s v="Jun"/>
    <n v="2014"/>
    <s v="Irregular"/>
    <n v="0"/>
    <s v="No"/>
    <s v="None"/>
    <s v="Health &amp; Fitness|Doctor"/>
  </r>
  <r>
    <s v="First Tech - Checking (5544)"/>
    <d v="2014-06-29T00:00:00"/>
    <n v="3165.19"/>
    <s v="X"/>
    <x v="47"/>
    <s v="ACH Deposit--MICROSOFT  - EDIPAYMENT"/>
    <s v="Net Salary"/>
    <m/>
    <m/>
    <m/>
    <x v="35"/>
    <x v="0"/>
    <x v="0"/>
    <m/>
    <x v="0"/>
    <m/>
    <s v="Jun"/>
    <n v="2014"/>
    <s v="Monthly"/>
    <n v="0"/>
    <s v="No"/>
    <s v="None"/>
    <s v="Net Salary"/>
  </r>
  <r>
    <s v="First Tech - Checking (5544)"/>
    <d v="2014-06-29T00:00:00"/>
    <n v="6058.12"/>
    <s v="X"/>
    <x v="109"/>
    <s v="ACH Deposit--Cancer Research  - Payroll"/>
    <s v="Net Salary"/>
    <m/>
    <m/>
    <m/>
    <x v="35"/>
    <x v="0"/>
    <x v="0"/>
    <m/>
    <x v="0"/>
    <m/>
    <s v="Jun"/>
    <n v="2014"/>
    <s v="Monthly"/>
    <n v="0"/>
    <s v="No"/>
    <s v="None"/>
    <s v="Net Salary"/>
  </r>
  <r>
    <s v="Chase Freedom XX9381"/>
    <d v="2014-06-29T00:00:00"/>
    <n v="-12.9"/>
    <s v="X"/>
    <x v="317"/>
    <s v="Lunch with Rich and Amy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29T00:00:00"/>
    <n v="-34"/>
    <s v="X"/>
    <x v="97"/>
    <s v="2011: RUDYS BARBER SHOP - PH SEATTLE WA 98103 USA"/>
    <s v="Personal Care:Hair/From Receipt"/>
    <m/>
    <m/>
    <s v="From Receipt"/>
    <x v="31"/>
    <x v="16"/>
    <x v="0"/>
    <m/>
    <x v="0"/>
    <m/>
    <s v="Jun"/>
    <n v="2014"/>
    <s v="Monthly"/>
    <n v="0"/>
    <s v="No"/>
    <s v="None"/>
    <s v="Personal Care|Hair"/>
  </r>
  <r>
    <s v="MasterCard (Capital One)"/>
    <d v="2014-06-29T00:00:00"/>
    <n v="-99"/>
    <s v="X"/>
    <x v="37"/>
    <s v="Prime membership"/>
    <s v="Subscriptions &amp; Dues"/>
    <m/>
    <m/>
    <m/>
    <x v="33"/>
    <x v="0"/>
    <x v="0"/>
    <m/>
    <x v="0"/>
    <m/>
    <s v="Jun"/>
    <n v="2014"/>
    <s v="Annual"/>
    <n v="0"/>
    <s v="No"/>
    <s v="None"/>
    <s v="Subscriptions &amp; Dues"/>
  </r>
  <r>
    <s v="MasterCard (Capital One)"/>
    <d v="2014-06-28T00:00:00"/>
    <n v="-6.78"/>
    <s v="X"/>
    <x v="318"/>
    <s v="Network cable"/>
    <s v="Projects:Boy's Room/From Receipt"/>
    <m/>
    <m/>
    <s v="From Receipt"/>
    <x v="39"/>
    <x v="57"/>
    <x v="0"/>
    <m/>
    <x v="0"/>
    <m/>
    <s v="Jun"/>
    <n v="2014"/>
    <s v="Unplanned"/>
    <n v="0"/>
    <s v="No"/>
    <s v="None"/>
    <s v="Projects|Boy's Room"/>
  </r>
  <r>
    <s v="MasterCard (Capital One)"/>
    <d v="2014-06-28T00:00:00"/>
    <n v="-9.52"/>
    <s v="X"/>
    <x v="319"/>
    <s v="2011: SWIRL SEATTLE WA 98155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28T00:00:00"/>
    <n v="-16.97"/>
    <s v="X"/>
    <x v="320"/>
    <s v="2011: HONEY BEAR BAKERY LAKE FOREST P WA 98155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28T00:00:00"/>
    <n v="-19.68"/>
    <s v="X"/>
    <x v="105"/>
    <s v="CAT5E Data Port Expansion"/>
    <s v="Business Expenses (Koolikai):Repairs/7231:From Receipt"/>
    <m/>
    <m/>
    <s v="7231:From Receipt"/>
    <x v="36"/>
    <x v="41"/>
    <x v="0"/>
    <m/>
    <x v="0"/>
    <m/>
    <s v="Jun"/>
    <n v="2014"/>
    <s v="Irregular"/>
    <n v="0"/>
    <s v="No"/>
    <s v="None"/>
    <s v="Business Expenses (Koolikai)|Repairs"/>
  </r>
  <r>
    <s v="First Tech - Checking (5544)"/>
    <d v="2014-06-27T00:00:00"/>
    <n v="-954.76"/>
    <s v="X"/>
    <x v="293"/>
    <s v="ACH Debit--CHASE  - AUTOPAY"/>
    <s v="[Chase Freedom XX9381]"/>
    <m/>
    <m/>
    <m/>
    <x v="7"/>
    <x v="0"/>
    <x v="0"/>
    <m/>
    <x v="0"/>
    <m/>
    <s v="Jun"/>
    <n v="2014"/>
    <e v="#N/A"/>
    <e v="#N/A"/>
    <e v="#N/A"/>
    <e v="#N/A"/>
    <s v="[Chase Freedom XX9381]"/>
  </r>
  <r>
    <s v="Chase Freedom XX9381"/>
    <d v="2014-06-27T00:00:00"/>
    <n v="19.7"/>
    <s v="X"/>
    <x v="2"/>
    <s v="#Stay Fit# Returned bike lock"/>
    <s v="Health &amp; Fitness:Sports/From Receipt"/>
    <m/>
    <m/>
    <s v="From Receipt"/>
    <x v="18"/>
    <x v="23"/>
    <x v="0"/>
    <m/>
    <x v="5"/>
    <m/>
    <s v="Jun"/>
    <n v="2014"/>
    <s v="Irregular"/>
    <n v="0"/>
    <s v="No"/>
    <s v="None"/>
    <s v="Health &amp; Fitness|Sports"/>
  </r>
  <r>
    <s v="Chase Freedom XX9381"/>
    <d v="2014-06-27T00:00:00"/>
    <n v="-10.91"/>
    <s v="X"/>
    <x v="91"/>
    <s v="Hose nozzles"/>
    <s v="Home:Home Improvement/From Receipt"/>
    <m/>
    <m/>
    <s v="From Receipt"/>
    <x v="14"/>
    <x v="19"/>
    <x v="0"/>
    <m/>
    <x v="0"/>
    <m/>
    <s v="Jun"/>
    <n v="2014"/>
    <s v="Irregular"/>
    <n v="0"/>
    <s v="No"/>
    <s v="None"/>
    <s v="Home|Home Improvement"/>
  </r>
  <r>
    <s v="Chase Freedom XX9381"/>
    <d v="2014-06-27T00:00:00"/>
    <n v="-24.05"/>
    <s v="X"/>
    <x v="321"/>
    <m/>
    <s v="Food &amp; Dining:Restaurants/From Receipt"/>
    <m/>
    <m/>
    <s v="From Receipt"/>
    <x v="15"/>
    <x v="15"/>
    <x v="0"/>
    <m/>
    <x v="0"/>
    <m/>
    <s v="Jun"/>
    <n v="2014"/>
    <s v="Monthly"/>
    <n v="0"/>
    <s v="No"/>
    <s v="None"/>
    <s v="Food &amp; Dining|Restaurants"/>
  </r>
  <r>
    <s v="Chase Freedom XX9381"/>
    <d v="2014-06-27T00:00:00"/>
    <n v="-688.86"/>
    <s v="X"/>
    <x v="91"/>
    <s v="Washing machine"/>
    <s v="Projects:Appliances"/>
    <m/>
    <m/>
    <m/>
    <x v="39"/>
    <x v="36"/>
    <x v="0"/>
    <m/>
    <x v="0"/>
    <m/>
    <s v="Jun"/>
    <n v="2014"/>
    <s v="Unplanned"/>
    <n v="0"/>
    <s v="No"/>
    <s v="None"/>
    <s v="Projects|Appliances"/>
  </r>
  <r>
    <s v="MasterCard (Capital One)"/>
    <d v="2014-06-27T00:00:00"/>
    <n v="-10.85"/>
    <s v="X"/>
    <x v="322"/>
    <s v="2011: GYMBOREE 507350050731 TULALIP WA 98271 USA"/>
    <s v="Kids:Clothing/From Receipt"/>
    <m/>
    <m/>
    <s v="From Receipt"/>
    <x v="27"/>
    <x v="1"/>
    <x v="0"/>
    <m/>
    <x v="0"/>
    <m/>
    <s v="Jun"/>
    <n v="2014"/>
    <s v="Monthly"/>
    <n v="0"/>
    <s v="No"/>
    <s v="None"/>
    <s v="Kids|Clothing"/>
  </r>
  <r>
    <s v="MasterCard (Capital One)"/>
    <d v="2014-06-27T00:00:00"/>
    <n v="-33.64"/>
    <s v="X"/>
    <x v="188"/>
    <s v="2011: ANN TAYLOR LOFT #2955 TULALIP WA 98271 USA"/>
    <s v="Shopping:Clothing/From Receipt"/>
    <m/>
    <m/>
    <s v="From Receipt"/>
    <x v="13"/>
    <x v="1"/>
    <x v="0"/>
    <m/>
    <x v="0"/>
    <m/>
    <s v="Jun"/>
    <n v="2014"/>
    <s v="Annual"/>
    <n v="0"/>
    <s v="No"/>
    <s v="None"/>
    <s v="Shopping|Clothing"/>
  </r>
  <r>
    <s v="MasterCard (Capital One)"/>
    <d v="2014-06-27T00:00:00"/>
    <n v="-49.92"/>
    <s v="X"/>
    <x v="188"/>
    <s v="2011: ANN TAYLOR FACTORY #12 TULALIP WA 98271 USA"/>
    <s v="Shopping:Clothing/From Receipt"/>
    <m/>
    <m/>
    <s v="From Receipt"/>
    <x v="13"/>
    <x v="1"/>
    <x v="0"/>
    <m/>
    <x v="0"/>
    <m/>
    <s v="Jun"/>
    <n v="2014"/>
    <s v="Annual"/>
    <n v="0"/>
    <s v="No"/>
    <s v="None"/>
    <s v="Shopping|Clothing"/>
  </r>
  <r>
    <s v="MasterCard (Capital One)"/>
    <d v="2014-06-27T00:00:00"/>
    <n v="-77.650000000000006"/>
    <s v="X"/>
    <x v="323"/>
    <s v="2011: JOCKEY SEATTLE WA TULALIP WA 98271 USA"/>
    <s v="Shopping:Clothing"/>
    <m/>
    <m/>
    <m/>
    <x v="13"/>
    <x v="1"/>
    <x v="0"/>
    <m/>
    <x v="0"/>
    <m/>
    <s v="Jun"/>
    <n v="2014"/>
    <s v="Annual"/>
    <n v="0"/>
    <s v="No"/>
    <s v="None"/>
    <s v="Shopping|Clothing"/>
  </r>
  <r>
    <s v="Koolikai - Checking XX2129"/>
    <d v="2014-06-26T00:00:00"/>
    <n v="2195"/>
    <s v="X"/>
    <x v="133"/>
    <s v="Deposit--Shared Branch Mobile Deposit          First Tech FC CA"/>
    <s v="Business Income (Koolikai):Rent/9602"/>
    <m/>
    <m/>
    <n v="9602"/>
    <x v="37"/>
    <x v="25"/>
    <x v="0"/>
    <m/>
    <x v="0"/>
    <m/>
    <s v="Jun"/>
    <n v="2014"/>
    <s v="Monthly"/>
    <n v="0"/>
    <s v="No"/>
    <s v="None"/>
    <s v="Business Income (Koolikai)|Rent"/>
  </r>
  <r>
    <s v="Schwab - Checking (9784)"/>
    <d v="2014-06-26T00:00:00"/>
    <n v="-23.68"/>
    <s v="X"/>
    <x v="1"/>
    <s v="Fruit snacks and olive oil"/>
    <s v="Food &amp; Dining:Groceries"/>
    <m/>
    <m/>
    <m/>
    <x v="15"/>
    <x v="3"/>
    <x v="0"/>
    <m/>
    <x v="0"/>
    <m/>
    <s v="Jun"/>
    <n v="2014"/>
    <s v="Monthly"/>
    <n v="0"/>
    <s v="No"/>
    <s v="None"/>
    <s v="Food &amp; Dining|Groceries"/>
  </r>
  <r>
    <s v="Chase Freedom XX9381"/>
    <d v="2014-06-26T00:00:00"/>
    <n v="954.76"/>
    <s v="X"/>
    <x v="6"/>
    <m/>
    <s v="[First Tech - Checking (5544)]"/>
    <m/>
    <m/>
    <m/>
    <x v="21"/>
    <x v="0"/>
    <x v="0"/>
    <m/>
    <x v="0"/>
    <m/>
    <s v="Jun"/>
    <n v="2014"/>
    <s v="Account"/>
    <n v="0"/>
    <s v="No"/>
    <s v="None"/>
    <s v="[First Tech - Checking (5544)]"/>
  </r>
  <r>
    <s v="MasterCard (Capital One)"/>
    <d v="2014-06-26T00:00:00"/>
    <n v="27.36"/>
    <s v="X"/>
    <x v="169"/>
    <s v="Returned sharpening steel"/>
    <s v="Home:Furnishings/From Receipt"/>
    <m/>
    <m/>
    <s v="From Receipt"/>
    <x v="14"/>
    <x v="2"/>
    <x v="0"/>
    <m/>
    <x v="0"/>
    <m/>
    <s v="Jun"/>
    <n v="2014"/>
    <s v="Monthly"/>
    <n v="0"/>
    <s v="No"/>
    <s v="None"/>
    <s v="Home|Furnishings"/>
  </r>
  <r>
    <s v="MasterCard (Capital One)"/>
    <d v="2014-06-26T00:00:00"/>
    <n v="32.83"/>
    <s v="X"/>
    <x v="324"/>
    <s v="#Scottsdale 2014# Sun hats"/>
    <s v="Kids:Clothing/From Receipt"/>
    <m/>
    <m/>
    <s v="From Receipt"/>
    <x v="27"/>
    <x v="1"/>
    <x v="0"/>
    <m/>
    <x v="19"/>
    <m/>
    <s v="Jun"/>
    <n v="2014"/>
    <s v="Monthly"/>
    <n v="0"/>
    <s v="No"/>
    <s v="None"/>
    <s v="Kids|Clothing"/>
  </r>
  <r>
    <s v="MasterCard (Capital One)"/>
    <d v="2014-06-26T00:00:00"/>
    <n v="-13"/>
    <s v="X"/>
    <x v="167"/>
    <s v="#Scottsdale 2014# Plane food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MasterCard (Capital One)"/>
    <d v="2014-06-26T00:00:00"/>
    <n v="-134.6"/>
    <s v="X"/>
    <x v="2"/>
    <s v="2011: FRED-MEYER #0122 SEATTLE WA 98117 USA"/>
    <s v="Food &amp; Dining:Groceries/From Receipt"/>
    <m/>
    <m/>
    <s v="From Receipt"/>
    <x v="15"/>
    <x v="3"/>
    <x v="0"/>
    <m/>
    <x v="0"/>
    <m/>
    <s v="Jun"/>
    <n v="2014"/>
    <s v="Monthly"/>
    <n v="0"/>
    <s v="No"/>
    <s v="None"/>
    <s v="Food &amp; Dining|Groceries"/>
  </r>
  <r>
    <s v="Target Red Card"/>
    <d v="2014-06-26T00:00:00"/>
    <n v="15.59"/>
    <s v="X"/>
    <x v="21"/>
    <s v="#Stay Fit# Return of bike lock"/>
    <s v="Health &amp; Fitness:Sports/From Receipt"/>
    <n v="799999941771"/>
    <m/>
    <s v="From Receipt"/>
    <x v="18"/>
    <x v="23"/>
    <x v="0"/>
    <m/>
    <x v="5"/>
    <m/>
    <s v="Jun"/>
    <n v="2014"/>
    <s v="Irregular"/>
    <n v="0"/>
    <s v="No"/>
    <s v="None"/>
    <s v="Health &amp; Fitness|Sports"/>
  </r>
  <r>
    <s v="Target Red Card"/>
    <d v="2014-06-26T00:00:00"/>
    <n v="-31.15"/>
    <s v="X"/>
    <x v="21"/>
    <s v="Sheets for boys room"/>
    <s v="Home:Furnishings/From Receipt"/>
    <n v="799999941771"/>
    <s v="Split"/>
    <s v="From Receipt"/>
    <x v="14"/>
    <x v="2"/>
    <x v="0"/>
    <m/>
    <x v="0"/>
    <m/>
    <s v="Jun"/>
    <n v="2014"/>
    <s v="Monthly"/>
    <n v="0"/>
    <s v="No"/>
    <s v="None"/>
    <s v="Home|Furnishings"/>
  </r>
  <r>
    <s v="Target Red Card"/>
    <d v="2014-06-26T00:00:00"/>
    <n v="-6.19"/>
    <s v="X"/>
    <x v="21"/>
    <s v="Birthday card"/>
    <s v="Gifts/From Receipt"/>
    <n v="799999941771"/>
    <s v="Split"/>
    <s v="From Receipt"/>
    <x v="28"/>
    <x v="0"/>
    <x v="0"/>
    <m/>
    <x v="0"/>
    <m/>
    <s v="Jun"/>
    <n v="2014"/>
    <s v="Monthly"/>
    <n v="0"/>
    <s v="No"/>
    <s v="None"/>
    <s v="Gifts"/>
  </r>
  <r>
    <s v="First Tech - Checking (5544)"/>
    <d v="2014-06-25T00:00:00"/>
    <n v="-200000"/>
    <s v="X"/>
    <x v="325"/>
    <s v="ACH Debit--LPL  - DEBIT"/>
    <s v="[LPL Financial]"/>
    <m/>
    <m/>
    <m/>
    <x v="44"/>
    <x v="0"/>
    <x v="0"/>
    <m/>
    <x v="0"/>
    <m/>
    <s v="Jun"/>
    <n v="2014"/>
    <e v="#N/A"/>
    <e v="#N/A"/>
    <e v="#N/A"/>
    <e v="#N/A"/>
    <s v="[LPL Financial]"/>
  </r>
  <r>
    <s v="Chase Freedom XX9381"/>
    <d v="2014-06-25T00:00:00"/>
    <n v="-45.84"/>
    <s v="X"/>
    <x v="91"/>
    <m/>
    <s v="Home:Home Improvement"/>
    <m/>
    <m/>
    <m/>
    <x v="14"/>
    <x v="19"/>
    <x v="0"/>
    <m/>
    <x v="0"/>
    <m/>
    <s v="Jun"/>
    <n v="2014"/>
    <s v="Irregular"/>
    <n v="0"/>
    <s v="No"/>
    <s v="None"/>
    <s v="Home|Home Improvement"/>
  </r>
  <r>
    <s v="MasterCard (Capital One)"/>
    <d v="2014-06-25T00:00:00"/>
    <n v="-55.21"/>
    <s v="X"/>
    <x v="326"/>
    <s v="#Scottsdale 2014#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LPL Financial"/>
    <d v="2014-06-25T00:00:00"/>
    <n v="200000"/>
    <m/>
    <x v="325"/>
    <s v="ACH Debit--LPL  - DEBIT"/>
    <s v="[First Tech - Checking (5544)]"/>
    <s v="XIn"/>
    <s v="Split"/>
    <m/>
    <x v="21"/>
    <x v="0"/>
    <x v="0"/>
    <m/>
    <x v="0"/>
    <m/>
    <s v="Jun"/>
    <n v="2014"/>
    <s v="Account"/>
    <n v="0"/>
    <s v="No"/>
    <s v="None"/>
    <s v="[First Tech - Checking (5544)]"/>
  </r>
  <r>
    <s v="Koolikai - Checking XX2129"/>
    <d v="2014-06-24T00:00:00"/>
    <n v="-343.98"/>
    <s v="X"/>
    <x v="11"/>
    <s v="ACH Debit--CHASE  - AUTOPAYBUS"/>
    <s v="[Koolikai Credit Card]"/>
    <m/>
    <m/>
    <m/>
    <x v="9"/>
    <x v="0"/>
    <x v="0"/>
    <m/>
    <x v="0"/>
    <m/>
    <s v="Jun"/>
    <n v="2014"/>
    <s v="Account"/>
    <n v="0"/>
    <s v="No"/>
    <s v="None"/>
    <s v="[Koolikai Credit Card]"/>
  </r>
  <r>
    <s v="MasterCard (Capital One)"/>
    <d v="2014-06-24T00:00:00"/>
    <n v="-25"/>
    <s v="X"/>
    <x v="167"/>
    <s v="#Scottsdale 2014# Bag fee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MasterCard (Capital One)"/>
    <d v="2014-06-24T00:00:00"/>
    <n v="-33"/>
    <s v="X"/>
    <x v="98"/>
    <s v="Groupon for Remlinger Farms"/>
    <s v="Kids:Kids Activities"/>
    <m/>
    <m/>
    <m/>
    <x v="27"/>
    <x v="12"/>
    <x v="0"/>
    <m/>
    <x v="0"/>
    <m/>
    <s v="Jun"/>
    <n v="2014"/>
    <s v="Monthly"/>
    <n v="0"/>
    <s v="No"/>
    <s v="None"/>
    <s v="Kids|Kids Activities"/>
  </r>
  <r>
    <s v="First Tech - Checking (5544)"/>
    <d v="2014-06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Jun"/>
    <n v="2014"/>
    <s v="Monthly"/>
    <n v="0"/>
    <s v="No"/>
    <s v="None"/>
    <s v="Auto &amp; Transport|Auto Lease Payment"/>
  </r>
  <r>
    <s v="First Tech - Checking (5544)"/>
    <d v="2014-06-23T00:00:00"/>
    <n v="-492.75"/>
    <s v="X"/>
    <x v="181"/>
    <s v="ACH Debit--CATHLEEN CAESAR  - ONLINE PMT"/>
    <s v="Projects:Landscaping"/>
    <m/>
    <m/>
    <m/>
    <x v="39"/>
    <x v="47"/>
    <x v="0"/>
    <m/>
    <x v="0"/>
    <m/>
    <s v="Jun"/>
    <n v="2014"/>
    <s v="Unplanned"/>
    <n v="0"/>
    <s v="No"/>
    <s v="None"/>
    <s v="Projects|Landscaping"/>
  </r>
  <r>
    <s v="Schwab - Checking (9784)"/>
    <d v="2014-06-23T00:00:00"/>
    <n v="-63"/>
    <s v="X"/>
    <x v="113"/>
    <s v="#Scottsdale 2014#"/>
    <s v="Vacation:Food"/>
    <m/>
    <m/>
    <m/>
    <x v="23"/>
    <x v="8"/>
    <x v="0"/>
    <m/>
    <x v="19"/>
    <m/>
    <s v="Jun"/>
    <n v="2014"/>
    <s v="Irregular"/>
    <n v="0"/>
    <s v="No"/>
    <s v="None"/>
    <s v="Vacation|Food"/>
  </r>
  <r>
    <s v="Chase Freedom XX9381"/>
    <d v="2014-06-23T00:00:00"/>
    <n v="-18.399999999999999"/>
    <s v="X"/>
    <x v="21"/>
    <s v="#Scottsdale 2014# Sunglasses"/>
    <s v="Shopping:Clothing:Accessories/From Receipt"/>
    <m/>
    <m/>
    <s v="From Receipt"/>
    <x v="13"/>
    <x v="1"/>
    <x v="1"/>
    <m/>
    <x v="19"/>
    <m/>
    <s v="Jun"/>
    <n v="2014"/>
    <s v="Annual"/>
    <n v="0"/>
    <s v="No"/>
    <s v="None"/>
    <s v="Shopping|Clothing"/>
  </r>
  <r>
    <s v="Koolikai Credit Card"/>
    <d v="2014-06-23T00:00:00"/>
    <n v="343.98"/>
    <s v="X"/>
    <x v="11"/>
    <m/>
    <s v="[Koolikai - Checking XX2129]"/>
    <m/>
    <m/>
    <m/>
    <x v="25"/>
    <x v="0"/>
    <x v="0"/>
    <m/>
    <x v="0"/>
    <m/>
    <s v="Jun"/>
    <n v="2014"/>
    <s v="Account"/>
    <n v="0"/>
    <s v="No"/>
    <s v="None"/>
    <s v="[Koolikai - Checking XX2129]"/>
  </r>
  <r>
    <s v="MasterCard (Capital One)"/>
    <d v="2014-06-23T00:00:00"/>
    <n v="-19.940000000000001"/>
    <s v="X"/>
    <x v="327"/>
    <s v="#Scottsdale 2014#  Play factory (climbing wall, play area)"/>
    <s v="Vacation:Activities"/>
    <m/>
    <m/>
    <m/>
    <x v="23"/>
    <x v="39"/>
    <x v="0"/>
    <m/>
    <x v="19"/>
    <m/>
    <s v="Jun"/>
    <n v="2014"/>
    <s v="Irregular"/>
    <n v="0"/>
    <s v="No"/>
    <s v="None"/>
    <s v="Vacation|Activities"/>
  </r>
  <r>
    <s v="Chase Freedom XX9381"/>
    <d v="2014-06-22T00:00:00"/>
    <n v="-11.71"/>
    <s v="X"/>
    <x v="328"/>
    <m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22T00:00:00"/>
    <n v="-32"/>
    <s v="X"/>
    <x v="329"/>
    <s v="#Scottsdale 2014# Dinosaur museum"/>
    <s v="Vacation:Activities"/>
    <m/>
    <m/>
    <m/>
    <x v="23"/>
    <x v="39"/>
    <x v="0"/>
    <m/>
    <x v="19"/>
    <m/>
    <s v="Jun"/>
    <n v="2014"/>
    <s v="Irregular"/>
    <n v="0"/>
    <s v="No"/>
    <s v="None"/>
    <s v="Vacation|Activities"/>
  </r>
  <r>
    <s v="American Express (Costco)"/>
    <d v="2014-06-21T00:00:00"/>
    <n v="-43.16"/>
    <s v="X"/>
    <x v="1"/>
    <s v="Life vests for boys, recat as"/>
    <s v="Food &amp; Dining:Groceries"/>
    <m/>
    <s v="Split"/>
    <m/>
    <x v="15"/>
    <x v="3"/>
    <x v="0"/>
    <m/>
    <x v="0"/>
    <m/>
    <s v="Jun"/>
    <n v="2014"/>
    <s v="Monthly"/>
    <n v="0"/>
    <s v="No"/>
    <s v="None"/>
    <s v="Food &amp; Dining|Groceries"/>
  </r>
  <r>
    <s v="American Express (Costco)"/>
    <d v="2014-06-21T00:00:00"/>
    <n v="-32.03"/>
    <s v="X"/>
    <x v="1"/>
    <s v="#Scottsdale 2014#Groceries at"/>
    <s v="Vacation:Food"/>
    <m/>
    <s v="Split"/>
    <m/>
    <x v="23"/>
    <x v="8"/>
    <x v="0"/>
    <m/>
    <x v="19"/>
    <m/>
    <s v="Jun"/>
    <n v="2014"/>
    <s v="Irregular"/>
    <n v="0"/>
    <s v="No"/>
    <s v="None"/>
    <s v="Vacation|Food"/>
  </r>
  <r>
    <s v="MasterCard (Capital One)"/>
    <d v="2014-06-21T00:00:00"/>
    <n v="25"/>
    <s v="X"/>
    <x v="60"/>
    <s v="2011: CREDIT-CASH BACK REWARD"/>
    <s v="Other Inc"/>
    <m/>
    <m/>
    <m/>
    <x v="29"/>
    <x v="0"/>
    <x v="0"/>
    <m/>
    <x v="0"/>
    <m/>
    <s v="Jun"/>
    <n v="2014"/>
    <s v="Monthly"/>
    <n v="0"/>
    <s v="No"/>
    <s v="None"/>
    <s v="Other Inc"/>
  </r>
  <r>
    <s v="Target Red Card"/>
    <d v="2014-06-21T00:00:00"/>
    <n v="61.51"/>
    <s v="X"/>
    <x v="21"/>
    <s v="Return of pool vests #Scottsdale 2014#"/>
    <s v="Vacation:Activities/From Receipt"/>
    <n v="799999941721"/>
    <m/>
    <s v="From Receipt"/>
    <x v="23"/>
    <x v="39"/>
    <x v="0"/>
    <m/>
    <x v="19"/>
    <m/>
    <s v="Jun"/>
    <n v="2014"/>
    <s v="Irregular"/>
    <n v="0"/>
    <s v="No"/>
    <s v="None"/>
    <s v="Vacation|Activities"/>
  </r>
  <r>
    <s v="MasterCard (Capital One)"/>
    <d v="2014-06-20T00:00:00"/>
    <n v="-20"/>
    <s v="X"/>
    <x v="330"/>
    <s v="#Scottsdale 2014#"/>
    <s v="Kids:Kids Activities"/>
    <m/>
    <m/>
    <m/>
    <x v="27"/>
    <x v="12"/>
    <x v="0"/>
    <m/>
    <x v="19"/>
    <m/>
    <s v="Jun"/>
    <n v="2014"/>
    <s v="Monthly"/>
    <n v="0"/>
    <s v="No"/>
    <s v="None"/>
    <s v="Kids|Kids Activities"/>
  </r>
  <r>
    <s v="Target Red Card"/>
    <d v="2014-06-20T00:00:00"/>
    <n v="-2.85"/>
    <s v="X"/>
    <x v="331"/>
    <m/>
    <s v="Food &amp; Dining:Restaurants"/>
    <n v="799999941710"/>
    <m/>
    <m/>
    <x v="15"/>
    <x v="15"/>
    <x v="0"/>
    <m/>
    <x v="0"/>
    <m/>
    <s v="Jun"/>
    <n v="2014"/>
    <s v="Monthly"/>
    <n v="0"/>
    <s v="No"/>
    <s v="None"/>
    <s v="Food &amp; Dining|Restaurants"/>
  </r>
  <r>
    <s v="Target Red Card"/>
    <d v="2014-06-20T00:00:00"/>
    <n v="-4.8"/>
    <s v="X"/>
    <x v="331"/>
    <m/>
    <s v="Food &amp; Dining:Restaurants"/>
    <n v="799999941710"/>
    <m/>
    <m/>
    <x v="15"/>
    <x v="15"/>
    <x v="0"/>
    <m/>
    <x v="0"/>
    <m/>
    <s v="Jun"/>
    <n v="2014"/>
    <s v="Monthly"/>
    <n v="0"/>
    <s v="No"/>
    <s v="None"/>
    <s v="Food &amp; Dining|Restaurants"/>
  </r>
  <r>
    <s v="Target Red Card"/>
    <d v="2014-06-20T00:00:00"/>
    <n v="-1.1000000000000001"/>
    <s v="X"/>
    <x v="21"/>
    <s v="#Scottsdale 2014#"/>
    <s v="Vacation:Food/From Receipt"/>
    <n v="799999941710"/>
    <s v="Split"/>
    <s v="From Receipt"/>
    <x v="23"/>
    <x v="8"/>
    <x v="0"/>
    <m/>
    <x v="19"/>
    <m/>
    <s v="Jun"/>
    <n v="2014"/>
    <s v="Irregular"/>
    <n v="0"/>
    <s v="No"/>
    <s v="None"/>
    <s v="Vacation|Food"/>
  </r>
  <r>
    <s v="Target Red Card"/>
    <d v="2014-06-20T00:00:00"/>
    <n v="-77.88"/>
    <s v="X"/>
    <x v="21"/>
    <s v="#Scottsdale 2014#Pool floats,"/>
    <s v="Vacation:Activities/From Receipt"/>
    <n v="799999941710"/>
    <s v="Split"/>
    <s v="From Receipt"/>
    <x v="23"/>
    <x v="39"/>
    <x v="0"/>
    <m/>
    <x v="19"/>
    <m/>
    <s v="Jun"/>
    <n v="2014"/>
    <s v="Irregular"/>
    <n v="0"/>
    <s v="No"/>
    <s v="None"/>
    <s v="Vacation|Activities"/>
  </r>
  <r>
    <s v="Target Red Card"/>
    <d v="2014-06-20T00:00:00"/>
    <n v="-13.48"/>
    <s v="X"/>
    <x v="21"/>
    <s v="#Scottsdale 2014#Glasses and p"/>
    <s v="Vacation:Other/From Receipt"/>
    <n v="799999941710"/>
    <s v="Split"/>
    <s v="From Receipt"/>
    <x v="23"/>
    <x v="58"/>
    <x v="0"/>
    <m/>
    <x v="19"/>
    <m/>
    <s v="Jun"/>
    <n v="2014"/>
    <s v="Irregular"/>
    <n v="0"/>
    <s v="No"/>
    <s v="None"/>
    <s v="Vacation|Other"/>
  </r>
  <r>
    <s v="First Tech - Checking (5544)"/>
    <d v="2014-06-19T00:00:00"/>
    <n v="100000"/>
    <s v="X"/>
    <x v="332"/>
    <s v="Fidelity brokerage services"/>
    <s v="[Fideity ESPP and Stock Awards]"/>
    <m/>
    <m/>
    <m/>
    <x v="43"/>
    <x v="0"/>
    <x v="0"/>
    <m/>
    <x v="0"/>
    <m/>
    <s v="Jun"/>
    <n v="2014"/>
    <e v="#N/A"/>
    <e v="#N/A"/>
    <e v="#N/A"/>
    <e v="#N/A"/>
    <s v="[Fideity ESPP and Stock Awards]"/>
  </r>
  <r>
    <s v="Koolikai Credit Card"/>
    <d v="2014-06-19T00:00:00"/>
    <n v="-12.81"/>
    <s v="X"/>
    <x v="333"/>
    <m/>
    <s v="Business Expenses (Koolikai):Office Expenses (Business)"/>
    <m/>
    <m/>
    <m/>
    <x v="36"/>
    <x v="42"/>
    <x v="0"/>
    <m/>
    <x v="0"/>
    <m/>
    <s v="Jun"/>
    <n v="2014"/>
    <s v="Monthly"/>
    <n v="0"/>
    <s v="No"/>
    <s v="None"/>
    <s v="Business Expenses (Koolikai)|Office Expenses (Business)"/>
  </r>
  <r>
    <s v="MasterCard (Capital One)"/>
    <d v="2014-06-19T00:00:00"/>
    <n v="-13"/>
    <s v="X"/>
    <x v="167"/>
    <s v="#Scottsdale 2014#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MasterCard (Capital One)"/>
    <d v="2014-06-19T00:00:00"/>
    <n v="-25"/>
    <s v="X"/>
    <x v="167"/>
    <s v="#Scottsdale 2014#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Fideity ESPP and Stock Awards"/>
    <d v="2014-06-19T00:00:00"/>
    <n v="100000"/>
    <m/>
    <x v="332"/>
    <s v="Fidelity brokerage services"/>
    <s v="[First Tech - Checking (5544)]"/>
    <s v="XOut"/>
    <s v="Split"/>
    <m/>
    <x v="21"/>
    <x v="0"/>
    <x v="0"/>
    <m/>
    <x v="0"/>
    <m/>
    <s v="Jun"/>
    <n v="2014"/>
    <s v="Account"/>
    <n v="0"/>
    <s v="No"/>
    <s v="None"/>
    <s v="[First Tech - Checking (5544)]"/>
  </r>
  <r>
    <s v="Koolikai Credit Card"/>
    <d v="2014-06-18T00:00:00"/>
    <n v="-71.88"/>
    <s v="X"/>
    <x v="333"/>
    <m/>
    <s v="Business Expenses (Koolikai):Office Expenses (Business)"/>
    <m/>
    <m/>
    <m/>
    <x v="36"/>
    <x v="42"/>
    <x v="0"/>
    <m/>
    <x v="0"/>
    <m/>
    <s v="Jun"/>
    <n v="2014"/>
    <s v="Monthly"/>
    <n v="0"/>
    <s v="No"/>
    <s v="None"/>
    <s v="Business Expenses (Koolikai)|Office Expenses (Business)"/>
  </r>
  <r>
    <s v="MasterCard (Capital One)"/>
    <d v="2014-06-18T00:00:00"/>
    <n v="-10"/>
    <s v="X"/>
    <x v="326"/>
    <s v="#Scottsdale 2014#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MasterCard (Capital One)"/>
    <d v="2014-06-18T00:00:00"/>
    <n v="-15.86"/>
    <s v="X"/>
    <x v="15"/>
    <s v="#Scottsdale 2014#"/>
    <s v="Vacation:Transportation"/>
    <m/>
    <m/>
    <m/>
    <x v="23"/>
    <x v="26"/>
    <x v="0"/>
    <m/>
    <x v="19"/>
    <m/>
    <s v="Jun"/>
    <n v="2014"/>
    <s v="Irregular"/>
    <n v="0"/>
    <s v="No"/>
    <s v="None"/>
    <s v="Vacation|Transportation"/>
  </r>
  <r>
    <s v="MasterCard (Capital One)"/>
    <d v="2014-06-18T00:00:00"/>
    <n v="-18.63"/>
    <s v="X"/>
    <x v="334"/>
    <s v="2011: HIGHLIGHTS FOR CHILDRE 800-255-9517 OH 43215 USA"/>
    <s v="Kids:Toys"/>
    <m/>
    <m/>
    <m/>
    <x v="27"/>
    <x v="14"/>
    <x v="0"/>
    <m/>
    <x v="0"/>
    <m/>
    <s v="Jun"/>
    <n v="2014"/>
    <s v="Monthly"/>
    <n v="0"/>
    <s v="No"/>
    <s v="None"/>
    <s v="Kids|Toys"/>
  </r>
  <r>
    <s v="MasterCard (Capital One)"/>
    <d v="2014-06-18T00:00:00"/>
    <n v="-903.11"/>
    <s v="X"/>
    <x v="335"/>
    <s v="#Go Cart Racing# with team"/>
    <s v="Work Expense:Reimbursable expense"/>
    <m/>
    <m/>
    <m/>
    <x v="19"/>
    <x v="21"/>
    <x v="0"/>
    <m/>
    <x v="18"/>
    <m/>
    <s v="Jun"/>
    <n v="2014"/>
    <s v="Irregular"/>
    <n v="0"/>
    <s v="No"/>
    <s v="None"/>
    <s v="Work Expense|Reimbursable expense"/>
  </r>
  <r>
    <s v="First Tech - Checking (5544)"/>
    <d v="2014-06-17T00:00:00"/>
    <n v="38832"/>
    <s v="X"/>
    <x v="336"/>
    <s v="Consolidating cash"/>
    <s v="[Koolikai - Checking XX2129]"/>
    <m/>
    <m/>
    <m/>
    <x v="25"/>
    <x v="0"/>
    <x v="0"/>
    <m/>
    <x v="0"/>
    <m/>
    <s v="Jun"/>
    <n v="2014"/>
    <s v="Account"/>
    <n v="0"/>
    <s v="No"/>
    <s v="None"/>
    <s v="[Koolikai - Checking XX2129]"/>
  </r>
  <r>
    <s v="First Tech - Checking (5544)"/>
    <d v="2014-06-17T00:00:00"/>
    <n v="71426"/>
    <s v="X"/>
    <x v="337"/>
    <s v="Consolidating cash"/>
    <s v="[First Tech - Short Term Emergency (5400)]"/>
    <m/>
    <m/>
    <m/>
    <x v="4"/>
    <x v="0"/>
    <x v="0"/>
    <m/>
    <x v="0"/>
    <m/>
    <s v="Jun"/>
    <n v="2014"/>
    <s v="Account"/>
    <n v="0"/>
    <s v="No"/>
    <s v="None"/>
    <s v="[First Tech - Short Term Emergency (5400)]"/>
  </r>
  <r>
    <s v="First Tech - Short Term Emergency (5400)"/>
    <d v="2014-06-17T00:00:00"/>
    <n v="-71426"/>
    <s v="X"/>
    <x v="338"/>
    <s v="Withdrawal-- Transfer to 914775544, reducing cash holdings"/>
    <s v="[First Tech - Checking (5544)]"/>
    <m/>
    <m/>
    <m/>
    <x v="21"/>
    <x v="0"/>
    <x v="0"/>
    <m/>
    <x v="0"/>
    <m/>
    <s v="Jun"/>
    <n v="2014"/>
    <s v="Account"/>
    <n v="0"/>
    <s v="No"/>
    <s v="None"/>
    <s v="[First Tech - Checking (5544)]"/>
  </r>
  <r>
    <s v="Koolikai - Checking XX2129"/>
    <d v="2014-06-17T00:00:00"/>
    <n v="-38832"/>
    <s v="X"/>
    <x v="339"/>
    <s v="Withdrawal-- Transfer to 914775544, reducing cash holdings"/>
    <s v="[First Tech - Checking (5544)]"/>
    <m/>
    <m/>
    <m/>
    <x v="21"/>
    <x v="0"/>
    <x v="0"/>
    <m/>
    <x v="0"/>
    <m/>
    <s v="Jun"/>
    <n v="2014"/>
    <s v="Account"/>
    <n v="0"/>
    <s v="No"/>
    <s v="None"/>
    <s v="[First Tech - Checking (5544)]"/>
  </r>
  <r>
    <s v="Chase Freedom XX9381"/>
    <d v="2014-06-17T00:00:00"/>
    <n v="-8.1999999999999993"/>
    <s v="X"/>
    <x v="177"/>
    <s v="2011: FRESH TABLE CAFE MET SEATTLE WA 98101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17T00:00:00"/>
    <n v="-250.75"/>
    <s v="X"/>
    <x v="340"/>
    <s v="Leaf"/>
    <s v="Auto &amp; Transport:Registration"/>
    <m/>
    <m/>
    <m/>
    <x v="17"/>
    <x v="4"/>
    <x v="0"/>
    <m/>
    <x v="0"/>
    <m/>
    <s v="Jun"/>
    <n v="2014"/>
    <s v="Annual"/>
    <n v="0"/>
    <s v="No"/>
    <s v="None"/>
    <s v="Auto &amp; Transport|Registration"/>
  </r>
  <r>
    <s v="Chase Freedom XX9381"/>
    <d v="2014-06-16T00:00:00"/>
    <n v="-6.5"/>
    <s v="X"/>
    <x v="209"/>
    <m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16T00:00:00"/>
    <n v="-7.83"/>
    <s v="X"/>
    <x v="37"/>
    <s v="Mickey and Friends play set"/>
    <s v="Kids:Toys/From Receipt"/>
    <m/>
    <m/>
    <s v="From Receipt"/>
    <x v="27"/>
    <x v="14"/>
    <x v="0"/>
    <m/>
    <x v="0"/>
    <m/>
    <s v="Jun"/>
    <n v="2014"/>
    <s v="Monthly"/>
    <n v="0"/>
    <s v="No"/>
    <s v="None"/>
    <s v="Kids|Toys"/>
  </r>
  <r>
    <s v="First Tech - Checking (5544)"/>
    <d v="2014-06-15T00:00:00"/>
    <n v="43"/>
    <s v="X"/>
    <x v="341"/>
    <s v="Reimbursement -- Don't know why"/>
    <s v="[Premera Health Care Payment]"/>
    <m/>
    <m/>
    <m/>
    <x v="42"/>
    <x v="0"/>
    <x v="0"/>
    <m/>
    <x v="0"/>
    <m/>
    <s v="Jun"/>
    <n v="2014"/>
    <s v="Account"/>
    <n v="0"/>
    <s v="No"/>
    <s v="None"/>
    <s v="[Premera Health Care Payment]"/>
  </r>
  <r>
    <s v="Schwab - Checking (9784)"/>
    <d v="2014-06-15T00:00:00"/>
    <n v="-20"/>
    <s v="X"/>
    <x v="342"/>
    <s v="Dicks drive in"/>
    <s v="Food &amp; Dining:Restaurants"/>
    <m/>
    <s v="Split"/>
    <m/>
    <x v="15"/>
    <x v="15"/>
    <x v="0"/>
    <m/>
    <x v="0"/>
    <m/>
    <s v="Jun"/>
    <n v="2014"/>
    <s v="Monthly"/>
    <n v="0"/>
    <s v="No"/>
    <s v="None"/>
    <s v="Food &amp; Dining|Restaurants"/>
  </r>
  <r>
    <s v="Schwab - Checking (9784)"/>
    <d v="2014-06-15T00:00:00"/>
    <n v="-2.25"/>
    <s v="X"/>
    <x v="342"/>
    <m/>
    <s v="Bank Fees &amp; Charges:ATM Fee"/>
    <m/>
    <s v="Split"/>
    <m/>
    <x v="32"/>
    <x v="17"/>
    <x v="0"/>
    <m/>
    <x v="0"/>
    <m/>
    <s v="Jun"/>
    <n v="2014"/>
    <s v="Monthly"/>
    <n v="0"/>
    <s v="No"/>
    <s v="None"/>
    <s v="Bank Fees &amp; Charges|ATM Fee"/>
  </r>
  <r>
    <s v="MasterCard (Capital One)"/>
    <d v="2014-06-15T00:00:00"/>
    <n v="-1.1100000000000001"/>
    <s v="X"/>
    <x v="26"/>
    <s v="2011: BARNES &amp; NOBLE #2280 SEATTLE WA 98125 USA"/>
    <s v="Shopping:Books"/>
    <m/>
    <m/>
    <m/>
    <x v="13"/>
    <x v="51"/>
    <x v="0"/>
    <m/>
    <x v="0"/>
    <m/>
    <s v="Jun"/>
    <n v="2014"/>
    <s v="Unplanned"/>
    <n v="0"/>
    <s v="No"/>
    <s v="None"/>
    <s v="Shopping|Books"/>
  </r>
  <r>
    <s v="MasterCard (Capital One)"/>
    <d v="2014-06-15T00:00:00"/>
    <n v="-106.22"/>
    <s v="X"/>
    <x v="137"/>
    <s v="Punchcard"/>
    <s v="Kids:Kids Activities"/>
    <m/>
    <m/>
    <m/>
    <x v="27"/>
    <x v="12"/>
    <x v="0"/>
    <m/>
    <x v="0"/>
    <m/>
    <s v="Jun"/>
    <n v="2014"/>
    <s v="Monthly"/>
    <n v="0"/>
    <s v="No"/>
    <s v="None"/>
    <s v="Kids|Kids Activities"/>
  </r>
  <r>
    <s v="Premera Health Care Payment"/>
    <d v="2014-06-15T00:00:00"/>
    <n v="-43"/>
    <s v="X"/>
    <x v="341"/>
    <s v="Reimbursement -- Don't know why"/>
    <s v="[First Tech - Checking (5544)]"/>
    <m/>
    <m/>
    <m/>
    <x v="21"/>
    <x v="0"/>
    <x v="0"/>
    <m/>
    <x v="0"/>
    <m/>
    <s v="Jun"/>
    <n v="2014"/>
    <s v="Account"/>
    <n v="0"/>
    <s v="No"/>
    <s v="None"/>
    <s v="[First Tech - Checking (5544)]"/>
  </r>
  <r>
    <s v="MasterCard (Capital One)"/>
    <d v="2014-06-14T00:00:00"/>
    <n v="-10"/>
    <s v="X"/>
    <x v="96"/>
    <s v="Prescription #0834713"/>
    <s v="Health &amp; Fitness:Pharmacy/From Receipt"/>
    <m/>
    <s v="Split"/>
    <s v="From Receipt"/>
    <x v="18"/>
    <x v="38"/>
    <x v="0"/>
    <m/>
    <x v="0"/>
    <m/>
    <s v="Jun"/>
    <n v="2014"/>
    <s v="Irregular"/>
    <n v="0"/>
    <s v="No"/>
    <s v="None"/>
    <s v="Health &amp; Fitness|Pharmacy"/>
  </r>
  <r>
    <s v="MasterCard (Capital One)"/>
    <d v="2014-06-14T00:00:00"/>
    <n v="-6.56"/>
    <s v="X"/>
    <x v="96"/>
    <s v="Baby shampoo"/>
    <s v="Food &amp; Dining:Groceries/From Receipt"/>
    <m/>
    <s v="Split"/>
    <s v="From Receipt"/>
    <x v="15"/>
    <x v="3"/>
    <x v="0"/>
    <m/>
    <x v="0"/>
    <m/>
    <s v="Jun"/>
    <n v="2014"/>
    <s v="Monthly"/>
    <n v="0"/>
    <s v="No"/>
    <s v="None"/>
    <s v="Food &amp; Dining|Groceries"/>
  </r>
  <r>
    <s v="MasterCard (Capital One)"/>
    <d v="2014-06-14T00:00:00"/>
    <n v="-19.05"/>
    <s v="X"/>
    <x v="248"/>
    <s v="Bulk miniatures, pirate ship stickers, beach stickers"/>
    <s v="Kids:Toys/From Receipt"/>
    <m/>
    <m/>
    <s v="From Receipt"/>
    <x v="27"/>
    <x v="14"/>
    <x v="0"/>
    <m/>
    <x v="0"/>
    <m/>
    <s v="Jun"/>
    <n v="2014"/>
    <s v="Monthly"/>
    <n v="0"/>
    <s v="No"/>
    <s v="None"/>
    <s v="Kids|Toys"/>
  </r>
  <r>
    <s v="MasterCard (Capital One)"/>
    <d v="2014-06-14T00:00:00"/>
    <n v="-32.83"/>
    <s v="X"/>
    <x v="324"/>
    <s v="#Scottsdale 2014# Sun hats"/>
    <s v="Kids:Clothing/From Receipt"/>
    <m/>
    <m/>
    <s v="From Receipt"/>
    <x v="27"/>
    <x v="1"/>
    <x v="0"/>
    <m/>
    <x v="19"/>
    <m/>
    <s v="Jun"/>
    <n v="2014"/>
    <s v="Monthly"/>
    <n v="0"/>
    <s v="No"/>
    <s v="None"/>
    <s v="Kids|Clothing"/>
  </r>
  <r>
    <s v="MasterCard (Capital One)"/>
    <d v="2014-06-14T00:00:00"/>
    <n v="-72.23"/>
    <s v="X"/>
    <x v="298"/>
    <s v="2011: PHINNEY MARKET PUB &amp; E SEATTLE WA 98103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14T00:00:00"/>
    <n v="-21.89"/>
    <s v="X"/>
    <x v="2"/>
    <s v="DVD"/>
    <s v="Kids:Toys/From Receipt"/>
    <m/>
    <s v="Split"/>
    <s v="From Receipt"/>
    <x v="27"/>
    <x v="14"/>
    <x v="0"/>
    <m/>
    <x v="0"/>
    <m/>
    <s v="Jun"/>
    <n v="2014"/>
    <s v="Monthly"/>
    <n v="0"/>
    <s v="No"/>
    <s v="None"/>
    <s v="Kids|Toys"/>
  </r>
  <r>
    <s v="MasterCard (Capital One)"/>
    <d v="2014-06-14T00:00:00"/>
    <n v="-122.95"/>
    <s v="X"/>
    <x v="2"/>
    <m/>
    <s v="Food &amp; Dining:Groceries/From Receipt"/>
    <m/>
    <s v="Split"/>
    <s v="From Receipt"/>
    <x v="15"/>
    <x v="3"/>
    <x v="0"/>
    <m/>
    <x v="0"/>
    <m/>
    <s v="Jun"/>
    <n v="2014"/>
    <s v="Monthly"/>
    <n v="0"/>
    <s v="No"/>
    <s v="None"/>
    <s v="Food &amp; Dining|Groceries"/>
  </r>
  <r>
    <s v="First Tech - Checking (5544)"/>
    <d v="2014-06-13T00:00:00"/>
    <n v="-60.1"/>
    <s v="X"/>
    <x v="45"/>
    <s v="ACH Debit--PUGET SOUND ENER DIRECT DEBITING - PSE BILL  30000387"/>
    <s v="Bills &amp; Utilities:Utilities"/>
    <m/>
    <m/>
    <m/>
    <x v="34"/>
    <x v="18"/>
    <x v="0"/>
    <m/>
    <x v="0"/>
    <m/>
    <s v="Jun"/>
    <n v="2014"/>
    <s v="Monthly"/>
    <n v="0"/>
    <s v="No"/>
    <s v="None"/>
    <s v="Bills &amp; Utilities|Utilities"/>
  </r>
  <r>
    <s v="Chase Freedom XX9381"/>
    <d v="2014-06-13T00:00:00"/>
    <n v="-25"/>
    <s v="X"/>
    <x v="273"/>
    <m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13T00:00:00"/>
    <n v="-21.16"/>
    <s v="X"/>
    <x v="343"/>
    <s v="2011: HALES ALES LTD SEATTLE WA 981074538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13T00:00:00"/>
    <n v="-65"/>
    <s v="X"/>
    <x v="266"/>
    <s v="2011: BEACHCOMBER KIDS CUT SEATTLE WA 981030000 USA"/>
    <s v="Personal Care:Hair"/>
    <m/>
    <m/>
    <m/>
    <x v="31"/>
    <x v="16"/>
    <x v="0"/>
    <m/>
    <x v="0"/>
    <m/>
    <s v="Jun"/>
    <n v="2014"/>
    <s v="Monthly"/>
    <n v="0"/>
    <s v="No"/>
    <s v="None"/>
    <s v="Personal Care|Hair"/>
  </r>
  <r>
    <s v="First Tech - Checking (5544)"/>
    <d v="2014-06-12T00:00:00"/>
    <n v="3165.19"/>
    <s v="X"/>
    <x v="47"/>
    <s v="ACH Deposit--MICROSOFT  - EDIPAYMENT"/>
    <s v="Net Salary"/>
    <m/>
    <m/>
    <m/>
    <x v="35"/>
    <x v="0"/>
    <x v="0"/>
    <m/>
    <x v="0"/>
    <m/>
    <s v="Jun"/>
    <n v="2014"/>
    <s v="Monthly"/>
    <n v="0"/>
    <s v="No"/>
    <s v="None"/>
    <s v="Net Salary"/>
  </r>
  <r>
    <s v="First Tech - Checking (5544)"/>
    <d v="2014-06-12T00:00:00"/>
    <n v="-1149.6199999999999"/>
    <s v="X"/>
    <x v="344"/>
    <s v="ACH Debit--PREMERA FUNDING  - HSA-FUND  6823"/>
    <s v="[Premera Health Care Payment]"/>
    <m/>
    <m/>
    <m/>
    <x v="42"/>
    <x v="0"/>
    <x v="0"/>
    <m/>
    <x v="0"/>
    <m/>
    <s v="Jun"/>
    <n v="2014"/>
    <s v="Account"/>
    <n v="0"/>
    <s v="No"/>
    <s v="None"/>
    <s v="[Premera Health Care Payment]"/>
  </r>
  <r>
    <s v="Koolikai Credit Card"/>
    <d v="2014-06-12T00:00:00"/>
    <n v="-146.97999999999999"/>
    <s v="X"/>
    <x v="55"/>
    <m/>
    <s v="Business Expenses (Koolikai):Cell Phone"/>
    <m/>
    <m/>
    <m/>
    <x v="36"/>
    <x v="22"/>
    <x v="0"/>
    <m/>
    <x v="0"/>
    <m/>
    <s v="Jun"/>
    <n v="2014"/>
    <s v="Monthly"/>
    <n v="0"/>
    <s v="No"/>
    <s v="None"/>
    <s v="Business Expenses (Koolikai)|Cell Phone"/>
  </r>
  <r>
    <s v="Premera Health Care Payment"/>
    <d v="2014-06-12T00:00:00"/>
    <n v="1149.6199999999999"/>
    <m/>
    <x v="344"/>
    <s v="ACH Debit--PREMERA FUNDING  - HSA-FUND  6823"/>
    <s v="[First Tech - Checking (5544)]"/>
    <m/>
    <m/>
    <m/>
    <x v="21"/>
    <x v="0"/>
    <x v="0"/>
    <m/>
    <x v="0"/>
    <m/>
    <s v="Jun"/>
    <n v="2014"/>
    <s v="Account"/>
    <n v="0"/>
    <s v="No"/>
    <s v="None"/>
    <s v="[First Tech - Checking (5544)]"/>
  </r>
  <r>
    <s v="REI Mastercard (xx1787)"/>
    <d v="2014-06-12T00:00:00"/>
    <n v="62"/>
    <s v="X"/>
    <x v="345"/>
    <s v="#Kalaloch 2014#"/>
    <s v="Vacation:Lodging"/>
    <m/>
    <m/>
    <m/>
    <x v="23"/>
    <x v="9"/>
    <x v="0"/>
    <m/>
    <x v="13"/>
    <m/>
    <s v="Jun"/>
    <n v="2014"/>
    <s v="Irregular"/>
    <n v="0"/>
    <s v="No"/>
    <s v="None"/>
    <s v="Vacation|Lodging"/>
  </r>
  <r>
    <s v="First Tech - Checking (5544)"/>
    <d v="2014-06-11T00:00:00"/>
    <n v="-115"/>
    <s v="X"/>
    <x v="176"/>
    <s v="ACH Debit--THE CLEANING AUT  - ONLINE PMT"/>
    <s v="Home:Home Services"/>
    <m/>
    <m/>
    <m/>
    <x v="14"/>
    <x v="46"/>
    <x v="0"/>
    <m/>
    <x v="0"/>
    <m/>
    <s v="Jun"/>
    <n v="2014"/>
    <s v="Monthly"/>
    <n v="0"/>
    <s v="No"/>
    <s v="None"/>
    <s v="Home|Home Services"/>
  </r>
  <r>
    <s v="MasterCard (Capital One)"/>
    <d v="2014-06-11T00:00:00"/>
    <n v="25"/>
    <s v="X"/>
    <x v="60"/>
    <m/>
    <s v="Other Inc"/>
    <m/>
    <m/>
    <m/>
    <x v="29"/>
    <x v="0"/>
    <x v="0"/>
    <m/>
    <x v="0"/>
    <m/>
    <s v="Jun"/>
    <n v="2014"/>
    <s v="Monthly"/>
    <n v="0"/>
    <s v="No"/>
    <s v="None"/>
    <s v="Other Inc"/>
  </r>
  <r>
    <s v="MasterCard (Capital One)"/>
    <d v="2014-06-11T00:00:00"/>
    <n v="-50"/>
    <s v="X"/>
    <x v="104"/>
    <s v="2011: GOOD2GO REPLENISHMENT 08669368246 WA 98105 USA"/>
    <s v="Auto &amp; Transport:Tolls"/>
    <m/>
    <m/>
    <m/>
    <x v="17"/>
    <x v="40"/>
    <x v="0"/>
    <m/>
    <x v="0"/>
    <m/>
    <s v="Jun"/>
    <n v="2014"/>
    <s v="Irregular"/>
    <n v="0"/>
    <s v="No"/>
    <s v="None"/>
    <s v="Auto &amp; Transport|Tolls"/>
  </r>
  <r>
    <s v="MasterCard (Capital One)"/>
    <d v="2014-06-11T00:00:00"/>
    <n v="-43"/>
    <s v="X"/>
    <x v="346"/>
    <m/>
    <s v="Subscriptions &amp; Dues"/>
    <m/>
    <m/>
    <m/>
    <x v="33"/>
    <x v="0"/>
    <x v="0"/>
    <m/>
    <x v="0"/>
    <m/>
    <s v="Jun"/>
    <n v="2014"/>
    <s v="Annual"/>
    <n v="0"/>
    <s v="No"/>
    <s v="None"/>
    <s v="Subscriptions &amp; Dues"/>
  </r>
  <r>
    <s v="Chase Freedom XX9381"/>
    <d v="2014-06-09T00:00:00"/>
    <n v="-72.73"/>
    <s v="X"/>
    <x v="347"/>
    <m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Schwab - Checking (9784)"/>
    <d v="2014-06-08T00:00:00"/>
    <n v="-45"/>
    <s v="X"/>
    <x v="57"/>
    <m/>
    <s v="Kids:Babysitter/From Receipt"/>
    <m/>
    <s v="Split"/>
    <s v="From Receipt"/>
    <x v="27"/>
    <x v="13"/>
    <x v="0"/>
    <m/>
    <x v="0"/>
    <m/>
    <s v="Jun"/>
    <n v="2014"/>
    <s v="Monthly"/>
    <n v="0"/>
    <s v="No"/>
    <s v="None"/>
    <s v="Kids|Babysitter"/>
  </r>
  <r>
    <s v="Schwab - Checking (9784)"/>
    <d v="2014-06-08T00:00:00"/>
    <n v="-15"/>
    <s v="X"/>
    <x v="57"/>
    <m/>
    <s v="Food &amp; Dining:Restaurants/From Receipt"/>
    <m/>
    <s v="Split"/>
    <s v="From Receipt"/>
    <x v="15"/>
    <x v="15"/>
    <x v="0"/>
    <m/>
    <x v="0"/>
    <m/>
    <s v="Jun"/>
    <n v="2014"/>
    <s v="Monthly"/>
    <n v="0"/>
    <s v="No"/>
    <s v="None"/>
    <s v="Food &amp; Dining|Restaurants"/>
  </r>
  <r>
    <s v="Schwab - Checking (9784)"/>
    <d v="2014-06-08T00:00:00"/>
    <n v="-2"/>
    <s v="X"/>
    <x v="57"/>
    <m/>
    <s v="Bank Fees &amp; Charges:ATM Fee/From Receipt"/>
    <m/>
    <s v="Split"/>
    <s v="From Receipt"/>
    <x v="32"/>
    <x v="17"/>
    <x v="0"/>
    <m/>
    <x v="0"/>
    <m/>
    <s v="Jun"/>
    <n v="2014"/>
    <s v="Monthly"/>
    <n v="0"/>
    <s v="No"/>
    <s v="None"/>
    <s v="Bank Fees &amp; Charges|ATM Fee"/>
  </r>
  <r>
    <s v="MasterCard (Capital One)"/>
    <d v="2014-06-08T00:00:00"/>
    <n v="-13.13"/>
    <s v="X"/>
    <x v="238"/>
    <s v="Sunscreen #Scottsdale 2014#"/>
    <s v="Vacation:Other/From Receipt"/>
    <m/>
    <m/>
    <s v="From Receipt"/>
    <x v="23"/>
    <x v="58"/>
    <x v="0"/>
    <m/>
    <x v="19"/>
    <m/>
    <s v="Jun"/>
    <n v="2014"/>
    <s v="Irregular"/>
    <n v="0"/>
    <s v="No"/>
    <s v="None"/>
    <s v="Vacation|Other"/>
  </r>
  <r>
    <s v="MasterCard (Capital One)"/>
    <d v="2014-06-08T00:00:00"/>
    <n v="-70.16"/>
    <s v="X"/>
    <x v="2"/>
    <s v="2011: FRED-MEYER #0122 SEATTLE WA 98117 USA"/>
    <s v="Food &amp; Dining:Groceries/From Receipt"/>
    <m/>
    <m/>
    <s v="From Receipt"/>
    <x v="15"/>
    <x v="3"/>
    <x v="0"/>
    <m/>
    <x v="0"/>
    <m/>
    <s v="Jun"/>
    <n v="2014"/>
    <s v="Monthly"/>
    <n v="0"/>
    <s v="No"/>
    <s v="None"/>
    <s v="Food &amp; Dining|Groceries"/>
  </r>
  <r>
    <s v="MasterCard (Capital One)"/>
    <d v="2014-06-08T00:00:00"/>
    <n v="-132"/>
    <s v="X"/>
    <x v="348"/>
    <s v="Zoo membership"/>
    <s v="Kids:Kids Activities/From Receipt"/>
    <m/>
    <m/>
    <s v="From Receipt"/>
    <x v="27"/>
    <x v="12"/>
    <x v="0"/>
    <m/>
    <x v="0"/>
    <m/>
    <s v="Jun"/>
    <n v="2014"/>
    <s v="Monthly"/>
    <n v="0"/>
    <s v="No"/>
    <s v="None"/>
    <s v="Kids|Kids Activities"/>
  </r>
  <r>
    <s v="Target Red Card"/>
    <d v="2014-06-08T00:00:00"/>
    <n v="-48.83"/>
    <s v="X"/>
    <x v="21"/>
    <s v="Shorts and clothes for Scottsd"/>
    <s v="Kids:Clothing/From Receipt"/>
    <n v="799999941591"/>
    <s v="Split"/>
    <s v="From Receipt"/>
    <x v="27"/>
    <x v="1"/>
    <x v="0"/>
    <m/>
    <x v="0"/>
    <m/>
    <s v="Jun"/>
    <n v="2014"/>
    <s v="Monthly"/>
    <n v="0"/>
    <s v="No"/>
    <s v="None"/>
    <s v="Kids|Clothing"/>
  </r>
  <r>
    <s v="Target Red Card"/>
    <d v="2014-06-08T00:00:00"/>
    <n v="-20.67"/>
    <s v="X"/>
    <x v="21"/>
    <s v="Sunscreen #Scottsdale 2014#"/>
    <s v="Vacation:Other/From Receipt"/>
    <n v="799999941591"/>
    <s v="Split"/>
    <s v="From Receipt"/>
    <x v="23"/>
    <x v="58"/>
    <x v="0"/>
    <m/>
    <x v="19"/>
    <m/>
    <s v="Jun"/>
    <n v="2014"/>
    <s v="Irregular"/>
    <n v="0"/>
    <s v="No"/>
    <s v="None"/>
    <s v="Vacation|Other"/>
  </r>
  <r>
    <s v="Target Red Card"/>
    <d v="2014-06-08T00:00:00"/>
    <n v="-16.18"/>
    <s v="X"/>
    <x v="21"/>
    <s v="Father's day cards"/>
    <s v="Gifts/From Receipt"/>
    <n v="799999941591"/>
    <s v="Split"/>
    <s v="From Receipt"/>
    <x v="28"/>
    <x v="0"/>
    <x v="0"/>
    <m/>
    <x v="0"/>
    <m/>
    <s v="Jun"/>
    <n v="2014"/>
    <s v="Monthly"/>
    <n v="0"/>
    <s v="No"/>
    <s v="None"/>
    <s v="Gifts"/>
  </r>
  <r>
    <s v="Target Red Card"/>
    <d v="2014-06-08T00:00:00"/>
    <n v="-1.56"/>
    <s v="X"/>
    <x v="21"/>
    <s v="Water guns"/>
    <s v="Kids:Toys/From Receipt"/>
    <n v="799999941591"/>
    <s v="Split"/>
    <s v="From Receipt"/>
    <x v="27"/>
    <x v="14"/>
    <x v="0"/>
    <m/>
    <x v="0"/>
    <m/>
    <s v="Jun"/>
    <n v="2014"/>
    <s v="Monthly"/>
    <n v="0"/>
    <s v="No"/>
    <s v="None"/>
    <s v="Kids|Toys"/>
  </r>
  <r>
    <s v="MasterCard (Capital One)"/>
    <d v="2014-06-07T00:00:00"/>
    <n v="-6.03"/>
    <s v="X"/>
    <x v="105"/>
    <s v="Paint roller covers"/>
    <s v="Business Expenses (Koolikai):Repairs"/>
    <m/>
    <m/>
    <m/>
    <x v="36"/>
    <x v="41"/>
    <x v="0"/>
    <m/>
    <x v="0"/>
    <m/>
    <s v="Jun"/>
    <n v="2014"/>
    <s v="Irregular"/>
    <n v="0"/>
    <s v="No"/>
    <s v="None"/>
    <s v="Business Expenses (Koolikai)|Repairs"/>
  </r>
  <r>
    <s v="MasterCard (Capital One)"/>
    <d v="2014-06-07T00:00:00"/>
    <n v="-12.02"/>
    <s v="X"/>
    <x v="48"/>
    <s v="Painting roller covers"/>
    <s v="Business Expenses (Koolikai):Repairs"/>
    <m/>
    <m/>
    <m/>
    <x v="36"/>
    <x v="41"/>
    <x v="0"/>
    <m/>
    <x v="0"/>
    <m/>
    <s v="Jun"/>
    <n v="2014"/>
    <s v="Irregular"/>
    <n v="0"/>
    <s v="No"/>
    <s v="None"/>
    <s v="Business Expenses (Koolikai)|Repairs"/>
  </r>
  <r>
    <s v="MasterCard (Capital One)"/>
    <d v="2014-06-06T00:00:00"/>
    <n v="-5.45"/>
    <s v="X"/>
    <x v="177"/>
    <s v="2011: FRESH TABLE CAFE MET SEATTLE WA 98101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06T00:00:00"/>
    <n v="-9.5299999999999994"/>
    <s v="X"/>
    <x v="2"/>
    <s v="2011: FRED-MEYER #0122 SEATTLE WA 98117 USA"/>
    <s v="Food &amp; Dining:Groceries/From Receipt"/>
    <m/>
    <m/>
    <s v="From Receipt"/>
    <x v="15"/>
    <x v="3"/>
    <x v="0"/>
    <m/>
    <x v="0"/>
    <m/>
    <s v="Jun"/>
    <n v="2014"/>
    <s v="Monthly"/>
    <n v="0"/>
    <s v="No"/>
    <s v="None"/>
    <s v="Food &amp; Dining|Groceries"/>
  </r>
  <r>
    <s v="First Tech - Checking (5544)"/>
    <d v="2014-06-05T00:00:00"/>
    <n v="-3748.69"/>
    <s v="X"/>
    <x v="69"/>
    <s v="ACH Debit--WF HOME MTG ACH - AUTO PAY"/>
    <s v="Home:Mortgage"/>
    <m/>
    <m/>
    <m/>
    <x v="14"/>
    <x v="27"/>
    <x v="0"/>
    <m/>
    <x v="0"/>
    <m/>
    <s v="Jun"/>
    <n v="2014"/>
    <s v="Monthly"/>
    <n v="0"/>
    <s v="No"/>
    <s v="None"/>
    <s v="Home|Mortgage"/>
  </r>
  <r>
    <s v="First Tech - Checking (5544)"/>
    <d v="2014-06-03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Jun"/>
    <n v="2014"/>
    <s v="Monthly"/>
    <n v="0"/>
    <s v="No"/>
    <s v="None"/>
    <s v="Kids|American Funds 529A"/>
  </r>
  <r>
    <s v="First Tech - Checking (5544)"/>
    <d v="2014-06-03T00:00:00"/>
    <n v="-2358.33"/>
    <s v="X"/>
    <x v="349"/>
    <s v="ACH Debit--CAPITAL ONE  - CRCARDPMT"/>
    <s v="[MasterCard (Capital One)]"/>
    <m/>
    <m/>
    <m/>
    <x v="38"/>
    <x v="0"/>
    <x v="0"/>
    <m/>
    <x v="0"/>
    <m/>
    <s v="Jun"/>
    <n v="2014"/>
    <s v="Account"/>
    <n v="0"/>
    <s v="No"/>
    <s v="None"/>
    <s v="[MasterCard (Capital One)]"/>
  </r>
  <r>
    <s v="Koolikai - Checking XX2129"/>
    <d v="2014-06-03T00:00:00"/>
    <n v="2295"/>
    <s v="X"/>
    <x v="144"/>
    <s v="Deposit--Shared Branch Mobile Deposit          First Tech FC CA"/>
    <s v="Business Income (Koolikai):Rent/7231"/>
    <m/>
    <m/>
    <n v="7231"/>
    <x v="37"/>
    <x v="25"/>
    <x v="0"/>
    <m/>
    <x v="0"/>
    <m/>
    <s v="Jun"/>
    <n v="2014"/>
    <s v="Monthly"/>
    <n v="0"/>
    <s v="No"/>
    <s v="None"/>
    <s v="Business Income (Koolikai)|Rent"/>
  </r>
  <r>
    <s v="MasterCard (Capital One)"/>
    <d v="2014-06-03T00:00:00"/>
    <n v="-8.75"/>
    <s v="X"/>
    <x v="81"/>
    <s v="2011: NETFLIX.COM NETFLIX.COM CA 95032 USA"/>
    <s v="Entertainment:Movies &amp; DVDs"/>
    <m/>
    <m/>
    <m/>
    <x v="30"/>
    <x v="43"/>
    <x v="0"/>
    <m/>
    <x v="0"/>
    <m/>
    <s v="Jun"/>
    <n v="2014"/>
    <s v="Unplanned"/>
    <n v="0"/>
    <s v="No"/>
    <s v="None"/>
    <s v="Entertainment|Movies &amp; DVDs"/>
  </r>
  <r>
    <s v="MasterCard (Capital One)"/>
    <d v="2014-06-03T00:00:00"/>
    <n v="-14.27"/>
    <s v="X"/>
    <x v="350"/>
    <s v="@BAL:$4284.17@ UWMC ONLINE BILL PAY 206-5981950 WA 98195 USA"/>
    <s v="Health &amp; Fitness:Doctor"/>
    <m/>
    <m/>
    <m/>
    <x v="18"/>
    <x v="56"/>
    <x v="0"/>
    <m/>
    <x v="0"/>
    <m/>
    <s v="Jun"/>
    <n v="2014"/>
    <s v="Irregular"/>
    <n v="0"/>
    <s v="No"/>
    <s v="None"/>
    <s v="Health &amp; Fitness|Doctor"/>
  </r>
  <r>
    <s v="First Tech - Checking (5544)"/>
    <d v="2014-06-02T00:00:00"/>
    <n v="2100"/>
    <s v="X"/>
    <x v="351"/>
    <s v="Refund of rent and security deposit"/>
    <s v="Business Expenses (Koolikai):Rent"/>
    <m/>
    <s v="Split"/>
    <m/>
    <x v="36"/>
    <x v="25"/>
    <x v="0"/>
    <m/>
    <x v="0"/>
    <m/>
    <s v="Jun"/>
    <n v="2014"/>
    <e v="#N/A"/>
    <e v="#N/A"/>
    <e v="#N/A"/>
    <e v="#N/A"/>
    <s v="Business Expenses (Koolikai)|Rent"/>
  </r>
  <r>
    <s v="First Tech - Checking (5544)"/>
    <d v="2014-06-02T00:00:00"/>
    <n v="1000"/>
    <s v="X"/>
    <x v="351"/>
    <m/>
    <s v="Business Expenses (Koolikai):Security Deposit"/>
    <m/>
    <s v="Split"/>
    <m/>
    <x v="36"/>
    <x v="59"/>
    <x v="0"/>
    <m/>
    <x v="0"/>
    <m/>
    <s v="Jun"/>
    <n v="2014"/>
    <s v="Irregular"/>
    <n v="0"/>
    <s v="No"/>
    <s v="None"/>
    <s v="Business Expenses (Koolikai)|Security Deposit"/>
  </r>
  <r>
    <s v="First Tech - Checking (5544)"/>
    <d v="2014-06-02T00:00:00"/>
    <n v="-1976"/>
    <s v="X"/>
    <x v="90"/>
    <s v="ACH Debit--PHINNEY RIDGE LU 504759859 - CONTRIBUTN"/>
    <s v="Kids:Daycare"/>
    <m/>
    <m/>
    <m/>
    <x v="27"/>
    <x v="35"/>
    <x v="0"/>
    <m/>
    <x v="0"/>
    <m/>
    <s v="Jun"/>
    <n v="2014"/>
    <s v="Monthly"/>
    <n v="0"/>
    <s v="No"/>
    <s v="None"/>
    <s v="Kids|Daycare"/>
  </r>
  <r>
    <s v="First Tech - Checking (5544)"/>
    <d v="2014-06-02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Jun"/>
    <n v="2014"/>
    <s v="Monthly"/>
    <n v="0"/>
    <s v="No"/>
    <s v="None"/>
    <s v="Business Expenses (Koolikai)|Mortgage (Business)"/>
  </r>
  <r>
    <s v="First Tech - Checking (5544)"/>
    <d v="2014-06-02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Jun"/>
    <n v="2014"/>
    <s v="Monthly"/>
    <n v="0"/>
    <s v="No"/>
    <s v="None"/>
    <s v="Business Expenses (Koolikai)|Mortgage (Business)"/>
  </r>
  <r>
    <s v="First Tech - Checking (5544)"/>
    <d v="2014-06-02T00:00:00"/>
    <n v="-60"/>
    <s v="X"/>
    <x v="107"/>
    <s v="Check--"/>
    <s v="Kids:Babysitter"/>
    <n v="2131"/>
    <m/>
    <m/>
    <x v="27"/>
    <x v="13"/>
    <x v="0"/>
    <m/>
    <x v="0"/>
    <m/>
    <s v="Jun"/>
    <n v="2014"/>
    <s v="Monthly"/>
    <n v="0"/>
    <s v="No"/>
    <s v="None"/>
    <s v="Kids|Babysitter"/>
  </r>
  <r>
    <s v="Chase Freedom XX9381"/>
    <d v="2014-06-02T00:00:00"/>
    <n v="-62.85"/>
    <s v="X"/>
    <x v="352"/>
    <m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02T00:00:00"/>
    <n v="-22.03"/>
    <s v="X"/>
    <x v="88"/>
    <s v="2011: COMCAST CABLE COMM 800-COMCAST WA 98103 USA"/>
    <s v="Bills &amp; Utilities:Television"/>
    <m/>
    <s v="Split"/>
    <m/>
    <x v="34"/>
    <x v="32"/>
    <x v="0"/>
    <m/>
    <x v="0"/>
    <m/>
    <s v="Jun"/>
    <n v="2014"/>
    <s v="Monthly"/>
    <n v="0"/>
    <s v="No"/>
    <s v="None"/>
    <s v="Bills &amp; Utilities|Television"/>
  </r>
  <r>
    <s v="MasterCard (Capital One)"/>
    <d v="2014-06-02T00:00:00"/>
    <n v="-64.08"/>
    <s v="X"/>
    <x v="88"/>
    <m/>
    <s v="Business Expenses (Koolikai):Internet"/>
    <m/>
    <s v="Split"/>
    <m/>
    <x v="36"/>
    <x v="33"/>
    <x v="0"/>
    <m/>
    <x v="0"/>
    <m/>
    <s v="Jun"/>
    <n v="2014"/>
    <s v="Monthly"/>
    <n v="0"/>
    <s v="No"/>
    <s v="None"/>
    <s v="Business Expenses (Koolikai)|Internet"/>
  </r>
  <r>
    <s v="MasterCard (Capital One)"/>
    <d v="2014-06-02T00:00:00"/>
    <n v="-44.08"/>
    <s v="X"/>
    <x v="88"/>
    <m/>
    <s v="Bills &amp; Utilities:Home Phone"/>
    <m/>
    <s v="Split"/>
    <m/>
    <x v="34"/>
    <x v="34"/>
    <x v="0"/>
    <m/>
    <x v="0"/>
    <m/>
    <s v="Jun"/>
    <n v="2014"/>
    <s v="Monthly"/>
    <n v="0"/>
    <s v="No"/>
    <s v="None"/>
    <s v="Bills &amp; Utilities|Home Phone"/>
  </r>
  <r>
    <s v="Chase Freedom XX9381"/>
    <d v="2014-06-01T00:00:00"/>
    <n v="-3.95"/>
    <s v="X"/>
    <x v="215"/>
    <s v="2011: CAFE 86 11171386 REDMOND WA 98052 USA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Chase Freedom XX9381"/>
    <d v="2014-06-01T00:00:00"/>
    <n v="-100"/>
    <s v="X"/>
    <x v="215"/>
    <s v="2011: CAFE 86 11171386 REDMOND WA 98052 USA @BAL:-954.76@"/>
    <s v="Food &amp; Dining:Restaurants"/>
    <m/>
    <m/>
    <m/>
    <x v="15"/>
    <x v="15"/>
    <x v="0"/>
    <m/>
    <x v="0"/>
    <m/>
    <s v="Jun"/>
    <n v="2014"/>
    <s v="Monthly"/>
    <n v="0"/>
    <s v="No"/>
    <s v="None"/>
    <s v="Food &amp; Dining|Restaurants"/>
  </r>
  <r>
    <s v="MasterCard (Capital One)"/>
    <d v="2014-06-01T00:00:00"/>
    <n v="2358.33"/>
    <s v="X"/>
    <x v="85"/>
    <s v="2011: CAPITAL ONE AUTOPAY PYMT AuthDate 05-MAY"/>
    <s v="[First Tech - Checking (5544)]"/>
    <m/>
    <m/>
    <m/>
    <x v="21"/>
    <x v="0"/>
    <x v="0"/>
    <m/>
    <x v="0"/>
    <m/>
    <s v="Jun"/>
    <n v="2014"/>
    <s v="Account"/>
    <n v="0"/>
    <s v="No"/>
    <s v="None"/>
    <s v="[First Tech - Checking (5544)]"/>
  </r>
  <r>
    <s v="MasterCard (Capital One)"/>
    <d v="2014-06-01T00:00:00"/>
    <n v="-40.98"/>
    <s v="X"/>
    <x v="2"/>
    <s v="2011: FRED-MEYER #0122 SEATTLE WA 98117 USA"/>
    <s v="Food &amp; Dining:Groceries/From Receipt"/>
    <m/>
    <m/>
    <s v="From Receipt"/>
    <x v="15"/>
    <x v="3"/>
    <x v="0"/>
    <m/>
    <x v="0"/>
    <m/>
    <s v="Jun"/>
    <n v="2014"/>
    <s v="Monthly"/>
    <n v="0"/>
    <s v="No"/>
    <s v="None"/>
    <s v="Food &amp; Dining|Groceries"/>
  </r>
  <r>
    <s v="First Tech - Short Term Emergency (5400)"/>
    <d v="2014-05-31T00:00:00"/>
    <n v="1.57"/>
    <s v="X"/>
    <x v="93"/>
    <s v="Credit Dividend--"/>
    <s v="Interest Income"/>
    <m/>
    <m/>
    <m/>
    <x v="40"/>
    <x v="0"/>
    <x v="0"/>
    <m/>
    <x v="0"/>
    <m/>
    <s v="May"/>
    <n v="2014"/>
    <s v="Monthly"/>
    <n v="0"/>
    <s v="No"/>
    <s v="None"/>
    <s v="Interest Income"/>
  </r>
  <r>
    <s v="Koolikai - Sec Dep XX1200"/>
    <d v="2014-05-31T00:00:00"/>
    <n v="0.19"/>
    <s v="X"/>
    <x v="93"/>
    <s v="Credit Dividend--"/>
    <s v="Interest Income"/>
    <m/>
    <m/>
    <m/>
    <x v="40"/>
    <x v="0"/>
    <x v="0"/>
    <m/>
    <x v="0"/>
    <m/>
    <s v="May"/>
    <n v="2014"/>
    <s v="Monthly"/>
    <n v="0"/>
    <s v="No"/>
    <s v="None"/>
    <s v="Interest Income"/>
  </r>
  <r>
    <s v="MasterCard (Capital One)"/>
    <d v="2014-05-31T00:00:00"/>
    <n v="-49.17"/>
    <s v="X"/>
    <x v="353"/>
    <s v="2011: DSW SEATTLE WA 98125 USA"/>
    <s v="Shopping:Clothing/From Receipt"/>
    <m/>
    <m/>
    <s v="From Receipt"/>
    <x v="13"/>
    <x v="1"/>
    <x v="0"/>
    <m/>
    <x v="0"/>
    <m/>
    <s v="May"/>
    <n v="2014"/>
    <s v="Annual"/>
    <n v="0"/>
    <s v="No"/>
    <s v="None"/>
    <s v="Shopping|Clothing"/>
  </r>
  <r>
    <s v="MasterCard (Capital One)"/>
    <d v="2014-05-31T00:00:00"/>
    <n v="-167.19"/>
    <s v="X"/>
    <x v="2"/>
    <s v="2011: FRED-MEYER #0608 SEATTLE WA 98107 USA"/>
    <s v="Food &amp; Dining:Groceries/From Receipt"/>
    <m/>
    <s v="Split"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31T00:00:00"/>
    <n v="-17.5"/>
    <s v="X"/>
    <x v="2"/>
    <s v="Sunglasses"/>
    <s v="Kids:Clothing/From Receipt"/>
    <m/>
    <s v="Split"/>
    <s v="From Receipt"/>
    <x v="27"/>
    <x v="1"/>
    <x v="0"/>
    <m/>
    <x v="0"/>
    <m/>
    <s v="May"/>
    <n v="2014"/>
    <s v="Monthly"/>
    <n v="0"/>
    <s v="No"/>
    <s v="None"/>
    <s v="Kids|Clothing"/>
  </r>
  <r>
    <s v="Target Red Card"/>
    <d v="2014-05-31T00:00:00"/>
    <n v="-6.23"/>
    <s v="X"/>
    <x v="21"/>
    <s v="Socks"/>
    <s v="Kids:Clothing/From Receipt"/>
    <n v="799999941511"/>
    <s v="Split"/>
    <s v="From Receipt"/>
    <x v="27"/>
    <x v="1"/>
    <x v="0"/>
    <m/>
    <x v="0"/>
    <m/>
    <s v="May"/>
    <n v="2014"/>
    <s v="Monthly"/>
    <n v="0"/>
    <s v="No"/>
    <s v="None"/>
    <s v="Kids|Clothing"/>
  </r>
  <r>
    <s v="Target Red Card"/>
    <d v="2014-05-31T00:00:00"/>
    <n v="-15.59"/>
    <s v="X"/>
    <x v="21"/>
    <s v="#Stay Fit# Bike lock"/>
    <s v="Health &amp; Fitness:Sports/From Receipt"/>
    <n v="799999941511"/>
    <s v="Split"/>
    <s v="From Receipt"/>
    <x v="18"/>
    <x v="23"/>
    <x v="0"/>
    <m/>
    <x v="5"/>
    <m/>
    <s v="May"/>
    <n v="2014"/>
    <s v="Irregular"/>
    <n v="0"/>
    <s v="No"/>
    <s v="None"/>
    <s v="Health &amp; Fitness|Sports"/>
  </r>
  <r>
    <s v="Capital One - Investment (6759)"/>
    <d v="2014-05-30T00:00:00"/>
    <n v="20.02"/>
    <s v="X"/>
    <x v="100"/>
    <s v="@CAT:@"/>
    <s v="Interest Income"/>
    <s v="INT"/>
    <m/>
    <m/>
    <x v="40"/>
    <x v="0"/>
    <x v="0"/>
    <m/>
    <x v="0"/>
    <m/>
    <s v="May"/>
    <n v="2014"/>
    <s v="Monthly"/>
    <n v="0"/>
    <s v="No"/>
    <s v="None"/>
    <s v="Interest Income"/>
  </r>
  <r>
    <s v="Capital One - Long Term Emergency (1201)"/>
    <d v="2014-05-30T00:00:00"/>
    <n v="50.26"/>
    <s v="X"/>
    <x v="100"/>
    <s v="@CAT:@"/>
    <s v="Interest Income"/>
    <s v="INT"/>
    <m/>
    <m/>
    <x v="40"/>
    <x v="0"/>
    <x v="0"/>
    <m/>
    <x v="0"/>
    <m/>
    <s v="May"/>
    <n v="2014"/>
    <s v="Monthly"/>
    <n v="0"/>
    <s v="No"/>
    <s v="None"/>
    <s v="Interest Income"/>
  </r>
  <r>
    <s v="Capital One - Secondary Savings (3126)"/>
    <d v="2014-05-30T00:00:00"/>
    <n v="0.02"/>
    <s v="X"/>
    <x v="100"/>
    <s v="@CAT:@"/>
    <s v="Interest Income"/>
    <s v="INT"/>
    <m/>
    <m/>
    <x v="40"/>
    <x v="0"/>
    <x v="0"/>
    <m/>
    <x v="0"/>
    <m/>
    <s v="May"/>
    <n v="2014"/>
    <s v="Monthly"/>
    <n v="0"/>
    <s v="No"/>
    <s v="None"/>
    <s v="Interest Income"/>
  </r>
  <r>
    <s v="Capital One - Vacation (4959)"/>
    <d v="2014-05-30T00:00:00"/>
    <n v="2.13"/>
    <s v="X"/>
    <x v="100"/>
    <s v="@CAT:@"/>
    <s v="Interest Income"/>
    <s v="INT"/>
    <m/>
    <m/>
    <x v="40"/>
    <x v="0"/>
    <x v="0"/>
    <m/>
    <x v="0"/>
    <m/>
    <s v="May"/>
    <n v="2014"/>
    <s v="Monthly"/>
    <n v="0"/>
    <s v="No"/>
    <s v="None"/>
    <s v="Interest Income"/>
  </r>
  <r>
    <s v="Schwab - Checking (9784)"/>
    <d v="2014-05-30T00:00:00"/>
    <n v="0.09"/>
    <s v="X"/>
    <x v="102"/>
    <m/>
    <s v="Interest Income"/>
    <m/>
    <m/>
    <m/>
    <x v="40"/>
    <x v="0"/>
    <x v="0"/>
    <m/>
    <x v="0"/>
    <m/>
    <s v="May"/>
    <n v="2014"/>
    <s v="Monthly"/>
    <n v="0"/>
    <s v="No"/>
    <s v="None"/>
    <s v="Interest Income"/>
  </r>
  <r>
    <s v="Schwab - Checking (9784)"/>
    <d v="2014-05-30T00:00:00"/>
    <n v="2"/>
    <s v="X"/>
    <x v="103"/>
    <m/>
    <s v="Bank Fees &amp; Charges:ATM Fee"/>
    <m/>
    <m/>
    <m/>
    <x v="32"/>
    <x v="17"/>
    <x v="0"/>
    <m/>
    <x v="0"/>
    <m/>
    <s v="May"/>
    <n v="2014"/>
    <s v="Monthly"/>
    <n v="0"/>
    <s v="No"/>
    <s v="None"/>
    <s v="Bank Fees &amp; Charges|ATM Fee"/>
  </r>
  <r>
    <s v="First Tech - Checking (5544)"/>
    <d v="2014-05-29T00:00:00"/>
    <n v="3030.02"/>
    <s v="X"/>
    <x v="47"/>
    <s v="ACH Deposit--MICROSOFT  - EDIPAYMENT"/>
    <s v="Net Salary"/>
    <m/>
    <m/>
    <m/>
    <x v="35"/>
    <x v="0"/>
    <x v="0"/>
    <m/>
    <x v="0"/>
    <m/>
    <s v="May"/>
    <n v="2014"/>
    <s v="Monthly"/>
    <n v="0"/>
    <s v="No"/>
    <s v="None"/>
    <s v="Net Salary"/>
  </r>
  <r>
    <s v="First Tech - Checking (5544)"/>
    <d v="2014-05-29T00:00:00"/>
    <n v="6195.6"/>
    <s v="X"/>
    <x v="109"/>
    <s v="@BAL:33,047.10@;@CAT:@"/>
    <s v="Net Salary"/>
    <m/>
    <m/>
    <m/>
    <x v="35"/>
    <x v="0"/>
    <x v="0"/>
    <m/>
    <x v="0"/>
    <m/>
    <s v="May"/>
    <n v="2014"/>
    <s v="Monthly"/>
    <n v="0"/>
    <s v="No"/>
    <s v="None"/>
    <s v="Net Salary"/>
  </r>
  <r>
    <s v="MasterCard (Capital One)"/>
    <d v="2014-05-28T00:00:00"/>
    <n v="25"/>
    <s v="X"/>
    <x v="60"/>
    <m/>
    <s v="Other Inc"/>
    <m/>
    <m/>
    <m/>
    <x v="29"/>
    <x v="0"/>
    <x v="0"/>
    <m/>
    <x v="0"/>
    <m/>
    <s v="May"/>
    <n v="2014"/>
    <s v="Monthly"/>
    <n v="0"/>
    <s v="No"/>
    <s v="None"/>
    <s v="Other Inc"/>
  </r>
  <r>
    <s v="MasterCard (Capital One)"/>
    <d v="2014-05-28T00:00:00"/>
    <n v="-76.599999999999994"/>
    <s v="X"/>
    <x v="353"/>
    <s v="2011: DSW 00999953 COLUMBUS OH 43219 USA"/>
    <s v="Shopping:Clothing/From Receipt"/>
    <m/>
    <m/>
    <s v="From Receipt"/>
    <x v="13"/>
    <x v="1"/>
    <x v="0"/>
    <m/>
    <x v="0"/>
    <m/>
    <s v="May"/>
    <n v="2014"/>
    <s v="Annual"/>
    <n v="0"/>
    <s v="No"/>
    <s v="None"/>
    <s v="Shopping|Clothing"/>
  </r>
  <r>
    <s v="MasterCard (Capital One)"/>
    <d v="2014-05-28T00:00:00"/>
    <n v="-163.16"/>
    <s v="X"/>
    <x v="37"/>
    <s v="Bed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First Tech - Checking (5544)"/>
    <d v="2014-05-27T00:00:00"/>
    <n v="-523.65"/>
    <s v="X"/>
    <x v="293"/>
    <s v="ACH Debit--CHASE  - AUTOPAY"/>
    <s v="[Chase Freedom XX9381]"/>
    <m/>
    <m/>
    <m/>
    <x v="7"/>
    <x v="0"/>
    <x v="0"/>
    <m/>
    <x v="0"/>
    <m/>
    <s v="May"/>
    <n v="2014"/>
    <e v="#N/A"/>
    <e v="#N/A"/>
    <e v="#N/A"/>
    <e v="#N/A"/>
    <s v="[Chase Freedom XX9381]"/>
  </r>
  <r>
    <s v="Koolikai - Checking XX2129"/>
    <d v="2014-05-27T00:00:00"/>
    <n v="-130.86000000000001"/>
    <s v="X"/>
    <x v="11"/>
    <s v="@CAT:@BAL:38537.44@"/>
    <s v="[Koolikai Credit Card]"/>
    <m/>
    <m/>
    <m/>
    <x v="9"/>
    <x v="0"/>
    <x v="0"/>
    <m/>
    <x v="0"/>
    <m/>
    <s v="May"/>
    <n v="2014"/>
    <s v="Account"/>
    <n v="0"/>
    <s v="No"/>
    <s v="None"/>
    <s v="[Koolikai Credit Card]"/>
  </r>
  <r>
    <s v="Chase Freedom XX9381"/>
    <d v="2014-05-27T00:00:00"/>
    <n v="-8"/>
    <s v="X"/>
    <x v="354"/>
    <s v="North bend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Chase Freedom XX9381"/>
    <d v="2014-05-27T00:00:00"/>
    <n v="-43.84"/>
    <s v="X"/>
    <x v="355"/>
    <s v="North bend"/>
    <s v="Food &amp; Dining:Restaurants/From Receipt"/>
    <m/>
    <m/>
    <s v="From Receipt"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27T00:00:00"/>
    <n v="-72.150000000000006"/>
    <s v="X"/>
    <x v="37"/>
    <s v="Night stand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72.150000000000006"/>
    <s v="X"/>
    <x v="37"/>
    <s v="Night stand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6.99"/>
    <s v="X"/>
    <x v="37"/>
    <s v="Train track adaptors"/>
    <s v="Kids:Toys/From Receipt"/>
    <m/>
    <s v="Split"/>
    <s v="From Receipt"/>
    <x v="27"/>
    <x v="14"/>
    <x v="0"/>
    <m/>
    <x v="0"/>
    <m/>
    <s v="May"/>
    <n v="2014"/>
    <s v="Monthly"/>
    <n v="0"/>
    <s v="No"/>
    <s v="None"/>
    <s v="Kids|Toys"/>
  </r>
  <r>
    <s v="MasterCard (Capital One)"/>
    <d v="2014-05-27T00:00:00"/>
    <n v="-39.9"/>
    <s v="X"/>
    <x v="37"/>
    <s v="Mattress protectors"/>
    <s v="Home:Furnishings/From Receipt"/>
    <m/>
    <s v="Split"/>
    <s v="From Receipt"/>
    <x v="14"/>
    <x v="2"/>
    <x v="0"/>
    <m/>
    <x v="0"/>
    <m/>
    <s v="May"/>
    <n v="2014"/>
    <s v="Monthly"/>
    <n v="0"/>
    <s v="No"/>
    <s v="None"/>
    <s v="Home|Furnishings"/>
  </r>
  <r>
    <s v="MasterCard (Capital One)"/>
    <d v="2014-05-27T00:00:00"/>
    <n v="-15.83"/>
    <s v="X"/>
    <x v="37"/>
    <s v="Take a walk, 3rd ed"/>
    <s v="Shopping:Books/From Receipt"/>
    <m/>
    <s v="Split"/>
    <s v="From Receipt"/>
    <x v="13"/>
    <x v="51"/>
    <x v="0"/>
    <m/>
    <x v="0"/>
    <m/>
    <s v="May"/>
    <n v="2014"/>
    <s v="Unplanned"/>
    <n v="0"/>
    <s v="No"/>
    <s v="None"/>
    <s v="Shopping|Books"/>
  </r>
  <r>
    <s v="MasterCard (Capital One)"/>
    <d v="2014-05-27T00:00:00"/>
    <n v="-15.75"/>
    <s v="X"/>
    <x v="37"/>
    <s v="Cars Magic Ink book"/>
    <s v="Kids:Toys/From Receipt"/>
    <m/>
    <s v="Split"/>
    <s v="From Receipt"/>
    <x v="27"/>
    <x v="14"/>
    <x v="0"/>
    <m/>
    <x v="0"/>
    <m/>
    <s v="May"/>
    <n v="2014"/>
    <s v="Monthly"/>
    <n v="0"/>
    <s v="No"/>
    <s v="None"/>
    <s v="Kids|Toys"/>
  </r>
  <r>
    <s v="MasterCard (Capital One)"/>
    <d v="2014-05-27T00:00:00"/>
    <n v="-22.09"/>
    <s v="X"/>
    <x v="37"/>
    <s v="Train track pack"/>
    <s v="Kids:Toys/From Receipt"/>
    <m/>
    <s v="Split"/>
    <s v="From Receipt"/>
    <x v="27"/>
    <x v="14"/>
    <x v="0"/>
    <m/>
    <x v="0"/>
    <m/>
    <s v="May"/>
    <n v="2014"/>
    <s v="Monthly"/>
    <n v="0"/>
    <s v="No"/>
    <s v="None"/>
    <s v="Kids|Toys"/>
  </r>
  <r>
    <s v="MasterCard (Capital One)"/>
    <d v="2014-05-27T00:00:00"/>
    <n v="-12.98"/>
    <s v="X"/>
    <x v="37"/>
    <s v="Soccer ball pillow"/>
    <s v="Projects:Boy's Room/From Receipt"/>
    <m/>
    <s v="Split"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14.96"/>
    <s v="X"/>
    <x v="37"/>
    <s v="240Gb SSD"/>
    <s v="Shopping:Electronics &amp; Software/From Receipt"/>
    <m/>
    <m/>
    <s v="From Receipt"/>
    <x v="13"/>
    <x v="20"/>
    <x v="0"/>
    <m/>
    <x v="0"/>
    <m/>
    <s v="May"/>
    <n v="2014"/>
    <s v="Annual"/>
    <n v="0"/>
    <s v="No"/>
    <s v="None"/>
    <s v="Shopping|Electronics &amp; Software"/>
  </r>
  <r>
    <s v="MasterCard (Capital One)"/>
    <d v="2014-05-27T00:00:00"/>
    <n v="-136.88"/>
    <s v="X"/>
    <x v="37"/>
    <s v="Headboard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36.88"/>
    <s v="X"/>
    <x v="37"/>
    <s v="Headboard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63.16"/>
    <s v="X"/>
    <x v="37"/>
    <s v="Bed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67.52"/>
    <s v="X"/>
    <x v="37"/>
    <s v="Mattress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7T00:00:00"/>
    <n v="-167.52"/>
    <s v="X"/>
    <x v="37"/>
    <s v="Mattress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Chase Freedom XX9381"/>
    <d v="2014-05-26T00:00:00"/>
    <n v="523.65"/>
    <s v="X"/>
    <x v="6"/>
    <m/>
    <s v="[First Tech - Checking (5544)]"/>
    <m/>
    <m/>
    <m/>
    <x v="21"/>
    <x v="0"/>
    <x v="0"/>
    <m/>
    <x v="0"/>
    <m/>
    <s v="May"/>
    <n v="2014"/>
    <s v="Account"/>
    <n v="0"/>
    <s v="No"/>
    <s v="None"/>
    <s v="[First Tech - Checking (5544)]"/>
  </r>
  <r>
    <s v="Chase Freedom XX9381"/>
    <d v="2014-05-26T00:00:00"/>
    <n v="-23.11"/>
    <s v="X"/>
    <x v="356"/>
    <m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Chase Freedom XX9381"/>
    <d v="2014-05-26T00:00:00"/>
    <n v="-23.81"/>
    <s v="X"/>
    <x v="91"/>
    <s v="Paint"/>
    <s v="Home:Home Improvement/From Receipt"/>
    <m/>
    <m/>
    <s v="From Receipt"/>
    <x v="14"/>
    <x v="19"/>
    <x v="0"/>
    <m/>
    <x v="0"/>
    <m/>
    <s v="May"/>
    <n v="2014"/>
    <s v="Irregular"/>
    <n v="0"/>
    <s v="No"/>
    <s v="None"/>
    <s v="Home|Home Improvement"/>
  </r>
  <r>
    <s v="Chase Freedom XX9381"/>
    <d v="2014-05-26T00:00:00"/>
    <n v="-4.92"/>
    <s v="X"/>
    <x v="2"/>
    <s v="#Stay Fit# Safety mirror"/>
    <s v="Health &amp; Fitness:Sports/From Receipt"/>
    <m/>
    <s v="Split"/>
    <s v="From Receipt"/>
    <x v="18"/>
    <x v="23"/>
    <x v="0"/>
    <m/>
    <x v="5"/>
    <m/>
    <s v="May"/>
    <n v="2014"/>
    <s v="Irregular"/>
    <n v="0"/>
    <s v="No"/>
    <s v="None"/>
    <s v="Health &amp; Fitness|Sports"/>
  </r>
  <r>
    <s v="Chase Freedom XX9381"/>
    <d v="2014-05-26T00:00:00"/>
    <n v="-6.89"/>
    <s v="X"/>
    <x v="2"/>
    <s v="Kick stand"/>
    <s v="Health &amp; Fitness:Sports/From Receipt"/>
    <m/>
    <s v="Split"/>
    <s v="From Receipt"/>
    <x v="18"/>
    <x v="23"/>
    <x v="0"/>
    <m/>
    <x v="0"/>
    <m/>
    <s v="May"/>
    <n v="2014"/>
    <s v="Irregular"/>
    <n v="0"/>
    <s v="No"/>
    <s v="None"/>
    <s v="Health &amp; Fitness|Sports"/>
  </r>
  <r>
    <s v="Chase Freedom XX9381"/>
    <d v="2014-05-26T00:00:00"/>
    <n v="-19.7"/>
    <s v="X"/>
    <x v="2"/>
    <s v="#Stay Fit# Bike lock"/>
    <s v="Health &amp; Fitness:Sports/From Receipt"/>
    <m/>
    <s v="Split"/>
    <s v="From Receipt"/>
    <x v="18"/>
    <x v="23"/>
    <x v="0"/>
    <m/>
    <x v="5"/>
    <m/>
    <s v="May"/>
    <n v="2014"/>
    <s v="Irregular"/>
    <n v="0"/>
    <s v="No"/>
    <s v="None"/>
    <s v="Health &amp; Fitness|Sports"/>
  </r>
  <r>
    <s v="Chase Freedom XX9381"/>
    <d v="2014-05-26T00:00:00"/>
    <n v="-81.81"/>
    <s v="X"/>
    <x v="2"/>
    <m/>
    <s v="Food &amp; Dining:Groceries/From Receipt"/>
    <m/>
    <s v="Split"/>
    <s v="From Receipt"/>
    <x v="15"/>
    <x v="3"/>
    <x v="0"/>
    <m/>
    <x v="0"/>
    <m/>
    <s v="May"/>
    <n v="2014"/>
    <s v="Monthly"/>
    <n v="0"/>
    <s v="No"/>
    <s v="None"/>
    <s v="Food &amp; Dining|Groceries"/>
  </r>
  <r>
    <s v="Chase Freedom XX9381"/>
    <d v="2014-05-26T00:00:00"/>
    <n v="-290"/>
    <s v="X"/>
    <x v="357"/>
    <m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26T00:00:00"/>
    <n v="-56"/>
    <s v="X"/>
    <x v="358"/>
    <s v="Snoqualamie Train Ride"/>
    <s v="Kids:Kids Activities"/>
    <m/>
    <m/>
    <m/>
    <x v="27"/>
    <x v="12"/>
    <x v="0"/>
    <m/>
    <x v="0"/>
    <m/>
    <s v="May"/>
    <n v="2014"/>
    <s v="Monthly"/>
    <n v="0"/>
    <s v="No"/>
    <s v="None"/>
    <s v="Kids|Kids Activities"/>
  </r>
  <r>
    <s v="MasterCard (Capital One)"/>
    <d v="2014-05-26T00:00:00"/>
    <n v="-155.47999999999999"/>
    <s v="X"/>
    <x v="37"/>
    <s v="Chest of drawers"/>
    <s v="Projects:Boy's Room/From Receipt"/>
    <m/>
    <m/>
    <s v="From Receipt"/>
    <x v="39"/>
    <x v="57"/>
    <x v="0"/>
    <m/>
    <x v="0"/>
    <m/>
    <s v="May"/>
    <n v="2014"/>
    <s v="Unplanned"/>
    <n v="0"/>
    <s v="No"/>
    <s v="None"/>
    <s v="Projects|Boy's Room"/>
  </r>
  <r>
    <s v="MasterCard (Capital One)"/>
    <d v="2014-05-25T00:00:00"/>
    <n v="-3"/>
    <s v="X"/>
    <x v="15"/>
    <m/>
    <s v="Auto &amp; Transport:Parking"/>
    <m/>
    <m/>
    <m/>
    <x v="17"/>
    <x v="11"/>
    <x v="0"/>
    <m/>
    <x v="0"/>
    <m/>
    <s v="May"/>
    <n v="2014"/>
    <s v="Monthly"/>
    <n v="0"/>
    <s v="No"/>
    <s v="None"/>
    <s v="Auto &amp; Transport|Parking"/>
  </r>
  <r>
    <s v="MasterCard (Capital One)"/>
    <d v="2014-05-25T00:00:00"/>
    <n v="-31.73"/>
    <s v="X"/>
    <x v="359"/>
    <s v="@CAT:@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25T00:00:00"/>
    <n v="-34"/>
    <s v="X"/>
    <x v="360"/>
    <s v="#Mt. Rainier 2014# scenic railroad"/>
    <s v="Vacation:Activities"/>
    <m/>
    <m/>
    <m/>
    <x v="23"/>
    <x v="39"/>
    <x v="0"/>
    <m/>
    <x v="12"/>
    <m/>
    <s v="May"/>
    <n v="2014"/>
    <s v="Irregular"/>
    <n v="0"/>
    <s v="No"/>
    <s v="None"/>
    <s v="Vacation|Activities"/>
  </r>
  <r>
    <s v="Edward Jones - Roth IRA"/>
    <d v="2014-05-25T00:00:00"/>
    <m/>
    <m/>
    <x v="16"/>
    <s v="25.262 shares added to account"/>
    <m/>
    <s v="ShrsIn"/>
    <m/>
    <m/>
    <x v="26"/>
    <x v="0"/>
    <x v="0"/>
    <m/>
    <x v="0"/>
    <m/>
    <s v="May"/>
    <n v="2014"/>
    <e v="#N/A"/>
    <e v="#N/A"/>
    <e v="#N/A"/>
    <e v="#N/A"/>
    <n v="0"/>
  </r>
  <r>
    <s v="Edward Jones - Roth IRA"/>
    <d v="2014-05-25T00:00:00"/>
    <m/>
    <m/>
    <x v="16"/>
    <s v="108.118 shares added to account"/>
    <m/>
    <s v="ShrsIn"/>
    <m/>
    <m/>
    <x v="26"/>
    <x v="0"/>
    <x v="0"/>
    <m/>
    <x v="0"/>
    <m/>
    <s v="May"/>
    <n v="2014"/>
    <e v="#N/A"/>
    <e v="#N/A"/>
    <e v="#N/A"/>
    <e v="#N/A"/>
    <n v="0"/>
  </r>
  <r>
    <s v="MasterCard (Capital One)"/>
    <d v="2014-05-24T00:00:00"/>
    <n v="-31"/>
    <s v="X"/>
    <x v="98"/>
    <s v="#Mt. Rainier 2014# Scenic railroad"/>
    <s v="Vacation:Activities"/>
    <m/>
    <m/>
    <m/>
    <x v="23"/>
    <x v="39"/>
    <x v="0"/>
    <m/>
    <x v="12"/>
    <m/>
    <s v="May"/>
    <n v="2014"/>
    <s v="Irregular"/>
    <n v="0"/>
    <s v="No"/>
    <s v="None"/>
    <s v="Vacation|Activities"/>
  </r>
  <r>
    <s v="MasterCard (Capital One)"/>
    <d v="2014-05-24T00:00:00"/>
    <n v="-43.75"/>
    <s v="X"/>
    <x v="353"/>
    <m/>
    <s v="Shopping:Clothing/From Receipt"/>
    <m/>
    <m/>
    <s v="From Receipt"/>
    <x v="13"/>
    <x v="1"/>
    <x v="0"/>
    <m/>
    <x v="0"/>
    <m/>
    <s v="May"/>
    <n v="2014"/>
    <s v="Annual"/>
    <n v="0"/>
    <s v="No"/>
    <s v="None"/>
    <s v="Shopping|Clothing"/>
  </r>
  <r>
    <s v="Edward Jones - Roth IRA"/>
    <d v="2014-05-24T00:00:00"/>
    <m/>
    <m/>
    <x v="16"/>
    <m/>
    <s v="[Edward Jones - Roth IRA]"/>
    <s v="Cash"/>
    <m/>
    <m/>
    <x v="48"/>
    <x v="0"/>
    <x v="0"/>
    <m/>
    <x v="0"/>
    <m/>
    <s v="May"/>
    <n v="2014"/>
    <e v="#N/A"/>
    <e v="#N/A"/>
    <e v="#N/A"/>
    <e v="#N/A"/>
    <s v="[Edward Jones - Roth IRA]"/>
  </r>
  <r>
    <s v="First Tech - Checking (5544)"/>
    <d v="2014-05-23T00:00:00"/>
    <n v="765.59"/>
    <s v="X"/>
    <x v="116"/>
    <s v="#Group meeting Spring# Reimbursement for group meeting"/>
    <s v="Work Expense:Reimbursement"/>
    <m/>
    <m/>
    <m/>
    <x v="19"/>
    <x v="6"/>
    <x v="0"/>
    <m/>
    <x v="20"/>
    <m/>
    <s v="May"/>
    <n v="2014"/>
    <s v="Irregular"/>
    <n v="0"/>
    <s v="No"/>
    <s v="None"/>
    <s v="Work Expense|Reimbursement"/>
  </r>
  <r>
    <s v="Koolikai - Checking XX2129"/>
    <d v="2014-05-23T00:00:00"/>
    <n v="2195"/>
    <s v="X"/>
    <x v="361"/>
    <s v="June rent@CAT:@@BAL:38668.30@"/>
    <s v="Business Income (Koolikai):Rent/7231"/>
    <m/>
    <m/>
    <n v="7231"/>
    <x v="37"/>
    <x v="25"/>
    <x v="0"/>
    <m/>
    <x v="0"/>
    <m/>
    <s v="May"/>
    <n v="2014"/>
    <s v="Monthly"/>
    <n v="0"/>
    <s v="No"/>
    <s v="None"/>
    <s v="Business Income (Koolikai)|Rent"/>
  </r>
  <r>
    <s v="Chase Freedom XX9381"/>
    <d v="2014-05-23T00:00:00"/>
    <n v="-15.69"/>
    <s v="X"/>
    <x v="362"/>
    <m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Koolikai Credit Card"/>
    <d v="2014-05-23T00:00:00"/>
    <n v="130.86000000000001"/>
    <s v="X"/>
    <x v="11"/>
    <m/>
    <s v="[Koolikai - Checking XX2129]"/>
    <m/>
    <m/>
    <m/>
    <x v="25"/>
    <x v="0"/>
    <x v="0"/>
    <m/>
    <x v="0"/>
    <m/>
    <s v="May"/>
    <n v="2014"/>
    <s v="Account"/>
    <n v="0"/>
    <s v="No"/>
    <s v="None"/>
    <s v="[Koolikai - Checking XX2129]"/>
  </r>
  <r>
    <s v="First Tech - Checking (5544)"/>
    <d v="2014-05-22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May"/>
    <n v="2014"/>
    <s v="Monthly"/>
    <n v="0"/>
    <s v="No"/>
    <s v="None"/>
    <s v="Auto &amp; Transport|Auto Lease Payment"/>
  </r>
  <r>
    <s v="First Tech - Checking (5544)"/>
    <d v="2014-05-22T00:00:00"/>
    <n v="-30"/>
    <s v="X"/>
    <x v="363"/>
    <s v="Teacher Appreciation Week"/>
    <s v="Kids:Daycare"/>
    <n v="2127"/>
    <m/>
    <m/>
    <x v="27"/>
    <x v="35"/>
    <x v="0"/>
    <m/>
    <x v="0"/>
    <m/>
    <s v="May"/>
    <n v="2014"/>
    <s v="Monthly"/>
    <n v="0"/>
    <s v="No"/>
    <s v="None"/>
    <s v="Kids|Daycare"/>
  </r>
  <r>
    <s v="MasterCard (Capital One)"/>
    <d v="2014-05-21T00:00:00"/>
    <n v="-7.94"/>
    <s v="X"/>
    <x v="2"/>
    <s v="2011: FRED-MEYER #0122 SEATTLE WA 98117 USA"/>
    <s v="Food &amp; Dining:Groceries/From Receipt"/>
    <m/>
    <m/>
    <s v="From Receipt"/>
    <x v="15"/>
    <x v="3"/>
    <x v="0"/>
    <m/>
    <x v="0"/>
    <m/>
    <s v="May"/>
    <n v="2014"/>
    <s v="Monthly"/>
    <n v="0"/>
    <s v="No"/>
    <s v="None"/>
    <s v="Food &amp; Dining|Groceries"/>
  </r>
  <r>
    <s v="Chase Freedom XX9381"/>
    <d v="2014-05-19T00:00:00"/>
    <n v="-38.299999999999997"/>
    <s v="X"/>
    <x v="91"/>
    <s v="Sink fixture"/>
    <s v="Business Expenses (Koolikai):Repairs/7231:From Receipt"/>
    <m/>
    <m/>
    <s v="7231:From Receipt"/>
    <x v="36"/>
    <x v="41"/>
    <x v="0"/>
    <m/>
    <x v="0"/>
    <m/>
    <s v="May"/>
    <n v="2014"/>
    <s v="Irregular"/>
    <n v="0"/>
    <s v="No"/>
    <s v="None"/>
    <s v="Business Expenses (Koolikai)|Repairs"/>
  </r>
  <r>
    <s v="Chase Freedom XX9381"/>
    <d v="2014-05-19T00:00:00"/>
    <n v="-53.99"/>
    <s v="X"/>
    <x v="364"/>
    <s v="@CAT:@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19T00:00:00"/>
    <n v="-6.15"/>
    <s v="X"/>
    <x v="37"/>
    <s v="Coldplay Ghost Stories"/>
    <s v="Entertainment:Music"/>
    <m/>
    <m/>
    <m/>
    <x v="30"/>
    <x v="60"/>
    <x v="0"/>
    <m/>
    <x v="0"/>
    <m/>
    <s v="May"/>
    <n v="2014"/>
    <s v="Unplanned"/>
    <n v="0"/>
    <s v="No"/>
    <s v="None"/>
    <s v="Entertainment|Music"/>
  </r>
  <r>
    <s v="MasterCard (Capital One)"/>
    <d v="2014-05-19T00:00:00"/>
    <n v="-46.58"/>
    <s v="X"/>
    <x v="365"/>
    <s v="2011: SWEDISH CENT BUS SVCS 206-3204476 WA 981011176 USA"/>
    <s v="Health &amp; Fitness:Doctor"/>
    <m/>
    <m/>
    <m/>
    <x v="18"/>
    <x v="56"/>
    <x v="0"/>
    <m/>
    <x v="0"/>
    <m/>
    <s v="May"/>
    <n v="2014"/>
    <s v="Irregular"/>
    <n v="0"/>
    <s v="No"/>
    <s v="None"/>
    <s v="Health &amp; Fitness|Doctor"/>
  </r>
  <r>
    <s v="MasterCard (Capital One)"/>
    <d v="2014-05-19T00:00:00"/>
    <n v="-84.5"/>
    <s v="X"/>
    <x v="366"/>
    <s v="#Seaquest#"/>
    <s v="Vacation:Lodging"/>
    <m/>
    <m/>
    <m/>
    <x v="23"/>
    <x v="9"/>
    <x v="0"/>
    <m/>
    <x v="21"/>
    <m/>
    <s v="May"/>
    <n v="2014"/>
    <s v="Irregular"/>
    <n v="0"/>
    <s v="No"/>
    <s v="None"/>
    <s v="Vacation|Lodging"/>
  </r>
  <r>
    <s v="Schwab - Checking (9784)"/>
    <d v="2014-05-18T00:00:00"/>
    <n v="-116"/>
    <s v="X"/>
    <x v="1"/>
    <s v="@CAT:@@BAL:$1020.21@"/>
    <s v="Food &amp; Dining:Groceries/From Receipt"/>
    <m/>
    <s v="Split"/>
    <s v="From Receipt"/>
    <x v="15"/>
    <x v="3"/>
    <x v="0"/>
    <m/>
    <x v="0"/>
    <m/>
    <s v="May"/>
    <n v="2014"/>
    <s v="Monthly"/>
    <n v="0"/>
    <s v="No"/>
    <s v="None"/>
    <s v="Food &amp; Dining|Groceries"/>
  </r>
  <r>
    <s v="Schwab - Checking (9784)"/>
    <d v="2014-05-18T00:00:00"/>
    <n v="-43.78"/>
    <s v="X"/>
    <x v="1"/>
    <s v="Life vests for Arizona"/>
    <s v="Health &amp; Fitness:Sports/From Receipt"/>
    <m/>
    <s v="Split"/>
    <s v="From Receipt"/>
    <x v="18"/>
    <x v="23"/>
    <x v="0"/>
    <m/>
    <x v="0"/>
    <m/>
    <s v="May"/>
    <n v="2014"/>
    <s v="Irregular"/>
    <n v="0"/>
    <s v="No"/>
    <s v="None"/>
    <s v="Health &amp; Fitness|Sports"/>
  </r>
  <r>
    <s v="MasterCard (Capital One)"/>
    <d v="2014-05-17T00:00:00"/>
    <n v="-21.79"/>
    <s v="X"/>
    <x v="248"/>
    <s v="2011: TOP TEN TOYS SEATTLE WA 98103 USA"/>
    <s v="Kids:Toys/From Receipt"/>
    <m/>
    <m/>
    <s v="From Receipt"/>
    <x v="27"/>
    <x v="14"/>
    <x v="0"/>
    <m/>
    <x v="0"/>
    <m/>
    <s v="May"/>
    <n v="2014"/>
    <s v="Monthly"/>
    <n v="0"/>
    <s v="No"/>
    <s v="None"/>
    <s v="Kids|Toys"/>
  </r>
  <r>
    <s v="MasterCard (Capital One)"/>
    <d v="2014-05-17T00:00:00"/>
    <n v="-26.28"/>
    <s v="X"/>
    <x v="367"/>
    <s v="Earings at the street fair"/>
    <s v="Shopping:Clothing/From Receipt"/>
    <m/>
    <m/>
    <s v="From Receipt"/>
    <x v="13"/>
    <x v="1"/>
    <x v="0"/>
    <m/>
    <x v="0"/>
    <m/>
    <s v="May"/>
    <n v="2014"/>
    <s v="Annual"/>
    <n v="0"/>
    <s v="No"/>
    <s v="None"/>
    <s v="Shopping|Clothing"/>
  </r>
  <r>
    <s v="MasterCard (Capital One)"/>
    <d v="2014-05-17T00:00:00"/>
    <n v="-34"/>
    <s v="X"/>
    <x v="97"/>
    <s v="2011: RUDYS BARBER SHOP - PH SEATTLE WA 98103 USA"/>
    <s v="Personal Care:Hair"/>
    <m/>
    <m/>
    <m/>
    <x v="31"/>
    <x v="16"/>
    <x v="0"/>
    <m/>
    <x v="0"/>
    <m/>
    <s v="May"/>
    <n v="2014"/>
    <s v="Monthly"/>
    <n v="0"/>
    <s v="No"/>
    <s v="None"/>
    <s v="Personal Care|Hair"/>
  </r>
  <r>
    <s v="MasterCard (Capital One)"/>
    <d v="2014-05-17T00:00:00"/>
    <n v="-84.79"/>
    <s v="X"/>
    <x v="2"/>
    <s v="2011: FRED-MEYER #0122 SEATTLE WA 98117 USA"/>
    <s v="Food &amp; Dining:Groceries/From Receipt"/>
    <m/>
    <s v="Split"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17T00:00:00"/>
    <n v="-7.64"/>
    <s v="X"/>
    <x v="2"/>
    <s v="Bubble guns"/>
    <s v="Kids:Toys/From Receipt"/>
    <m/>
    <s v="Split"/>
    <s v="From Receipt"/>
    <x v="27"/>
    <x v="14"/>
    <x v="0"/>
    <m/>
    <x v="0"/>
    <m/>
    <s v="May"/>
    <n v="2014"/>
    <s v="Monthly"/>
    <n v="0"/>
    <s v="No"/>
    <s v="None"/>
    <s v="Kids|Toys"/>
  </r>
  <r>
    <s v="First Tech - Checking (5544)"/>
    <d v="2014-05-16T00:00:00"/>
    <n v="-115"/>
    <s v="X"/>
    <x v="176"/>
    <s v="ACH Debit--THE CLEANING AUT  - ONLINE PMT"/>
    <s v="Home:Home Services"/>
    <m/>
    <m/>
    <m/>
    <x v="14"/>
    <x v="46"/>
    <x v="0"/>
    <m/>
    <x v="0"/>
    <m/>
    <s v="May"/>
    <n v="2014"/>
    <s v="Monthly"/>
    <n v="0"/>
    <s v="No"/>
    <s v="None"/>
    <s v="Home|Home Services"/>
  </r>
  <r>
    <s v="First Tech - Short Term Emergency (5400)"/>
    <d v="2014-05-16T00:00:00"/>
    <n v="71250.350000000006"/>
    <s v="X"/>
    <x v="368"/>
    <s v="CHECK NUMBER: 133471432"/>
    <s v="[Edward Jones - Investment Account]"/>
    <m/>
    <m/>
    <m/>
    <x v="49"/>
    <x v="0"/>
    <x v="0"/>
    <m/>
    <x v="0"/>
    <m/>
    <s v="May"/>
    <n v="2014"/>
    <e v="#N/A"/>
    <e v="#N/A"/>
    <e v="#N/A"/>
    <e v="#N/A"/>
    <s v="[Edward Jones - Investment Account]"/>
  </r>
  <r>
    <s v="MasterCard (Capital One)"/>
    <d v="2014-05-16T00:00:00"/>
    <n v="-8.1999999999999993"/>
    <s v="X"/>
    <x v="177"/>
    <s v="2011: FRESH TABLE CAFE MET SEATTLE WA 98101 USA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16T00:00:00"/>
    <n v="-60"/>
    <s v="X"/>
    <x v="32"/>
    <s v="Teacher appreciation gifts"/>
    <s v="Gifts/From Receipt"/>
    <m/>
    <m/>
    <s v="From Receipt"/>
    <x v="28"/>
    <x v="0"/>
    <x v="0"/>
    <m/>
    <x v="0"/>
    <m/>
    <s v="May"/>
    <n v="2014"/>
    <s v="Monthly"/>
    <n v="0"/>
    <s v="No"/>
    <s v="None"/>
    <s v="Gifts"/>
  </r>
  <r>
    <s v="Edward Jones - Investment Account"/>
    <d v="2014-05-16T00:00:00"/>
    <n v="71250.350000000006"/>
    <m/>
    <x v="368"/>
    <s v="CHECK NUMBER: 133471432"/>
    <s v="[First Tech - Short Term Emergency (5400)]"/>
    <s v="XOut"/>
    <s v="Split"/>
    <m/>
    <x v="4"/>
    <x v="0"/>
    <x v="0"/>
    <m/>
    <x v="0"/>
    <m/>
    <s v="May"/>
    <n v="2014"/>
    <s v="Account"/>
    <n v="0"/>
    <s v="No"/>
    <s v="None"/>
    <s v="[First Tech - Short Term Emergency (5400)]"/>
  </r>
  <r>
    <s v="First Tech - Checking (5544)"/>
    <d v="2014-05-15T00:00:00"/>
    <n v="-110.13"/>
    <s v="X"/>
    <x v="125"/>
    <s v="ACH Debit--CITY OF SEATTLE  - 1 - SCL De"/>
    <s v="Bills &amp; Utilities:Utilities"/>
    <m/>
    <m/>
    <m/>
    <x v="34"/>
    <x v="18"/>
    <x v="0"/>
    <m/>
    <x v="0"/>
    <m/>
    <s v="May"/>
    <n v="2014"/>
    <s v="Monthly"/>
    <n v="0"/>
    <s v="No"/>
    <s v="None"/>
    <s v="Bills &amp; Utilities|Utilities"/>
  </r>
  <r>
    <s v="MasterCard (Capital One)"/>
    <d v="2014-05-15T00:00:00"/>
    <n v="-6.56"/>
    <s v="X"/>
    <x v="2"/>
    <s v="Seasonal VLM... no idea what this is"/>
    <s v="Kids:Clothing/From Receipt"/>
    <m/>
    <m/>
    <s v="From Receipt"/>
    <x v="27"/>
    <x v="1"/>
    <x v="0"/>
    <m/>
    <x v="0"/>
    <m/>
    <s v="May"/>
    <n v="2014"/>
    <s v="Monthly"/>
    <n v="0"/>
    <s v="No"/>
    <s v="None"/>
    <s v="Kids|Clothing"/>
  </r>
  <r>
    <s v="First Tech - Checking (5544)"/>
    <d v="2014-05-14T00:00:00"/>
    <n v="3165.21"/>
    <s v="X"/>
    <x v="47"/>
    <s v="ACH Deposit--MICROSOFT  - EDIPAYMENT"/>
    <s v="Net Salary"/>
    <m/>
    <m/>
    <m/>
    <x v="35"/>
    <x v="0"/>
    <x v="0"/>
    <m/>
    <x v="0"/>
    <m/>
    <s v="May"/>
    <n v="2014"/>
    <s v="Monthly"/>
    <n v="0"/>
    <s v="No"/>
    <s v="None"/>
    <s v="Net Salary"/>
  </r>
  <r>
    <s v="MasterCard (Capital One)"/>
    <d v="2014-05-14T00:00:00"/>
    <n v="-2.89"/>
    <s v="X"/>
    <x v="2"/>
    <s v="2011: FRED-MEYER #0122 SEATTLE WA 98117 USA"/>
    <s v="Food &amp; Dining:Groceries/From Receipt"/>
    <m/>
    <s v="Split"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14T00:00:00"/>
    <n v="-6.56"/>
    <s v="X"/>
    <x v="2"/>
    <s v="Seasonal VLM... no idea what t"/>
    <s v="Kids:Toys/From Receipt"/>
    <m/>
    <s v="Split"/>
    <s v="From Receipt"/>
    <x v="27"/>
    <x v="14"/>
    <x v="0"/>
    <m/>
    <x v="0"/>
    <m/>
    <s v="May"/>
    <n v="2014"/>
    <s v="Monthly"/>
    <n v="0"/>
    <s v="No"/>
    <s v="None"/>
    <s v="Kids|Toys"/>
  </r>
  <r>
    <s v="First Tech - Checking (5544)"/>
    <d v="2014-05-13T00:00:00"/>
    <n v="-81.430000000000007"/>
    <s v="X"/>
    <x v="45"/>
    <s v="ACH Debit--PUGET SOUND ENER DIRECT DEBITING - PSE BILL  12500371"/>
    <s v="Bills &amp; Utilities:Utilities"/>
    <m/>
    <m/>
    <m/>
    <x v="34"/>
    <x v="18"/>
    <x v="0"/>
    <m/>
    <x v="0"/>
    <m/>
    <s v="May"/>
    <n v="2014"/>
    <s v="Monthly"/>
    <n v="0"/>
    <s v="No"/>
    <s v="None"/>
    <s v="Bills &amp; Utilities|Utilities"/>
  </r>
  <r>
    <s v="MasterCard (Capital One)"/>
    <d v="2014-05-13T00:00:00"/>
    <n v="-7.97"/>
    <s v="X"/>
    <x v="57"/>
    <s v="2011: KEN'S MARKET #75-116 SEATTLE WA 98103 USA"/>
    <s v="Food &amp; Dining:Groceries"/>
    <m/>
    <m/>
    <m/>
    <x v="15"/>
    <x v="3"/>
    <x v="0"/>
    <m/>
    <x v="0"/>
    <m/>
    <s v="May"/>
    <n v="2014"/>
    <s v="Monthly"/>
    <n v="0"/>
    <s v="No"/>
    <s v="None"/>
    <s v="Food &amp; Dining|Groceries"/>
  </r>
  <r>
    <s v="First Tech - Checking (5544)"/>
    <d v="2014-05-12T00:00:00"/>
    <n v="12"/>
    <s v="X"/>
    <x v="369"/>
    <s v="Deposit--Shared Branch Mobile Deposit          First Tech FC CA"/>
    <s v="Other Inc"/>
    <m/>
    <m/>
    <m/>
    <x v="29"/>
    <x v="0"/>
    <x v="0"/>
    <m/>
    <x v="0"/>
    <m/>
    <s v="May"/>
    <n v="2014"/>
    <s v="Monthly"/>
    <n v="0"/>
    <s v="No"/>
    <s v="None"/>
    <s v="Other Inc"/>
  </r>
  <r>
    <s v="Koolikai - Checking XX2129"/>
    <d v="2014-05-12T00:00:00"/>
    <n v="-19.57"/>
    <s v="X"/>
    <x v="361"/>
    <s v="Hinges for door"/>
    <s v="Business Expenses (Koolikai):Repairs"/>
    <n v="1092"/>
    <m/>
    <m/>
    <x v="36"/>
    <x v="41"/>
    <x v="0"/>
    <m/>
    <x v="0"/>
    <m/>
    <s v="May"/>
    <n v="2014"/>
    <s v="Irregular"/>
    <n v="0"/>
    <s v="No"/>
    <s v="None"/>
    <s v="Business Expenses (Koolikai)|Repairs"/>
  </r>
  <r>
    <s v="Koolikai - Checking XX2129"/>
    <d v="2014-05-12T00:00:00"/>
    <n v="-49.1"/>
    <s v="X"/>
    <x v="361"/>
    <s v="Parts for washing machine"/>
    <s v="Business Expenses (Koolikai):Repairs"/>
    <n v="1093"/>
    <m/>
    <m/>
    <x v="36"/>
    <x v="41"/>
    <x v="0"/>
    <m/>
    <x v="0"/>
    <m/>
    <s v="May"/>
    <n v="2014"/>
    <s v="Irregular"/>
    <n v="0"/>
    <s v="No"/>
    <s v="None"/>
    <s v="Business Expenses (Koolikai)|Repairs"/>
  </r>
  <r>
    <s v="Chase Freedom XX9381"/>
    <d v="2014-05-12T00:00:00"/>
    <n v="-178.3"/>
    <s v="X"/>
    <x v="99"/>
    <m/>
    <s v="Food &amp; Dining:Restaurants/From Receipt"/>
    <m/>
    <m/>
    <s v="From Receipt"/>
    <x v="15"/>
    <x v="15"/>
    <x v="0"/>
    <m/>
    <x v="0"/>
    <m/>
    <s v="May"/>
    <n v="2014"/>
    <s v="Monthly"/>
    <n v="0"/>
    <s v="No"/>
    <s v="None"/>
    <s v="Food &amp; Dining|Restaurants"/>
  </r>
  <r>
    <s v="Koolikai Credit Card"/>
    <d v="2014-05-12T00:00:00"/>
    <n v="-146.97999999999999"/>
    <s v="X"/>
    <x v="55"/>
    <m/>
    <s v="Business Expenses (Koolikai):Cell Phone"/>
    <m/>
    <m/>
    <m/>
    <x v="36"/>
    <x v="22"/>
    <x v="0"/>
    <m/>
    <x v="0"/>
    <m/>
    <s v="May"/>
    <n v="2014"/>
    <s v="Monthly"/>
    <n v="0"/>
    <s v="No"/>
    <s v="None"/>
    <s v="Business Expenses (Koolikai)|Cell Phone"/>
  </r>
  <r>
    <s v="MasterCard (Capital One)"/>
    <d v="2014-05-12T00:00:00"/>
    <n v="-94.61"/>
    <s v="X"/>
    <x v="43"/>
    <s v="2011: TRADER JOE'S #147 QPS SEATTLE WA 98107 USA"/>
    <s v="Food &amp; Dining:Groceries/From Receipt"/>
    <m/>
    <m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11T00:00:00"/>
    <n v="-4.2300000000000004"/>
    <s v="X"/>
    <x v="37"/>
    <s v="Coldplay Ghost Stories"/>
    <s v="Entertainment:Music"/>
    <m/>
    <m/>
    <m/>
    <x v="30"/>
    <x v="60"/>
    <x v="0"/>
    <m/>
    <x v="0"/>
    <m/>
    <s v="May"/>
    <n v="2014"/>
    <s v="Unplanned"/>
    <n v="0"/>
    <s v="No"/>
    <s v="None"/>
    <s v="Entertainment|Music"/>
  </r>
  <r>
    <s v="MasterCard (Capital One)"/>
    <d v="2014-05-11T00:00:00"/>
    <n v="-13.69"/>
    <s v="X"/>
    <x v="370"/>
    <s v="#Stay Fit# Bike tune up on Angela's bike"/>
    <s v="Health &amp; Fitness:Sports"/>
    <m/>
    <m/>
    <m/>
    <x v="18"/>
    <x v="23"/>
    <x v="0"/>
    <m/>
    <x v="5"/>
    <m/>
    <s v="May"/>
    <n v="2014"/>
    <s v="Irregular"/>
    <n v="0"/>
    <s v="No"/>
    <s v="None"/>
    <s v="Health &amp; Fitness|Sports"/>
  </r>
  <r>
    <s v="MasterCard (Capital One)"/>
    <d v="2014-05-11T00:00:00"/>
    <n v="-16.41"/>
    <s v="X"/>
    <x v="371"/>
    <s v="#Stay Fit# Bike mirror"/>
    <s v="Health &amp; Fitness:Sports/From Receipt"/>
    <m/>
    <m/>
    <s v="From Receipt"/>
    <x v="18"/>
    <x v="23"/>
    <x v="0"/>
    <m/>
    <x v="5"/>
    <m/>
    <s v="May"/>
    <n v="2014"/>
    <s v="Irregular"/>
    <n v="0"/>
    <s v="No"/>
    <s v="None"/>
    <s v="Health &amp; Fitness|Sports"/>
  </r>
  <r>
    <s v="MasterCard (Capital One)"/>
    <d v="2014-05-11T00:00:00"/>
    <n v="-142.9"/>
    <s v="X"/>
    <x v="210"/>
    <s v="#Stay Fit# Shoes and Inserts"/>
    <s v="Health &amp; Fitness:Sports"/>
    <m/>
    <m/>
    <m/>
    <x v="18"/>
    <x v="23"/>
    <x v="0"/>
    <m/>
    <x v="5"/>
    <m/>
    <s v="May"/>
    <n v="2014"/>
    <s v="Irregular"/>
    <n v="0"/>
    <s v="No"/>
    <s v="None"/>
    <s v="Health &amp; Fitness|Sports"/>
  </r>
  <r>
    <s v="MasterCard (Capital One)"/>
    <d v="2014-05-10T00:00:00"/>
    <n v="-17.5"/>
    <s v="X"/>
    <x v="106"/>
    <s v="2011: THIRD PLACE BOOKS SEATTLE WA 98115 USA"/>
    <s v="Shopping:Books"/>
    <m/>
    <m/>
    <m/>
    <x v="13"/>
    <x v="51"/>
    <x v="0"/>
    <m/>
    <x v="0"/>
    <m/>
    <s v="May"/>
    <n v="2014"/>
    <s v="Unplanned"/>
    <n v="0"/>
    <s v="No"/>
    <s v="None"/>
    <s v="Shopping|Books"/>
  </r>
  <r>
    <s v="MasterCard (Capital One)"/>
    <d v="2014-05-10T00:00:00"/>
    <n v="-72.349999999999994"/>
    <s v="X"/>
    <x v="2"/>
    <s v="2011: FRED-MEYER #0122 SEATTLE WA 98117 USA"/>
    <s v="Food &amp; Dining:Groceries/From Receipt"/>
    <m/>
    <s v="Split"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10T00:00:00"/>
    <n v="-6.01"/>
    <s v="X"/>
    <x v="2"/>
    <s v="Mother's Day Card"/>
    <s v="Gifts/From Receipt"/>
    <m/>
    <s v="Split"/>
    <s v="From Receipt"/>
    <x v="28"/>
    <x v="0"/>
    <x v="0"/>
    <m/>
    <x v="0"/>
    <m/>
    <s v="May"/>
    <n v="2014"/>
    <s v="Monthly"/>
    <n v="0"/>
    <s v="No"/>
    <s v="None"/>
    <s v="Gifts"/>
  </r>
  <r>
    <s v="MasterCard (Capital One)"/>
    <d v="2014-05-10T00:00:00"/>
    <n v="-21.89"/>
    <s v="X"/>
    <x v="2"/>
    <s v="Sunglasses"/>
    <s v="Shopping:Clothing:Accessories/From Receipt"/>
    <m/>
    <s v="Split"/>
    <s v="From Receipt"/>
    <x v="13"/>
    <x v="1"/>
    <x v="1"/>
    <m/>
    <x v="0"/>
    <m/>
    <s v="May"/>
    <n v="2014"/>
    <s v="Annual"/>
    <n v="0"/>
    <s v="No"/>
    <s v="None"/>
    <s v="Shopping|Clothing"/>
  </r>
  <r>
    <s v="Schwab - Checking (9784)"/>
    <d v="2014-05-09T00:00:00"/>
    <n v="-2"/>
    <s v="X"/>
    <x v="57"/>
    <m/>
    <s v="Bank Fees &amp; Charges:ATM Fee"/>
    <m/>
    <s v="Split"/>
    <m/>
    <x v="32"/>
    <x v="17"/>
    <x v="0"/>
    <m/>
    <x v="0"/>
    <m/>
    <s v="May"/>
    <n v="2014"/>
    <s v="Monthly"/>
    <n v="0"/>
    <s v="No"/>
    <s v="None"/>
    <s v="Bank Fees &amp; Charges|ATM Fee"/>
  </r>
  <r>
    <s v="Schwab - Checking (9784)"/>
    <d v="2014-05-09T00:00:00"/>
    <n v="-30"/>
    <s v="X"/>
    <x v="57"/>
    <m/>
    <s v="Kids:Babysitter"/>
    <m/>
    <s v="Split"/>
    <m/>
    <x v="27"/>
    <x v="13"/>
    <x v="0"/>
    <m/>
    <x v="0"/>
    <m/>
    <s v="May"/>
    <n v="2014"/>
    <s v="Monthly"/>
    <n v="0"/>
    <s v="No"/>
    <s v="None"/>
    <s v="Kids|Babysitter"/>
  </r>
  <r>
    <s v="Schwab - Checking (9784)"/>
    <d v="2014-05-09T00:00:00"/>
    <n v="-10"/>
    <s v="X"/>
    <x v="57"/>
    <m/>
    <s v="Food &amp; Dining:Restaurants"/>
    <m/>
    <s v="Split"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09T00:00:00"/>
    <n v="25"/>
    <s v="X"/>
    <x v="60"/>
    <s v="2011: CREDIT-CASH BACK REWARD"/>
    <s v="Other Inc"/>
    <m/>
    <m/>
    <m/>
    <x v="29"/>
    <x v="0"/>
    <x v="0"/>
    <m/>
    <x v="0"/>
    <m/>
    <s v="May"/>
    <n v="2014"/>
    <s v="Monthly"/>
    <n v="0"/>
    <s v="No"/>
    <s v="None"/>
    <s v="Other Inc"/>
  </r>
  <r>
    <s v="Koolikai Credit Card"/>
    <d v="2014-05-08T00:00:00"/>
    <n v="-42"/>
    <s v="X"/>
    <x v="372"/>
    <m/>
    <s v="Business Expenses (Koolikai):Repairs/7231"/>
    <m/>
    <m/>
    <n v="7231"/>
    <x v="36"/>
    <x v="41"/>
    <x v="0"/>
    <m/>
    <x v="0"/>
    <m/>
    <s v="May"/>
    <n v="2014"/>
    <s v="Irregular"/>
    <n v="0"/>
    <s v="No"/>
    <s v="None"/>
    <s v="Business Expenses (Koolikai)|Repairs"/>
  </r>
  <r>
    <s v="MasterCard (Capital One)"/>
    <d v="2014-05-08T00:00:00"/>
    <n v="-5.78"/>
    <s v="X"/>
    <x v="57"/>
    <s v="2011: KEN'S MARKET #75-116 SEATTLE WA 98103 USA"/>
    <s v="Food &amp; Dining:Groceries/From Receipt"/>
    <m/>
    <m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08T00:00:00"/>
    <n v="-13.51"/>
    <s v="X"/>
    <x v="34"/>
    <s v="2011: TACO DEL MAR GREENWOOD SEATTLE WA 98103 USA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07T00:00:00"/>
    <n v="-585"/>
    <s v="X"/>
    <x v="373"/>
    <s v="2011: STOCKWELL AND ASSOCIAT LYNNWOOD WA 98036 USA"/>
    <s v="Business Expenses (Koolikai):Prof and Legal Fees"/>
    <m/>
    <m/>
    <m/>
    <x v="36"/>
    <x v="61"/>
    <x v="0"/>
    <m/>
    <x v="0"/>
    <m/>
    <s v="May"/>
    <n v="2014"/>
    <s v="Annual"/>
    <n v="0"/>
    <s v="No"/>
    <s v="None"/>
    <s v="Business Expenses (Koolikai)|Prof and Legal Fees"/>
  </r>
  <r>
    <s v="First Tech - Checking (5544)"/>
    <d v="2014-05-06T00:00:00"/>
    <n v="-3748.69"/>
    <s v="X"/>
    <x v="69"/>
    <s v="ACH Debit--WF HOME MTG ACH - AUTO PAY"/>
    <s v="Home:Mortgage"/>
    <m/>
    <m/>
    <m/>
    <x v="14"/>
    <x v="27"/>
    <x v="0"/>
    <m/>
    <x v="0"/>
    <m/>
    <s v="May"/>
    <n v="2014"/>
    <s v="Monthly"/>
    <n v="0"/>
    <s v="No"/>
    <s v="None"/>
    <s v="Home|Mortgage"/>
  </r>
  <r>
    <s v="First Tech - Checking (5544)"/>
    <d v="2014-05-06T00:00:00"/>
    <n v="-15487.26"/>
    <s v="X"/>
    <x v="374"/>
    <s v="Life insurance policy"/>
    <s v="Financial:Life Insurance"/>
    <m/>
    <m/>
    <m/>
    <x v="50"/>
    <x v="62"/>
    <x v="0"/>
    <m/>
    <x v="0"/>
    <m/>
    <s v="May"/>
    <n v="2014"/>
    <s v="Monthly"/>
    <n v="0"/>
    <s v="No"/>
    <s v="None"/>
    <s v="Financial|Life Insurance"/>
  </r>
  <r>
    <s v="Koolikai Credit Card"/>
    <d v="2014-05-06T00:00:00"/>
    <n v="15.84"/>
    <s v="X"/>
    <x v="375"/>
    <s v="Sink fixture repair parts"/>
    <s v="Business Expenses (Koolikai):Repairs/9602:From Receipt"/>
    <m/>
    <m/>
    <s v="9602:From Receipt"/>
    <x v="36"/>
    <x v="41"/>
    <x v="0"/>
    <m/>
    <x v="0"/>
    <m/>
    <s v="May"/>
    <n v="2014"/>
    <s v="Irregular"/>
    <n v="0"/>
    <s v="No"/>
    <s v="None"/>
    <s v="Business Expenses (Koolikai)|Repairs"/>
  </r>
  <r>
    <s v="MasterCard (Capital One)"/>
    <d v="2014-05-06T00:00:00"/>
    <n v="-3.89"/>
    <s v="X"/>
    <x v="57"/>
    <s v="2011: KEN'S MARKET #75-116 SEATTLE WA 98103 USA"/>
    <s v="Food &amp; Dining:Groceries"/>
    <m/>
    <m/>
    <m/>
    <x v="15"/>
    <x v="3"/>
    <x v="0"/>
    <m/>
    <x v="0"/>
    <m/>
    <s v="May"/>
    <n v="2014"/>
    <s v="Monthly"/>
    <n v="0"/>
    <s v="No"/>
    <s v="None"/>
    <s v="Food &amp; Dining|Groceries"/>
  </r>
  <r>
    <s v="First Tech - Checking (5544)"/>
    <d v="2014-05-05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May"/>
    <n v="2014"/>
    <s v="Monthly"/>
    <n v="0"/>
    <s v="No"/>
    <s v="None"/>
    <s v="Kids|American Funds 529A"/>
  </r>
  <r>
    <s v="Chase Freedom XX9381"/>
    <d v="2014-05-05T00:00:00"/>
    <n v="-62.45"/>
    <s v="X"/>
    <x v="376"/>
    <m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Koolikai Credit Card"/>
    <d v="2014-05-04T00:00:00"/>
    <n v="-155"/>
    <s v="X"/>
    <x v="98"/>
    <s v="Bob Oates $200 for $155 deal"/>
    <s v="Business Expenses (Koolikai):Repairs/7231"/>
    <m/>
    <m/>
    <n v="7231"/>
    <x v="36"/>
    <x v="41"/>
    <x v="0"/>
    <m/>
    <x v="0"/>
    <m/>
    <s v="May"/>
    <n v="2014"/>
    <s v="Irregular"/>
    <n v="0"/>
    <s v="No"/>
    <s v="None"/>
    <s v="Business Expenses (Koolikai)|Repairs"/>
  </r>
  <r>
    <s v="MasterCard (Capital One)"/>
    <d v="2014-05-04T00:00:00"/>
    <n v="-2.4900000000000002"/>
    <s v="X"/>
    <x v="57"/>
    <s v="2011: KEN'S MARKET #75-116 SEATTLE WA 98103 USA"/>
    <s v="Food &amp; Dining:Groceries/From Receipt"/>
    <m/>
    <m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04T00:00:00"/>
    <n v="-6.3"/>
    <s v="X"/>
    <x v="148"/>
    <s v="2011: SQ *PLAYDATE CAFE Lynnwood WA 98036 USA"/>
    <s v="Kids:Kids Activities"/>
    <m/>
    <m/>
    <m/>
    <x v="27"/>
    <x v="12"/>
    <x v="0"/>
    <m/>
    <x v="0"/>
    <m/>
    <s v="May"/>
    <n v="2014"/>
    <s v="Monthly"/>
    <n v="0"/>
    <s v="No"/>
    <s v="None"/>
    <s v="Kids|Kids Activities"/>
  </r>
  <r>
    <s v="MasterCard (Capital One)"/>
    <d v="2014-05-04T00:00:00"/>
    <n v="-7.66"/>
    <s v="X"/>
    <x v="148"/>
    <s v="2011: SQ *PLAYDATE CAFE Lynnwood WA 98036 USA"/>
    <s v="Kids:Kids Activities"/>
    <m/>
    <m/>
    <m/>
    <x v="27"/>
    <x v="12"/>
    <x v="0"/>
    <m/>
    <x v="0"/>
    <m/>
    <s v="May"/>
    <n v="2014"/>
    <s v="Monthly"/>
    <n v="0"/>
    <s v="No"/>
    <s v="None"/>
    <s v="Kids|Kids Activities"/>
  </r>
  <r>
    <s v="MasterCard (Capital One)"/>
    <d v="2014-05-04T00:00:00"/>
    <n v="-8.75"/>
    <s v="X"/>
    <x v="81"/>
    <s v="2011: NETFLIX.COM NETFLIX.COM CA 95032 USA"/>
    <s v="Entertainment:Movies &amp; DVDs"/>
    <m/>
    <m/>
    <m/>
    <x v="30"/>
    <x v="43"/>
    <x v="0"/>
    <m/>
    <x v="0"/>
    <m/>
    <s v="May"/>
    <n v="2014"/>
    <s v="Unplanned"/>
    <n v="0"/>
    <s v="No"/>
    <s v="None"/>
    <s v="Entertainment|Movies &amp; DVDs"/>
  </r>
  <r>
    <s v="MasterCard (Capital One)"/>
    <d v="2014-05-04T00:00:00"/>
    <n v="-9.31"/>
    <s v="X"/>
    <x v="148"/>
    <s v="2011: SQ *PLAYDATE CAFE Lynnwood WA 98036 USA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04T00:00:00"/>
    <n v="-38"/>
    <s v="X"/>
    <x v="377"/>
    <s v="2011: PAYPAL *THISTLETHEA @BAL:3115.35@"/>
    <s v="Kids:Kids Activities"/>
    <m/>
    <m/>
    <m/>
    <x v="27"/>
    <x v="12"/>
    <x v="0"/>
    <m/>
    <x v="0"/>
    <m/>
    <s v="May"/>
    <n v="2014"/>
    <s v="Monthly"/>
    <n v="0"/>
    <s v="No"/>
    <s v="None"/>
    <s v="Kids|Kids Activities"/>
  </r>
  <r>
    <s v="Koolikai - Checking XX2129"/>
    <d v="2014-05-03T00:00:00"/>
    <n v="2295"/>
    <s v="X"/>
    <x v="144"/>
    <s v="Deposit--Shared Branch Mobile Deposit          First Tech FC CA"/>
    <s v="Business Income (Koolikai):Rent"/>
    <m/>
    <s v="Split"/>
    <m/>
    <x v="37"/>
    <x v="25"/>
    <x v="0"/>
    <m/>
    <x v="0"/>
    <m/>
    <s v="May"/>
    <n v="2014"/>
    <s v="Monthly"/>
    <n v="0"/>
    <s v="No"/>
    <s v="None"/>
    <s v="Business Income (Koolikai)|Rent"/>
  </r>
  <r>
    <s v="Koolikai - Checking XX2129"/>
    <d v="2014-05-03T00:00:00"/>
    <n v="88.66"/>
    <s v="X"/>
    <x v="144"/>
    <m/>
    <s v="Business Expenses (Koolikai):Utilities (Business)"/>
    <m/>
    <s v="Split"/>
    <m/>
    <x v="36"/>
    <x v="63"/>
    <x v="0"/>
    <m/>
    <x v="0"/>
    <m/>
    <s v="May"/>
    <n v="2014"/>
    <s v="Monthly"/>
    <n v="0"/>
    <s v="No"/>
    <s v="None"/>
    <s v="Business Expenses (Koolikai)|Utilities (Business)"/>
  </r>
  <r>
    <s v="MasterCard (Capital One)"/>
    <d v="2014-05-03T00:00:00"/>
    <n v="-103.39"/>
    <s v="X"/>
    <x v="2"/>
    <s v="2011: FRED-MEYER #0608 SEATTLE WA 98107 USA"/>
    <s v="Food &amp; Dining:Groceries/From Receipt"/>
    <m/>
    <m/>
    <s v="From Receipt"/>
    <x v="15"/>
    <x v="3"/>
    <x v="0"/>
    <m/>
    <x v="0"/>
    <m/>
    <s v="May"/>
    <n v="2014"/>
    <s v="Monthly"/>
    <n v="0"/>
    <s v="No"/>
    <s v="None"/>
    <s v="Food &amp; Dining|Groceries"/>
  </r>
  <r>
    <s v="First Tech - Checking (5544)"/>
    <d v="2014-05-02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May"/>
    <n v="2014"/>
    <s v="Monthly"/>
    <n v="0"/>
    <s v="No"/>
    <s v="None"/>
    <s v="Business Expenses (Koolikai)|Mortgage (Business)"/>
  </r>
  <r>
    <s v="First Tech - Checking (5544)"/>
    <d v="2014-05-02T00:00:00"/>
    <n v="-2480.02"/>
    <s v="X"/>
    <x v="85"/>
    <s v="ACH Debit--CAPITAL ONE  - CRCARDPMT"/>
    <s v="[MasterCard (Capital One)]"/>
    <m/>
    <m/>
    <m/>
    <x v="38"/>
    <x v="0"/>
    <x v="0"/>
    <m/>
    <x v="0"/>
    <m/>
    <s v="May"/>
    <n v="2014"/>
    <s v="Account"/>
    <n v="0"/>
    <s v="No"/>
    <s v="None"/>
    <s v="[MasterCard (Capital One)]"/>
  </r>
  <r>
    <s v="First Tech - Checking (5544)"/>
    <d v="2014-05-02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May"/>
    <n v="2014"/>
    <s v="Monthly"/>
    <n v="0"/>
    <s v="No"/>
    <s v="None"/>
    <s v="Business Expenses (Koolikai)|Mortgage (Business)"/>
  </r>
  <r>
    <s v="MasterCard (Capital One)"/>
    <d v="2014-05-02T00:00:00"/>
    <n v="2480.02"/>
    <s v="X"/>
    <x v="85"/>
    <s v="ACH Debit--CAPITAL ONE  - CRCARDPMT"/>
    <s v="[First Tech - Checking (5544)]"/>
    <m/>
    <m/>
    <m/>
    <x v="21"/>
    <x v="0"/>
    <x v="0"/>
    <m/>
    <x v="0"/>
    <m/>
    <s v="May"/>
    <n v="2014"/>
    <s v="Account"/>
    <n v="0"/>
    <s v="No"/>
    <s v="None"/>
    <s v="[First Tech - Checking (5544)]"/>
  </r>
  <r>
    <s v="MasterCard (Capital One)"/>
    <d v="2014-05-02T00:00:00"/>
    <n v="-11.24"/>
    <s v="X"/>
    <x v="57"/>
    <s v="@CAT:@"/>
    <s v="Food &amp; Dining:Groceries"/>
    <m/>
    <m/>
    <m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02T00:00:00"/>
    <n v="-21.89"/>
    <s v="X"/>
    <x v="2"/>
    <s v="2011: FRED-MEYER #0023 BELLEVUE WA 98007 USA"/>
    <s v="Food &amp; Dining:Groceries/From Receipt"/>
    <m/>
    <m/>
    <s v="From Receipt"/>
    <x v="15"/>
    <x v="3"/>
    <x v="0"/>
    <m/>
    <x v="0"/>
    <m/>
    <s v="May"/>
    <n v="2014"/>
    <s v="Monthly"/>
    <n v="0"/>
    <s v="No"/>
    <s v="None"/>
    <s v="Food &amp; Dining|Groceries"/>
  </r>
  <r>
    <s v="MasterCard (Capital One)"/>
    <d v="2014-05-02T00:00:00"/>
    <n v="-22.03"/>
    <s v="X"/>
    <x v="88"/>
    <s v="2011: COMCAST CABLE COMM 800-COMCAST WA 98103 USA"/>
    <s v="Bills &amp; Utilities:Television"/>
    <m/>
    <s v="Split"/>
    <m/>
    <x v="34"/>
    <x v="32"/>
    <x v="0"/>
    <m/>
    <x v="0"/>
    <m/>
    <s v="May"/>
    <n v="2014"/>
    <s v="Monthly"/>
    <n v="0"/>
    <s v="No"/>
    <s v="None"/>
    <s v="Bills &amp; Utilities|Television"/>
  </r>
  <r>
    <s v="MasterCard (Capital One)"/>
    <d v="2014-05-02T00:00:00"/>
    <n v="-64.08"/>
    <s v="X"/>
    <x v="88"/>
    <m/>
    <s v="Business Expenses (Koolikai):Internet"/>
    <m/>
    <s v="Split"/>
    <m/>
    <x v="36"/>
    <x v="33"/>
    <x v="0"/>
    <m/>
    <x v="0"/>
    <m/>
    <s v="May"/>
    <n v="2014"/>
    <s v="Monthly"/>
    <n v="0"/>
    <s v="No"/>
    <s v="None"/>
    <s v="Business Expenses (Koolikai)|Internet"/>
  </r>
  <r>
    <s v="MasterCard (Capital One)"/>
    <d v="2014-05-02T00:00:00"/>
    <n v="-44.08"/>
    <s v="X"/>
    <x v="88"/>
    <m/>
    <s v="Bills &amp; Utilities:Home Phone"/>
    <m/>
    <s v="Split"/>
    <m/>
    <x v="34"/>
    <x v="34"/>
    <x v="0"/>
    <m/>
    <x v="0"/>
    <m/>
    <s v="May"/>
    <n v="2014"/>
    <s v="Monthly"/>
    <n v="0"/>
    <s v="No"/>
    <s v="None"/>
    <s v="Bills &amp; Utilities|Home Phone"/>
  </r>
  <r>
    <s v="MasterCard (Capital One)"/>
    <d v="2014-05-02T00:00:00"/>
    <n v="-569.88"/>
    <s v="X"/>
    <x v="158"/>
    <s v="#Group meeting Spring#"/>
    <s v="Work Expense:Reimbursable expense"/>
    <m/>
    <m/>
    <m/>
    <x v="19"/>
    <x v="21"/>
    <x v="0"/>
    <m/>
    <x v="20"/>
    <m/>
    <s v="May"/>
    <n v="2014"/>
    <s v="Irregular"/>
    <n v="0"/>
    <s v="No"/>
    <s v="None"/>
    <s v="Work Expense|Reimbursable expense"/>
  </r>
  <r>
    <s v="First Tech - Checking (5544)"/>
    <d v="2014-05-01T00:00:00"/>
    <n v="-1976"/>
    <s v="X"/>
    <x v="90"/>
    <s v="ACH Debit--PHINNEY RIDGE LU 504759859 - CONTRIBUTN"/>
    <s v="Kids:Daycare"/>
    <m/>
    <m/>
    <m/>
    <x v="27"/>
    <x v="35"/>
    <x v="0"/>
    <m/>
    <x v="0"/>
    <m/>
    <s v="May"/>
    <n v="2014"/>
    <s v="Monthly"/>
    <n v="0"/>
    <s v="No"/>
    <s v="None"/>
    <s v="Kids|Daycare"/>
  </r>
  <r>
    <s v="Schwab - Checking (9784)"/>
    <d v="2014-05-01T00:00:00"/>
    <n v="-8.65"/>
    <s v="X"/>
    <x v="378"/>
    <s v="2011: 09 BARTELL DRUGS SEATTLE WA 98103 USA"/>
    <s v="Food &amp; Dining:Groceries"/>
    <m/>
    <m/>
    <m/>
    <x v="15"/>
    <x v="3"/>
    <x v="0"/>
    <m/>
    <x v="0"/>
    <m/>
    <s v="May"/>
    <n v="2014"/>
    <s v="Monthly"/>
    <n v="0"/>
    <s v="No"/>
    <s v="None"/>
    <s v="Food &amp; Dining|Groceries"/>
  </r>
  <r>
    <s v="Chase Freedom XX9381"/>
    <d v="2014-05-01T00:00:00"/>
    <n v="-2.4500000000000002"/>
    <s v="X"/>
    <x v="379"/>
    <s v="#Group meeting Spring#"/>
    <s v="Work Expense:Reimbursable expense"/>
    <m/>
    <m/>
    <m/>
    <x v="19"/>
    <x v="21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4.12"/>
    <s v="X"/>
    <x v="34"/>
    <s v="2011: TACO DEL MAR GREENWOOD SEATTLE WA 98103 USA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Chase Freedom XX9381"/>
    <d v="2014-05-01T00:00:00"/>
    <n v="-10.95"/>
    <s v="X"/>
    <x v="379"/>
    <s v="#Group meeting Spring#"/>
    <s v="Work Expense:Reimbursable expense/From Receipt"/>
    <m/>
    <m/>
    <s v="From Receipt"/>
    <x v="19"/>
    <x v="21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53.63"/>
    <s v="X"/>
    <x v="380"/>
    <s v="#Group meeting Spring#"/>
    <s v="Work Expense:Reimbursable expense"/>
    <m/>
    <m/>
    <m/>
    <x v="19"/>
    <x v="21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54.93"/>
    <s v="X"/>
    <x v="381"/>
    <s v="#Group meeting Spring#"/>
    <s v="Work Expense:Reimbursable expense/From Receipt"/>
    <m/>
    <m/>
    <s v="From Receipt"/>
    <x v="19"/>
    <x v="21"/>
    <x v="0"/>
    <m/>
    <x v="20"/>
    <m/>
    <s v="May"/>
    <n v="2014"/>
    <s v="Irregular"/>
    <n v="0"/>
    <s v="No"/>
    <s v="None"/>
    <s v="Work Expense|Reimbursable expense"/>
  </r>
  <r>
    <s v="Chase Freedom XX9381"/>
    <d v="2014-05-01T00:00:00"/>
    <n v="-100"/>
    <s v="X"/>
    <x v="215"/>
    <s v="2011: CAFE 86 11171386 REDMOND WA 98052 USA"/>
    <s v="Food &amp; Dining:Restaurants"/>
    <m/>
    <m/>
    <m/>
    <x v="15"/>
    <x v="15"/>
    <x v="0"/>
    <m/>
    <x v="0"/>
    <m/>
    <s v="May"/>
    <n v="2014"/>
    <s v="Monthly"/>
    <n v="0"/>
    <s v="No"/>
    <s v="None"/>
    <s v="Food &amp; Dining|Restaurants"/>
  </r>
  <r>
    <s v="MasterCard (Capital One)"/>
    <d v="2014-05-01T00:00:00"/>
    <n v="-21.36"/>
    <s v="X"/>
    <x v="382"/>
    <s v="#Group meeting Spring# Meal at airport"/>
    <s v="Work Expense:Reimbursable expense/From Receipt"/>
    <m/>
    <m/>
    <s v="From Receipt"/>
    <x v="19"/>
    <x v="21"/>
    <x v="0"/>
    <m/>
    <x v="20"/>
    <m/>
    <s v="May"/>
    <n v="2014"/>
    <s v="Irregular"/>
    <n v="0"/>
    <s v="No"/>
    <s v="None"/>
    <s v="Work Expense|Reimbursable expense"/>
  </r>
  <r>
    <s v="MasterCard (Capital One)"/>
    <d v="2014-05-01T00:00:00"/>
    <n v="-30.89"/>
    <s v="X"/>
    <x v="326"/>
    <s v="#Group meeting Spring# Parking for group meeting"/>
    <s v="Work Expense:Reimbursable expense"/>
    <m/>
    <m/>
    <m/>
    <x v="19"/>
    <x v="21"/>
    <x v="0"/>
    <m/>
    <x v="20"/>
    <m/>
    <s v="May"/>
    <n v="2014"/>
    <s v="Irregular"/>
    <n v="0"/>
    <s v="No"/>
    <s v="None"/>
    <s v="Work Expense|Reimbursable expense"/>
  </r>
  <r>
    <s v="MasterCard (Capital One)"/>
    <d v="2014-05-01T00:00:00"/>
    <n v="-35"/>
    <s v="X"/>
    <x v="383"/>
    <s v="SFOM membership fee"/>
    <s v="Subscriptions &amp; Dues"/>
    <m/>
    <m/>
    <m/>
    <x v="33"/>
    <x v="0"/>
    <x v="0"/>
    <m/>
    <x v="0"/>
    <m/>
    <s v="May"/>
    <n v="2014"/>
    <s v="Annual"/>
    <n v="0"/>
    <s v="No"/>
    <s v="None"/>
    <s v="Subscriptions &amp; Dues"/>
  </r>
  <r>
    <s v="Capital One - Investment (6759)"/>
    <d v="2014-04-30T00:00:00"/>
    <n v="19.37"/>
    <s v="X"/>
    <x v="100"/>
    <s v="@CAT:@"/>
    <s v="Interest Income"/>
    <s v="INT"/>
    <m/>
    <m/>
    <x v="40"/>
    <x v="0"/>
    <x v="0"/>
    <m/>
    <x v="0"/>
    <m/>
    <s v="Apr"/>
    <n v="2014"/>
    <s v="Monthly"/>
    <n v="0"/>
    <s v="No"/>
    <s v="None"/>
    <s v="Interest Income"/>
  </r>
  <r>
    <s v="Capital One - Long Term Emergency (1201)"/>
    <d v="2014-04-30T00:00:00"/>
    <n v="48.61"/>
    <s v="X"/>
    <x v="100"/>
    <s v="@CAT:@"/>
    <s v="Interest Income"/>
    <s v="INT"/>
    <m/>
    <m/>
    <x v="40"/>
    <x v="0"/>
    <x v="0"/>
    <m/>
    <x v="0"/>
    <m/>
    <s v="Apr"/>
    <n v="2014"/>
    <s v="Monthly"/>
    <n v="0"/>
    <s v="No"/>
    <s v="None"/>
    <s v="Interest Income"/>
  </r>
  <r>
    <s v="Capital One - Secondary Savings (3126)"/>
    <d v="2014-04-30T00:00:00"/>
    <n v="0.02"/>
    <s v="X"/>
    <x v="100"/>
    <s v="@CAT:@"/>
    <s v="Interest Income"/>
    <s v="INT"/>
    <m/>
    <m/>
    <x v="40"/>
    <x v="0"/>
    <x v="0"/>
    <m/>
    <x v="0"/>
    <m/>
    <s v="Apr"/>
    <n v="2014"/>
    <s v="Monthly"/>
    <n v="0"/>
    <s v="No"/>
    <s v="None"/>
    <s v="Interest Income"/>
  </r>
  <r>
    <s v="Capital One - Vacation (4959)"/>
    <d v="2014-04-30T00:00:00"/>
    <n v="2.06"/>
    <s v="X"/>
    <x v="100"/>
    <s v="@CAT:@"/>
    <s v="Interest Income"/>
    <s v="INT"/>
    <m/>
    <m/>
    <x v="40"/>
    <x v="0"/>
    <x v="0"/>
    <m/>
    <x v="0"/>
    <m/>
    <s v="Apr"/>
    <n v="2014"/>
    <s v="Monthly"/>
    <n v="0"/>
    <s v="No"/>
    <s v="None"/>
    <s v="Interest Income"/>
  </r>
  <r>
    <s v="First Tech - Short Term Emergency (5400)"/>
    <d v="2014-04-30T00:00:00"/>
    <n v="0.01"/>
    <s v="X"/>
    <x v="93"/>
    <s v="Credit Dividend--"/>
    <s v="Interest Income"/>
    <m/>
    <m/>
    <m/>
    <x v="40"/>
    <x v="0"/>
    <x v="0"/>
    <m/>
    <x v="0"/>
    <m/>
    <s v="Apr"/>
    <n v="2014"/>
    <s v="Monthly"/>
    <n v="0"/>
    <s v="No"/>
    <s v="None"/>
    <s v="Interest Income"/>
  </r>
  <r>
    <s v="Koolikai - Sec Dep XX1200"/>
    <d v="2014-04-30T00:00:00"/>
    <n v="0.18"/>
    <s v="X"/>
    <x v="93"/>
    <s v="Credit Dividend--"/>
    <s v="Interest Income"/>
    <m/>
    <m/>
    <m/>
    <x v="40"/>
    <x v="0"/>
    <x v="0"/>
    <m/>
    <x v="0"/>
    <m/>
    <s v="Apr"/>
    <n v="2014"/>
    <s v="Monthly"/>
    <n v="0"/>
    <s v="No"/>
    <s v="None"/>
    <s v="Interest Income"/>
  </r>
  <r>
    <s v="Schwab - Checking (9784)"/>
    <d v="2014-04-30T00:00:00"/>
    <n v="0.11"/>
    <s v="X"/>
    <x v="102"/>
    <m/>
    <s v="Interest Income"/>
    <m/>
    <m/>
    <m/>
    <x v="40"/>
    <x v="0"/>
    <x v="0"/>
    <m/>
    <x v="0"/>
    <m/>
    <s v="Apr"/>
    <n v="2014"/>
    <s v="Monthly"/>
    <n v="0"/>
    <s v="No"/>
    <s v="None"/>
    <s v="Interest Income"/>
  </r>
  <r>
    <s v="Schwab - Checking (9784)"/>
    <d v="2014-04-30T00:00:00"/>
    <n v="3"/>
    <s v="X"/>
    <x v="103"/>
    <s v="@BAL:$1230.64@"/>
    <s v="Bank Fees &amp; Charges:ATM Fee"/>
    <m/>
    <m/>
    <m/>
    <x v="32"/>
    <x v="17"/>
    <x v="0"/>
    <m/>
    <x v="0"/>
    <m/>
    <s v="Apr"/>
    <n v="2014"/>
    <s v="Monthly"/>
    <n v="0"/>
    <s v="No"/>
    <s v="None"/>
    <s v="Bank Fees &amp; Charges|ATM Fee"/>
  </r>
  <r>
    <s v="Chase Freedom XX9381"/>
    <d v="2014-04-30T00:00:00"/>
    <n v="-2.25"/>
    <s v="X"/>
    <x v="384"/>
    <m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Chase Freedom XX9381"/>
    <d v="2014-04-30T00:00:00"/>
    <n v="-5.95"/>
    <s v="X"/>
    <x v="215"/>
    <s v="2011: CAFE 86 11171386 REDMOND WA 98052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Chase Freedom XX9381"/>
    <d v="2014-04-30T00:00:00"/>
    <n v="-10.86"/>
    <s v="X"/>
    <x v="384"/>
    <s v="#Group meeting Spring#"/>
    <s v="Work Expense:Reimbursable expense/From Receipt"/>
    <m/>
    <m/>
    <s v="From Receipt"/>
    <x v="19"/>
    <x v="21"/>
    <x v="0"/>
    <m/>
    <x v="20"/>
    <m/>
    <s v="Apr"/>
    <n v="2014"/>
    <s v="Irregular"/>
    <n v="0"/>
    <s v="No"/>
    <s v="None"/>
    <s v="Work Expense|Reimbursable expense"/>
  </r>
  <r>
    <s v="First Tech - Checking (5544)"/>
    <d v="2014-04-29T00:00:00"/>
    <n v="3165.19"/>
    <s v="X"/>
    <x v="47"/>
    <s v="ACH Deposit--MICROSOFT  - EDIPAYMENT"/>
    <s v="Net Salary"/>
    <m/>
    <m/>
    <m/>
    <x v="35"/>
    <x v="0"/>
    <x v="0"/>
    <m/>
    <x v="0"/>
    <m/>
    <s v="Apr"/>
    <n v="2014"/>
    <s v="Monthly"/>
    <n v="0"/>
    <s v="No"/>
    <s v="None"/>
    <s v="Net Salary"/>
  </r>
  <r>
    <s v="First Tech - Checking (5544)"/>
    <d v="2014-04-29T00:00:00"/>
    <n v="6195.6"/>
    <s v="X"/>
    <x v="109"/>
    <s v="ACH Deposit--Cancer Research  - Payroll"/>
    <s v="Net Salary"/>
    <m/>
    <m/>
    <m/>
    <x v="35"/>
    <x v="0"/>
    <x v="0"/>
    <m/>
    <x v="0"/>
    <m/>
    <s v="Apr"/>
    <n v="2014"/>
    <s v="Monthly"/>
    <n v="0"/>
    <s v="No"/>
    <s v="None"/>
    <s v="Net Salary"/>
  </r>
  <r>
    <s v="First Tech - Checking (5544)"/>
    <d v="2014-04-29T00:00:00"/>
    <n v="11977"/>
    <s v="X"/>
    <x v="385"/>
    <s v="ACH Deposit--IRS  TREAS 310  -   TAX REF"/>
    <s v="Tax:Fed"/>
    <m/>
    <m/>
    <m/>
    <x v="47"/>
    <x v="54"/>
    <x v="0"/>
    <m/>
    <x v="0"/>
    <m/>
    <s v="Apr"/>
    <n v="2014"/>
    <s v="Unplanned"/>
    <n v="0"/>
    <s v="No"/>
    <s v="None"/>
    <s v="Tax|Fed"/>
  </r>
  <r>
    <s v="First Tech - Checking (5544)"/>
    <d v="2014-04-29T00:00:00"/>
    <n v="-211.72"/>
    <s v="X"/>
    <x v="252"/>
    <s v="@BAL:50666.27@;@CAT:@"/>
    <s v="Bills &amp; Utilities:Utilities"/>
    <m/>
    <m/>
    <m/>
    <x v="34"/>
    <x v="18"/>
    <x v="0"/>
    <m/>
    <x v="0"/>
    <m/>
    <s v="Apr"/>
    <n v="2014"/>
    <s v="Monthly"/>
    <n v="0"/>
    <s v="No"/>
    <s v="None"/>
    <s v="Bills &amp; Utilities|Utilities"/>
  </r>
  <r>
    <s v="Schwab - Checking (9784)"/>
    <d v="2014-04-29T00:00:00"/>
    <n v="-34.83"/>
    <s v="X"/>
    <x v="166"/>
    <s v="Cash for group meeting?"/>
    <s v="Food &amp; Dining:Restaurants"/>
    <m/>
    <s v="Split"/>
    <m/>
    <x v="15"/>
    <x v="15"/>
    <x v="0"/>
    <m/>
    <x v="0"/>
    <m/>
    <s v="Apr"/>
    <n v="2014"/>
    <s v="Monthly"/>
    <n v="0"/>
    <s v="No"/>
    <s v="None"/>
    <s v="Food &amp; Dining|Restaurants"/>
  </r>
  <r>
    <s v="Schwab - Checking (9784)"/>
    <d v="2014-04-29T00:00:00"/>
    <n v="-3"/>
    <s v="X"/>
    <x v="166"/>
    <m/>
    <s v="Bank Fees &amp; Charges:ATM Fee"/>
    <m/>
    <s v="Split"/>
    <m/>
    <x v="32"/>
    <x v="17"/>
    <x v="0"/>
    <m/>
    <x v="0"/>
    <m/>
    <s v="Apr"/>
    <n v="2014"/>
    <s v="Monthly"/>
    <n v="0"/>
    <s v="No"/>
    <s v="None"/>
    <s v="Bank Fees &amp; Charges|ATM Fee"/>
  </r>
  <r>
    <s v="Schwab - Checking (9784)"/>
    <d v="2014-04-29T00:00:00"/>
    <n v="-5.17"/>
    <s v="X"/>
    <x v="166"/>
    <s v="Limeaide, Spinach"/>
    <s v="Food &amp; Dining:Groceries"/>
    <m/>
    <s v="Split"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29T00:00:00"/>
    <n v="-8.65"/>
    <s v="X"/>
    <x v="386"/>
    <s v="#Group meeting Spring#"/>
    <s v="Work Expense:Reimbursable expense"/>
    <m/>
    <m/>
    <m/>
    <x v="19"/>
    <x v="21"/>
    <x v="0"/>
    <m/>
    <x v="20"/>
    <m/>
    <s v="Apr"/>
    <n v="2014"/>
    <s v="Irregular"/>
    <n v="0"/>
    <s v="No"/>
    <s v="None"/>
    <s v="Work Expense|Reimbursable expense"/>
  </r>
  <r>
    <s v="First Tech - Checking (5544)"/>
    <d v="2014-04-28T00:00:00"/>
    <n v="-100"/>
    <s v="X"/>
    <x v="387"/>
    <s v="ACH Debit--CHASE  - AUTOPAY"/>
    <s v="[Chase Freedom XX9381]"/>
    <m/>
    <m/>
    <m/>
    <x v="7"/>
    <x v="0"/>
    <x v="0"/>
    <m/>
    <x v="0"/>
    <m/>
    <s v="Apr"/>
    <n v="2014"/>
    <e v="#N/A"/>
    <e v="#N/A"/>
    <e v="#N/A"/>
    <e v="#N/A"/>
    <s v="[Chase Freedom XX9381]"/>
  </r>
  <r>
    <s v="First Tech - Checking (5544)"/>
    <d v="2014-04-28T00:00:00"/>
    <n v="-115"/>
    <s v="X"/>
    <x v="176"/>
    <s v="ACH Debit--THE CLEANING AUT  - ONLINE PMT"/>
    <s v="Home:Home Services"/>
    <m/>
    <m/>
    <m/>
    <x v="14"/>
    <x v="46"/>
    <x v="0"/>
    <m/>
    <x v="0"/>
    <m/>
    <s v="Apr"/>
    <n v="2014"/>
    <s v="Monthly"/>
    <n v="0"/>
    <s v="No"/>
    <s v="None"/>
    <s v="Home|Home Services"/>
  </r>
  <r>
    <s v="Chase Freedom XX9381"/>
    <d v="2014-04-28T00:00:00"/>
    <n v="100"/>
    <s v="X"/>
    <x v="6"/>
    <s v="@BAL:$100.00@@CAT:@"/>
    <s v="[First Tech - Checking (5544)]"/>
    <m/>
    <m/>
    <m/>
    <x v="21"/>
    <x v="0"/>
    <x v="0"/>
    <m/>
    <x v="0"/>
    <m/>
    <s v="Apr"/>
    <n v="2014"/>
    <s v="Account"/>
    <n v="0"/>
    <s v="No"/>
    <s v="None"/>
    <s v="[First Tech - Checking (5544)]"/>
  </r>
  <r>
    <s v="Chase Freedom XX9381"/>
    <d v="2014-04-28T00:00:00"/>
    <n v="-32.44"/>
    <s v="X"/>
    <x v="388"/>
    <m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28T00:00:00"/>
    <n v="-7.05"/>
    <s v="X"/>
    <x v="37"/>
    <s v="LR-44 Batteries"/>
    <s v="Kids:Toys"/>
    <m/>
    <m/>
    <m/>
    <x v="27"/>
    <x v="14"/>
    <x v="0"/>
    <m/>
    <x v="0"/>
    <m/>
    <s v="Apr"/>
    <n v="2014"/>
    <s v="Monthly"/>
    <n v="0"/>
    <s v="No"/>
    <s v="None"/>
    <s v="Kids|Toys"/>
  </r>
  <r>
    <s v="MasterCard (Capital One)"/>
    <d v="2014-04-27T00:00:00"/>
    <n v="-3"/>
    <s v="X"/>
    <x v="15"/>
    <s v="2011: DIAMOND PARKING WE09 EVERETT WA 98106 USA"/>
    <s v="Auto &amp; Transport:Parking"/>
    <m/>
    <m/>
    <m/>
    <x v="17"/>
    <x v="11"/>
    <x v="0"/>
    <m/>
    <x v="0"/>
    <m/>
    <s v="Apr"/>
    <n v="2014"/>
    <s v="Monthly"/>
    <n v="0"/>
    <s v="No"/>
    <s v="None"/>
    <s v="Auto &amp; Transport|Parking"/>
  </r>
  <r>
    <s v="MasterCard (Capital One)"/>
    <d v="2014-04-27T00:00:00"/>
    <n v="-19"/>
    <s v="X"/>
    <x v="389"/>
    <s v="Upgraded membership to get guest passes"/>
    <s v="Kids:Kids Activities"/>
    <m/>
    <m/>
    <m/>
    <x v="27"/>
    <x v="12"/>
    <x v="0"/>
    <m/>
    <x v="0"/>
    <m/>
    <s v="Apr"/>
    <n v="2014"/>
    <s v="Monthly"/>
    <n v="0"/>
    <s v="No"/>
    <s v="None"/>
    <s v="Kids|Kids Activities"/>
  </r>
  <r>
    <s v="American Express (Costco)"/>
    <d v="2014-04-26T00:00:00"/>
    <n v="0"/>
    <s v="X"/>
    <x v="0"/>
    <s v="@BAL:$0.00@"/>
    <s v="[American Express (Costco)]"/>
    <m/>
    <m/>
    <m/>
    <x v="20"/>
    <x v="0"/>
    <x v="0"/>
    <m/>
    <x v="0"/>
    <m/>
    <s v="Apr"/>
    <n v="2014"/>
    <s v="Account"/>
    <n v="0"/>
    <s v="No"/>
    <s v="None"/>
    <s v="[American Express (Costco)]"/>
  </r>
  <r>
    <s v="MasterCard (Capital One)"/>
    <d v="2014-04-26T00:00:00"/>
    <n v="-99.29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First Tech - Checking (5544)"/>
    <d v="2014-04-25T00:00:00"/>
    <n v="-90"/>
    <s v="X"/>
    <x v="390"/>
    <s v="Check--"/>
    <s v="Kids:Babysitter"/>
    <n v="2130"/>
    <m/>
    <m/>
    <x v="27"/>
    <x v="13"/>
    <x v="0"/>
    <m/>
    <x v="0"/>
    <m/>
    <s v="Apr"/>
    <n v="2014"/>
    <s v="Monthly"/>
    <n v="0"/>
    <s v="No"/>
    <s v="None"/>
    <s v="Kids|Babysitter"/>
  </r>
  <r>
    <s v="MasterCard (Capital One)"/>
    <d v="2014-04-25T00:00:00"/>
    <n v="-3.69"/>
    <s v="X"/>
    <x v="64"/>
    <s v="2011: SAFEWAY STORE 00018457 SEATTLE WA 98103 USA"/>
    <s v="Food &amp; Dining:Groceries"/>
    <m/>
    <m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25T00:00:00"/>
    <n v="-5.49"/>
    <s v="X"/>
    <x v="96"/>
    <s v="2011: WALGREENS #3515 SEATTLE WA 98103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Capital One - Long Term Emergency (1201)"/>
    <d v="2014-04-24T00:00:00"/>
    <n v="20.82"/>
    <s v="X"/>
    <x v="165"/>
    <m/>
    <s v="Interest Income"/>
    <m/>
    <m/>
    <m/>
    <x v="40"/>
    <x v="0"/>
    <x v="0"/>
    <m/>
    <x v="0"/>
    <m/>
    <s v="Apr"/>
    <n v="2014"/>
    <s v="Monthly"/>
    <n v="0"/>
    <s v="No"/>
    <s v="None"/>
    <s v="Interest Income"/>
  </r>
  <r>
    <s v="First Tech - Checking (5544)"/>
    <d v="2014-04-24T00:00:00"/>
    <n v="216.17"/>
    <s v="X"/>
    <x v="126"/>
    <s v="#SFOM Spring Sale#"/>
    <s v="Work Expense:Reimbursable expense"/>
    <m/>
    <m/>
    <m/>
    <x v="19"/>
    <x v="21"/>
    <x v="0"/>
    <m/>
    <x v="22"/>
    <m/>
    <s v="Apr"/>
    <n v="2014"/>
    <s v="Irregular"/>
    <n v="0"/>
    <s v="No"/>
    <s v="None"/>
    <s v="Work Expense|Reimbursable expense"/>
  </r>
  <r>
    <s v="Koolikai - Checking XX2129"/>
    <d v="2014-04-24T00:00:00"/>
    <n v="2195"/>
    <s v="X"/>
    <x v="391"/>
    <s v="Deposit--Shared Branch Mobile Deposit          First Tech FC CA"/>
    <s v="Business Income (Koolikai):Rent/9602"/>
    <m/>
    <m/>
    <n v="9602"/>
    <x v="37"/>
    <x v="25"/>
    <x v="0"/>
    <m/>
    <x v="0"/>
    <m/>
    <s v="Apr"/>
    <n v="2014"/>
    <s v="Monthly"/>
    <n v="0"/>
    <s v="No"/>
    <s v="None"/>
    <s v="Business Income (Koolikai)|Rent"/>
  </r>
  <r>
    <s v="Koolikai - Checking XX2129"/>
    <d v="2014-04-24T00:00:00"/>
    <n v="-146.69999999999999"/>
    <s v="X"/>
    <x v="11"/>
    <s v="@CAT:@"/>
    <s v="[Koolikai Credit Card]"/>
    <m/>
    <m/>
    <m/>
    <x v="9"/>
    <x v="0"/>
    <x v="0"/>
    <m/>
    <x v="0"/>
    <m/>
    <s v="Apr"/>
    <n v="2014"/>
    <s v="Account"/>
    <n v="0"/>
    <s v="No"/>
    <s v="None"/>
    <s v="[Koolikai Credit Card]"/>
  </r>
  <r>
    <s v="Koolikai Credit Card"/>
    <d v="2014-04-24T00:00:00"/>
    <n v="146.69999999999999"/>
    <s v="X"/>
    <x v="11"/>
    <m/>
    <s v="[Koolikai - Checking XX2129]"/>
    <m/>
    <m/>
    <m/>
    <x v="25"/>
    <x v="0"/>
    <x v="0"/>
    <m/>
    <x v="0"/>
    <m/>
    <s v="Apr"/>
    <n v="2014"/>
    <s v="Account"/>
    <n v="0"/>
    <s v="No"/>
    <s v="None"/>
    <s v="[Koolikai - Checking XX2129]"/>
  </r>
  <r>
    <s v="MasterCard (Capital One)"/>
    <d v="2014-04-24T00:00:00"/>
    <n v="-7.62"/>
    <s v="X"/>
    <x v="139"/>
    <s v="2011: SUBWAY 00249680 SEATTLE WA 98101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First Tech - Checking (5544)"/>
    <d v="2014-04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Apr"/>
    <n v="2014"/>
    <s v="Monthly"/>
    <n v="0"/>
    <s v="No"/>
    <s v="None"/>
    <s v="Auto &amp; Transport|Auto Lease Payment"/>
  </r>
  <r>
    <s v="First Tech - Checking (5544)"/>
    <d v="2014-04-23T00:00:00"/>
    <n v="-185.36"/>
    <s v="X"/>
    <x v="392"/>
    <s v="ACH Debit--AMEX EPayment AM - ACH PMT"/>
    <s v="[American Express (Costco)]"/>
    <m/>
    <m/>
    <m/>
    <x v="20"/>
    <x v="0"/>
    <x v="0"/>
    <m/>
    <x v="0"/>
    <m/>
    <s v="Apr"/>
    <n v="2014"/>
    <s v="Account"/>
    <n v="0"/>
    <s v="No"/>
    <s v="None"/>
    <s v="[American Express (Costco)]"/>
  </r>
  <r>
    <s v="MasterCard (Capital One)"/>
    <d v="2014-04-23T00:00:00"/>
    <n v="25"/>
    <s v="X"/>
    <x v="60"/>
    <s v="@CAT:@"/>
    <s v="Other Inc"/>
    <m/>
    <m/>
    <m/>
    <x v="29"/>
    <x v="0"/>
    <x v="0"/>
    <m/>
    <x v="0"/>
    <m/>
    <s v="Apr"/>
    <n v="2014"/>
    <s v="Monthly"/>
    <n v="0"/>
    <s v="No"/>
    <s v="None"/>
    <s v="Other Inc"/>
  </r>
  <r>
    <s v="American Express (Costco)"/>
    <d v="2014-04-22T00:00:00"/>
    <n v="185.36"/>
    <s v="X"/>
    <x v="393"/>
    <s v="@CAT:@"/>
    <s v="[First Tech - Checking (5544)]"/>
    <m/>
    <m/>
    <m/>
    <x v="21"/>
    <x v="0"/>
    <x v="0"/>
    <m/>
    <x v="0"/>
    <m/>
    <s v="Apr"/>
    <n v="2014"/>
    <s v="Account"/>
    <n v="0"/>
    <s v="No"/>
    <s v="None"/>
    <s v="[First Tech - Checking (5544)]"/>
  </r>
  <r>
    <s v="Chase Freedom XX9381"/>
    <d v="2014-04-22T00:00:00"/>
    <n v="-45.28"/>
    <s v="X"/>
    <x v="53"/>
    <m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22T00:00:00"/>
    <n v="-8.98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First Tech - Checking (5544)"/>
    <d v="2014-04-21T00:00:00"/>
    <n v="-1000"/>
    <s v="X"/>
    <x v="351"/>
    <m/>
    <s v="Business Expenses (Koolikai):Security Deposit"/>
    <n v="2128"/>
    <m/>
    <m/>
    <x v="36"/>
    <x v="59"/>
    <x v="0"/>
    <m/>
    <x v="0"/>
    <m/>
    <s v="Apr"/>
    <n v="2014"/>
    <s v="Irregular"/>
    <n v="0"/>
    <s v="No"/>
    <s v="None"/>
    <s v="Business Expenses (Koolikai)|Security Deposit"/>
  </r>
  <r>
    <s v="First Tech - Checking (5544)"/>
    <d v="2014-04-21T00:00:00"/>
    <n v="-2100"/>
    <s v="X"/>
    <x v="351"/>
    <m/>
    <s v="Business Expenses (Koolikai):Rent"/>
    <n v="2129"/>
    <m/>
    <m/>
    <x v="36"/>
    <x v="25"/>
    <x v="0"/>
    <m/>
    <x v="0"/>
    <m/>
    <s v="Apr"/>
    <n v="2014"/>
    <e v="#N/A"/>
    <e v="#N/A"/>
    <e v="#N/A"/>
    <e v="#N/A"/>
    <s v="Business Expenses (Koolikai)|Rent"/>
  </r>
  <r>
    <s v="Chase Freedom XX9381"/>
    <d v="2014-04-21T00:00:00"/>
    <n v="-48.21"/>
    <s v="X"/>
    <x v="309"/>
    <m/>
    <s v="Auto &amp; Transport:Gas &amp; Fuel"/>
    <m/>
    <m/>
    <m/>
    <x v="17"/>
    <x v="37"/>
    <x v="0"/>
    <m/>
    <x v="0"/>
    <m/>
    <s v="Apr"/>
    <n v="2014"/>
    <s v="Monthly"/>
    <n v="0"/>
    <s v="No"/>
    <s v="None"/>
    <s v="Auto &amp; Transport|Gas &amp; Fuel"/>
  </r>
  <r>
    <s v="MasterCard (Capital One)"/>
    <d v="2014-04-20T00:00:00"/>
    <n v="-2.99"/>
    <s v="X"/>
    <x v="57"/>
    <s v="2011: KEN'S MARKET #75-116 SEATTLE WA 98103 USA"/>
    <s v="Food &amp; Dining:Groceries"/>
    <m/>
    <m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20T00:00:00"/>
    <n v="-121.53"/>
    <s v="X"/>
    <x v="31"/>
    <s v="Battery for RAV"/>
    <s v="Auto &amp; Transport:Service &amp; Parts/From Receipt"/>
    <m/>
    <m/>
    <s v="From Receipt"/>
    <x v="17"/>
    <x v="64"/>
    <x v="0"/>
    <m/>
    <x v="0"/>
    <m/>
    <s v="Apr"/>
    <n v="2014"/>
    <s v="Unplanned"/>
    <n v="0"/>
    <s v="No"/>
    <s v="None"/>
    <s v="Auto &amp; Transport|Service &amp; Parts"/>
  </r>
  <r>
    <s v="First Tech - Checking (5544)"/>
    <d v="2014-04-19T00:00:00"/>
    <n v="145.35"/>
    <s v="X"/>
    <x v="126"/>
    <s v="Deposit--Shared Branch Mobile Deposit          First Tech FC CA"/>
    <s v="Kids:Clothing"/>
    <m/>
    <s v="Split"/>
    <m/>
    <x v="27"/>
    <x v="1"/>
    <x v="0"/>
    <m/>
    <x v="0"/>
    <m/>
    <s v="Apr"/>
    <n v="2014"/>
    <s v="Monthly"/>
    <n v="0"/>
    <s v="No"/>
    <s v="None"/>
    <s v="Kids|Clothing"/>
  </r>
  <r>
    <s v="First Tech - Checking (5544)"/>
    <d v="2014-04-19T00:00:00"/>
    <n v="145.35"/>
    <s v="X"/>
    <x v="126"/>
    <m/>
    <s v="Kids:Toys"/>
    <m/>
    <s v="Split"/>
    <m/>
    <x v="27"/>
    <x v="14"/>
    <x v="0"/>
    <m/>
    <x v="0"/>
    <m/>
    <s v="Apr"/>
    <n v="2014"/>
    <s v="Monthly"/>
    <n v="0"/>
    <s v="No"/>
    <s v="None"/>
    <s v="Kids|Toys"/>
  </r>
  <r>
    <s v="MasterCard (Capital One)"/>
    <d v="2014-04-19T00:00:00"/>
    <n v="-3.1"/>
    <s v="X"/>
    <x v="287"/>
    <s v="2011: SEATTLE 684-PARK SEATTLE WA 98104 USA"/>
    <s v="Auto &amp; Transport:Parking"/>
    <m/>
    <m/>
    <m/>
    <x v="17"/>
    <x v="11"/>
    <x v="0"/>
    <m/>
    <x v="0"/>
    <m/>
    <s v="Apr"/>
    <n v="2014"/>
    <s v="Monthly"/>
    <n v="0"/>
    <s v="No"/>
    <s v="None"/>
    <s v="Auto &amp; Transport|Parking"/>
  </r>
  <r>
    <s v="MasterCard (Capital One)"/>
    <d v="2014-04-19T00:00:00"/>
    <n v="-36"/>
    <s v="X"/>
    <x v="394"/>
    <s v="2011: BRIGHT HORIZONS 6176738000 MA 02472 USA"/>
    <s v="Kids:Daycare"/>
    <m/>
    <m/>
    <m/>
    <x v="27"/>
    <x v="35"/>
    <x v="0"/>
    <m/>
    <x v="0"/>
    <m/>
    <s v="Apr"/>
    <n v="2014"/>
    <s v="Monthly"/>
    <n v="0"/>
    <s v="No"/>
    <s v="None"/>
    <s v="Kids|Daycare"/>
  </r>
  <r>
    <s v="MasterCard (Capital One)"/>
    <d v="2014-04-19T00:00:00"/>
    <n v="-53"/>
    <s v="X"/>
    <x v="52"/>
    <s v="2011: BEEHIVE SALON SEATTLE WA 981036264 USA"/>
    <s v="Personal Care:Hair"/>
    <m/>
    <m/>
    <m/>
    <x v="31"/>
    <x v="16"/>
    <x v="0"/>
    <m/>
    <x v="0"/>
    <m/>
    <s v="Apr"/>
    <n v="2014"/>
    <s v="Monthly"/>
    <n v="0"/>
    <s v="No"/>
    <s v="None"/>
    <s v="Personal Care|Hair"/>
  </r>
  <r>
    <s v="MasterCard (Capital One)"/>
    <d v="2014-04-19T00:00:00"/>
    <n v="-2"/>
    <s v="X"/>
    <x v="2"/>
    <s v="Hot wheels"/>
    <s v="Kids:Toys/From Receipt"/>
    <m/>
    <s v="Split"/>
    <s v="From Receipt"/>
    <x v="27"/>
    <x v="14"/>
    <x v="0"/>
    <m/>
    <x v="0"/>
    <m/>
    <s v="Apr"/>
    <n v="2014"/>
    <s v="Monthly"/>
    <n v="0"/>
    <s v="No"/>
    <s v="None"/>
    <s v="Kids|Toys"/>
  </r>
  <r>
    <s v="MasterCard (Capital One)"/>
    <d v="2014-04-19T00:00:00"/>
    <n v="-113.57"/>
    <s v="X"/>
    <x v="2"/>
    <m/>
    <s v="Food &amp; Dining:Groceries/From Receipt"/>
    <m/>
    <s v="Split"/>
    <s v="From Receipt"/>
    <x v="15"/>
    <x v="3"/>
    <x v="0"/>
    <m/>
    <x v="0"/>
    <m/>
    <s v="Apr"/>
    <n v="2014"/>
    <s v="Monthly"/>
    <n v="0"/>
    <s v="No"/>
    <s v="None"/>
    <s v="Food &amp; Dining|Groceries"/>
  </r>
  <r>
    <s v="Schwab - Checking (9784)"/>
    <d v="2014-04-18T00:00:00"/>
    <n v="-3.34"/>
    <s v="X"/>
    <x v="1"/>
    <s v="Photos"/>
    <s v="Home:Furnishings/From Receipt"/>
    <m/>
    <m/>
    <s v="From Receipt"/>
    <x v="14"/>
    <x v="2"/>
    <x v="0"/>
    <m/>
    <x v="0"/>
    <m/>
    <s v="Apr"/>
    <n v="2014"/>
    <s v="Monthly"/>
    <n v="0"/>
    <s v="No"/>
    <s v="None"/>
    <s v="Home|Furnishings"/>
  </r>
  <r>
    <s v="MasterCard (Capital One)"/>
    <d v="2014-04-18T00:00:00"/>
    <n v="-3.82"/>
    <s v="X"/>
    <x v="134"/>
    <s v="Envelopes"/>
    <s v="Business Expenses (Koolikai):Office Expenses (Business)/From Receipt"/>
    <m/>
    <m/>
    <s v="From Receipt"/>
    <x v="36"/>
    <x v="42"/>
    <x v="0"/>
    <m/>
    <x v="0"/>
    <m/>
    <s v="Apr"/>
    <n v="2014"/>
    <s v="Monthly"/>
    <n v="0"/>
    <s v="No"/>
    <s v="None"/>
    <s v="Business Expenses (Koolikai)|Office Expenses (Business)"/>
  </r>
  <r>
    <s v="MasterCard (Capital One)"/>
    <d v="2014-04-18T00:00:00"/>
    <n v="-10.26"/>
    <s v="X"/>
    <x v="343"/>
    <s v="2011: HALES ALES LTD SEATTLE WA 981074538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18T00:00:00"/>
    <n v="-17.07"/>
    <s v="X"/>
    <x v="2"/>
    <s v="2011: FRED-MEYER #0608 SEATTLE WA 98107 USA"/>
    <s v="Food &amp; Dining:Groceries/From Receipt"/>
    <m/>
    <s v="Split"/>
    <s v="From Receipt"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18T00:00:00"/>
    <n v="-4.37"/>
    <s v="X"/>
    <x v="2"/>
    <m/>
    <s v="Home:Furnishings/From Receipt"/>
    <m/>
    <s v="Split"/>
    <s v="From Receipt"/>
    <x v="14"/>
    <x v="2"/>
    <x v="0"/>
    <m/>
    <x v="0"/>
    <m/>
    <s v="Apr"/>
    <n v="2014"/>
    <s v="Monthly"/>
    <n v="0"/>
    <s v="No"/>
    <s v="None"/>
    <s v="Home|Furnishings"/>
  </r>
  <r>
    <s v="MasterCard (Capital One)"/>
    <d v="2014-04-18T00:00:00"/>
    <n v="-208.8"/>
    <s v="X"/>
    <x v="395"/>
    <s v="2011: SCT BOX OFFICE 206-4430807 WA 981094555 USA"/>
    <s v="Kids:Kids Activities"/>
    <m/>
    <m/>
    <m/>
    <x v="27"/>
    <x v="12"/>
    <x v="0"/>
    <m/>
    <x v="0"/>
    <m/>
    <s v="Apr"/>
    <n v="2014"/>
    <s v="Monthly"/>
    <n v="0"/>
    <s v="No"/>
    <s v="None"/>
    <s v="Kids|Kids Activities"/>
  </r>
  <r>
    <s v="MasterCard (Capital One)"/>
    <d v="2014-04-17T00:00:00"/>
    <n v="-13.42"/>
    <s v="X"/>
    <x v="15"/>
    <s v="2011: DIAMOND PARKING A096 SEATTLE WA 98101 USA"/>
    <s v="Auto &amp; Transport:Parking"/>
    <m/>
    <m/>
    <m/>
    <x v="17"/>
    <x v="11"/>
    <x v="0"/>
    <m/>
    <x v="0"/>
    <m/>
    <s v="Apr"/>
    <n v="2014"/>
    <s v="Monthly"/>
    <n v="0"/>
    <s v="No"/>
    <s v="None"/>
    <s v="Auto &amp; Transport|Parking"/>
  </r>
  <r>
    <s v="MasterCard (Capital One)"/>
    <d v="2014-04-17T00:00:00"/>
    <n v="-344"/>
    <s v="X"/>
    <x v="396"/>
    <s v="Season tickets"/>
    <s v="Entertainment"/>
    <m/>
    <m/>
    <m/>
    <x v="30"/>
    <x v="0"/>
    <x v="0"/>
    <m/>
    <x v="0"/>
    <m/>
    <s v="Apr"/>
    <n v="2014"/>
    <s v="Monthly"/>
    <n v="0"/>
    <s v="No"/>
    <s v="None"/>
    <s v="Entertainment"/>
  </r>
  <r>
    <s v="MasterCard (Capital One)"/>
    <d v="2014-04-15T00:00:00"/>
    <n v="-47.67"/>
    <s v="X"/>
    <x v="397"/>
    <s v="2011: ESI PHARM COLUMBUS 08002822881 OH 43228 USA"/>
    <s v="Health &amp; Fitness:Pharmacy"/>
    <m/>
    <m/>
    <m/>
    <x v="18"/>
    <x v="38"/>
    <x v="0"/>
    <m/>
    <x v="0"/>
    <m/>
    <s v="Apr"/>
    <n v="2014"/>
    <s v="Irregular"/>
    <n v="0"/>
    <s v="No"/>
    <s v="None"/>
    <s v="Health &amp; Fitness|Pharmacy"/>
  </r>
  <r>
    <s v="MasterCard (Capital One)"/>
    <d v="2014-04-15T00:00:00"/>
    <n v="-65"/>
    <s v="X"/>
    <x v="266"/>
    <s v="2011: BEACHCOMBER KIDS CUT SEATTLE WA 981030000 USA"/>
    <s v="Personal Care:Hair"/>
    <m/>
    <m/>
    <m/>
    <x v="31"/>
    <x v="16"/>
    <x v="0"/>
    <m/>
    <x v="0"/>
    <m/>
    <s v="Apr"/>
    <n v="2014"/>
    <s v="Monthly"/>
    <n v="0"/>
    <s v="No"/>
    <s v="None"/>
    <s v="Personal Care|Hair"/>
  </r>
  <r>
    <s v="First Tech - Checking (5544)"/>
    <d v="2014-04-14T00:00:00"/>
    <n v="3165.19"/>
    <s v="X"/>
    <x v="47"/>
    <s v="ACH Deposit--MICROSOFT  - EDIPAYMENT"/>
    <s v="Net Salary"/>
    <m/>
    <m/>
    <m/>
    <x v="35"/>
    <x v="0"/>
    <x v="0"/>
    <m/>
    <x v="0"/>
    <m/>
    <s v="Apr"/>
    <n v="2014"/>
    <s v="Monthly"/>
    <n v="0"/>
    <s v="No"/>
    <s v="None"/>
    <s v="Net Salary"/>
  </r>
  <r>
    <s v="First Tech - Checking (5544)"/>
    <d v="2014-04-14T00:00:00"/>
    <n v="-111.93"/>
    <s v="X"/>
    <x v="45"/>
    <s v="ACH Debit--PUGET SOUND ENER DIRECT DEBITING - PSE BILL  26250337"/>
    <s v="Bills &amp; Utilities:Utilities"/>
    <m/>
    <m/>
    <m/>
    <x v="34"/>
    <x v="18"/>
    <x v="0"/>
    <m/>
    <x v="0"/>
    <m/>
    <s v="Apr"/>
    <n v="2014"/>
    <s v="Monthly"/>
    <n v="0"/>
    <s v="No"/>
    <s v="None"/>
    <s v="Bills &amp; Utilities|Utilities"/>
  </r>
  <r>
    <s v="Chase Freedom XX9381"/>
    <d v="2014-04-14T00:00:00"/>
    <n v="-64.180000000000007"/>
    <s v="X"/>
    <x v="398"/>
    <m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14T00:00:00"/>
    <n v="-4.93"/>
    <s v="X"/>
    <x v="177"/>
    <s v="2011: FRESH TABLE CAFE MET SEATTLE WA 98101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Chase Freedom XX9381"/>
    <d v="2014-04-13T00:00:00"/>
    <n v="-12.84"/>
    <s v="X"/>
    <x v="170"/>
    <m/>
    <s v="Food &amp; Dining:Restaurants/From Receipt"/>
    <m/>
    <m/>
    <s v="From Receipt"/>
    <x v="15"/>
    <x v="15"/>
    <x v="0"/>
    <m/>
    <x v="0"/>
    <m/>
    <s v="Apr"/>
    <n v="2014"/>
    <s v="Monthly"/>
    <n v="0"/>
    <s v="No"/>
    <s v="None"/>
    <s v="Food &amp; Dining|Restaurants"/>
  </r>
  <r>
    <s v="Koolikai Credit Card"/>
    <d v="2014-04-13T00:00:00"/>
    <n v="-146.69999999999999"/>
    <s v="X"/>
    <x v="55"/>
    <m/>
    <s v="Business Expenses (Koolikai):Cell Phone"/>
    <m/>
    <m/>
    <m/>
    <x v="36"/>
    <x v="22"/>
    <x v="0"/>
    <m/>
    <x v="0"/>
    <m/>
    <s v="Apr"/>
    <n v="2014"/>
    <s v="Monthly"/>
    <n v="0"/>
    <s v="No"/>
    <s v="None"/>
    <s v="Business Expenses (Koolikai)|Cell Phone"/>
  </r>
  <r>
    <s v="MasterCard (Capital One)"/>
    <d v="2014-04-13T00:00:00"/>
    <n v="-5.98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13T00:00:00"/>
    <n v="-15"/>
    <s v="X"/>
    <x v="399"/>
    <s v="Seattle Center bouncy house exhibition"/>
    <s v="Kids:Kids Activities"/>
    <m/>
    <m/>
    <m/>
    <x v="27"/>
    <x v="12"/>
    <x v="0"/>
    <m/>
    <x v="0"/>
    <m/>
    <s v="Apr"/>
    <n v="2014"/>
    <s v="Monthly"/>
    <n v="0"/>
    <s v="No"/>
    <s v="None"/>
    <s v="Kids|Kids Activities"/>
  </r>
  <r>
    <s v="MasterCard (Capital One)"/>
    <d v="2014-04-13T00:00:00"/>
    <n v="-128.63999999999999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11T00:00:00"/>
    <n v="-2.89"/>
    <s v="X"/>
    <x v="64"/>
    <s v="2011: SAFEWAY STORE00014779 SEATTLE WA 98121 USA"/>
    <s v="Food &amp; Dining:Groceries"/>
    <m/>
    <m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10T00:00:00"/>
    <n v="-3.5"/>
    <s v="X"/>
    <x v="57"/>
    <s v="2011: KEN'S MARKET #75-116 SEATTLE WA 98103 USA"/>
    <s v="Food &amp; Dining:Groceries"/>
    <m/>
    <m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10T00:00:00"/>
    <n v="-8.3800000000000008"/>
    <s v="X"/>
    <x v="57"/>
    <s v="2011: KEN'S MARKET #75-116 SEATTLE WA 98103 USA"/>
    <s v="Food &amp; Dining:Groceries"/>
    <m/>
    <m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10T00:00:00"/>
    <n v="-11.95"/>
    <s v="X"/>
    <x v="94"/>
    <s v="2011: VESTA *T-MOBILE 888-278-3397 OR 97223 USA"/>
    <s v="Bills &amp; Utilities:Mobile Phone"/>
    <m/>
    <m/>
    <m/>
    <x v="34"/>
    <x v="24"/>
    <x v="0"/>
    <m/>
    <x v="0"/>
    <m/>
    <s v="Apr"/>
    <n v="2014"/>
    <s v="Hidden"/>
    <n v="0"/>
    <s v="No"/>
    <s v="None"/>
    <s v="Bills &amp; Utilities|Mobile Phone"/>
  </r>
  <r>
    <s v="First Tech - Checking (5544)"/>
    <d v="2014-04-09T00:00:00"/>
    <n v="-10"/>
    <s v="X"/>
    <x v="126"/>
    <s v="Check--"/>
    <s v="Kids:Clothing"/>
    <n v="2125"/>
    <m/>
    <m/>
    <x v="27"/>
    <x v="1"/>
    <x v="0"/>
    <m/>
    <x v="0"/>
    <m/>
    <s v="Apr"/>
    <n v="2014"/>
    <s v="Monthly"/>
    <n v="0"/>
    <s v="No"/>
    <s v="None"/>
    <s v="Kids|Clothing"/>
  </r>
  <r>
    <s v="First Tech - Checking (5544)"/>
    <d v="2014-04-09T00:00:00"/>
    <n v="-10.5"/>
    <s v="X"/>
    <x v="126"/>
    <s v="Check--"/>
    <s v="Kids:Toys"/>
    <n v="2126"/>
    <m/>
    <m/>
    <x v="27"/>
    <x v="14"/>
    <x v="0"/>
    <m/>
    <x v="0"/>
    <m/>
    <s v="Apr"/>
    <n v="2014"/>
    <s v="Monthly"/>
    <n v="0"/>
    <s v="No"/>
    <s v="None"/>
    <s v="Kids|Toys"/>
  </r>
  <r>
    <s v="First Tech - Checking (5544)"/>
    <d v="2014-04-09T00:00:00"/>
    <n v="-91"/>
    <s v="X"/>
    <x v="126"/>
    <m/>
    <s v="Kids:Toys"/>
    <n v="2299"/>
    <s v="Split"/>
    <m/>
    <x v="27"/>
    <x v="14"/>
    <x v="0"/>
    <m/>
    <x v="0"/>
    <m/>
    <s v="Apr"/>
    <n v="2014"/>
    <s v="Monthly"/>
    <n v="0"/>
    <s v="No"/>
    <s v="None"/>
    <s v="Kids|Toys"/>
  </r>
  <r>
    <s v="First Tech - Checking (5544)"/>
    <d v="2014-04-09T00:00:00"/>
    <n v="-91"/>
    <s v="X"/>
    <x v="126"/>
    <m/>
    <s v="Food &amp; Dining:Groceries"/>
    <n v="2299"/>
    <s v="Split"/>
    <m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09T00:00:00"/>
    <n v="-36"/>
    <s v="X"/>
    <x v="394"/>
    <s v="2011: BRIGHT HORIZONS 6176738000 MA 02472 USA"/>
    <s v="Kids:Daycare"/>
    <m/>
    <m/>
    <m/>
    <x v="27"/>
    <x v="35"/>
    <x v="0"/>
    <m/>
    <x v="0"/>
    <m/>
    <s v="Apr"/>
    <n v="2014"/>
    <s v="Monthly"/>
    <n v="0"/>
    <s v="No"/>
    <s v="None"/>
    <s v="Kids|Daycare"/>
  </r>
  <r>
    <s v="First Tech - Checking (5544)"/>
    <d v="2014-04-08T00:00:00"/>
    <n v="-352.62"/>
    <s v="X"/>
    <x v="21"/>
    <s v="ACH Debit--TARGET CARD SRVC 001 - AUTO PYMT"/>
    <s v="[Target Red Card]"/>
    <m/>
    <m/>
    <m/>
    <x v="12"/>
    <x v="0"/>
    <x v="0"/>
    <m/>
    <x v="0"/>
    <m/>
    <s v="Apr"/>
    <n v="2014"/>
    <s v="Account"/>
    <n v="0"/>
    <s v="No"/>
    <s v="None"/>
    <s v="[Target Red Card]"/>
  </r>
  <r>
    <s v="MasterCard (Capital One)"/>
    <d v="2014-04-08T00:00:00"/>
    <n v="25"/>
    <s v="X"/>
    <x v="60"/>
    <s v="@CAT:@"/>
    <s v="Other Inc"/>
    <m/>
    <m/>
    <m/>
    <x v="29"/>
    <x v="0"/>
    <x v="0"/>
    <m/>
    <x v="0"/>
    <m/>
    <s v="Apr"/>
    <n v="2014"/>
    <s v="Monthly"/>
    <n v="0"/>
    <s v="No"/>
    <s v="None"/>
    <s v="Other Inc"/>
  </r>
  <r>
    <s v="MasterCard (Capital One)"/>
    <d v="2014-04-08T00:00:00"/>
    <n v="-23.26"/>
    <s v="X"/>
    <x v="2"/>
    <s v="Josh Shoes"/>
    <s v="Kids:Clothing/From Receipt"/>
    <m/>
    <m/>
    <s v="From Receipt"/>
    <x v="27"/>
    <x v="1"/>
    <x v="0"/>
    <m/>
    <x v="0"/>
    <m/>
    <s v="Apr"/>
    <n v="2014"/>
    <s v="Monthly"/>
    <n v="0"/>
    <s v="No"/>
    <s v="None"/>
    <s v="Kids|Clothing"/>
  </r>
  <r>
    <s v="MasterCard (Capital One)"/>
    <d v="2014-04-08T00:00:00"/>
    <n v="-13.11"/>
    <s v="X"/>
    <x v="2"/>
    <s v="2011: FRED-MEYER #0122 SEATTLE WA 98117 USA"/>
    <s v="Gifts/From Receipt"/>
    <m/>
    <s v="Split"/>
    <s v="From Receipt"/>
    <x v="28"/>
    <x v="0"/>
    <x v="0"/>
    <m/>
    <x v="0"/>
    <m/>
    <s v="Apr"/>
    <n v="2014"/>
    <s v="Monthly"/>
    <n v="0"/>
    <s v="No"/>
    <s v="None"/>
    <s v="Gifts"/>
  </r>
  <r>
    <s v="MasterCard (Capital One)"/>
    <d v="2014-04-08T00:00:00"/>
    <n v="-13.87"/>
    <s v="X"/>
    <x v="2"/>
    <m/>
    <s v="Food &amp; Dining:Groceries/From Receipt"/>
    <m/>
    <s v="Split"/>
    <s v="From Receipt"/>
    <x v="15"/>
    <x v="3"/>
    <x v="0"/>
    <m/>
    <x v="0"/>
    <m/>
    <s v="Apr"/>
    <n v="2014"/>
    <s v="Monthly"/>
    <n v="0"/>
    <s v="No"/>
    <s v="None"/>
    <s v="Food &amp; Dining|Groceries"/>
  </r>
  <r>
    <s v="First Tech - Checking (5544)"/>
    <d v="2014-04-07T00:00:00"/>
    <n v="-3748.69"/>
    <s v="X"/>
    <x v="69"/>
    <s v="ACH Debit--WF HOME MTG ACH - AUTO PAY"/>
    <s v="Home:Mortgage"/>
    <m/>
    <m/>
    <m/>
    <x v="14"/>
    <x v="27"/>
    <x v="0"/>
    <m/>
    <x v="0"/>
    <m/>
    <s v="Apr"/>
    <n v="2014"/>
    <s v="Monthly"/>
    <n v="0"/>
    <s v="No"/>
    <s v="None"/>
    <s v="Home|Mortgage"/>
  </r>
  <r>
    <s v="Chase Freedom XX9381"/>
    <d v="2014-04-07T00:00:00"/>
    <n v="-75.56"/>
    <s v="X"/>
    <x v="352"/>
    <m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07T00:00:00"/>
    <n v="-13.42"/>
    <s v="X"/>
    <x v="15"/>
    <s v="2011: DIAMOND PARKING A096 SEATTLE WA 98101 USA"/>
    <s v="Auto &amp; Transport:Parking"/>
    <m/>
    <m/>
    <m/>
    <x v="17"/>
    <x v="11"/>
    <x v="0"/>
    <m/>
    <x v="0"/>
    <m/>
    <s v="Apr"/>
    <n v="2014"/>
    <s v="Monthly"/>
    <n v="0"/>
    <s v="No"/>
    <s v="None"/>
    <s v="Auto &amp; Transport|Parking"/>
  </r>
  <r>
    <s v="MasterCard (Capital One)"/>
    <d v="2014-04-07T00:00:00"/>
    <n v="-73.8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06T00:00:00"/>
    <n v="-18.989999999999998"/>
    <s v="X"/>
    <x v="37"/>
    <s v="Blue tooth receiver"/>
    <s v="Shopping:Electronics &amp; Software"/>
    <m/>
    <m/>
    <m/>
    <x v="13"/>
    <x v="20"/>
    <x v="0"/>
    <m/>
    <x v="0"/>
    <m/>
    <s v="Apr"/>
    <n v="2014"/>
    <s v="Annual"/>
    <n v="0"/>
    <s v="No"/>
    <s v="None"/>
    <s v="Shopping|Electronics &amp; Software"/>
  </r>
  <r>
    <s v="MasterCard (Capital One)"/>
    <d v="2014-04-06T00:00:00"/>
    <n v="-54.95"/>
    <s v="X"/>
    <x v="400"/>
    <s v="2011: TWX*TIME MAGAZINE 800-843-TIME NY 10019 USA"/>
    <s v="Subscriptions &amp; Dues/Tax Related"/>
    <m/>
    <m/>
    <s v="Tax Related"/>
    <x v="33"/>
    <x v="0"/>
    <x v="0"/>
    <m/>
    <x v="0"/>
    <m/>
    <s v="Apr"/>
    <n v="2014"/>
    <s v="Annual"/>
    <n v="0"/>
    <s v="No"/>
    <s v="None"/>
    <s v="Subscriptions &amp; Dues"/>
  </r>
  <r>
    <s v="Target Red Card"/>
    <d v="2014-04-06T00:00:00"/>
    <n v="352.62"/>
    <s v="X"/>
    <x v="142"/>
    <m/>
    <s v="[First Tech - Checking (5544)]"/>
    <m/>
    <m/>
    <m/>
    <x v="21"/>
    <x v="0"/>
    <x v="0"/>
    <m/>
    <x v="0"/>
    <m/>
    <s v="Apr"/>
    <n v="2014"/>
    <s v="Account"/>
    <n v="0"/>
    <s v="No"/>
    <s v="None"/>
    <s v="[First Tech - Checking (5544)]"/>
  </r>
  <r>
    <s v="MasterCard (Capital One)"/>
    <d v="2014-04-05T00:00:00"/>
    <n v="-21.35"/>
    <s v="X"/>
    <x v="180"/>
    <s v="2011: JERSEY'S GREAT FOOD AN SHORELINE WA 98133 USA"/>
    <s v="Food &amp; Dining:Restaurants/From Receipt"/>
    <m/>
    <m/>
    <s v="From Receipt"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05T00:00:00"/>
    <n v="-63.18"/>
    <s v="X"/>
    <x v="401"/>
    <s v="Programming for replacement key fob"/>
    <s v="Auto &amp; Transport:Service &amp; Parts"/>
    <m/>
    <m/>
    <m/>
    <x v="17"/>
    <x v="64"/>
    <x v="0"/>
    <m/>
    <x v="0"/>
    <m/>
    <s v="Apr"/>
    <n v="2014"/>
    <s v="Unplanned"/>
    <n v="0"/>
    <s v="No"/>
    <s v="None"/>
    <s v="Auto &amp; Transport|Service &amp; Parts"/>
  </r>
  <r>
    <s v="MasterCard (Capital One)"/>
    <d v="2014-04-05T00:00:00"/>
    <n v="-167.44"/>
    <s v="X"/>
    <x v="401"/>
    <s v="Replacement key fob"/>
    <s v="Auto &amp; Transport:Service &amp; Parts"/>
    <m/>
    <m/>
    <m/>
    <x v="17"/>
    <x v="64"/>
    <x v="0"/>
    <m/>
    <x v="0"/>
    <m/>
    <s v="Apr"/>
    <n v="2014"/>
    <s v="Unplanned"/>
    <n v="0"/>
    <s v="No"/>
    <s v="None"/>
    <s v="Auto &amp; Transport|Service &amp; Parts"/>
  </r>
  <r>
    <s v="Koolikai - Checking XX2129"/>
    <d v="2014-04-04T00:00:00"/>
    <n v="2295"/>
    <s v="X"/>
    <x v="144"/>
    <s v="Deposit--Shared Branch Mobile Deposit          First Tech FC CA"/>
    <s v="Business Income (Koolikai):Rent"/>
    <m/>
    <s v="Split"/>
    <m/>
    <x v="37"/>
    <x v="25"/>
    <x v="0"/>
    <m/>
    <x v="0"/>
    <m/>
    <s v="Apr"/>
    <n v="2014"/>
    <s v="Monthly"/>
    <n v="0"/>
    <s v="No"/>
    <s v="None"/>
    <s v="Business Income (Koolikai)|Rent"/>
  </r>
  <r>
    <s v="Koolikai - Checking XX2129"/>
    <d v="2014-04-04T00:00:00"/>
    <n v="100"/>
    <s v="X"/>
    <x v="144"/>
    <m/>
    <s v="Business Expenses (Koolikai):Utilities (Business)"/>
    <m/>
    <s v="Split"/>
    <m/>
    <x v="36"/>
    <x v="63"/>
    <x v="0"/>
    <m/>
    <x v="0"/>
    <m/>
    <s v="Apr"/>
    <n v="2014"/>
    <s v="Monthly"/>
    <n v="0"/>
    <s v="No"/>
    <s v="None"/>
    <s v="Business Expenses (Koolikai)|Utilities (Business)"/>
  </r>
  <r>
    <s v="MasterCard (Capital One)"/>
    <d v="2014-04-04T00:00:00"/>
    <n v="-4.92"/>
    <s v="X"/>
    <x v="402"/>
    <s v="2011: FRESH TABLE-MET PARK SEATTLE WA 98101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04T00:00:00"/>
    <n v="-8.1999999999999993"/>
    <s v="X"/>
    <x v="402"/>
    <s v="2011: FRESH TABLE-MET PARK SEATTLE WA 98101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04T00:00:00"/>
    <n v="-12"/>
    <s v="X"/>
    <x v="403"/>
    <s v="School Pictures"/>
    <s v="Home:Furnishings"/>
    <m/>
    <m/>
    <m/>
    <x v="14"/>
    <x v="2"/>
    <x v="0"/>
    <m/>
    <x v="0"/>
    <m/>
    <s v="Apr"/>
    <n v="2014"/>
    <s v="Monthly"/>
    <n v="0"/>
    <s v="No"/>
    <s v="None"/>
    <s v="Home|Furnishings"/>
  </r>
  <r>
    <s v="MasterCard (Capital One)"/>
    <d v="2014-04-04T00:00:00"/>
    <n v="-12"/>
    <s v="X"/>
    <x v="403"/>
    <s v="School Pictures"/>
    <s v="Home:Furnishings"/>
    <m/>
    <m/>
    <m/>
    <x v="14"/>
    <x v="2"/>
    <x v="0"/>
    <m/>
    <x v="0"/>
    <m/>
    <s v="Apr"/>
    <n v="2014"/>
    <s v="Monthly"/>
    <n v="0"/>
    <s v="No"/>
    <s v="None"/>
    <s v="Home|Furnishings"/>
  </r>
  <r>
    <s v="MasterCard (Capital One)"/>
    <d v="2014-04-04T00:00:00"/>
    <n v="-13.43"/>
    <s v="X"/>
    <x v="15"/>
    <s v="2011: DIAMOND PARKING A176 SEATTLE WA 98121 USA"/>
    <s v="Auto &amp; Transport:Parking"/>
    <m/>
    <m/>
    <m/>
    <x v="17"/>
    <x v="11"/>
    <x v="0"/>
    <m/>
    <x v="0"/>
    <m/>
    <s v="Apr"/>
    <n v="2014"/>
    <s v="Monthly"/>
    <n v="0"/>
    <s v="No"/>
    <s v="None"/>
    <s v="Auto &amp; Transport|Parking"/>
  </r>
  <r>
    <s v="MasterCard (Capital One)"/>
    <d v="2014-04-04T00:00:00"/>
    <n v="-25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04T00:00:00"/>
    <n v="-27.38"/>
    <s v="X"/>
    <x v="404"/>
    <s v="Office for Frank"/>
    <s v="Gifts"/>
    <m/>
    <m/>
    <m/>
    <x v="28"/>
    <x v="0"/>
    <x v="0"/>
    <m/>
    <x v="0"/>
    <m/>
    <s v="Apr"/>
    <n v="2014"/>
    <s v="Monthly"/>
    <n v="0"/>
    <s v="No"/>
    <s v="None"/>
    <s v="Gifts"/>
  </r>
  <r>
    <s v="MasterCard (Capital One)"/>
    <d v="2014-04-04T00:00:00"/>
    <n v="-27.95"/>
    <s v="X"/>
    <x v="403"/>
    <s v="School Pictures"/>
    <s v="Home:Furnishings"/>
    <m/>
    <m/>
    <m/>
    <x v="14"/>
    <x v="2"/>
    <x v="0"/>
    <m/>
    <x v="0"/>
    <m/>
    <s v="Apr"/>
    <n v="2014"/>
    <s v="Monthly"/>
    <n v="0"/>
    <s v="No"/>
    <s v="None"/>
    <s v="Home|Furnishings"/>
  </r>
  <r>
    <s v="MasterCard (Capital One)"/>
    <d v="2014-04-04T00:00:00"/>
    <n v="-34.86"/>
    <s v="X"/>
    <x v="405"/>
    <s v="#SFOM Spring Sale# Signs for SFOM @BAL:2759.01@"/>
    <s v="Work Expense:Reimbursable expense"/>
    <m/>
    <m/>
    <m/>
    <x v="19"/>
    <x v="21"/>
    <x v="0"/>
    <m/>
    <x v="22"/>
    <m/>
    <s v="Apr"/>
    <n v="2014"/>
    <s v="Irregular"/>
    <n v="0"/>
    <s v="No"/>
    <s v="None"/>
    <s v="Work Expense|Reimbursable expense"/>
  </r>
  <r>
    <s v="First Tech - Checking (5544)"/>
    <d v="2014-04-03T00:00:00"/>
    <n v="-115"/>
    <s v="X"/>
    <x v="176"/>
    <s v="ACH Debit--THE CLEANING AUT  - ONLINE PMT"/>
    <s v="Home:Home Services"/>
    <m/>
    <m/>
    <m/>
    <x v="14"/>
    <x v="46"/>
    <x v="0"/>
    <m/>
    <x v="0"/>
    <m/>
    <s v="Apr"/>
    <n v="2014"/>
    <s v="Monthly"/>
    <n v="0"/>
    <s v="No"/>
    <s v="None"/>
    <s v="Home|Home Services"/>
  </r>
  <r>
    <s v="First Tech - Checking (5544)"/>
    <d v="2014-04-03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Apr"/>
    <n v="2014"/>
    <s v="Monthly"/>
    <n v="0"/>
    <s v="No"/>
    <s v="None"/>
    <s v="Kids|American Funds 529A"/>
  </r>
  <r>
    <s v="Schwab - Checking (9784)"/>
    <d v="2014-04-03T00:00:00"/>
    <n v="-34.770000000000003"/>
    <s v="X"/>
    <x v="1"/>
    <m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Schwab - Checking (9784)"/>
    <d v="2014-04-03T00:00:00"/>
    <n v="-181.31"/>
    <s v="X"/>
    <x v="1"/>
    <s v="#SFOM Spring Sale# SFOM Sale"/>
    <s v="Work Expense:Reimbursable expense"/>
    <m/>
    <m/>
    <m/>
    <x v="19"/>
    <x v="21"/>
    <x v="0"/>
    <m/>
    <x v="22"/>
    <m/>
    <s v="Apr"/>
    <n v="2014"/>
    <s v="Irregular"/>
    <n v="0"/>
    <s v="No"/>
    <s v="None"/>
    <s v="Work Expense|Reimbursable expense"/>
  </r>
  <r>
    <s v="MasterCard (Capital One)"/>
    <d v="2014-04-03T00:00:00"/>
    <n v="-3.25"/>
    <s v="X"/>
    <x v="406"/>
    <s v="2011: CAFE 86 11171386 REDMOND WA 98052 USA"/>
    <s v="Food &amp; Dining:Restaurants"/>
    <m/>
    <m/>
    <m/>
    <x v="15"/>
    <x v="15"/>
    <x v="0"/>
    <m/>
    <x v="0"/>
    <m/>
    <s v="Apr"/>
    <n v="2014"/>
    <s v="Monthly"/>
    <n v="0"/>
    <s v="No"/>
    <s v="None"/>
    <s v="Food &amp; Dining|Restaurants"/>
  </r>
  <r>
    <s v="MasterCard (Capital One)"/>
    <d v="2014-04-03T00:00:00"/>
    <n v="-10"/>
    <s v="X"/>
    <x v="96"/>
    <s v="2011: WALGREENS #3515 SEATTLE WA 98103 USA"/>
    <s v="Health &amp; Fitness:Pharmacy/From Receipt"/>
    <m/>
    <m/>
    <s v="From Receipt"/>
    <x v="18"/>
    <x v="38"/>
    <x v="0"/>
    <m/>
    <x v="0"/>
    <m/>
    <s v="Apr"/>
    <n v="2014"/>
    <s v="Irregular"/>
    <n v="0"/>
    <s v="No"/>
    <s v="None"/>
    <s v="Health &amp; Fitness|Pharmacy"/>
  </r>
  <r>
    <s v="MasterCard (Capital One)"/>
    <d v="2014-04-03T00:00:00"/>
    <n v="-10.95"/>
    <s v="X"/>
    <x v="2"/>
    <s v="2011: FRED-MEYER #0122 SEATTLE WA 98117 USA"/>
    <s v="Food &amp; Dining:Groceries/From Receipt"/>
    <m/>
    <m/>
    <s v="From Receipt"/>
    <x v="15"/>
    <x v="3"/>
    <x v="0"/>
    <m/>
    <x v="0"/>
    <m/>
    <s v="Apr"/>
    <n v="2014"/>
    <s v="Monthly"/>
    <n v="0"/>
    <s v="No"/>
    <s v="None"/>
    <s v="Food &amp; Dining|Groceries"/>
  </r>
  <r>
    <s v="MasterCard (Capital One)"/>
    <d v="2014-04-03T00:00:00"/>
    <n v="-100"/>
    <s v="X"/>
    <x v="299"/>
    <s v="2011: CAFE 86 11171386 REDMOND WA 98052 USA"/>
    <s v="Food &amp; Dining:Restaurants/From Receipt"/>
    <m/>
    <m/>
    <s v="From Receipt"/>
    <x v="15"/>
    <x v="15"/>
    <x v="0"/>
    <m/>
    <x v="0"/>
    <m/>
    <s v="Apr"/>
    <n v="2014"/>
    <s v="Monthly"/>
    <n v="0"/>
    <s v="No"/>
    <s v="None"/>
    <s v="Food &amp; Dining|Restaurants"/>
  </r>
  <r>
    <s v="First Tech - Checking (5544)"/>
    <d v="2014-04-02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Apr"/>
    <n v="2014"/>
    <s v="Monthly"/>
    <n v="0"/>
    <s v="No"/>
    <s v="None"/>
    <s v="Business Expenses (Koolikai)|Mortgage (Business)"/>
  </r>
  <r>
    <s v="First Tech - Checking (5544)"/>
    <d v="2014-04-02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Apr"/>
    <n v="2014"/>
    <s v="Monthly"/>
    <n v="0"/>
    <s v="No"/>
    <s v="None"/>
    <s v="Business Expenses (Koolikai)|Mortgage (Business)"/>
  </r>
  <r>
    <s v="First Tech - Checking (5544)"/>
    <d v="2014-04-02T00:00:00"/>
    <n v="-6892.04"/>
    <s v="X"/>
    <x v="85"/>
    <s v="@CAT:@"/>
    <s v="[MasterCard (Capital One)]"/>
    <m/>
    <m/>
    <m/>
    <x v="38"/>
    <x v="0"/>
    <x v="0"/>
    <m/>
    <x v="0"/>
    <m/>
    <s v="Apr"/>
    <n v="2014"/>
    <s v="Account"/>
    <n v="0"/>
    <s v="No"/>
    <s v="None"/>
    <s v="[MasterCard (Capital One)]"/>
  </r>
  <r>
    <s v="MasterCard (Capital One)"/>
    <d v="2014-04-02T00:00:00"/>
    <n v="6892.04"/>
    <s v="X"/>
    <x v="85"/>
    <s v="@CAT:@"/>
    <s v="[First Tech - Checking (5544)]"/>
    <m/>
    <m/>
    <m/>
    <x v="21"/>
    <x v="0"/>
    <x v="0"/>
    <m/>
    <x v="0"/>
    <m/>
    <s v="Apr"/>
    <n v="2014"/>
    <s v="Account"/>
    <n v="0"/>
    <s v="No"/>
    <s v="None"/>
    <s v="[First Tech - Checking (5544)]"/>
  </r>
  <r>
    <s v="MasterCard (Capital One)"/>
    <d v="2014-04-02T00:00:00"/>
    <n v="-22.03"/>
    <s v="X"/>
    <x v="88"/>
    <s v="2011: COMCAST CABLE COMM 800-COMCAST WA 98103 USA"/>
    <s v="Bills &amp; Utilities:Television"/>
    <m/>
    <s v="Split"/>
    <m/>
    <x v="34"/>
    <x v="32"/>
    <x v="0"/>
    <m/>
    <x v="0"/>
    <m/>
    <s v="Apr"/>
    <n v="2014"/>
    <s v="Monthly"/>
    <n v="0"/>
    <s v="No"/>
    <s v="None"/>
    <s v="Bills &amp; Utilities|Television"/>
  </r>
  <r>
    <s v="MasterCard (Capital One)"/>
    <d v="2014-04-02T00:00:00"/>
    <n v="-64.08"/>
    <s v="X"/>
    <x v="88"/>
    <m/>
    <s v="Business Expenses (Koolikai):Internet"/>
    <m/>
    <s v="Split"/>
    <m/>
    <x v="36"/>
    <x v="33"/>
    <x v="0"/>
    <m/>
    <x v="0"/>
    <m/>
    <s v="Apr"/>
    <n v="2014"/>
    <s v="Monthly"/>
    <n v="0"/>
    <s v="No"/>
    <s v="None"/>
    <s v="Business Expenses (Koolikai)|Internet"/>
  </r>
  <r>
    <s v="MasterCard (Capital One)"/>
    <d v="2014-04-02T00:00:00"/>
    <n v="-44.05"/>
    <s v="X"/>
    <x v="88"/>
    <m/>
    <s v="Bills &amp; Utilities:Home Phone"/>
    <m/>
    <s v="Split"/>
    <m/>
    <x v="34"/>
    <x v="34"/>
    <x v="0"/>
    <m/>
    <x v="0"/>
    <m/>
    <s v="Apr"/>
    <n v="2014"/>
    <s v="Monthly"/>
    <n v="0"/>
    <s v="No"/>
    <s v="None"/>
    <s v="Bills &amp; Utilities|Home Phone"/>
  </r>
  <r>
    <s v="First Tech - Checking (5544)"/>
    <d v="2014-04-01T00:00:00"/>
    <n v="46.58"/>
    <s v="X"/>
    <x v="407"/>
    <s v="ACH Deposit--PREMERA FUNDING  - CYC-CLAIMS"/>
    <s v="[Premera Health Care Payment]"/>
    <m/>
    <m/>
    <m/>
    <x v="42"/>
    <x v="0"/>
    <x v="0"/>
    <m/>
    <x v="0"/>
    <m/>
    <s v="Apr"/>
    <n v="2014"/>
    <s v="Account"/>
    <n v="0"/>
    <s v="No"/>
    <s v="None"/>
    <s v="[Premera Health Care Payment]"/>
  </r>
  <r>
    <s v="First Tech - Checking (5544)"/>
    <d v="2014-04-01T00:00:00"/>
    <n v="-1976"/>
    <s v="X"/>
    <x v="90"/>
    <s v="ACH Debit--PHINNEY RIDGE LU 504759859 - CONTRIBUTN"/>
    <s v="Kids:Daycare"/>
    <m/>
    <m/>
    <m/>
    <x v="27"/>
    <x v="35"/>
    <x v="0"/>
    <m/>
    <x v="0"/>
    <m/>
    <s v="Apr"/>
    <n v="2014"/>
    <s v="Monthly"/>
    <n v="0"/>
    <s v="No"/>
    <s v="None"/>
    <s v="Kids|Daycare"/>
  </r>
  <r>
    <s v="Koolikai - Checking XX2129"/>
    <d v="2014-04-01T00:00:00"/>
    <n v="2195"/>
    <s v="X"/>
    <x v="391"/>
    <m/>
    <s v="Business Income (Koolikai):Rent/9602"/>
    <m/>
    <m/>
    <n v="9602"/>
    <x v="37"/>
    <x v="25"/>
    <x v="0"/>
    <m/>
    <x v="0"/>
    <m/>
    <s v="Apr"/>
    <n v="2014"/>
    <s v="Monthly"/>
    <n v="0"/>
    <s v="No"/>
    <s v="None"/>
    <s v="Business Income (Koolikai)|Rent"/>
  </r>
  <r>
    <s v="MasterCard (Capital One)"/>
    <d v="2014-04-01T00:00:00"/>
    <n v="-18.66"/>
    <s v="X"/>
    <x v="408"/>
    <s v="2011: SCHOLASTIC BOOK FAIRS LAKE MARY FL 32746 USA"/>
    <s v="Shopping:Books"/>
    <m/>
    <m/>
    <m/>
    <x v="13"/>
    <x v="51"/>
    <x v="0"/>
    <m/>
    <x v="0"/>
    <m/>
    <s v="Apr"/>
    <n v="2014"/>
    <s v="Unplanned"/>
    <n v="0"/>
    <s v="No"/>
    <s v="None"/>
    <s v="Shopping|Books"/>
  </r>
  <r>
    <s v="Premera Health Care Payment"/>
    <d v="2014-04-01T00:00:00"/>
    <n v="-46.58"/>
    <m/>
    <x v="407"/>
    <s v="ACH Deposit--PREMERA FUNDING  - CYC-CLAIMS"/>
    <s v="[First Tech - Checking (5544)]"/>
    <m/>
    <m/>
    <m/>
    <x v="21"/>
    <x v="0"/>
    <x v="0"/>
    <m/>
    <x v="0"/>
    <m/>
    <s v="Apr"/>
    <n v="2014"/>
    <s v="Account"/>
    <n v="0"/>
    <s v="No"/>
    <s v="None"/>
    <s v="[First Tech - Checking (5544)]"/>
  </r>
  <r>
    <s v="Capital One - Investment (6759)"/>
    <d v="2014-03-31T00:00:00"/>
    <n v="20"/>
    <s v="X"/>
    <x v="100"/>
    <s v="@CAT:@"/>
    <s v="Interest Income"/>
    <s v="INT"/>
    <m/>
    <m/>
    <x v="40"/>
    <x v="0"/>
    <x v="0"/>
    <m/>
    <x v="0"/>
    <m/>
    <s v="Mar"/>
    <n v="2014"/>
    <s v="Monthly"/>
    <n v="0"/>
    <s v="No"/>
    <s v="None"/>
    <s v="Interest Income"/>
  </r>
  <r>
    <s v="Capital One - Long Term Emergency (1201)"/>
    <d v="2014-03-31T00:00:00"/>
    <n v="50.2"/>
    <s v="X"/>
    <x v="100"/>
    <s v="@CAT:@"/>
    <s v="Interest Income"/>
    <s v="INT"/>
    <m/>
    <m/>
    <x v="40"/>
    <x v="0"/>
    <x v="0"/>
    <m/>
    <x v="0"/>
    <m/>
    <s v="Mar"/>
    <n v="2014"/>
    <s v="Monthly"/>
    <n v="0"/>
    <s v="No"/>
    <s v="None"/>
    <s v="Interest Income"/>
  </r>
  <r>
    <s v="Capital One - Secondary Savings (3126)"/>
    <d v="2014-03-31T00:00:00"/>
    <n v="0.02"/>
    <s v="X"/>
    <x v="100"/>
    <s v="@CAT:@"/>
    <s v="Interest Income"/>
    <s v="INT"/>
    <m/>
    <m/>
    <x v="40"/>
    <x v="0"/>
    <x v="0"/>
    <m/>
    <x v="0"/>
    <m/>
    <s v="Mar"/>
    <n v="2014"/>
    <s v="Monthly"/>
    <n v="0"/>
    <s v="No"/>
    <s v="None"/>
    <s v="Interest Income"/>
  </r>
  <r>
    <s v="Capital One - Vacation (4959)"/>
    <d v="2014-03-31T00:00:00"/>
    <n v="2.13"/>
    <s v="X"/>
    <x v="100"/>
    <s v="@CAT:@"/>
    <s v="Interest Income"/>
    <s v="INT"/>
    <m/>
    <m/>
    <x v="40"/>
    <x v="0"/>
    <x v="0"/>
    <m/>
    <x v="0"/>
    <m/>
    <s v="Mar"/>
    <n v="2014"/>
    <s v="Monthly"/>
    <n v="0"/>
    <s v="No"/>
    <s v="None"/>
    <s v="Interest Income"/>
  </r>
  <r>
    <s v="First Tech - Short Term Emergency (5400)"/>
    <d v="2014-03-31T00:00:00"/>
    <n v="0.01"/>
    <s v="X"/>
    <x v="93"/>
    <s v="@CAT:@"/>
    <s v="Interest Income"/>
    <m/>
    <m/>
    <m/>
    <x v="40"/>
    <x v="0"/>
    <x v="0"/>
    <m/>
    <x v="0"/>
    <m/>
    <s v="Mar"/>
    <n v="2014"/>
    <s v="Monthly"/>
    <n v="0"/>
    <s v="No"/>
    <s v="None"/>
    <s v="Interest Income"/>
  </r>
  <r>
    <s v="Koolikai - Sec Dep XX1200"/>
    <d v="2014-03-31T00:00:00"/>
    <n v="0.19"/>
    <s v="X"/>
    <x v="93"/>
    <s v="@CAT:@"/>
    <s v="Interest Income"/>
    <m/>
    <m/>
    <m/>
    <x v="40"/>
    <x v="0"/>
    <x v="0"/>
    <m/>
    <x v="0"/>
    <m/>
    <s v="Mar"/>
    <n v="2014"/>
    <s v="Monthly"/>
    <n v="0"/>
    <s v="No"/>
    <s v="None"/>
    <s v="Interest Income"/>
  </r>
  <r>
    <s v="Schwab - Checking (9784)"/>
    <d v="2014-03-31T00:00:00"/>
    <n v="0.13"/>
    <s v="X"/>
    <x v="102"/>
    <m/>
    <s v="Interest Income"/>
    <m/>
    <m/>
    <m/>
    <x v="40"/>
    <x v="0"/>
    <x v="0"/>
    <m/>
    <x v="0"/>
    <m/>
    <s v="Mar"/>
    <n v="2014"/>
    <s v="Monthly"/>
    <n v="0"/>
    <s v="No"/>
    <s v="None"/>
    <s v="Interest Income"/>
  </r>
  <r>
    <s v="Schwab - Checking (9784)"/>
    <d v="2014-03-31T00:00:00"/>
    <n v="2"/>
    <s v="X"/>
    <x v="103"/>
    <s v="@CAT:@@BAL:$1489.95@"/>
    <s v="Bank Fees &amp; Charges:ATM Fee"/>
    <m/>
    <m/>
    <m/>
    <x v="32"/>
    <x v="17"/>
    <x v="0"/>
    <m/>
    <x v="0"/>
    <m/>
    <s v="Mar"/>
    <n v="2014"/>
    <s v="Monthly"/>
    <n v="0"/>
    <s v="No"/>
    <s v="None"/>
    <s v="Bank Fees &amp; Charges|ATM Fee"/>
  </r>
  <r>
    <s v="First Tech - Checking (5544)"/>
    <d v="2014-03-30T00:00:00"/>
    <n v="3165.2"/>
    <s v="X"/>
    <x v="47"/>
    <s v="ACH Deposit--MICROSOFT  - EDIPAYMENT"/>
    <s v="Net Salary"/>
    <m/>
    <m/>
    <m/>
    <x v="35"/>
    <x v="0"/>
    <x v="0"/>
    <m/>
    <x v="0"/>
    <m/>
    <s v="Mar"/>
    <n v="2014"/>
    <s v="Monthly"/>
    <n v="0"/>
    <s v="No"/>
    <s v="None"/>
    <s v="Net Salary"/>
  </r>
  <r>
    <s v="First Tech - Checking (5544)"/>
    <d v="2014-03-30T00:00:00"/>
    <n v="6195.6"/>
    <s v="X"/>
    <x v="109"/>
    <s v="ACH Deposit--Cancer Research  - Payroll"/>
    <s v="Net Salary"/>
    <m/>
    <m/>
    <m/>
    <x v="35"/>
    <x v="0"/>
    <x v="0"/>
    <m/>
    <x v="0"/>
    <m/>
    <s v="Mar"/>
    <n v="2014"/>
    <s v="Monthly"/>
    <n v="0"/>
    <s v="No"/>
    <s v="None"/>
    <s v="Net Salary"/>
  </r>
  <r>
    <s v="MasterCard (Capital One)"/>
    <d v="2014-03-30T00:00:00"/>
    <n v="-34"/>
    <s v="X"/>
    <x v="97"/>
    <s v="2011: RUDYS BARBER SHOP - PH SEATTLE WA 98103 USA"/>
    <s v="Personal Care:Hair"/>
    <m/>
    <m/>
    <m/>
    <x v="31"/>
    <x v="16"/>
    <x v="0"/>
    <m/>
    <x v="0"/>
    <m/>
    <s v="Mar"/>
    <n v="2014"/>
    <s v="Monthly"/>
    <n v="0"/>
    <s v="No"/>
    <s v="None"/>
    <s v="Personal Care|Hair"/>
  </r>
  <r>
    <s v="MasterCard (Capital One)"/>
    <d v="2014-03-29T00:00:00"/>
    <n v="-54.5"/>
    <s v="X"/>
    <x v="366"/>
    <s v="#Moran State Park#"/>
    <s v="Vacation:Lodging"/>
    <m/>
    <m/>
    <m/>
    <x v="23"/>
    <x v="9"/>
    <x v="0"/>
    <m/>
    <x v="23"/>
    <m/>
    <s v="Mar"/>
    <n v="2014"/>
    <s v="Irregular"/>
    <n v="0"/>
    <s v="No"/>
    <s v="None"/>
    <s v="Vacation|Lodging"/>
  </r>
  <r>
    <s v="MasterCard (Capital One)"/>
    <d v="2014-03-29T00:00:00"/>
    <n v="-63.93"/>
    <s v="X"/>
    <x v="409"/>
    <s v="2011: HECHO SEATTLE WA 98103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29T00:00:00"/>
    <n v="-19.260000000000002"/>
    <s v="X"/>
    <x v="2"/>
    <s v="2011: FRED-MEYER #0122 SEATTLE WA 98117 USA"/>
    <s v="Gifts/From Receipt"/>
    <m/>
    <s v="Split"/>
    <s v="From Receipt"/>
    <x v="28"/>
    <x v="0"/>
    <x v="0"/>
    <m/>
    <x v="0"/>
    <m/>
    <s v="Mar"/>
    <n v="2014"/>
    <s v="Monthly"/>
    <n v="0"/>
    <s v="No"/>
    <s v="None"/>
    <s v="Gifts"/>
  </r>
  <r>
    <s v="MasterCard (Capital One)"/>
    <d v="2014-03-29T00:00:00"/>
    <n v="-104.07"/>
    <s v="X"/>
    <x v="2"/>
    <m/>
    <s v="Food &amp; Dining:Groceries/From Receipt"/>
    <m/>
    <s v="Split"/>
    <s v="From Receipt"/>
    <x v="15"/>
    <x v="3"/>
    <x v="0"/>
    <m/>
    <x v="0"/>
    <m/>
    <s v="Mar"/>
    <n v="2014"/>
    <s v="Monthly"/>
    <n v="0"/>
    <s v="No"/>
    <s v="None"/>
    <s v="Food &amp; Dining|Groceries"/>
  </r>
  <r>
    <s v="First Tech - Checking (5544)"/>
    <d v="2014-03-28T00:00:00"/>
    <n v="-60"/>
    <s v="X"/>
    <x v="390"/>
    <s v="Check--"/>
    <s v="Kids:Babysitter"/>
    <n v="2298"/>
    <m/>
    <m/>
    <x v="27"/>
    <x v="13"/>
    <x v="0"/>
    <m/>
    <x v="0"/>
    <m/>
    <s v="Mar"/>
    <n v="2014"/>
    <s v="Monthly"/>
    <n v="0"/>
    <s v="No"/>
    <s v="None"/>
    <s v="Kids|Babysitter"/>
  </r>
  <r>
    <s v="MasterCard (Capital One)"/>
    <d v="2014-03-28T00:00:00"/>
    <n v="-13.43"/>
    <s v="X"/>
    <x v="15"/>
    <s v="2011: DIAMOND PARKING A176 SEATTLE WA 98121 USA"/>
    <s v="Auto &amp; Transport:Parking"/>
    <m/>
    <m/>
    <m/>
    <x v="17"/>
    <x v="11"/>
    <x v="0"/>
    <m/>
    <x v="0"/>
    <m/>
    <s v="Mar"/>
    <n v="2014"/>
    <s v="Monthly"/>
    <n v="0"/>
    <s v="No"/>
    <s v="None"/>
    <s v="Auto &amp; Transport|Parking"/>
  </r>
  <r>
    <s v="MasterCard (Capital One)"/>
    <d v="2014-03-27T00:00:00"/>
    <n v="-4"/>
    <s v="X"/>
    <x v="410"/>
    <s v="2011: PREMIER PARKING MARION NASHVILLE TN 372093602 USA"/>
    <s v="Auto &amp; Transport:Parking/From Receipt"/>
    <m/>
    <m/>
    <s v="From Receipt"/>
    <x v="17"/>
    <x v="11"/>
    <x v="0"/>
    <m/>
    <x v="0"/>
    <m/>
    <s v="Mar"/>
    <n v="2014"/>
    <s v="Monthly"/>
    <n v="0"/>
    <s v="No"/>
    <s v="None"/>
    <s v="Auto &amp; Transport|Parking"/>
  </r>
  <r>
    <s v="MasterCard (Capital One)"/>
    <d v="2014-03-27T00:00:00"/>
    <n v="-50"/>
    <s v="X"/>
    <x v="104"/>
    <s v="2011: GOOD2GO REPLENISHMENT 08669368246 WA 98105 USA"/>
    <s v="Auto &amp; Transport:Tolls"/>
    <m/>
    <m/>
    <m/>
    <x v="17"/>
    <x v="40"/>
    <x v="0"/>
    <m/>
    <x v="0"/>
    <m/>
    <s v="Mar"/>
    <n v="2014"/>
    <s v="Irregular"/>
    <n v="0"/>
    <s v="No"/>
    <s v="None"/>
    <s v="Auto &amp; Transport|Tolls"/>
  </r>
  <r>
    <s v="MasterCard (Capital One)"/>
    <d v="2014-03-26T00:00:00"/>
    <n v="-163.13"/>
    <s v="X"/>
    <x v="397"/>
    <s v="2011: ESI PHARM COLUMBUS 08002822881 OH 43228 USA"/>
    <s v="Health &amp; Fitness:Pharmacy"/>
    <m/>
    <m/>
    <m/>
    <x v="18"/>
    <x v="38"/>
    <x v="0"/>
    <m/>
    <x v="0"/>
    <m/>
    <s v="Mar"/>
    <n v="2014"/>
    <s v="Irregular"/>
    <n v="0"/>
    <s v="No"/>
    <s v="None"/>
    <s v="Health &amp; Fitness|Pharmacy"/>
  </r>
  <r>
    <s v="MasterCard (Capital One)"/>
    <d v="2014-03-26T00:00:00"/>
    <n v="-3.5"/>
    <s v="X"/>
    <x v="287"/>
    <s v="2011: SEATTLE 684-PARK SEATTLE WA 98104 USA"/>
    <s v="Auto &amp; Transport:Parking"/>
    <m/>
    <m/>
    <m/>
    <x v="17"/>
    <x v="11"/>
    <x v="0"/>
    <m/>
    <x v="0"/>
    <m/>
    <s v="Mar"/>
    <n v="2014"/>
    <s v="Monthly"/>
    <n v="0"/>
    <s v="No"/>
    <s v="None"/>
    <s v="Auto &amp; Transport|Parking"/>
  </r>
  <r>
    <s v="MasterCard (Capital One)"/>
    <d v="2014-03-25T00:00:00"/>
    <n v="-10.029999999999999"/>
    <s v="X"/>
    <x v="411"/>
    <s v="2011: TACO DEL MAR GREENWOOD SEATTLE WA 98103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First Tech - Checking (5544)"/>
    <d v="2014-03-24T00:00:00"/>
    <n v="-7.65"/>
    <s v="X"/>
    <x v="412"/>
    <s v="ACH Debit--DISCOVER DC PYMNTS DCIDPIINT - E-PAYMENT"/>
    <s v="[Discover Card]"/>
    <m/>
    <m/>
    <m/>
    <x v="24"/>
    <x v="0"/>
    <x v="0"/>
    <m/>
    <x v="0"/>
    <m/>
    <s v="Mar"/>
    <n v="2014"/>
    <s v="Account"/>
    <n v="0"/>
    <s v="No"/>
    <s v="None"/>
    <s v="[Discover Card]"/>
  </r>
  <r>
    <s v="First Tech - Checking (5544)"/>
    <d v="2014-03-24T00:00:00"/>
    <n v="-40"/>
    <s v="X"/>
    <x v="368"/>
    <s v="ACH Debit--EDWARD JONES  - INVESTMENT"/>
    <s v="Financial:Financial Advisor"/>
    <m/>
    <m/>
    <m/>
    <x v="50"/>
    <x v="65"/>
    <x v="0"/>
    <m/>
    <x v="0"/>
    <m/>
    <s v="Mar"/>
    <n v="2014"/>
    <s v="Irregular"/>
    <n v="0"/>
    <s v="No"/>
    <s v="None"/>
    <s v="Financial|Financial Advisor"/>
  </r>
  <r>
    <s v="Koolikai - Checking XX2129"/>
    <d v="2014-03-24T00:00:00"/>
    <n v="-321.12"/>
    <s v="X"/>
    <x v="11"/>
    <s v="ACH Debit--CHASE  - AUTOPAYBUS"/>
    <s v="[Koolikai Credit Card]"/>
    <m/>
    <m/>
    <m/>
    <x v="9"/>
    <x v="0"/>
    <x v="0"/>
    <m/>
    <x v="0"/>
    <m/>
    <s v="Mar"/>
    <n v="2014"/>
    <s v="Account"/>
    <n v="0"/>
    <s v="No"/>
    <s v="None"/>
    <s v="[Koolikai Credit Card]"/>
  </r>
  <r>
    <s v="Koolikai Credit Card"/>
    <d v="2014-03-24T00:00:00"/>
    <n v="321.12"/>
    <s v="X"/>
    <x v="11"/>
    <s v="ACH Debit--CHASE  - AUTOPAYBUS"/>
    <s v="[Koolikai - Checking XX2129]"/>
    <m/>
    <m/>
    <m/>
    <x v="25"/>
    <x v="0"/>
    <x v="0"/>
    <m/>
    <x v="0"/>
    <m/>
    <s v="Mar"/>
    <n v="2014"/>
    <s v="Account"/>
    <n v="0"/>
    <s v="No"/>
    <s v="None"/>
    <s v="[Koolikai - Checking XX2129]"/>
  </r>
  <r>
    <s v="MasterCard (Capital One)"/>
    <d v="2014-03-24T00:00:00"/>
    <n v="-116.5"/>
    <s v="X"/>
    <x v="413"/>
    <s v="#Stay Fit# Beat the Blerch Run"/>
    <s v="Health &amp; Fitness:Sports"/>
    <m/>
    <m/>
    <m/>
    <x v="18"/>
    <x v="23"/>
    <x v="0"/>
    <m/>
    <x v="5"/>
    <m/>
    <s v="Mar"/>
    <n v="2014"/>
    <s v="Irregular"/>
    <n v="0"/>
    <s v="No"/>
    <s v="None"/>
    <s v="Health &amp; Fitness|Sports"/>
  </r>
  <r>
    <s v="Discover Card"/>
    <d v="2014-03-23T00:00:00"/>
    <n v="7.65"/>
    <s v="X"/>
    <x v="414"/>
    <m/>
    <s v="[First Tech - Checking (5544)]"/>
    <m/>
    <m/>
    <m/>
    <x v="21"/>
    <x v="0"/>
    <x v="0"/>
    <m/>
    <x v="0"/>
    <m/>
    <s v="Mar"/>
    <n v="2014"/>
    <s v="Account"/>
    <n v="0"/>
    <s v="No"/>
    <s v="None"/>
    <s v="[First Tech - Checking (5544)]"/>
  </r>
  <r>
    <s v="MasterCard (Capital One)"/>
    <d v="2014-03-23T00:00:00"/>
    <n v="25"/>
    <s v="X"/>
    <x v="60"/>
    <s v="Cash back credit entered manually"/>
    <s v="Other Inc"/>
    <m/>
    <m/>
    <m/>
    <x v="29"/>
    <x v="0"/>
    <x v="0"/>
    <m/>
    <x v="0"/>
    <m/>
    <s v="Mar"/>
    <n v="2014"/>
    <s v="Monthly"/>
    <n v="0"/>
    <s v="No"/>
    <s v="None"/>
    <s v="Other Inc"/>
  </r>
  <r>
    <s v="MasterCard (Capital One)"/>
    <d v="2014-03-23T00:00:00"/>
    <n v="-11.45"/>
    <s v="X"/>
    <x v="209"/>
    <m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22T00:00:00"/>
    <n v="-3.14"/>
    <s v="X"/>
    <x v="287"/>
    <s v="2011: SEATTLE 684-PARK SEATTLE WA 98104 USA"/>
    <s v="Auto &amp; Transport:Parking"/>
    <m/>
    <m/>
    <m/>
    <x v="17"/>
    <x v="11"/>
    <x v="0"/>
    <m/>
    <x v="0"/>
    <m/>
    <s v="Mar"/>
    <n v="2014"/>
    <s v="Monthly"/>
    <n v="0"/>
    <s v="No"/>
    <s v="None"/>
    <s v="Auto &amp; Transport|Parking"/>
  </r>
  <r>
    <s v="MasterCard (Capital One)"/>
    <d v="2014-03-22T00:00:00"/>
    <n v="-60.35"/>
    <s v="X"/>
    <x v="415"/>
    <m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22T00:00:00"/>
    <n v="-79.819999999999993"/>
    <s v="X"/>
    <x v="2"/>
    <m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First Tech - Checking (5544)"/>
    <d v="2014-03-21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Mar"/>
    <n v="2014"/>
    <s v="Monthly"/>
    <n v="0"/>
    <s v="No"/>
    <s v="None"/>
    <s v="Auto &amp; Transport|Auto Lease Payment"/>
  </r>
  <r>
    <s v="MasterCard (Capital One)"/>
    <d v="2014-03-21T00:00:00"/>
    <n v="-455"/>
    <s v="X"/>
    <x v="136"/>
    <s v="2011: SEATTLE GYMNASTIC COLU 02067087497 WA 98118 USA"/>
    <s v="Kids:Kids Activities"/>
    <m/>
    <m/>
    <m/>
    <x v="27"/>
    <x v="12"/>
    <x v="0"/>
    <m/>
    <x v="0"/>
    <m/>
    <s v="Mar"/>
    <n v="2014"/>
    <s v="Monthly"/>
    <n v="0"/>
    <s v="No"/>
    <s v="None"/>
    <s v="Kids|Kids Activities"/>
  </r>
  <r>
    <s v="MasterCard (Capital One)"/>
    <d v="2014-03-21T00:00:00"/>
    <n v="-16.41"/>
    <s v="X"/>
    <x v="2"/>
    <m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21T00:00:00"/>
    <n v="-72.28"/>
    <s v="X"/>
    <x v="376"/>
    <m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20T00:00:00"/>
    <n v="-12.71"/>
    <s v="X"/>
    <x v="2"/>
    <s v="2011: FRED-MEYER #0122 SEATTLE WA 98117 USA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20T00:00:00"/>
    <n v="-10.93"/>
    <s v="X"/>
    <x v="96"/>
    <s v="2011: WALGREENS #3515 SEATTLE WA 98103 USA"/>
    <s v="Business Expenses (Koolikai):Supplies (Business)/From Receipt"/>
    <m/>
    <s v="Split"/>
    <s v="From Receipt"/>
    <x v="36"/>
    <x v="66"/>
    <x v="0"/>
    <m/>
    <x v="0"/>
    <m/>
    <s v="Mar"/>
    <n v="2014"/>
    <s v="Irregular"/>
    <n v="0"/>
    <s v="No"/>
    <s v="None"/>
    <s v="Business Expenses (Koolikai)|Supplies (Business)"/>
  </r>
  <r>
    <s v="MasterCard (Capital One)"/>
    <d v="2014-03-20T00:00:00"/>
    <n v="-10"/>
    <s v="X"/>
    <x v="96"/>
    <m/>
    <s v="Health &amp; Fitness:Pharmacy/From Receipt"/>
    <m/>
    <s v="Split"/>
    <s v="From Receipt"/>
    <x v="18"/>
    <x v="38"/>
    <x v="0"/>
    <m/>
    <x v="0"/>
    <m/>
    <s v="Mar"/>
    <n v="2014"/>
    <s v="Irregular"/>
    <n v="0"/>
    <s v="No"/>
    <s v="None"/>
    <s v="Health &amp; Fitness|Pharmacy"/>
  </r>
  <r>
    <s v="First Tech - Checking (5544)"/>
    <d v="2014-03-19T00:00:00"/>
    <n v="0"/>
    <s v="X"/>
    <x v="0"/>
    <s v="@CAT:@"/>
    <s v="[First Tech - Checking (5544)]"/>
    <m/>
    <m/>
    <m/>
    <x v="21"/>
    <x v="0"/>
    <x v="0"/>
    <m/>
    <x v="0"/>
    <m/>
    <s v="Mar"/>
    <n v="2014"/>
    <s v="Account"/>
    <n v="0"/>
    <s v="No"/>
    <s v="None"/>
    <s v="[First Tech - Checking (5544)]"/>
  </r>
  <r>
    <s v="MasterCard (Capital One)"/>
    <d v="2014-03-19T00:00:00"/>
    <n v="-18.96"/>
    <s v="X"/>
    <x v="2"/>
    <s v="2011: FRED-MEYER #0122 SEATTLE WA 98117 USA"/>
    <s v="Business Expenses (Koolikai):Supplies (Business)/From Receipt"/>
    <m/>
    <s v="Split"/>
    <s v="From Receipt"/>
    <x v="36"/>
    <x v="66"/>
    <x v="0"/>
    <m/>
    <x v="0"/>
    <m/>
    <s v="Mar"/>
    <n v="2014"/>
    <s v="Irregular"/>
    <n v="0"/>
    <s v="No"/>
    <s v="None"/>
    <s v="Business Expenses (Koolikai)|Supplies (Business)"/>
  </r>
  <r>
    <s v="MasterCard (Capital One)"/>
    <d v="2014-03-19T00:00:00"/>
    <n v="-48.16"/>
    <s v="X"/>
    <x v="2"/>
    <m/>
    <s v="Food &amp; Dining:Groceries/From Receipt"/>
    <m/>
    <s v="Split"/>
    <s v="From Receipt"/>
    <x v="15"/>
    <x v="3"/>
    <x v="0"/>
    <m/>
    <x v="0"/>
    <m/>
    <s v="Mar"/>
    <n v="2014"/>
    <s v="Monthly"/>
    <n v="0"/>
    <s v="No"/>
    <s v="None"/>
    <s v="Food &amp; Dining|Groceries"/>
  </r>
  <r>
    <s v="First Tech - Checking (5544)"/>
    <d v="2014-03-18T00:00:00"/>
    <n v="-177.29"/>
    <s v="X"/>
    <x v="125"/>
    <s v="ACH Debit--CITY OF SEATTLE  - 1 - SCL De"/>
    <s v="Bills &amp; Utilities:Utilities"/>
    <m/>
    <m/>
    <m/>
    <x v="34"/>
    <x v="18"/>
    <x v="0"/>
    <m/>
    <x v="0"/>
    <m/>
    <s v="Mar"/>
    <n v="2014"/>
    <s v="Monthly"/>
    <n v="0"/>
    <s v="No"/>
    <s v="None"/>
    <s v="Bills &amp; Utilities|Utilities"/>
  </r>
  <r>
    <s v="First Tech - Checking (5544)"/>
    <d v="2014-03-17T00:00:00"/>
    <n v="-115"/>
    <s v="X"/>
    <x v="176"/>
    <s v="ACH Debit--THE CLEANING AUT  - ONLINE PMT"/>
    <s v="Home:Home Services"/>
    <m/>
    <m/>
    <m/>
    <x v="14"/>
    <x v="46"/>
    <x v="0"/>
    <m/>
    <x v="0"/>
    <m/>
    <s v="Mar"/>
    <n v="2014"/>
    <s v="Monthly"/>
    <n v="0"/>
    <s v="No"/>
    <s v="None"/>
    <s v="Home|Home Services"/>
  </r>
  <r>
    <s v="MasterCard (Capital One)"/>
    <d v="2014-03-17T00:00:00"/>
    <n v="-6.23"/>
    <s v="X"/>
    <x v="57"/>
    <s v="2011: KEN'S MARKET #75-116 SEATTLE WA 98103 USA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Chase Freedom XX9381"/>
    <d v="2014-03-16T00:00:00"/>
    <n v="-100"/>
    <s v="X"/>
    <x v="32"/>
    <s v="2011: STARBUCKS #00104 SEATT Seattle WA 981011448 USA"/>
    <s v="Food &amp; Dining:Restaurants/From Receipt"/>
    <m/>
    <m/>
    <s v="From Receipt"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6T00:00:00"/>
    <n v="-15.75"/>
    <s v="X"/>
    <x v="416"/>
    <s v="2011: HAGGEN FOOD #43 BELLINGHAM WA 98225 USA"/>
    <s v="Food &amp; Dining:Restaurants/From Receipt"/>
    <m/>
    <m/>
    <s v="From Receipt"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5T00:00:00"/>
    <n v="-14.08"/>
    <s v="X"/>
    <x v="417"/>
    <s v="2011: CARTER'S #663 BURLINGTON WA 98233 USA"/>
    <s v="Kids:Clothing/From Receipt"/>
    <m/>
    <m/>
    <s v="From Receipt"/>
    <x v="27"/>
    <x v="1"/>
    <x v="0"/>
    <m/>
    <x v="0"/>
    <m/>
    <s v="Mar"/>
    <n v="2014"/>
    <s v="Monthly"/>
    <n v="0"/>
    <s v="No"/>
    <s v="None"/>
    <s v="Kids|Clothing"/>
  </r>
  <r>
    <s v="MasterCard (Capital One)"/>
    <d v="2014-03-15T00:00:00"/>
    <n v="-17.22"/>
    <s v="X"/>
    <x v="418"/>
    <s v="2011: TACO TIME LYNDEN LYNDEN WA 98264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5T00:00:00"/>
    <n v="-22.52"/>
    <s v="X"/>
    <x v="419"/>
    <s v="2011: OSH KOSH #198 BURLINGTON WA 98233 USA"/>
    <s v="Kids:Clothing/From Receipt"/>
    <m/>
    <m/>
    <s v="From Receipt"/>
    <x v="27"/>
    <x v="1"/>
    <x v="0"/>
    <m/>
    <x v="0"/>
    <m/>
    <s v="Mar"/>
    <n v="2014"/>
    <s v="Monthly"/>
    <n v="0"/>
    <s v="No"/>
    <s v="None"/>
    <s v="Kids|Clothing"/>
  </r>
  <r>
    <s v="First Tech - Checking (5544)"/>
    <d v="2014-03-14T00:00:00"/>
    <n v="-150.02000000000001"/>
    <s v="X"/>
    <x v="45"/>
    <s v="ACH Debit--PUGET SOUND ENER DIRECT DEBITING - PSE BILL  10000317"/>
    <s v="Bills &amp; Utilities:Utilities"/>
    <m/>
    <m/>
    <m/>
    <x v="34"/>
    <x v="18"/>
    <x v="0"/>
    <m/>
    <x v="0"/>
    <m/>
    <s v="Mar"/>
    <n v="2014"/>
    <s v="Monthly"/>
    <n v="0"/>
    <s v="No"/>
    <s v="None"/>
    <s v="Bills &amp; Utilities|Utilities"/>
  </r>
  <r>
    <s v="Chase Freedom XX9381"/>
    <d v="2014-03-14T00:00:00"/>
    <n v="0"/>
    <s v="X"/>
    <x v="127"/>
    <m/>
    <s v="[Chase Freedom XX9381]"/>
    <m/>
    <m/>
    <m/>
    <x v="7"/>
    <x v="0"/>
    <x v="0"/>
    <m/>
    <x v="0"/>
    <m/>
    <s v="Mar"/>
    <n v="2014"/>
    <e v="#N/A"/>
    <e v="#N/A"/>
    <e v="#N/A"/>
    <e v="#N/A"/>
    <s v="[Chase Freedom XX9381]"/>
  </r>
  <r>
    <s v="MasterCard (Capital One)"/>
    <d v="2014-03-14T00:00:00"/>
    <n v="-5.42"/>
    <s v="X"/>
    <x v="420"/>
    <s v="2011: TWIRL PLAY CAFE SEATTLE WA 98119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4T00:00:00"/>
    <n v="-30.28"/>
    <s v="X"/>
    <x v="420"/>
    <s v="2011: TWIRL PLAY CAFE SEATTLE WA 98119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4T00:00:00"/>
    <n v="-31.83"/>
    <s v="X"/>
    <x v="421"/>
    <s v="2011: THEHILIFE SEATTLE WA 98107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4T00:00:00"/>
    <n v="-71.88"/>
    <s v="X"/>
    <x v="248"/>
    <s v="2011: TOP TEN TOYS SEATTLE WA 98103 USA"/>
    <s v="Kids:Toys"/>
    <m/>
    <m/>
    <m/>
    <x v="27"/>
    <x v="14"/>
    <x v="0"/>
    <m/>
    <x v="0"/>
    <m/>
    <s v="Mar"/>
    <n v="2014"/>
    <s v="Monthly"/>
    <n v="0"/>
    <s v="No"/>
    <s v="None"/>
    <s v="Kids|Toys"/>
  </r>
  <r>
    <s v="First Tech - Checking (5544)"/>
    <d v="2014-03-13T00:00:00"/>
    <n v="3165.19"/>
    <s v="X"/>
    <x v="47"/>
    <s v="ACH Deposit--MICROSOFT  - EDIPAYMENT"/>
    <s v="Net Salary"/>
    <m/>
    <m/>
    <m/>
    <x v="35"/>
    <x v="0"/>
    <x v="0"/>
    <m/>
    <x v="0"/>
    <m/>
    <s v="Mar"/>
    <n v="2014"/>
    <s v="Monthly"/>
    <n v="0"/>
    <s v="No"/>
    <s v="None"/>
    <s v="Net Salary"/>
  </r>
  <r>
    <s v="MasterCard (Capital One)"/>
    <d v="2014-03-13T00:00:00"/>
    <n v="-3.99"/>
    <s v="X"/>
    <x v="57"/>
    <s v="2011: KEN'S MARKET #75-116 SEATTLE WA 98103 USA"/>
    <s v="Food &amp; Dining:Groceries"/>
    <m/>
    <m/>
    <m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13T00:00:00"/>
    <n v="-10.84"/>
    <s v="X"/>
    <x v="422"/>
    <s v="2011: D AMBROSIO GELATO SEATTLE WA 98107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3T00:00:00"/>
    <n v="-18.329999999999998"/>
    <s v="X"/>
    <x v="423"/>
    <s v="2011: SKILLET DINER SEATTLE WA 98107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Koolikai Credit Card"/>
    <d v="2014-03-12T00:00:00"/>
    <n v="-146.69999999999999"/>
    <s v="X"/>
    <x v="55"/>
    <m/>
    <s v="Business Expenses (Koolikai):Cell Phone"/>
    <m/>
    <m/>
    <m/>
    <x v="36"/>
    <x v="22"/>
    <x v="0"/>
    <m/>
    <x v="0"/>
    <m/>
    <s v="Mar"/>
    <n v="2014"/>
    <s v="Monthly"/>
    <n v="0"/>
    <s v="No"/>
    <s v="None"/>
    <s v="Business Expenses (Koolikai)|Cell Phone"/>
  </r>
  <r>
    <s v="MasterCard (Capital One)"/>
    <d v="2014-03-12T00:00:00"/>
    <n v="-10.94"/>
    <s v="X"/>
    <x v="402"/>
    <s v="2011: FRESH TABLE-MET PARK SEATTLE WA 98101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12T00:00:00"/>
    <n v="-20"/>
    <s v="X"/>
    <x v="32"/>
    <s v="2011: STARBUCKS #00104 SEATT Seattle WA 981011448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American Express (Costco)"/>
    <d v="2014-03-10T00:00:00"/>
    <n v="-75.36"/>
    <s v="X"/>
    <x v="1"/>
    <s v="Confirmed as groceries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10T00:00:00"/>
    <n v="-74.42"/>
    <s v="X"/>
    <x v="298"/>
    <s v="2011: PHINNEY MARKET PUB &amp; E SEATTLE WA 98103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Schwab - Checking (9784)"/>
    <d v="2014-03-09T00:00:00"/>
    <n v="-40"/>
    <s v="X"/>
    <x v="57"/>
    <s v="Babysitter money for date night"/>
    <s v="Kids:Babysitter"/>
    <m/>
    <s v="Split"/>
    <m/>
    <x v="27"/>
    <x v="13"/>
    <x v="0"/>
    <m/>
    <x v="0"/>
    <m/>
    <s v="Mar"/>
    <n v="2014"/>
    <s v="Monthly"/>
    <n v="0"/>
    <s v="No"/>
    <s v="None"/>
    <s v="Kids|Babysitter"/>
  </r>
  <r>
    <s v="Schwab - Checking (9784)"/>
    <d v="2014-03-09T00:00:00"/>
    <n v="-2"/>
    <s v="X"/>
    <x v="57"/>
    <m/>
    <s v="Bank Fees &amp; Charges:ATM Fee"/>
    <m/>
    <s v="Split"/>
    <m/>
    <x v="32"/>
    <x v="17"/>
    <x v="0"/>
    <m/>
    <x v="0"/>
    <m/>
    <s v="Mar"/>
    <n v="2014"/>
    <s v="Monthly"/>
    <n v="0"/>
    <s v="No"/>
    <s v="None"/>
    <s v="Bank Fees &amp; Charges|ATM Fee"/>
  </r>
  <r>
    <s v="American Express (Costco)"/>
    <d v="2014-03-09T00:00:00"/>
    <n v="-55"/>
    <s v="X"/>
    <x v="1"/>
    <s v="Cash refund appli"/>
    <s v="Food &amp; Dining:Groceries"/>
    <m/>
    <s v="Split"/>
    <m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09T00:00:00"/>
    <n v="-5.25"/>
    <s v="X"/>
    <x v="238"/>
    <s v="2011: 09 BARTELL DRUGS SEATTLE WA 98103 USA"/>
    <s v="Food &amp; Dining:Groceries"/>
    <m/>
    <m/>
    <m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09T00:00:00"/>
    <n v="-7.61"/>
    <s v="X"/>
    <x v="2"/>
    <s v="Gift for Madison"/>
    <s v="Gifts/From Receipt"/>
    <m/>
    <m/>
    <s v="From Receipt"/>
    <x v="28"/>
    <x v="0"/>
    <x v="0"/>
    <m/>
    <x v="0"/>
    <m/>
    <s v="Mar"/>
    <n v="2014"/>
    <s v="Monthly"/>
    <n v="0"/>
    <s v="No"/>
    <s v="None"/>
    <s v="Gifts"/>
  </r>
  <r>
    <s v="MasterCard (Capital One)"/>
    <d v="2014-03-09T00:00:00"/>
    <n v="-10.49"/>
    <s v="X"/>
    <x v="424"/>
    <s v="2011: 808 AURORA KIDD VA SEATTLE WA 98133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09T00:00:00"/>
    <n v="-16.91"/>
    <s v="X"/>
    <x v="2"/>
    <s v="2011: FRED-MEYER #0122 SEATTLE WA 98117 USA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Target Red Card"/>
    <d v="2014-03-09T00:00:00"/>
    <n v="-3.12"/>
    <s v="X"/>
    <x v="21"/>
    <s v="fans"/>
    <s v="Kids:Toys/From Receipt"/>
    <n v="799999940681"/>
    <m/>
    <s v="From Receipt"/>
    <x v="27"/>
    <x v="14"/>
    <x v="0"/>
    <m/>
    <x v="0"/>
    <m/>
    <s v="Mar"/>
    <n v="2014"/>
    <s v="Monthly"/>
    <n v="0"/>
    <s v="No"/>
    <s v="None"/>
    <s v="Kids|Toys"/>
  </r>
  <r>
    <s v="Target Red Card"/>
    <d v="2014-03-09T00:00:00"/>
    <n v="-12.53"/>
    <s v="X"/>
    <x v="21"/>
    <s v="Grammy CD"/>
    <s v="Entertainment/From Receipt"/>
    <n v="799999940681"/>
    <s v="Split"/>
    <s v="From Receipt"/>
    <x v="30"/>
    <x v="0"/>
    <x v="0"/>
    <m/>
    <x v="0"/>
    <m/>
    <s v="Mar"/>
    <n v="2014"/>
    <s v="Monthly"/>
    <n v="0"/>
    <s v="No"/>
    <s v="None"/>
    <s v="Entertainment"/>
  </r>
  <r>
    <s v="Target Red Card"/>
    <d v="2014-03-09T00:00:00"/>
    <n v="-26.07"/>
    <s v="X"/>
    <x v="21"/>
    <m/>
    <s v="Kids:Toys/From Receipt"/>
    <n v="799999940681"/>
    <s v="Split"/>
    <s v="From Receipt"/>
    <x v="27"/>
    <x v="14"/>
    <x v="0"/>
    <m/>
    <x v="0"/>
    <m/>
    <s v="Mar"/>
    <n v="2014"/>
    <s v="Monthly"/>
    <n v="0"/>
    <s v="No"/>
    <s v="None"/>
    <s v="Kids|Toys"/>
  </r>
  <r>
    <s v="Target Red Card"/>
    <d v="2014-03-09T00:00:00"/>
    <n v="-102.76"/>
    <s v="X"/>
    <x v="21"/>
    <s v="vacuum cleaner"/>
    <s v="Business Expenses (Koolikai):Tools/From Receipt:Tax Related"/>
    <n v="799999940681"/>
    <s v="Split"/>
    <s v="From Receipt:Tax Related"/>
    <x v="36"/>
    <x v="49"/>
    <x v="0"/>
    <m/>
    <x v="0"/>
    <m/>
    <s v="Mar"/>
    <n v="2014"/>
    <s v="Irregular"/>
    <n v="0"/>
    <s v="No"/>
    <s v="None"/>
    <s v="Business Expenses (Koolikai)|Tools"/>
  </r>
  <r>
    <s v="MasterCard (Capital One)"/>
    <d v="2014-03-08T00:00:00"/>
    <n v="-15.64"/>
    <s v="X"/>
    <x v="347"/>
    <s v="2011: TWIGS NORTHGATE, L SEATTLE WA 98125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08T00:00:00"/>
    <n v="-76.319999999999993"/>
    <s v="X"/>
    <x v="425"/>
    <s v="2011: THE CREPE CAFE AND WIN SEATTLE WA 98115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08T00:00:00"/>
    <n v="-303.58999999999997"/>
    <s v="X"/>
    <x v="148"/>
    <s v="2011: SQ *PLAYDATE CAFE Lynnwood WA 98036 USA"/>
    <s v="Parties/From Receipt"/>
    <m/>
    <m/>
    <s v="From Receipt"/>
    <x v="16"/>
    <x v="0"/>
    <x v="0"/>
    <m/>
    <x v="0"/>
    <m/>
    <s v="Mar"/>
    <n v="2014"/>
    <s v="Annual"/>
    <n v="0"/>
    <s v="No"/>
    <s v="None"/>
    <s v="Parties"/>
  </r>
  <r>
    <s v="MasterCard (Capital One)"/>
    <d v="2014-03-07T00:00:00"/>
    <n v="-6.12"/>
    <s v="X"/>
    <x v="402"/>
    <s v="2011: FRESH TABLE-MET PARK SEATTLE WA 98101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07T00:00:00"/>
    <n v="-7.11"/>
    <s v="X"/>
    <x v="402"/>
    <s v="2011: FRESH TABLE-MET PARK SEATTLE WA 98101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MasterCard (Capital One)"/>
    <d v="2014-03-07T00:00:00"/>
    <n v="-26.35"/>
    <s v="X"/>
    <x v="2"/>
    <s v="@CAT:@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First Tech - Checking (5544)"/>
    <d v="2014-03-06T00:00:00"/>
    <n v="-58.28"/>
    <s v="X"/>
    <x v="142"/>
    <s v="ACH Debit--TARGET CARD SRVC 001 - AUTO PYMT"/>
    <s v="[Target Red Card]"/>
    <m/>
    <m/>
    <m/>
    <x v="12"/>
    <x v="0"/>
    <x v="0"/>
    <m/>
    <x v="0"/>
    <m/>
    <s v="Mar"/>
    <n v="2014"/>
    <s v="Account"/>
    <n v="0"/>
    <s v="No"/>
    <s v="None"/>
    <s v="[Target Red Card]"/>
  </r>
  <r>
    <s v="First Tech - Short Term Emergency (5400)"/>
    <d v="2014-03-06T00:00:00"/>
    <n v="180"/>
    <s v="X"/>
    <x v="426"/>
    <s v="Angela's book royalty"/>
    <s v="Morale Money"/>
    <m/>
    <m/>
    <m/>
    <x v="46"/>
    <x v="0"/>
    <x v="0"/>
    <m/>
    <x v="0"/>
    <m/>
    <s v="Mar"/>
    <n v="2014"/>
    <e v="#N/A"/>
    <e v="#N/A"/>
    <e v="#N/A"/>
    <e v="#N/A"/>
    <s v="Morale Money"/>
  </r>
  <r>
    <s v="MasterCard (Capital One)"/>
    <d v="2014-03-06T00:00:00"/>
    <n v="-3.68"/>
    <s v="X"/>
    <x v="64"/>
    <s v="2011: SAFEWAY STORE 00018457 SEATTLE WA 98103 USA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Target Red Card"/>
    <d v="2014-03-06T00:00:00"/>
    <n v="58.28"/>
    <s v="X"/>
    <x v="142"/>
    <m/>
    <s v="[First Tech - Checking (5544)]"/>
    <m/>
    <m/>
    <m/>
    <x v="21"/>
    <x v="0"/>
    <x v="0"/>
    <m/>
    <x v="0"/>
    <m/>
    <s v="Mar"/>
    <n v="2014"/>
    <s v="Account"/>
    <n v="0"/>
    <s v="No"/>
    <s v="None"/>
    <s v="[First Tech - Checking (5544)]"/>
  </r>
  <r>
    <s v="First Tech - Checking (5544)"/>
    <d v="2014-03-05T00:00:00"/>
    <n v="14.27"/>
    <s v="X"/>
    <x v="175"/>
    <s v="ACH Deposit--PREMERA FUNDING  - CYC-CLAIMS"/>
    <s v="[Premera Health Care Payment]"/>
    <m/>
    <m/>
    <m/>
    <x v="42"/>
    <x v="0"/>
    <x v="0"/>
    <m/>
    <x v="0"/>
    <m/>
    <s v="Mar"/>
    <n v="2014"/>
    <s v="Account"/>
    <n v="0"/>
    <s v="No"/>
    <s v="None"/>
    <s v="[Premera Health Care Payment]"/>
  </r>
  <r>
    <s v="First Tech - Checking (5544)"/>
    <d v="2014-03-05T00:00:00"/>
    <n v="-3748.69"/>
    <s v="X"/>
    <x v="69"/>
    <s v="ACH Debit--WF HOME MTG ACH - AUTO PAY"/>
    <s v="Home:Mortgage"/>
    <m/>
    <m/>
    <m/>
    <x v="14"/>
    <x v="27"/>
    <x v="0"/>
    <m/>
    <x v="0"/>
    <m/>
    <s v="Mar"/>
    <n v="2014"/>
    <s v="Monthly"/>
    <n v="0"/>
    <s v="No"/>
    <s v="None"/>
    <s v="Home|Mortgage"/>
  </r>
  <r>
    <s v="Koolikai - Checking XX2129"/>
    <d v="2014-03-05T00:00:00"/>
    <n v="2295"/>
    <s v="X"/>
    <x v="144"/>
    <s v="Deposit--Shared Branch Mobile Deposit          First Tech FC CA"/>
    <s v="Business Income (Koolikai):Rent/7231"/>
    <m/>
    <s v="Split"/>
    <n v="7231"/>
    <x v="37"/>
    <x v="25"/>
    <x v="0"/>
    <m/>
    <x v="0"/>
    <m/>
    <s v="Mar"/>
    <n v="2014"/>
    <s v="Monthly"/>
    <n v="0"/>
    <s v="No"/>
    <s v="None"/>
    <s v="Business Income (Koolikai)|Rent"/>
  </r>
  <r>
    <s v="Koolikai - Checking XX2129"/>
    <d v="2014-03-05T00:00:00"/>
    <n v="100"/>
    <s v="X"/>
    <x v="144"/>
    <m/>
    <s v="Business Expenses (Koolikai):Utilities (Business)/7231"/>
    <m/>
    <s v="Split"/>
    <n v="7231"/>
    <x v="36"/>
    <x v="63"/>
    <x v="0"/>
    <m/>
    <x v="0"/>
    <m/>
    <s v="Mar"/>
    <n v="2014"/>
    <s v="Monthly"/>
    <n v="0"/>
    <s v="No"/>
    <s v="None"/>
    <s v="Business Expenses (Koolikai)|Utilities (Business)"/>
  </r>
  <r>
    <s v="MasterCard (Capital One)"/>
    <d v="2014-03-05T00:00:00"/>
    <n v="-9.33"/>
    <s v="X"/>
    <x v="37"/>
    <s v="Itty Bitty"/>
    <s v="Kids:Toys"/>
    <m/>
    <s v="Split"/>
    <m/>
    <x v="27"/>
    <x v="14"/>
    <x v="0"/>
    <m/>
    <x v="0"/>
    <m/>
    <s v="Mar"/>
    <n v="2014"/>
    <s v="Monthly"/>
    <n v="0"/>
    <s v="No"/>
    <s v="None"/>
    <s v="Kids|Toys"/>
  </r>
  <r>
    <s v="MasterCard (Capital One)"/>
    <d v="2014-03-05T00:00:00"/>
    <n v="-21.77"/>
    <s v="X"/>
    <x v="37"/>
    <s v="Hot air popper"/>
    <s v="Home:Furnishings"/>
    <m/>
    <s v="Split"/>
    <m/>
    <x v="14"/>
    <x v="2"/>
    <x v="0"/>
    <m/>
    <x v="0"/>
    <m/>
    <s v="Mar"/>
    <n v="2014"/>
    <s v="Monthly"/>
    <n v="0"/>
    <s v="No"/>
    <s v="None"/>
    <s v="Home|Furnishings"/>
  </r>
  <r>
    <s v="MasterCard (Capital One)"/>
    <d v="2014-03-05T00:00:00"/>
    <n v="-19.190000000000001"/>
    <s v="X"/>
    <x v="2"/>
    <s v="2011: FRED-MEYER #0122 SEATTLE WA 98117 USA"/>
    <s v="Parties/From Receipt"/>
    <m/>
    <s v="Split"/>
    <s v="From Receipt"/>
    <x v="16"/>
    <x v="0"/>
    <x v="0"/>
    <m/>
    <x v="0"/>
    <m/>
    <s v="Mar"/>
    <n v="2014"/>
    <s v="Annual"/>
    <n v="0"/>
    <s v="No"/>
    <s v="None"/>
    <s v="Parties"/>
  </r>
  <r>
    <s v="MasterCard (Capital One)"/>
    <d v="2014-03-05T00:00:00"/>
    <n v="-18.399999999999999"/>
    <s v="X"/>
    <x v="2"/>
    <m/>
    <s v="Food &amp; Dining:Groceries/From Receipt"/>
    <m/>
    <s v="Split"/>
    <s v="From Receipt"/>
    <x v="15"/>
    <x v="3"/>
    <x v="0"/>
    <m/>
    <x v="0"/>
    <m/>
    <s v="Mar"/>
    <n v="2014"/>
    <s v="Monthly"/>
    <n v="0"/>
    <s v="No"/>
    <s v="None"/>
    <s v="Food &amp; Dining|Groceries"/>
  </r>
  <r>
    <s v="Premera Health Care Payment"/>
    <d v="2014-03-05T00:00:00"/>
    <n v="-14.27"/>
    <m/>
    <x v="175"/>
    <s v="ACH Deposit--PREMERA FUNDING  - CYC-CLAIMS"/>
    <s v="[First Tech - Checking (5544)]"/>
    <m/>
    <m/>
    <m/>
    <x v="21"/>
    <x v="0"/>
    <x v="0"/>
    <m/>
    <x v="0"/>
    <m/>
    <s v="Mar"/>
    <n v="2014"/>
    <s v="Account"/>
    <n v="0"/>
    <s v="No"/>
    <s v="None"/>
    <s v="[First Tech - Checking (5544)]"/>
  </r>
  <r>
    <s v="First Tech - Checking (5544)"/>
    <d v="2014-03-04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Mar"/>
    <n v="2014"/>
    <s v="Monthly"/>
    <n v="0"/>
    <s v="No"/>
    <s v="None"/>
    <s v="Kids|American Funds 529A"/>
  </r>
  <r>
    <s v="First Tech - Checking (5544)"/>
    <d v="2014-03-03T00:00:00"/>
    <n v="-1976"/>
    <s v="X"/>
    <x v="90"/>
    <s v="ACH Debit--PHINNEY RIDGE LU 504759859 - CONTRIBUTN"/>
    <s v="Kids:Daycare"/>
    <m/>
    <m/>
    <m/>
    <x v="27"/>
    <x v="35"/>
    <x v="0"/>
    <m/>
    <x v="0"/>
    <m/>
    <s v="Mar"/>
    <n v="2014"/>
    <s v="Monthly"/>
    <n v="0"/>
    <s v="No"/>
    <s v="None"/>
    <s v="Kids|Daycare"/>
  </r>
  <r>
    <s v="First Tech - Checking (5544)"/>
    <d v="2014-03-03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Mar"/>
    <n v="2014"/>
    <s v="Monthly"/>
    <n v="0"/>
    <s v="No"/>
    <s v="None"/>
    <s v="Business Expenses (Koolikai)|Mortgage (Business)"/>
  </r>
  <r>
    <s v="First Tech - Checking (5544)"/>
    <d v="2014-03-03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Mar"/>
    <n v="2014"/>
    <s v="Monthly"/>
    <n v="0"/>
    <s v="No"/>
    <s v="None"/>
    <s v="Business Expenses (Koolikai)|Mortgage (Business)"/>
  </r>
  <r>
    <s v="First Tech - Checking (5544)"/>
    <d v="2014-03-03T00:00:00"/>
    <n v="-126"/>
    <m/>
    <x v="427"/>
    <s v="@CAT:@@BAL:$0.00@"/>
    <s v="[REI Mastercard (xx1787)]"/>
    <m/>
    <m/>
    <m/>
    <x v="11"/>
    <x v="0"/>
    <x v="0"/>
    <m/>
    <x v="0"/>
    <m/>
    <s v="Mar"/>
    <n v="2014"/>
    <e v="#N/A"/>
    <e v="#N/A"/>
    <e v="#N/A"/>
    <e v="#N/A"/>
    <s v="[REI Mastercard (xx1787)]"/>
  </r>
  <r>
    <s v="MasterCard (Capital One)"/>
    <d v="2014-03-03T00:00:00"/>
    <n v="-8.1999999999999993"/>
    <s v="X"/>
    <x v="402"/>
    <s v="2011: FRESH TABLE-MET PARK SEATTLE WA 98101 USA"/>
    <s v="Food &amp; Dining:Restaurants"/>
    <m/>
    <m/>
    <m/>
    <x v="15"/>
    <x v="15"/>
    <x v="0"/>
    <m/>
    <x v="0"/>
    <m/>
    <s v="Mar"/>
    <n v="2014"/>
    <s v="Monthly"/>
    <n v="0"/>
    <s v="No"/>
    <s v="None"/>
    <s v="Food &amp; Dining|Restaurants"/>
  </r>
  <r>
    <s v="REI Mastercard (xx1787)"/>
    <d v="2014-03-03T00:00:00"/>
    <n v="126"/>
    <s v="X"/>
    <x v="427"/>
    <s v="@CAT:@@BAL:$0.00@"/>
    <s v="[First Tech - Checking (5544)]"/>
    <s v="TXFR"/>
    <m/>
    <m/>
    <x v="21"/>
    <x v="0"/>
    <x v="0"/>
    <m/>
    <x v="0"/>
    <m/>
    <s v="Mar"/>
    <n v="2014"/>
    <s v="Account"/>
    <n v="0"/>
    <s v="No"/>
    <s v="None"/>
    <s v="[First Tech - Checking (5544)]"/>
  </r>
  <r>
    <s v="Capital One - Long Term Emergency (1201)"/>
    <d v="2014-03-02T00:00:00"/>
    <n v="0"/>
    <s v="X"/>
    <x v="0"/>
    <s v="@BAL:118199.00@@CAT:@"/>
    <s v="[Capital One - Long Term Emergency (1201)]"/>
    <m/>
    <m/>
    <m/>
    <x v="1"/>
    <x v="0"/>
    <x v="0"/>
    <m/>
    <x v="0"/>
    <m/>
    <s v="Mar"/>
    <n v="2014"/>
    <s v="Account"/>
    <n v="0"/>
    <s v="No"/>
    <s v="None"/>
    <s v="[Capital One - Long Term Emergency (1201)]"/>
  </r>
  <r>
    <s v="Capital One - Long Term Emergency (1201)"/>
    <d v="2014-03-02T00:00:00"/>
    <n v="0"/>
    <s v="X"/>
    <x v="0"/>
    <s v="@BAL:-6591.33@@CAT:@"/>
    <s v="[MasterCard (Capital One)]"/>
    <m/>
    <m/>
    <m/>
    <x v="38"/>
    <x v="0"/>
    <x v="0"/>
    <m/>
    <x v="0"/>
    <m/>
    <s v="Mar"/>
    <n v="2014"/>
    <s v="Account"/>
    <n v="0"/>
    <s v="No"/>
    <s v="None"/>
    <s v="[MasterCard (Capital One)]"/>
  </r>
  <r>
    <s v="Capital One - Secondary Savings (3126)"/>
    <d v="2014-03-02T00:00:00"/>
    <n v="0"/>
    <s v="X"/>
    <x v="0"/>
    <s v="@BAL:123.04@@CAT:@"/>
    <s v="[Capital One - Secondary Savings (3126)]"/>
    <m/>
    <m/>
    <m/>
    <x v="2"/>
    <x v="0"/>
    <x v="0"/>
    <m/>
    <x v="0"/>
    <m/>
    <s v="Mar"/>
    <n v="2014"/>
    <s v="Account"/>
    <n v="0"/>
    <s v="No"/>
    <s v="None"/>
    <s v="[Capital One - Secondary Savings (3126)]"/>
  </r>
  <r>
    <s v="Capital One - Vacation (4959)"/>
    <d v="2014-03-02T00:00:00"/>
    <n v="0"/>
    <s v="X"/>
    <x v="0"/>
    <s v="@BAL:5010.40@@CAT:@"/>
    <s v="[Capital One - Vacation (4959)]"/>
    <m/>
    <m/>
    <m/>
    <x v="3"/>
    <x v="0"/>
    <x v="0"/>
    <m/>
    <x v="0"/>
    <m/>
    <s v="Mar"/>
    <n v="2014"/>
    <s v="Account"/>
    <n v="0"/>
    <s v="No"/>
    <s v="None"/>
    <s v="[Capital One - Vacation (4959)]"/>
  </r>
  <r>
    <s v="First Tech - Checking (5544)"/>
    <d v="2014-03-02T00:00:00"/>
    <n v="0"/>
    <s v="X"/>
    <x v="0"/>
    <s v="@CAT:@;@BAL:53225.77"/>
    <s v="[First Tech - Checking (5544)]"/>
    <m/>
    <m/>
    <m/>
    <x v="21"/>
    <x v="0"/>
    <x v="0"/>
    <m/>
    <x v="0"/>
    <m/>
    <s v="Mar"/>
    <n v="2014"/>
    <s v="Account"/>
    <n v="0"/>
    <s v="No"/>
    <s v="None"/>
    <s v="[First Tech - Checking (5544)]"/>
  </r>
  <r>
    <s v="First Tech - Short Term Emergency (5400)"/>
    <d v="2014-03-02T00:00:00"/>
    <n v="0"/>
    <s v="X"/>
    <x v="0"/>
    <s v="@CAT:@@BAL:5.00@"/>
    <s v="[First Tech - Short Term Emergency (5400)]"/>
    <m/>
    <m/>
    <m/>
    <x v="4"/>
    <x v="0"/>
    <x v="0"/>
    <m/>
    <x v="0"/>
    <m/>
    <s v="Mar"/>
    <n v="2014"/>
    <s v="Account"/>
    <n v="0"/>
    <s v="No"/>
    <s v="None"/>
    <s v="[First Tech - Short Term Emergency (5400)]"/>
  </r>
  <r>
    <s v="Schwab - Checking (9784)"/>
    <d v="2014-03-02T00:00:00"/>
    <n v="0"/>
    <s v="X"/>
    <x v="0"/>
    <s v="@BAL:$1529.82@@CAT:@"/>
    <s v="[Schwab - Checking (9784)]"/>
    <m/>
    <m/>
    <m/>
    <x v="5"/>
    <x v="0"/>
    <x v="0"/>
    <m/>
    <x v="0"/>
    <m/>
    <s v="Mar"/>
    <n v="2014"/>
    <s v="Account"/>
    <n v="0"/>
    <s v="No"/>
    <s v="None"/>
    <s v="[Schwab - Checking (9784)]"/>
  </r>
  <r>
    <s v="American Express (Costco)"/>
    <d v="2014-03-02T00:00:00"/>
    <n v="0"/>
    <s v="X"/>
    <x v="0"/>
    <s v="@BAL:-110.00@@CAT:@"/>
    <s v="[American Express (Costco)]"/>
    <m/>
    <m/>
    <m/>
    <x v="20"/>
    <x v="0"/>
    <x v="0"/>
    <m/>
    <x v="0"/>
    <m/>
    <s v="Mar"/>
    <n v="2014"/>
    <s v="Account"/>
    <n v="0"/>
    <s v="No"/>
    <s v="None"/>
    <s v="[American Express (Costco)]"/>
  </r>
  <r>
    <s v="Discover Card"/>
    <d v="2014-03-02T00:00:00"/>
    <n v="0"/>
    <s v="X"/>
    <x v="0"/>
    <s v="@BAL:-7.65@@CAT:@"/>
    <s v="[Discover Card]"/>
    <m/>
    <m/>
    <m/>
    <x v="24"/>
    <x v="0"/>
    <x v="0"/>
    <m/>
    <x v="0"/>
    <m/>
    <s v="Mar"/>
    <n v="2014"/>
    <s v="Account"/>
    <n v="0"/>
    <s v="No"/>
    <s v="None"/>
    <s v="[Discover Card]"/>
  </r>
  <r>
    <s v="MasterCard (Capital One)"/>
    <d v="2014-03-02T00:00:00"/>
    <n v="0"/>
    <s v="X"/>
    <x v="0"/>
    <s v="@BAL:-6591.33@@CAT:@"/>
    <s v="[Capital One - Long Term Emergency (1201)]"/>
    <m/>
    <m/>
    <m/>
    <x v="1"/>
    <x v="0"/>
    <x v="0"/>
    <m/>
    <x v="0"/>
    <m/>
    <s v="Mar"/>
    <n v="2014"/>
    <s v="Account"/>
    <n v="0"/>
    <s v="No"/>
    <s v="None"/>
    <s v="[Capital One - Long Term Emergency (1201)]"/>
  </r>
  <r>
    <s v="MasterCard (Capital One)"/>
    <d v="2014-03-02T00:00:00"/>
    <n v="-9.64"/>
    <s v="X"/>
    <x v="428"/>
    <s v="#Sheryl's wedding#"/>
    <s v="Vacation:Food"/>
    <m/>
    <m/>
    <m/>
    <x v="23"/>
    <x v="8"/>
    <x v="0"/>
    <m/>
    <x v="24"/>
    <m/>
    <s v="Mar"/>
    <n v="2014"/>
    <s v="Irregular"/>
    <n v="0"/>
    <s v="No"/>
    <s v="None"/>
    <s v="Vacation|Food"/>
  </r>
  <r>
    <s v="MasterCard (Capital One)"/>
    <d v="2014-03-02T00:00:00"/>
    <n v="-100.76"/>
    <s v="X"/>
    <x v="2"/>
    <s v="2011: FRED-MEYER #0122 SEATTLE WA 98117 USA"/>
    <s v="Food &amp; Dining:Groceries/From Receipt"/>
    <m/>
    <m/>
    <s v="From Receipt"/>
    <x v="15"/>
    <x v="3"/>
    <x v="0"/>
    <m/>
    <x v="0"/>
    <m/>
    <s v="Mar"/>
    <n v="2014"/>
    <s v="Monthly"/>
    <n v="0"/>
    <s v="No"/>
    <s v="None"/>
    <s v="Food &amp; Dining|Groceries"/>
  </r>
  <r>
    <s v="MasterCard (Capital One)"/>
    <d v="2014-03-02T00:00:00"/>
    <n v="-20.39"/>
    <s v="X"/>
    <x v="88"/>
    <s v="@BAL:-6892.04@@CAT:@"/>
    <s v="Bills &amp; Utilities:Television"/>
    <m/>
    <s v="Split"/>
    <m/>
    <x v="34"/>
    <x v="32"/>
    <x v="0"/>
    <m/>
    <x v="0"/>
    <m/>
    <s v="Mar"/>
    <n v="2014"/>
    <s v="Monthly"/>
    <n v="0"/>
    <s v="No"/>
    <s v="None"/>
    <s v="Bills &amp; Utilities|Television"/>
  </r>
  <r>
    <s v="MasterCard (Capital One)"/>
    <d v="2014-03-02T00:00:00"/>
    <n v="-62.48"/>
    <s v="X"/>
    <x v="88"/>
    <m/>
    <s v="Business Expenses (Koolikai):Internet"/>
    <m/>
    <s v="Split"/>
    <m/>
    <x v="36"/>
    <x v="33"/>
    <x v="0"/>
    <m/>
    <x v="0"/>
    <m/>
    <s v="Mar"/>
    <n v="2014"/>
    <s v="Monthly"/>
    <n v="0"/>
    <s v="No"/>
    <s v="None"/>
    <s v="Business Expenses (Koolikai)|Internet"/>
  </r>
  <r>
    <s v="MasterCard (Capital One)"/>
    <d v="2014-03-02T00:00:00"/>
    <n v="-42.4"/>
    <s v="X"/>
    <x v="88"/>
    <m/>
    <s v="Bills &amp; Utilities:Home Phone"/>
    <m/>
    <s v="Split"/>
    <m/>
    <x v="34"/>
    <x v="34"/>
    <x v="0"/>
    <m/>
    <x v="0"/>
    <m/>
    <s v="Mar"/>
    <n v="2014"/>
    <s v="Monthly"/>
    <n v="0"/>
    <s v="No"/>
    <s v="None"/>
    <s v="Bills &amp; Utilities|Home Phone"/>
  </r>
  <r>
    <s v="REI Mastercard (xx1787)"/>
    <d v="2014-03-02T00:00:00"/>
    <n v="0"/>
    <s v="X"/>
    <x v="0"/>
    <s v="@BAL:-126.00@CAT:@"/>
    <s v="[REI Mastercard (xx1787)]"/>
    <m/>
    <m/>
    <m/>
    <x v="11"/>
    <x v="0"/>
    <x v="0"/>
    <m/>
    <x v="0"/>
    <m/>
    <s v="Mar"/>
    <n v="2014"/>
    <e v="#N/A"/>
    <e v="#N/A"/>
    <e v="#N/A"/>
    <e v="#N/A"/>
    <s v="[REI Mastercard (xx1787)]"/>
  </r>
  <r>
    <s v="Target Red Card"/>
    <d v="2014-03-02T00:00:00"/>
    <n v="0"/>
    <s v="X"/>
    <x v="0"/>
    <s v="@BAL:-$266.42@@CAT:@"/>
    <s v="[Target Red Card]"/>
    <m/>
    <m/>
    <m/>
    <x v="12"/>
    <x v="0"/>
    <x v="0"/>
    <m/>
    <x v="0"/>
    <m/>
    <s v="Mar"/>
    <n v="2014"/>
    <s v="Account"/>
    <n v="0"/>
    <s v="No"/>
    <s v="None"/>
    <s v="[Target Red Card]"/>
  </r>
  <r>
    <s v="First Tech - Checking (5544)"/>
    <d v="2014-03-01T00:00:00"/>
    <n v="-4025.58"/>
    <s v="X"/>
    <x v="85"/>
    <s v="ACH Debit--CAPITAL ONE  - CRCARDPMT"/>
    <s v="[MasterCard (Capital One)]"/>
    <m/>
    <m/>
    <m/>
    <x v="38"/>
    <x v="0"/>
    <x v="0"/>
    <m/>
    <x v="0"/>
    <m/>
    <s v="Mar"/>
    <n v="2014"/>
    <s v="Account"/>
    <n v="0"/>
    <s v="No"/>
    <s v="None"/>
    <s v="[MasterCard (Capital One)]"/>
  </r>
  <r>
    <s v="Koolikai - Checking XX2129"/>
    <d v="2014-03-01T00:00:00"/>
    <n v="2195"/>
    <s v="X"/>
    <x v="391"/>
    <m/>
    <s v="Business Income (Koolikai):Rent/9602"/>
    <m/>
    <m/>
    <n v="9602"/>
    <x v="37"/>
    <x v="25"/>
    <x v="0"/>
    <m/>
    <x v="0"/>
    <m/>
    <s v="Mar"/>
    <n v="2014"/>
    <s v="Monthly"/>
    <n v="0"/>
    <s v="No"/>
    <s v="None"/>
    <s v="Business Income (Koolikai)|Rent"/>
  </r>
  <r>
    <s v="American Express (Costco)"/>
    <d v="2014-03-01T00:00:00"/>
    <n v="-110"/>
    <s v="X"/>
    <x v="1"/>
    <s v="COSTCO MEMBER RENEWAL"/>
    <s v="Subscriptions &amp; Dues"/>
    <m/>
    <m/>
    <m/>
    <x v="33"/>
    <x v="0"/>
    <x v="0"/>
    <m/>
    <x v="0"/>
    <m/>
    <s v="Mar"/>
    <n v="2014"/>
    <s v="Annual"/>
    <n v="0"/>
    <s v="No"/>
    <s v="None"/>
    <s v="Subscriptions &amp; Dues"/>
  </r>
  <r>
    <s v="Mastercard (Angela)"/>
    <d v="2014-03-01T00:00:00"/>
    <n v="0"/>
    <s v="X"/>
    <x v="0"/>
    <s v="@BAL:$0.00@"/>
    <s v="[Mastercard (Angela)]"/>
    <m/>
    <m/>
    <m/>
    <x v="10"/>
    <x v="0"/>
    <x v="0"/>
    <m/>
    <x v="0"/>
    <m/>
    <s v="Mar"/>
    <n v="2014"/>
    <s v="Account"/>
    <n v="0"/>
    <s v="No"/>
    <s v="None"/>
    <s v="[Mastercard (Angela)]"/>
  </r>
  <r>
    <s v="MasterCard (Capital One)"/>
    <d v="2014-03-01T00:00:00"/>
    <n v="4025.58"/>
    <s v="X"/>
    <x v="85"/>
    <s v="ACH Debit--CAPITAL ONE  - CRCARDPMT"/>
    <s v="[First Tech - Checking (5544)]"/>
    <m/>
    <m/>
    <m/>
    <x v="21"/>
    <x v="0"/>
    <x v="0"/>
    <m/>
    <x v="0"/>
    <m/>
    <s v="Mar"/>
    <n v="2014"/>
    <s v="Account"/>
    <n v="0"/>
    <s v="No"/>
    <s v="None"/>
    <s v="[First Tech - Checking (5544)]"/>
  </r>
  <r>
    <s v="MasterCard (Capital One)"/>
    <d v="2014-03-01T00:00:00"/>
    <n v="-10.5"/>
    <s v="X"/>
    <x v="429"/>
    <s v="#Sheryl's wedding#"/>
    <s v="Vacation:Transportation/From Receipt"/>
    <m/>
    <m/>
    <s v="From Receipt"/>
    <x v="23"/>
    <x v="26"/>
    <x v="0"/>
    <m/>
    <x v="24"/>
    <m/>
    <s v="Mar"/>
    <n v="2014"/>
    <s v="Irregular"/>
    <n v="0"/>
    <s v="No"/>
    <s v="None"/>
    <s v="Vacation|Transportation"/>
  </r>
  <r>
    <s v="MasterCard (Capital One)"/>
    <d v="2014-03-01T00:00:00"/>
    <n v="-38.79"/>
    <s v="X"/>
    <x v="430"/>
    <s v="#Sheryl's wedding#"/>
    <s v="Vacation:Transportation/From Receipt"/>
    <m/>
    <m/>
    <s v="From Receipt"/>
    <x v="23"/>
    <x v="26"/>
    <x v="0"/>
    <m/>
    <x v="24"/>
    <m/>
    <s v="Mar"/>
    <n v="2014"/>
    <s v="Irregular"/>
    <n v="0"/>
    <s v="No"/>
    <s v="None"/>
    <s v="Vacation|Transportation"/>
  </r>
  <r>
    <s v="Capital One - Investment (6759)"/>
    <d v="2014-02-28T00:00:00"/>
    <n v="18.059999999999999"/>
    <s v="X"/>
    <x v="100"/>
    <s v="@BAL:47097.33@@CAT:@"/>
    <s v="Interest Income"/>
    <s v="INT"/>
    <m/>
    <m/>
    <x v="40"/>
    <x v="0"/>
    <x v="0"/>
    <m/>
    <x v="0"/>
    <m/>
    <s v="Feb"/>
    <n v="2014"/>
    <s v="Monthly"/>
    <n v="0"/>
    <s v="No"/>
    <s v="None"/>
    <s v="Interest Income"/>
  </r>
  <r>
    <s v="Capital One - Long Term Emergency (1201)"/>
    <d v="2014-02-28T00:00:00"/>
    <n v="72.61"/>
    <s v="X"/>
    <x v="100"/>
    <m/>
    <s v="Interest Income"/>
    <s v="INT"/>
    <m/>
    <m/>
    <x v="40"/>
    <x v="0"/>
    <x v="0"/>
    <m/>
    <x v="0"/>
    <m/>
    <s v="Feb"/>
    <n v="2014"/>
    <s v="Monthly"/>
    <n v="0"/>
    <s v="No"/>
    <s v="None"/>
    <s v="Interest Income"/>
  </r>
  <r>
    <s v="Capital One - Secondary Savings (3126)"/>
    <d v="2014-02-28T00:00:00"/>
    <n v="34.65"/>
    <s v="X"/>
    <x v="100"/>
    <m/>
    <s v="Interest Income"/>
    <s v="INT"/>
    <m/>
    <m/>
    <x v="40"/>
    <x v="0"/>
    <x v="0"/>
    <m/>
    <x v="0"/>
    <m/>
    <s v="Feb"/>
    <n v="2014"/>
    <s v="Monthly"/>
    <n v="0"/>
    <s v="No"/>
    <s v="None"/>
    <s v="Interest Income"/>
  </r>
  <r>
    <s v="Capital One - Vacation (4959)"/>
    <d v="2014-02-28T00:00:00"/>
    <n v="1.92"/>
    <s v="X"/>
    <x v="100"/>
    <m/>
    <s v="Interest Income"/>
    <s v="INT"/>
    <m/>
    <m/>
    <x v="40"/>
    <x v="0"/>
    <x v="0"/>
    <m/>
    <x v="0"/>
    <m/>
    <s v="Feb"/>
    <n v="2014"/>
    <s v="Monthly"/>
    <n v="0"/>
    <s v="No"/>
    <s v="None"/>
    <s v="Interest Income"/>
  </r>
  <r>
    <s v="First Tech - Checking (5544)"/>
    <d v="2014-02-28T00:00:00"/>
    <n v="-223.3"/>
    <s v="X"/>
    <x v="252"/>
    <s v="ACH Debit--CITY OF SEATTLE  - 2 - SPU De"/>
    <s v="Bills &amp; Utilities:Utilities"/>
    <m/>
    <m/>
    <m/>
    <x v="34"/>
    <x v="18"/>
    <x v="0"/>
    <m/>
    <x v="0"/>
    <m/>
    <s v="Feb"/>
    <n v="2014"/>
    <s v="Monthly"/>
    <n v="0"/>
    <s v="No"/>
    <s v="None"/>
    <s v="Bills &amp; Utilities|Utilities"/>
  </r>
  <r>
    <s v="First Tech - Checking (5544)"/>
    <d v="2014-02-28T00:00:00"/>
    <n v="-200000"/>
    <s v="X"/>
    <x v="431"/>
    <s v="Transfer to LPL account for mutual fund and managed account"/>
    <s v="Not Sure"/>
    <m/>
    <m/>
    <m/>
    <x v="51"/>
    <x v="0"/>
    <x v="0"/>
    <m/>
    <x v="0"/>
    <m/>
    <s v="Feb"/>
    <n v="2014"/>
    <s v="Unplanned"/>
    <n v="0"/>
    <s v="No"/>
    <s v="None"/>
    <s v="Not Sure"/>
  </r>
  <r>
    <s v="Koolikai - Sec Dep XX1200"/>
    <d v="2014-02-28T00:00:00"/>
    <n v="0.17"/>
    <s v="X"/>
    <x v="93"/>
    <s v="Credit Dividend--"/>
    <s v="Interest Income"/>
    <m/>
    <m/>
    <m/>
    <x v="40"/>
    <x v="0"/>
    <x v="0"/>
    <m/>
    <x v="0"/>
    <m/>
    <s v="Feb"/>
    <n v="2014"/>
    <s v="Monthly"/>
    <n v="0"/>
    <s v="No"/>
    <s v="None"/>
    <s v="Interest Income"/>
  </r>
  <r>
    <s v="Schwab - Checking (9784)"/>
    <d v="2014-02-28T00:00:00"/>
    <n v="0.12"/>
    <s v="X"/>
    <x v="432"/>
    <m/>
    <s v="Interest Income"/>
    <m/>
    <m/>
    <m/>
    <x v="40"/>
    <x v="0"/>
    <x v="0"/>
    <m/>
    <x v="0"/>
    <m/>
    <s v="Feb"/>
    <n v="2014"/>
    <s v="Monthly"/>
    <n v="0"/>
    <s v="No"/>
    <s v="None"/>
    <s v="Interest Income"/>
  </r>
  <r>
    <s v="Schwab - Checking (9784)"/>
    <d v="2014-02-28T00:00:00"/>
    <n v="4.75"/>
    <s v="X"/>
    <x v="433"/>
    <m/>
    <s v="Bank Fees &amp; Charges:ATM Fee"/>
    <m/>
    <m/>
    <m/>
    <x v="32"/>
    <x v="17"/>
    <x v="0"/>
    <m/>
    <x v="0"/>
    <m/>
    <s v="Feb"/>
    <n v="2014"/>
    <s v="Monthly"/>
    <n v="0"/>
    <s v="No"/>
    <s v="None"/>
    <s v="Bank Fees &amp; Charges|ATM Fee"/>
  </r>
  <r>
    <s v="MasterCard (Capital One)"/>
    <d v="2014-02-28T00:00:00"/>
    <n v="25"/>
    <s v="X"/>
    <x v="60"/>
    <s v="2011: CREDIT-CASH BACK REWARD"/>
    <s v="Other Inc"/>
    <m/>
    <m/>
    <m/>
    <x v="29"/>
    <x v="0"/>
    <x v="0"/>
    <m/>
    <x v="0"/>
    <m/>
    <s v="Feb"/>
    <n v="2014"/>
    <s v="Monthly"/>
    <n v="0"/>
    <s v="No"/>
    <s v="None"/>
    <s v="Other Inc"/>
  </r>
  <r>
    <s v="MasterCard (Capital One)"/>
    <d v="2014-02-28T00:00:00"/>
    <n v="-1"/>
    <s v="X"/>
    <x v="95"/>
    <s v="2011: BLINK NETWORK, LLC 06023459015 AZ 85003 USA"/>
    <s v="Auto &amp; Transport:Gas &amp; Fuel"/>
    <m/>
    <m/>
    <m/>
    <x v="17"/>
    <x v="37"/>
    <x v="0"/>
    <m/>
    <x v="0"/>
    <m/>
    <s v="Feb"/>
    <n v="2014"/>
    <s v="Monthly"/>
    <n v="0"/>
    <s v="No"/>
    <s v="None"/>
    <s v="Auto &amp; Transport|Gas &amp; Fuel"/>
  </r>
  <r>
    <s v="MasterCard (Capital One)"/>
    <d v="2014-02-28T00:00:00"/>
    <n v="-11.94"/>
    <s v="X"/>
    <x v="434"/>
    <s v="Dinner at #Sheryl's wedding#"/>
    <s v="Vacation:Food/From Receipt"/>
    <m/>
    <m/>
    <s v="From Receipt"/>
    <x v="23"/>
    <x v="8"/>
    <x v="0"/>
    <m/>
    <x v="24"/>
    <m/>
    <s v="Feb"/>
    <n v="2014"/>
    <s v="Irregular"/>
    <n v="0"/>
    <s v="No"/>
    <s v="None"/>
    <s v="Vacation|Food"/>
  </r>
  <r>
    <s v="MasterCard (Capital One)"/>
    <d v="2014-02-28T00:00:00"/>
    <n v="-15.75"/>
    <s v="X"/>
    <x v="302"/>
    <s v="2011: BLUEBIRD ICE CREAM GRE SEATTLE WA 98103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First Tech - Checking (5544)"/>
    <d v="2014-02-27T00:00:00"/>
    <n v="3165.19"/>
    <s v="X"/>
    <x v="47"/>
    <s v="ACH Deposit--MICROSOFT  - EDIPAYMENT"/>
    <s v="Net Salary"/>
    <m/>
    <m/>
    <m/>
    <x v="35"/>
    <x v="0"/>
    <x v="0"/>
    <m/>
    <x v="0"/>
    <m/>
    <s v="Feb"/>
    <n v="2014"/>
    <s v="Monthly"/>
    <n v="0"/>
    <s v="No"/>
    <s v="None"/>
    <s v="Net Salary"/>
  </r>
  <r>
    <s v="First Tech - Checking (5544)"/>
    <d v="2014-02-27T00:00:00"/>
    <n v="6195.6"/>
    <s v="X"/>
    <x v="109"/>
    <s v="ACH Deposit--Cancer Research  - Payroll"/>
    <s v="Net Salary"/>
    <m/>
    <m/>
    <m/>
    <x v="35"/>
    <x v="0"/>
    <x v="0"/>
    <m/>
    <x v="0"/>
    <m/>
    <s v="Feb"/>
    <n v="2014"/>
    <s v="Monthly"/>
    <n v="0"/>
    <s v="No"/>
    <s v="None"/>
    <s v="Net Salary"/>
  </r>
  <r>
    <s v="Capital One - Long Term Emergency (1201)"/>
    <d v="2014-02-26T00:00:00"/>
    <n v="-83000"/>
    <s v="X"/>
    <x v="435"/>
    <s v="ACH Deposit--CAPITAL1 00000000000301749963 - TRANSFER"/>
    <s v="[First Tech - Checking (5544)]"/>
    <m/>
    <m/>
    <m/>
    <x v="21"/>
    <x v="0"/>
    <x v="0"/>
    <m/>
    <x v="0"/>
    <m/>
    <s v="Feb"/>
    <n v="2014"/>
    <s v="Account"/>
    <n v="0"/>
    <s v="No"/>
    <s v="None"/>
    <s v="[First Tech - Checking (5544)]"/>
  </r>
  <r>
    <s v="Capital One - Secondary Savings (3126)"/>
    <d v="2014-02-26T00:00:00"/>
    <n v="-117000"/>
    <s v="X"/>
    <x v="435"/>
    <s v="ACH Deposit--CAPITAL1 00000000000301749025 - TRANSFER"/>
    <s v="[First Tech - Checking (5544)]"/>
    <m/>
    <m/>
    <m/>
    <x v="21"/>
    <x v="0"/>
    <x v="0"/>
    <m/>
    <x v="0"/>
    <m/>
    <s v="Feb"/>
    <n v="2014"/>
    <s v="Account"/>
    <n v="0"/>
    <s v="No"/>
    <s v="None"/>
    <s v="[First Tech - Checking (5544)]"/>
  </r>
  <r>
    <s v="First Tech - Checking (5544)"/>
    <d v="2014-02-26T00:00:00"/>
    <n v="83000"/>
    <s v="X"/>
    <x v="436"/>
    <s v="ACH Deposit--CAPITAL1 00000000000301749963 - TRANSFER"/>
    <s v="[Capital One - Long Term Emergency (1201)]"/>
    <m/>
    <m/>
    <m/>
    <x v="1"/>
    <x v="0"/>
    <x v="0"/>
    <m/>
    <x v="0"/>
    <m/>
    <s v="Feb"/>
    <n v="2014"/>
    <s v="Account"/>
    <n v="0"/>
    <s v="No"/>
    <s v="None"/>
    <s v="[Capital One - Long Term Emergency (1201)]"/>
  </r>
  <r>
    <s v="First Tech - Checking (5544)"/>
    <d v="2014-02-26T00:00:00"/>
    <n v="117000"/>
    <s v="X"/>
    <x v="436"/>
    <s v="ACH Deposit--CAPITAL1 00000000000301749025 - TRANSFER"/>
    <s v="[Capital One - Secondary Savings (3126)]"/>
    <m/>
    <m/>
    <m/>
    <x v="2"/>
    <x v="0"/>
    <x v="0"/>
    <m/>
    <x v="0"/>
    <m/>
    <s v="Feb"/>
    <n v="2014"/>
    <s v="Account"/>
    <n v="0"/>
    <s v="No"/>
    <s v="None"/>
    <s v="[Capital One - Secondary Savings (3126)]"/>
  </r>
  <r>
    <s v="Koolikai Credit Card"/>
    <d v="2014-02-26T00:00:00"/>
    <n v="0"/>
    <s v="X"/>
    <x v="0"/>
    <s v="@CAT:@"/>
    <s v="[Koolikai Credit Card]"/>
    <m/>
    <m/>
    <m/>
    <x v="9"/>
    <x v="0"/>
    <x v="0"/>
    <m/>
    <x v="0"/>
    <m/>
    <s v="Feb"/>
    <n v="2014"/>
    <s v="Account"/>
    <n v="0"/>
    <s v="No"/>
    <s v="None"/>
    <s v="[Koolikai Credit Card]"/>
  </r>
  <r>
    <s v="MasterCard (Capital One)"/>
    <d v="2014-02-26T00:00:00"/>
    <n v="0"/>
    <s v="X"/>
    <x v="0"/>
    <s v="@CAT:@"/>
    <s v="[MasterCard (Capital One)]"/>
    <m/>
    <m/>
    <m/>
    <x v="38"/>
    <x v="0"/>
    <x v="0"/>
    <m/>
    <x v="0"/>
    <m/>
    <s v="Feb"/>
    <n v="2014"/>
    <s v="Account"/>
    <n v="0"/>
    <s v="No"/>
    <s v="None"/>
    <s v="[MasterCard (Capital One)]"/>
  </r>
  <r>
    <s v="MasterCard (Capital One)"/>
    <d v="2014-02-26T00:00:00"/>
    <n v="-60"/>
    <s v="X"/>
    <x v="437"/>
    <s v="2011: GG *PHINNEY NEIGHBORHO SEATTLE WA 98103 USA"/>
    <s v="Charity:Charity (Cash)"/>
    <m/>
    <m/>
    <m/>
    <x v="22"/>
    <x v="7"/>
    <x v="0"/>
    <m/>
    <x v="0"/>
    <m/>
    <s v="Feb"/>
    <n v="2014"/>
    <s v="Annual"/>
    <n v="0"/>
    <s v="No"/>
    <s v="None"/>
    <s v="Charity|Charity (Cash)"/>
  </r>
  <r>
    <s v="Koolikai Credit Card"/>
    <d v="2014-02-25T00:00:00"/>
    <n v="-15.84"/>
    <s v="X"/>
    <x v="375"/>
    <s v="Sink fixture repair parts"/>
    <s v="Business Expenses (Koolikai):Tools/9602:From Receipt"/>
    <m/>
    <m/>
    <s v="9602:From Receipt"/>
    <x v="36"/>
    <x v="49"/>
    <x v="0"/>
    <m/>
    <x v="0"/>
    <m/>
    <s v="Feb"/>
    <n v="2014"/>
    <s v="Irregular"/>
    <n v="0"/>
    <s v="No"/>
    <s v="None"/>
    <s v="Business Expenses (Koolikai)|Tools"/>
  </r>
  <r>
    <s v="Koolikai Credit Card"/>
    <d v="2014-02-25T00:00:00"/>
    <n v="-16.170000000000002"/>
    <s v="X"/>
    <x v="91"/>
    <s v="10&quot; Tongue in Groove plier (channel locks?)"/>
    <s v="Business Expenses (Koolikai):Repairs/9602:From Receipt"/>
    <m/>
    <m/>
    <s v="9602:From Receipt"/>
    <x v="36"/>
    <x v="41"/>
    <x v="0"/>
    <m/>
    <x v="0"/>
    <m/>
    <s v="Feb"/>
    <n v="2014"/>
    <s v="Irregular"/>
    <n v="0"/>
    <s v="No"/>
    <s v="None"/>
    <s v="Business Expenses (Koolikai)|Repairs"/>
  </r>
  <r>
    <s v="Koolikai Credit Card"/>
    <d v="2014-02-25T00:00:00"/>
    <n v="-16.399999999999999"/>
    <s v="X"/>
    <x v="105"/>
    <s v="Sink fixture repair parts"/>
    <s v="Business Expenses (Koolikai):Repairs/9602:From Receipt"/>
    <m/>
    <m/>
    <s v="9602:From Receipt"/>
    <x v="36"/>
    <x v="41"/>
    <x v="0"/>
    <m/>
    <x v="0"/>
    <m/>
    <s v="Feb"/>
    <n v="2014"/>
    <s v="Irregular"/>
    <n v="0"/>
    <s v="No"/>
    <s v="None"/>
    <s v="Business Expenses (Koolikai)|Repairs"/>
  </r>
  <r>
    <s v="Koolikai Credit Card"/>
    <d v="2014-02-25T00:00:00"/>
    <n v="-125.97"/>
    <s v="X"/>
    <x v="105"/>
    <s v="Basin wrench, bucket, and inspection camera"/>
    <s v="Business Expenses (Koolikai):Tools/From Receipt"/>
    <m/>
    <m/>
    <s v="From Receipt"/>
    <x v="36"/>
    <x v="49"/>
    <x v="0"/>
    <m/>
    <x v="0"/>
    <m/>
    <s v="Feb"/>
    <n v="2014"/>
    <s v="Irregular"/>
    <n v="0"/>
    <s v="No"/>
    <s v="None"/>
    <s v="Business Expenses (Koolikai)|Tools"/>
  </r>
  <r>
    <s v="MasterCard (Capital One)"/>
    <d v="2014-02-25T00:00:00"/>
    <n v="-12.32"/>
    <s v="X"/>
    <x v="438"/>
    <s v="Play for Ang, Dave, Zach, and Josh"/>
    <s v="Kids:Kids Activities"/>
    <m/>
    <m/>
    <m/>
    <x v="27"/>
    <x v="12"/>
    <x v="0"/>
    <m/>
    <x v="0"/>
    <m/>
    <s v="Feb"/>
    <n v="2014"/>
    <s v="Monthly"/>
    <n v="0"/>
    <s v="No"/>
    <s v="None"/>
    <s v="Kids|Kids Activities"/>
  </r>
  <r>
    <s v="MasterCard (Capital One)"/>
    <d v="2014-02-25T00:00:00"/>
    <n v="-0.39"/>
    <s v="X"/>
    <x v="299"/>
    <s v="2011: CAFE 86 11171386 REDMOND WA 98052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25T00:00:00"/>
    <n v="-100"/>
    <s v="X"/>
    <x v="299"/>
    <s v="2011: CAFE 86 11171386 REDMOND WA 98052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25T00:00:00"/>
    <n v="-292"/>
    <s v="X"/>
    <x v="167"/>
    <s v="#Scottsdale 2014#"/>
    <s v="Vacation:Transportation"/>
    <m/>
    <m/>
    <m/>
    <x v="23"/>
    <x v="26"/>
    <x v="0"/>
    <m/>
    <x v="19"/>
    <m/>
    <s v="Feb"/>
    <n v="2014"/>
    <s v="Irregular"/>
    <n v="0"/>
    <s v="No"/>
    <s v="None"/>
    <s v="Vacation|Transportation"/>
  </r>
  <r>
    <s v="MasterCard (Capital One)"/>
    <d v="2014-02-25T00:00:00"/>
    <n v="-292"/>
    <s v="X"/>
    <x v="167"/>
    <s v="#Scottsdale 2014#"/>
    <s v="Vacation:Transportation"/>
    <m/>
    <m/>
    <m/>
    <x v="23"/>
    <x v="26"/>
    <x v="0"/>
    <m/>
    <x v="19"/>
    <m/>
    <s v="Feb"/>
    <n v="2014"/>
    <s v="Irregular"/>
    <n v="0"/>
    <s v="No"/>
    <s v="None"/>
    <s v="Vacation|Transportation"/>
  </r>
  <r>
    <s v="MasterCard (Capital One)"/>
    <d v="2014-02-25T00:00:00"/>
    <n v="-292"/>
    <s v="X"/>
    <x v="167"/>
    <s v="#Scottsdale 2014#"/>
    <s v="Vacation:Transportation"/>
    <m/>
    <m/>
    <m/>
    <x v="23"/>
    <x v="26"/>
    <x v="0"/>
    <m/>
    <x v="19"/>
    <m/>
    <s v="Feb"/>
    <n v="2014"/>
    <s v="Irregular"/>
    <n v="0"/>
    <s v="No"/>
    <s v="None"/>
    <s v="Vacation|Transportation"/>
  </r>
  <r>
    <s v="MasterCard (Capital One)"/>
    <d v="2014-02-25T00:00:00"/>
    <n v="-292"/>
    <s v="X"/>
    <x v="167"/>
    <s v="#Scottsdale 2014#"/>
    <s v="Vacation:Transportation"/>
    <m/>
    <m/>
    <m/>
    <x v="23"/>
    <x v="26"/>
    <x v="0"/>
    <m/>
    <x v="19"/>
    <m/>
    <s v="Feb"/>
    <n v="2014"/>
    <s v="Irregular"/>
    <n v="0"/>
    <s v="No"/>
    <s v="None"/>
    <s v="Vacation|Transportation"/>
  </r>
  <r>
    <s v="First Tech - Checking (5544)"/>
    <d v="2014-02-24T00:00:00"/>
    <n v="-90"/>
    <s v="X"/>
    <x v="110"/>
    <s v="ACH Debit--DISCOVER DC PYMNTS DCIDPIINT - E-PAYMENT"/>
    <s v="[Discover Card]"/>
    <m/>
    <m/>
    <m/>
    <x v="24"/>
    <x v="0"/>
    <x v="0"/>
    <m/>
    <x v="0"/>
    <m/>
    <s v="Feb"/>
    <n v="2014"/>
    <s v="Account"/>
    <n v="0"/>
    <s v="No"/>
    <s v="None"/>
    <s v="[Discover Card]"/>
  </r>
  <r>
    <s v="First Tech - Checking (5544)"/>
    <d v="2014-02-24T00:00:00"/>
    <n v="-250.3"/>
    <s v="X"/>
    <x v="157"/>
    <s v="ACH Debit--AMEX EPayment AM - ACH PMT"/>
    <s v="[American Express (Costco)]"/>
    <m/>
    <m/>
    <m/>
    <x v="20"/>
    <x v="0"/>
    <x v="0"/>
    <m/>
    <x v="0"/>
    <m/>
    <s v="Feb"/>
    <n v="2014"/>
    <s v="Account"/>
    <n v="0"/>
    <s v="No"/>
    <s v="None"/>
    <s v="[American Express (Costco)]"/>
  </r>
  <r>
    <s v="First Tech - Checking (5544)"/>
    <d v="2014-02-24T00:00:00"/>
    <n v="-65"/>
    <s v="X"/>
    <x v="107"/>
    <s v="Check--"/>
    <s v="Kids:Babysitter"/>
    <n v="2295"/>
    <m/>
    <m/>
    <x v="27"/>
    <x v="13"/>
    <x v="0"/>
    <m/>
    <x v="0"/>
    <m/>
    <s v="Feb"/>
    <n v="2014"/>
    <s v="Monthly"/>
    <n v="0"/>
    <s v="No"/>
    <s v="None"/>
    <s v="Kids|Babysitter"/>
  </r>
  <r>
    <s v="Koolikai - Checking XX2129"/>
    <d v="2014-02-24T00:00:00"/>
    <n v="-146.54"/>
    <s v="X"/>
    <x v="11"/>
    <s v="ACH Debit--CHASE  - AUTOPAYBUS"/>
    <s v="[Koolikai Credit Card]"/>
    <m/>
    <m/>
    <m/>
    <x v="9"/>
    <x v="0"/>
    <x v="0"/>
    <m/>
    <x v="0"/>
    <m/>
    <s v="Feb"/>
    <n v="2014"/>
    <s v="Account"/>
    <n v="0"/>
    <s v="No"/>
    <s v="None"/>
    <s v="[Koolikai Credit Card]"/>
  </r>
  <r>
    <s v="American Express (Costco)"/>
    <d v="2014-02-24T00:00:00"/>
    <n v="250.3"/>
    <s v="X"/>
    <x v="157"/>
    <s v="ACH Debit--AMEX EPayment AM - ACH PMT"/>
    <s v="[First Tech - Checking (5544)]"/>
    <m/>
    <m/>
    <m/>
    <x v="21"/>
    <x v="0"/>
    <x v="0"/>
    <m/>
    <x v="0"/>
    <m/>
    <s v="Feb"/>
    <n v="2014"/>
    <s v="Account"/>
    <n v="0"/>
    <s v="No"/>
    <s v="None"/>
    <s v="[First Tech - Checking (5544)]"/>
  </r>
  <r>
    <s v="Discover Card"/>
    <d v="2014-02-24T00:00:00"/>
    <n v="90"/>
    <s v="X"/>
    <x v="110"/>
    <s v="ACH Debit--DISCOVER DC PYMNTS DCIDPIINT - E-PAYMENT"/>
    <s v="[First Tech - Checking (5544)]"/>
    <m/>
    <m/>
    <m/>
    <x v="21"/>
    <x v="0"/>
    <x v="0"/>
    <m/>
    <x v="0"/>
    <m/>
    <s v="Feb"/>
    <n v="2014"/>
    <s v="Account"/>
    <n v="0"/>
    <s v="No"/>
    <s v="None"/>
    <s v="[First Tech - Checking (5544)]"/>
  </r>
  <r>
    <s v="Koolikai Credit Card"/>
    <d v="2014-02-24T00:00:00"/>
    <n v="146.54"/>
    <s v="X"/>
    <x v="11"/>
    <s v="ACH Debit--CHASE  - AUTOPAYBUS"/>
    <s v="[Koolikai - Checking XX2129]"/>
    <m/>
    <m/>
    <m/>
    <x v="25"/>
    <x v="0"/>
    <x v="0"/>
    <m/>
    <x v="0"/>
    <m/>
    <s v="Feb"/>
    <n v="2014"/>
    <s v="Account"/>
    <n v="0"/>
    <s v="No"/>
    <s v="None"/>
    <s v="[Koolikai - Checking XX2129]"/>
  </r>
  <r>
    <s v="MasterCard (Capital One)"/>
    <d v="2014-02-24T00:00:00"/>
    <n v="-13.73"/>
    <s v="X"/>
    <x v="2"/>
    <s v="2011: FRED-MEYER #0122 SEATTLE WA 98117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23T00:00:00"/>
    <n v="-47.07"/>
    <s v="X"/>
    <x v="439"/>
    <s v="Oil change for the RAV"/>
    <s v="Auto &amp; Transport:Service &amp; Parts/From Receipt"/>
    <m/>
    <m/>
    <s v="From Receipt"/>
    <x v="17"/>
    <x v="64"/>
    <x v="0"/>
    <m/>
    <x v="0"/>
    <m/>
    <s v="Feb"/>
    <n v="2014"/>
    <s v="Unplanned"/>
    <n v="0"/>
    <s v="No"/>
    <s v="None"/>
    <s v="Auto &amp; Transport|Service &amp; Parts"/>
  </r>
  <r>
    <s v="MasterCard (Capital One)"/>
    <d v="2014-02-23T00:00:00"/>
    <n v="-6.17"/>
    <s v="X"/>
    <x v="57"/>
    <s v="2011: KEN'S MARKET #75-116 SEATTLE WA 98103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22T00:00:00"/>
    <n v="-8.1"/>
    <s v="X"/>
    <x v="440"/>
    <s v="#Family Reunion#"/>
    <s v="Vacation:Transportation"/>
    <m/>
    <m/>
    <m/>
    <x v="23"/>
    <x v="26"/>
    <x v="0"/>
    <m/>
    <x v="25"/>
    <m/>
    <s v="Feb"/>
    <n v="2014"/>
    <s v="Irregular"/>
    <n v="0"/>
    <s v="No"/>
    <s v="None"/>
    <s v="Vacation|Transportation"/>
  </r>
  <r>
    <s v="MasterCard (Capital One)"/>
    <d v="2014-02-22T00:00:00"/>
    <n v="-12.85"/>
    <s v="X"/>
    <x v="441"/>
    <s v="#Family Reunion#"/>
    <s v="Vacation:Transportation"/>
    <m/>
    <m/>
    <m/>
    <x v="23"/>
    <x v="26"/>
    <x v="0"/>
    <m/>
    <x v="25"/>
    <m/>
    <s v="Feb"/>
    <n v="2014"/>
    <s v="Irregular"/>
    <n v="0"/>
    <s v="No"/>
    <s v="None"/>
    <s v="Vacation|Transportation"/>
  </r>
  <r>
    <s v="MasterCard (Capital One)"/>
    <d v="2014-02-22T00:00:00"/>
    <n v="-21.48"/>
    <s v="X"/>
    <x v="442"/>
    <s v="Wne for the Owen birthday party"/>
    <s v="Gifts"/>
    <m/>
    <m/>
    <m/>
    <x v="28"/>
    <x v="0"/>
    <x v="0"/>
    <m/>
    <x v="0"/>
    <m/>
    <s v="Feb"/>
    <n v="2014"/>
    <s v="Monthly"/>
    <n v="0"/>
    <s v="No"/>
    <s v="None"/>
    <s v="Gifts"/>
  </r>
  <r>
    <s v="MasterCard (Capital One)"/>
    <d v="2014-02-22T00:00:00"/>
    <n v="-30.16"/>
    <s v="X"/>
    <x v="43"/>
    <s v="2011: TRADER JOE'S #147 QPS SEATTLE WA 98107 USA"/>
    <s v="Food &amp; Dining:Groceries"/>
    <m/>
    <m/>
    <m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22T00:00:00"/>
    <n v="-123.85"/>
    <s v="X"/>
    <x v="2"/>
    <s v="2011: FRED-MEYER #0608 SEATTLE WA 98107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Target Red Card"/>
    <d v="2014-02-22T00:00:00"/>
    <n v="-204.82"/>
    <s v="X"/>
    <x v="21"/>
    <s v="Bedding, lamps, etc. for kids new bedroom"/>
    <s v="Projects:Boy's Room/From Receipt"/>
    <n v="799999940531"/>
    <m/>
    <s v="From Receipt"/>
    <x v="39"/>
    <x v="57"/>
    <x v="0"/>
    <m/>
    <x v="0"/>
    <m/>
    <s v="Feb"/>
    <n v="2014"/>
    <s v="Unplanned"/>
    <n v="0"/>
    <s v="No"/>
    <s v="None"/>
    <s v="Projects|Boy's Room"/>
  </r>
  <r>
    <s v="First Tech - Checking (5544)"/>
    <d v="2014-02-21T00:00:00"/>
    <n v="-115"/>
    <s v="X"/>
    <x v="176"/>
    <s v="ACH Debit--THE CLEANING AUT  - ONLINE PMT"/>
    <s v="Home:Home Services"/>
    <m/>
    <m/>
    <m/>
    <x v="14"/>
    <x v="46"/>
    <x v="0"/>
    <m/>
    <x v="0"/>
    <m/>
    <s v="Feb"/>
    <n v="2014"/>
    <s v="Monthly"/>
    <n v="0"/>
    <s v="No"/>
    <s v="None"/>
    <s v="Home|Home Services"/>
  </r>
  <r>
    <s v="First Tech - Checking (5544)"/>
    <d v="2014-02-21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Feb"/>
    <n v="2014"/>
    <s v="Monthly"/>
    <n v="0"/>
    <s v="No"/>
    <s v="None"/>
    <s v="Auto &amp; Transport|Auto Lease Payment"/>
  </r>
  <r>
    <s v="MasterCard (Capital One)"/>
    <d v="2014-02-21T00:00:00"/>
    <n v="-20"/>
    <s v="X"/>
    <x v="32"/>
    <s v="2011: SQ *STARBUCKS #00104 S Seattle WA 981011448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20T00:00:00"/>
    <n v="-6.56"/>
    <s v="X"/>
    <x v="402"/>
    <s v="2011: FRESH TABLE-MET PARK SEATTLE WA 98101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20T00:00:00"/>
    <n v="-4.59"/>
    <s v="X"/>
    <x v="57"/>
    <s v="2011: KEN'S MARKET #75-116 SEATTLE WA 98103 USA"/>
    <s v="Food &amp; Dining:Groceries"/>
    <m/>
    <m/>
    <m/>
    <x v="15"/>
    <x v="3"/>
    <x v="0"/>
    <m/>
    <x v="0"/>
    <m/>
    <s v="Feb"/>
    <n v="2014"/>
    <s v="Monthly"/>
    <n v="0"/>
    <s v="No"/>
    <s v="None"/>
    <s v="Food &amp; Dining|Groceries"/>
  </r>
  <r>
    <s v="First Tech - Checking (5544)"/>
    <d v="2014-02-19T00:00:00"/>
    <n v="30"/>
    <s v="X"/>
    <x v="443"/>
    <s v="Refund of insurance over payment"/>
    <s v="Business Expenses (Koolikai):Mortgage (Business)"/>
    <m/>
    <m/>
    <m/>
    <x v="36"/>
    <x v="30"/>
    <x v="0"/>
    <m/>
    <x v="0"/>
    <m/>
    <s v="Feb"/>
    <n v="2014"/>
    <s v="Monthly"/>
    <n v="0"/>
    <s v="No"/>
    <s v="None"/>
    <s v="Business Expenses (Koolikai)|Mortgage (Business)"/>
  </r>
  <r>
    <s v="MasterCard (Capital One)"/>
    <d v="2014-02-19T00:00:00"/>
    <n v="25"/>
    <s v="X"/>
    <x v="60"/>
    <s v="2011: CREDIT-CASH BACK REWARD"/>
    <s v="Other Inc"/>
    <m/>
    <m/>
    <m/>
    <x v="29"/>
    <x v="0"/>
    <x v="0"/>
    <m/>
    <x v="0"/>
    <m/>
    <s v="Feb"/>
    <n v="2014"/>
    <s v="Monthly"/>
    <n v="0"/>
    <s v="No"/>
    <s v="None"/>
    <s v="Other Inc"/>
  </r>
  <r>
    <s v="First Tech - Checking (5544)"/>
    <d v="2014-02-18T00:00:00"/>
    <n v="-100"/>
    <s v="X"/>
    <x v="90"/>
    <s v="ACH Debit--PHINNEY RIDGE LU 504759859 - CONTRIBUTN"/>
    <s v="Kids:Daycare"/>
    <m/>
    <m/>
    <m/>
    <x v="27"/>
    <x v="35"/>
    <x v="0"/>
    <m/>
    <x v="0"/>
    <m/>
    <s v="Feb"/>
    <n v="2014"/>
    <s v="Monthly"/>
    <n v="0"/>
    <s v="No"/>
    <s v="None"/>
    <s v="Kids|Daycare"/>
  </r>
  <r>
    <s v="First Tech - Short Term Emergency (5400)"/>
    <d v="2014-02-18T00:00:00"/>
    <n v="0"/>
    <s v="X"/>
    <x v="0"/>
    <s v="@CAT:@;@BAL:$5.00@"/>
    <s v="[First Tech - Short Term Emergency (5400)]"/>
    <m/>
    <m/>
    <m/>
    <x v="4"/>
    <x v="0"/>
    <x v="0"/>
    <m/>
    <x v="0"/>
    <m/>
    <s v="Feb"/>
    <n v="2014"/>
    <s v="Account"/>
    <n v="0"/>
    <s v="No"/>
    <s v="None"/>
    <s v="[First Tech - Short Term Emergency (5400)]"/>
  </r>
  <r>
    <s v="Schwab - Checking (9784)"/>
    <d v="2014-02-18T00:00:00"/>
    <n v="0"/>
    <s v="X"/>
    <x v="0"/>
    <s v="@BAL:1524.95@;@CAT:@"/>
    <s v="[Schwab - Checking (9784)]"/>
    <m/>
    <m/>
    <m/>
    <x v="5"/>
    <x v="0"/>
    <x v="0"/>
    <m/>
    <x v="0"/>
    <m/>
    <s v="Feb"/>
    <n v="2014"/>
    <s v="Account"/>
    <n v="0"/>
    <s v="No"/>
    <s v="None"/>
    <s v="[Schwab - Checking (9784)]"/>
  </r>
  <r>
    <s v="Discover Card"/>
    <d v="2014-02-18T00:00:00"/>
    <n v="0"/>
    <s v="X"/>
    <x v="0"/>
    <s v="@CAT:@"/>
    <s v="[Discover Card]"/>
    <m/>
    <m/>
    <m/>
    <x v="24"/>
    <x v="0"/>
    <x v="0"/>
    <m/>
    <x v="0"/>
    <m/>
    <s v="Feb"/>
    <n v="2014"/>
    <s v="Account"/>
    <n v="0"/>
    <s v="No"/>
    <s v="None"/>
    <s v="[Discover Card]"/>
  </r>
  <r>
    <s v="AmericanWest (1186)"/>
    <d v="2014-02-17T00:00:00"/>
    <n v="0"/>
    <m/>
    <x v="0"/>
    <s v="@BAL:100.00@"/>
    <s v="[AmericanWest (1186)]"/>
    <m/>
    <m/>
    <m/>
    <x v="52"/>
    <x v="0"/>
    <x v="0"/>
    <m/>
    <x v="0"/>
    <m/>
    <s v="Feb"/>
    <n v="2014"/>
    <s v="Account"/>
    <n v="0"/>
    <s v="No"/>
    <s v="None"/>
    <s v="[AmericanWest (1186)]"/>
  </r>
  <r>
    <s v="MasterCard (Capital One)"/>
    <d v="2014-02-17T00:00:00"/>
    <n v="-41.4"/>
    <s v="X"/>
    <x v="444"/>
    <s v="2011: SQ *LISA AT STARDUST S Seattle WA 98103 USA"/>
    <s v="Personal Care:Hair"/>
    <m/>
    <m/>
    <m/>
    <x v="31"/>
    <x v="16"/>
    <x v="0"/>
    <m/>
    <x v="0"/>
    <m/>
    <s v="Feb"/>
    <n v="2014"/>
    <s v="Monthly"/>
    <n v="0"/>
    <s v="No"/>
    <s v="None"/>
    <s v="Personal Care|Hair"/>
  </r>
  <r>
    <s v="MasterCard (Capital One)"/>
    <d v="2014-02-17T00:00:00"/>
    <n v="-982.57"/>
    <s v="X"/>
    <x v="445"/>
    <s v="2011: ESI PHARM COLUMBUS 08002822881 OH 43228 USA"/>
    <s v="Health &amp; Fitness:Pharmacy"/>
    <m/>
    <m/>
    <m/>
    <x v="18"/>
    <x v="38"/>
    <x v="0"/>
    <m/>
    <x v="0"/>
    <m/>
    <s v="Feb"/>
    <n v="2014"/>
    <s v="Irregular"/>
    <n v="0"/>
    <s v="No"/>
    <s v="None"/>
    <s v="Health &amp; Fitness|Pharmacy"/>
  </r>
  <r>
    <s v="MasterCard (Capital One)"/>
    <d v="2014-02-17T00:00:00"/>
    <n v="-4.4400000000000004"/>
    <s v="X"/>
    <x v="57"/>
    <m/>
    <s v="Food &amp; Dining:Groceries"/>
    <m/>
    <m/>
    <m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17T00:00:00"/>
    <n v="-18.29"/>
    <s v="X"/>
    <x v="420"/>
    <m/>
    <s v="Kids:Kids Activities"/>
    <m/>
    <m/>
    <m/>
    <x v="27"/>
    <x v="12"/>
    <x v="0"/>
    <m/>
    <x v="0"/>
    <m/>
    <s v="Feb"/>
    <n v="2014"/>
    <s v="Monthly"/>
    <n v="0"/>
    <s v="No"/>
    <s v="None"/>
    <s v="Kids|Kids Activities"/>
  </r>
  <r>
    <s v="REI Mastercard (xx1787)"/>
    <d v="2014-02-17T00:00:00"/>
    <n v="0"/>
    <s v="X"/>
    <x v="0"/>
    <s v="@BAL:$126.00@;@CAT:@"/>
    <s v="[REI Mastercard (xx1787)]"/>
    <m/>
    <m/>
    <m/>
    <x v="11"/>
    <x v="0"/>
    <x v="0"/>
    <m/>
    <x v="0"/>
    <m/>
    <s v="Feb"/>
    <n v="2014"/>
    <e v="#N/A"/>
    <e v="#N/A"/>
    <e v="#N/A"/>
    <e v="#N/A"/>
    <s v="[REI Mastercard (xx1787)]"/>
  </r>
  <r>
    <s v="Target Red Card"/>
    <d v="2014-02-17T00:00:00"/>
    <n v="0"/>
    <s v="X"/>
    <x v="0"/>
    <s v="@CAT:@"/>
    <s v="[Target Red Card]"/>
    <m/>
    <m/>
    <m/>
    <x v="12"/>
    <x v="0"/>
    <x v="0"/>
    <m/>
    <x v="0"/>
    <m/>
    <s v="Feb"/>
    <n v="2014"/>
    <s v="Account"/>
    <n v="0"/>
    <s v="No"/>
    <s v="None"/>
    <s v="[Target Red Card]"/>
  </r>
  <r>
    <s v="MasterCard (Capital One)"/>
    <d v="2014-02-16T00:00:00"/>
    <n v="-93.55"/>
    <s v="X"/>
    <x v="2"/>
    <s v="2011: FRED-MEYER #0122 SEATTLE WA 98117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16T00:00:00"/>
    <n v="-12.72"/>
    <s v="X"/>
    <x v="294"/>
    <s v="2011: PIE - SEATTLE CENTER SEATTLE WA 98109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16T00:00:00"/>
    <n v="-20.260000000000002"/>
    <s v="X"/>
    <x v="446"/>
    <s v="2011: SKILLET COUNTER SEATTLE WA 98109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15T00:00:00"/>
    <n v="-1.35"/>
    <s v="X"/>
    <x v="125"/>
    <s v="2011: SEATTLE CITY LIGHT 02066843000 WA 98124 USA"/>
    <s v="Business Expenses (Koolikai):Utilities (Business)/9602"/>
    <m/>
    <m/>
    <n v="9602"/>
    <x v="36"/>
    <x v="63"/>
    <x v="0"/>
    <m/>
    <x v="0"/>
    <m/>
    <s v="Feb"/>
    <n v="2014"/>
    <s v="Monthly"/>
    <n v="0"/>
    <s v="No"/>
    <s v="None"/>
    <s v="Business Expenses (Koolikai)|Utilities (Business)"/>
  </r>
  <r>
    <s v="MasterCard (Capital One)"/>
    <d v="2014-02-15T00:00:00"/>
    <n v="-3"/>
    <s v="X"/>
    <x v="15"/>
    <s v="2011: DIAMOND PARKING WE09 EVERETT WA 98106 USA"/>
    <s v="Auto &amp; Transport:Parking"/>
    <m/>
    <m/>
    <m/>
    <x v="17"/>
    <x v="11"/>
    <x v="0"/>
    <m/>
    <x v="0"/>
    <m/>
    <s v="Feb"/>
    <n v="2014"/>
    <s v="Monthly"/>
    <n v="0"/>
    <s v="No"/>
    <s v="None"/>
    <s v="Auto &amp; Transport|Parking"/>
  </r>
  <r>
    <s v="MasterCard (Capital One)"/>
    <d v="2014-02-15T00:00:00"/>
    <n v="-62.39"/>
    <s v="X"/>
    <x v="447"/>
    <s v="2011: GAINSBOURG SEATTLE WA 98103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15T00:00:00"/>
    <n v="-95"/>
    <s v="X"/>
    <x v="389"/>
    <s v="2011: IMAGINE CHILDREN'S MUS EVERETT WA 98201 USA"/>
    <s v="Kids:Kids Activities/From Receipt"/>
    <m/>
    <m/>
    <s v="From Receipt"/>
    <x v="27"/>
    <x v="12"/>
    <x v="0"/>
    <m/>
    <x v="0"/>
    <m/>
    <s v="Feb"/>
    <n v="2014"/>
    <s v="Monthly"/>
    <n v="0"/>
    <s v="No"/>
    <s v="None"/>
    <s v="Kids|Kids Activities"/>
  </r>
  <r>
    <s v="First Tech - Checking (5544)"/>
    <d v="2014-02-13T00:00:00"/>
    <n v="3165.2"/>
    <s v="X"/>
    <x v="47"/>
    <s v="@BAL:$44,862.43@;@CAT:@"/>
    <s v="Net Salary"/>
    <m/>
    <m/>
    <m/>
    <x v="35"/>
    <x v="0"/>
    <x v="0"/>
    <m/>
    <x v="0"/>
    <m/>
    <s v="Feb"/>
    <n v="2014"/>
    <s v="Monthly"/>
    <n v="0"/>
    <s v="No"/>
    <s v="None"/>
    <s v="Net Salary"/>
  </r>
  <r>
    <s v="First Tech - Checking (5544)"/>
    <d v="2014-02-12T00:00:00"/>
    <n v="-148.06"/>
    <s v="X"/>
    <x v="45"/>
    <s v="ACH Debit--PUGET SOUND ENER DIRECT DEBITING - PSE BILL  35000281"/>
    <s v="Bills &amp; Utilities:Utilities"/>
    <m/>
    <m/>
    <m/>
    <x v="34"/>
    <x v="18"/>
    <x v="0"/>
    <m/>
    <x v="0"/>
    <m/>
    <s v="Feb"/>
    <n v="2014"/>
    <s v="Monthly"/>
    <n v="0"/>
    <s v="No"/>
    <s v="None"/>
    <s v="Bills &amp; Utilities|Utilities"/>
  </r>
  <r>
    <s v="Koolikai Credit Card"/>
    <d v="2014-02-12T00:00:00"/>
    <n v="-146.74"/>
    <s v="X"/>
    <x v="55"/>
    <s v="@CAT:@"/>
    <s v="Business Expenses (Koolikai):Cell Phone"/>
    <m/>
    <m/>
    <m/>
    <x v="36"/>
    <x v="22"/>
    <x v="0"/>
    <m/>
    <x v="0"/>
    <m/>
    <s v="Feb"/>
    <n v="2014"/>
    <s v="Monthly"/>
    <n v="0"/>
    <s v="No"/>
    <s v="None"/>
    <s v="Business Expenses (Koolikai)|Cell Phone"/>
  </r>
  <r>
    <s v="MasterCard (Capital One)"/>
    <d v="2014-02-12T00:00:00"/>
    <n v="50"/>
    <s v="X"/>
    <x v="60"/>
    <s v="2011: CREDIT-CASH BACK REWARD;@CAT:@"/>
    <s v="Other Inc"/>
    <m/>
    <m/>
    <m/>
    <x v="29"/>
    <x v="0"/>
    <x v="0"/>
    <m/>
    <x v="0"/>
    <m/>
    <s v="Feb"/>
    <n v="2014"/>
    <s v="Monthly"/>
    <n v="0"/>
    <s v="No"/>
    <s v="None"/>
    <s v="Other Inc"/>
  </r>
  <r>
    <s v="MasterCard (Capital One)"/>
    <d v="2014-02-12T00:00:00"/>
    <n v="-54"/>
    <s v="X"/>
    <x v="443"/>
    <s v="Fire insurance for 7231"/>
    <s v="Business Expenses (Koolikai):Mortgage (Business)/7231"/>
    <m/>
    <m/>
    <n v="7231"/>
    <x v="36"/>
    <x v="30"/>
    <x v="0"/>
    <m/>
    <x v="0"/>
    <m/>
    <s v="Feb"/>
    <n v="2014"/>
    <s v="Monthly"/>
    <n v="0"/>
    <s v="No"/>
    <s v="None"/>
    <s v="Business Expenses (Koolikai)|Mortgage (Business)"/>
  </r>
  <r>
    <s v="MasterCard (Capital One)"/>
    <d v="2014-02-12T00:00:00"/>
    <n v="-0.27"/>
    <s v="X"/>
    <x v="448"/>
    <s v="Zach prescription pain killer"/>
    <s v="Health &amp; Fitness:Pharmacy"/>
    <m/>
    <m/>
    <m/>
    <x v="18"/>
    <x v="38"/>
    <x v="0"/>
    <m/>
    <x v="0"/>
    <m/>
    <s v="Feb"/>
    <n v="2014"/>
    <s v="Irregular"/>
    <n v="0"/>
    <s v="No"/>
    <s v="None"/>
    <s v="Health &amp; Fitness|Pharmacy"/>
  </r>
  <r>
    <s v="MasterCard (Capital One)"/>
    <d v="2014-02-12T00:00:00"/>
    <n v="-3.14"/>
    <s v="X"/>
    <x v="238"/>
    <s v="Valentines"/>
    <s v="Gifts/From Receipt"/>
    <m/>
    <m/>
    <s v="From Receipt"/>
    <x v="28"/>
    <x v="0"/>
    <x v="0"/>
    <m/>
    <x v="0"/>
    <m/>
    <s v="Feb"/>
    <n v="2014"/>
    <s v="Monthly"/>
    <n v="0"/>
    <s v="No"/>
    <s v="None"/>
    <s v="Gifts"/>
  </r>
  <r>
    <s v="MasterCard (Capital One)"/>
    <d v="2014-02-12T00:00:00"/>
    <n v="-10"/>
    <s v="X"/>
    <x v="449"/>
    <s v="Parking for Zach's surgery"/>
    <s v="Auto &amp; Transport:Parking"/>
    <m/>
    <m/>
    <m/>
    <x v="17"/>
    <x v="11"/>
    <x v="0"/>
    <m/>
    <x v="0"/>
    <m/>
    <s v="Feb"/>
    <n v="2014"/>
    <s v="Monthly"/>
    <n v="0"/>
    <s v="No"/>
    <s v="None"/>
    <s v="Auto &amp; Transport|Parking"/>
  </r>
  <r>
    <s v="MasterCard (Capital One)"/>
    <d v="2014-02-12T00:00:00"/>
    <n v="-33.909999999999997"/>
    <s v="X"/>
    <x v="2"/>
    <s v="@CAT:@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11T00:00:00"/>
    <n v="-17"/>
    <s v="X"/>
    <x v="450"/>
    <s v="2011: CRAFT E FAMILY LLC 317-996-2124 IN 46158 USA"/>
    <s v="Gifts"/>
    <m/>
    <m/>
    <m/>
    <x v="28"/>
    <x v="0"/>
    <x v="0"/>
    <m/>
    <x v="0"/>
    <m/>
    <s v="Feb"/>
    <n v="2014"/>
    <s v="Monthly"/>
    <n v="0"/>
    <s v="No"/>
    <s v="None"/>
    <s v="Gifts"/>
  </r>
  <r>
    <s v="MasterCard (Capital One)"/>
    <d v="2014-02-10T00:00:00"/>
    <n v="-138"/>
    <s v="X"/>
    <x v="451"/>
    <s v="#Sheryl's wedding#"/>
    <s v="Vacation:Transportation"/>
    <m/>
    <m/>
    <m/>
    <x v="23"/>
    <x v="26"/>
    <x v="0"/>
    <m/>
    <x v="24"/>
    <m/>
    <s v="Feb"/>
    <n v="2014"/>
    <s v="Irregular"/>
    <n v="0"/>
    <s v="No"/>
    <s v="None"/>
    <s v="Vacation|Transportation"/>
  </r>
  <r>
    <s v="MasterCard (Capital One)"/>
    <d v="2014-02-10T00:00:00"/>
    <n v="-335"/>
    <s v="X"/>
    <x v="443"/>
    <s v="2011: LIBERTY MUTUAL 888-398-8924 MA 02116 USA"/>
    <s v="Bills &amp; Utilities:Insurance (Umbrella)"/>
    <m/>
    <m/>
    <m/>
    <x v="34"/>
    <x v="67"/>
    <x v="0"/>
    <m/>
    <x v="0"/>
    <m/>
    <s v="Feb"/>
    <n v="2014"/>
    <s v="Monthly"/>
    <n v="0"/>
    <s v="No"/>
    <s v="None"/>
    <s v="Bills &amp; Utilities|Insurance (Umbrella)"/>
  </r>
  <r>
    <s v="MasterCard (Capital One)"/>
    <d v="2014-02-10T00:00:00"/>
    <n v="-2259.7199999999998"/>
    <s v="X"/>
    <x v="443"/>
    <s v="2011: LIBERTY MUTUAL 888-398-8924 MA 02116 USA"/>
    <s v="Auto &amp; Transport:Auto Insurance"/>
    <m/>
    <m/>
    <m/>
    <x v="17"/>
    <x v="68"/>
    <x v="0"/>
    <m/>
    <x v="0"/>
    <m/>
    <s v="Feb"/>
    <n v="2014"/>
    <s v="Annual"/>
    <n v="0"/>
    <s v="No"/>
    <s v="None"/>
    <s v="Auto &amp; Transport|Auto Insurance"/>
  </r>
  <r>
    <s v="Target Red Card"/>
    <d v="2014-02-10T00:00:00"/>
    <n v="-3.32"/>
    <s v="X"/>
    <x v="21"/>
    <s v="Valentines for the boys;@BAL:$61.60@"/>
    <s v="Gifts/From Receipt"/>
    <n v="799999940411"/>
    <m/>
    <s v="From Receipt"/>
    <x v="28"/>
    <x v="0"/>
    <x v="0"/>
    <m/>
    <x v="0"/>
    <m/>
    <s v="Feb"/>
    <n v="2014"/>
    <s v="Monthly"/>
    <n v="0"/>
    <s v="No"/>
    <s v="None"/>
    <s v="Gifts"/>
  </r>
  <r>
    <s v="Schwab - Checking (9784)"/>
    <d v="2014-02-09T00:00:00"/>
    <n v="-40"/>
    <s v="X"/>
    <x v="452"/>
    <m/>
    <s v="Kids:Babysitter"/>
    <m/>
    <s v="Split"/>
    <m/>
    <x v="27"/>
    <x v="13"/>
    <x v="0"/>
    <m/>
    <x v="0"/>
    <m/>
    <s v="Feb"/>
    <n v="2014"/>
    <s v="Monthly"/>
    <n v="0"/>
    <s v="No"/>
    <s v="None"/>
    <s v="Kids|Babysitter"/>
  </r>
  <r>
    <s v="Schwab - Checking (9784)"/>
    <d v="2014-02-09T00:00:00"/>
    <n v="-3.5"/>
    <s v="X"/>
    <x v="452"/>
    <m/>
    <s v="Bank Fees &amp; Charges:ATM Fee"/>
    <m/>
    <s v="Split"/>
    <m/>
    <x v="32"/>
    <x v="17"/>
    <x v="0"/>
    <m/>
    <x v="0"/>
    <m/>
    <s v="Feb"/>
    <n v="2014"/>
    <s v="Monthly"/>
    <n v="0"/>
    <s v="No"/>
    <s v="None"/>
    <s v="Bank Fees &amp; Charges|ATM Fee"/>
  </r>
  <r>
    <s v="MasterCard (Capital One)"/>
    <d v="2014-02-09T00:00:00"/>
    <n v="-19.420000000000002"/>
    <s v="X"/>
    <x v="453"/>
    <s v="2011: IN THE RED WINE BAR CA SEATTLE WA 98103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09T00:00:00"/>
    <n v="-25.81"/>
    <s v="X"/>
    <x v="454"/>
    <s v="Shot glass, spatula, cake pan, etc."/>
    <s v="Home:Furnishings/From Receipt"/>
    <m/>
    <m/>
    <s v="From Receipt"/>
    <x v="14"/>
    <x v="2"/>
    <x v="0"/>
    <m/>
    <x v="0"/>
    <m/>
    <s v="Feb"/>
    <n v="2014"/>
    <s v="Monthly"/>
    <n v="0"/>
    <s v="No"/>
    <s v="None"/>
    <s v="Home|Furnishings"/>
  </r>
  <r>
    <s v="MasterCard (Capital One)"/>
    <d v="2014-02-09T00:00:00"/>
    <n v="-50"/>
    <s v="X"/>
    <x v="104"/>
    <s v="2011: GOOD2GO REPLENISHMENT 08669368246 WA 98105 USA"/>
    <s v="Auto &amp; Transport:Tolls"/>
    <m/>
    <m/>
    <m/>
    <x v="17"/>
    <x v="40"/>
    <x v="0"/>
    <m/>
    <x v="0"/>
    <m/>
    <s v="Feb"/>
    <n v="2014"/>
    <s v="Irregular"/>
    <n v="0"/>
    <s v="No"/>
    <s v="None"/>
    <s v="Auto &amp; Transport|Tolls"/>
  </r>
  <r>
    <s v="MasterCard (Capital One)"/>
    <d v="2014-02-08T00:00:00"/>
    <n v="-2.73"/>
    <s v="X"/>
    <x v="287"/>
    <s v="2011: SEATTLE 684-PARK SEATTLE WA 98104 USA"/>
    <s v="Auto &amp; Transport:Parking"/>
    <m/>
    <m/>
    <m/>
    <x v="17"/>
    <x v="11"/>
    <x v="0"/>
    <m/>
    <x v="0"/>
    <m/>
    <s v="Feb"/>
    <n v="2014"/>
    <s v="Monthly"/>
    <n v="0"/>
    <s v="No"/>
    <s v="None"/>
    <s v="Auto &amp; Transport|Parking"/>
  </r>
  <r>
    <s v="MasterCard (Capital One)"/>
    <d v="2014-02-08T00:00:00"/>
    <n v="-19"/>
    <s v="X"/>
    <x v="132"/>
    <s v="2011: ICON GRILL SEATTLE WA 98101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08T00:00:00"/>
    <n v="-34"/>
    <s v="X"/>
    <x v="455"/>
    <s v="2011: RUDYS BARBER SHOP - LA LOS ANGELES CA 90027 USA"/>
    <s v="Personal Care:Hair"/>
    <m/>
    <m/>
    <m/>
    <x v="31"/>
    <x v="16"/>
    <x v="0"/>
    <m/>
    <x v="0"/>
    <m/>
    <s v="Feb"/>
    <n v="2014"/>
    <s v="Monthly"/>
    <n v="0"/>
    <s v="No"/>
    <s v="None"/>
    <s v="Personal Care|Hair"/>
  </r>
  <r>
    <s v="MasterCard (Capital One)"/>
    <d v="2014-02-08T00:00:00"/>
    <n v="-55.17"/>
    <s v="X"/>
    <x v="2"/>
    <s v="2011: FRED-MEYER #0608 SEATTLE WA 98107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08T00:00:00"/>
    <n v="-69.48"/>
    <s v="X"/>
    <x v="43"/>
    <s v="2011: TRADER JOE'S #147 QPS SEATTLE WA 98107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MasterCard (Capital One)"/>
    <d v="2014-02-07T00:00:00"/>
    <n v="-9.8000000000000007"/>
    <s v="X"/>
    <x v="456"/>
    <s v="Greenwood station"/>
    <s v="Business Expenses (Koolikai):Postage and Delivery (Business)/From Receipt"/>
    <m/>
    <m/>
    <s v="From Receipt"/>
    <x v="36"/>
    <x v="69"/>
    <x v="0"/>
    <m/>
    <x v="0"/>
    <m/>
    <s v="Feb"/>
    <n v="2014"/>
    <s v="Annual"/>
    <n v="0"/>
    <s v="No"/>
    <s v="None"/>
    <s v="Business Expenses (Koolikai)|Postage and Delivery (Business)"/>
  </r>
  <r>
    <s v="MasterCard (Capital One)"/>
    <d v="2014-02-07T00:00:00"/>
    <n v="-31.6"/>
    <s v="X"/>
    <x v="248"/>
    <s v="Brady and Jack presents"/>
    <s v="Gifts/From Receipt"/>
    <m/>
    <m/>
    <s v="From Receipt"/>
    <x v="28"/>
    <x v="0"/>
    <x v="0"/>
    <m/>
    <x v="0"/>
    <m/>
    <s v="Feb"/>
    <n v="2014"/>
    <s v="Monthly"/>
    <n v="0"/>
    <s v="No"/>
    <s v="None"/>
    <s v="Gifts"/>
  </r>
  <r>
    <s v="First Tech - Checking (5544)"/>
    <d v="2014-02-06T00:00:00"/>
    <n v="-491.36"/>
    <s v="X"/>
    <x v="142"/>
    <m/>
    <s v="[Target Red Card]"/>
    <m/>
    <m/>
    <m/>
    <x v="12"/>
    <x v="0"/>
    <x v="0"/>
    <m/>
    <x v="0"/>
    <m/>
    <s v="Feb"/>
    <n v="2014"/>
    <s v="Account"/>
    <n v="0"/>
    <s v="No"/>
    <s v="None"/>
    <s v="[Target Red Card]"/>
  </r>
  <r>
    <s v="MasterCard (Capital One)"/>
    <d v="2014-02-06T00:00:00"/>
    <n v="-4.92"/>
    <s v="X"/>
    <x v="402"/>
    <s v="2011: FRESH TABLE-MET PARK SEATTLE WA 98101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Target Red Card"/>
    <d v="2014-02-06T00:00:00"/>
    <n v="491.36"/>
    <s v="X"/>
    <x v="142"/>
    <m/>
    <s v="[First Tech - Checking (5544)]"/>
    <m/>
    <m/>
    <m/>
    <x v="21"/>
    <x v="0"/>
    <x v="0"/>
    <m/>
    <x v="0"/>
    <m/>
    <s v="Feb"/>
    <n v="2014"/>
    <s v="Account"/>
    <n v="0"/>
    <s v="No"/>
    <s v="None"/>
    <s v="[First Tech - Checking (5544)]"/>
  </r>
  <r>
    <s v="First Tech - Checking (5544)"/>
    <d v="2014-02-05T00:00:00"/>
    <n v="-3748.69"/>
    <s v="X"/>
    <x v="69"/>
    <s v="ACH Debit--WF HOME MTG ACH - AUTO PAY"/>
    <s v="Home:Mortgage"/>
    <m/>
    <m/>
    <m/>
    <x v="14"/>
    <x v="27"/>
    <x v="0"/>
    <m/>
    <x v="0"/>
    <m/>
    <s v="Feb"/>
    <n v="2014"/>
    <s v="Monthly"/>
    <n v="0"/>
    <s v="No"/>
    <s v="None"/>
    <s v="Home|Mortgage"/>
  </r>
  <r>
    <s v="Koolikai - Checking XX2129"/>
    <d v="2014-02-05T00:00:00"/>
    <n v="100"/>
    <s v="X"/>
    <x v="144"/>
    <s v="7231 payment toward $688.66"/>
    <s v="Business Expenses (Koolikai):Utilities (Business)/7231"/>
    <m/>
    <s v="Split"/>
    <n v="7231"/>
    <x v="36"/>
    <x v="63"/>
    <x v="0"/>
    <m/>
    <x v="0"/>
    <m/>
    <s v="Feb"/>
    <n v="2014"/>
    <s v="Monthly"/>
    <n v="0"/>
    <s v="No"/>
    <s v="None"/>
    <s v="Business Expenses (Koolikai)|Utilities (Business)"/>
  </r>
  <r>
    <s v="MasterCard (Capital One)"/>
    <d v="2014-02-05T00:00:00"/>
    <n v="-3.25"/>
    <s v="X"/>
    <x v="57"/>
    <s v="2011: KEN'S MARKET #75-116 SEATTLE WA 98103 USA"/>
    <s v="Food &amp; Dining:Groceries"/>
    <m/>
    <m/>
    <m/>
    <x v="15"/>
    <x v="3"/>
    <x v="0"/>
    <m/>
    <x v="0"/>
    <m/>
    <s v="Feb"/>
    <n v="2014"/>
    <s v="Monthly"/>
    <n v="0"/>
    <s v="No"/>
    <s v="None"/>
    <s v="Food &amp; Dining|Groceries"/>
  </r>
  <r>
    <s v="First Tech - Checking (5544)"/>
    <d v="2014-02-04T00:00:00"/>
    <n v="-500"/>
    <s v="X"/>
    <x v="457"/>
    <s v="ACH Debit-- AMERICAN FUNDS 0001002:  AMCAP-529A - INVESTMENT"/>
    <s v="Kids:American Funds 529A"/>
    <m/>
    <m/>
    <m/>
    <x v="27"/>
    <x v="29"/>
    <x v="0"/>
    <m/>
    <x v="0"/>
    <m/>
    <s v="Feb"/>
    <n v="2014"/>
    <s v="Monthly"/>
    <n v="0"/>
    <s v="No"/>
    <s v="None"/>
    <s v="Kids|American Funds 529A"/>
  </r>
  <r>
    <s v="Schwab - Checking (9784)"/>
    <d v="2014-02-04T00:00:00"/>
    <n v="-1.25"/>
    <s v="X"/>
    <x v="458"/>
    <m/>
    <s v="Bank Fees &amp; Charges:ATM Fee/From Receipt"/>
    <m/>
    <s v="Split"/>
    <s v="From Receipt"/>
    <x v="32"/>
    <x v="17"/>
    <x v="0"/>
    <m/>
    <x v="0"/>
    <m/>
    <s v="Feb"/>
    <n v="2014"/>
    <s v="Monthly"/>
    <n v="0"/>
    <s v="No"/>
    <s v="None"/>
    <s v="Bank Fees &amp; Charges|ATM Fee"/>
  </r>
  <r>
    <s v="Schwab - Checking (9784)"/>
    <d v="2014-02-04T00:00:00"/>
    <n v="-5"/>
    <s v="X"/>
    <x v="458"/>
    <s v="Soup kitchen"/>
    <s v="Charity:Charity (Cash)/From Receipt"/>
    <m/>
    <s v="Split"/>
    <s v="From Receipt"/>
    <x v="22"/>
    <x v="7"/>
    <x v="0"/>
    <m/>
    <x v="0"/>
    <m/>
    <s v="Feb"/>
    <n v="2014"/>
    <s v="Annual"/>
    <n v="0"/>
    <s v="No"/>
    <s v="None"/>
    <s v="Charity|Charity (Cash)"/>
  </r>
  <r>
    <s v="Schwab - Checking (9784)"/>
    <d v="2014-02-04T00:00:00"/>
    <n v="-15"/>
    <s v="X"/>
    <x v="458"/>
    <m/>
    <s v="Food &amp; Dining:Restaurants/From Receipt"/>
    <m/>
    <s v="Split"/>
    <s v="From Receipt"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04T00:00:00"/>
    <n v="25"/>
    <s v="X"/>
    <x v="60"/>
    <s v="2011: CREDIT-CASH BACK REWARD"/>
    <s v="Other Inc"/>
    <m/>
    <m/>
    <m/>
    <x v="29"/>
    <x v="0"/>
    <x v="0"/>
    <m/>
    <x v="0"/>
    <m/>
    <s v="Feb"/>
    <n v="2014"/>
    <s v="Monthly"/>
    <n v="0"/>
    <s v="No"/>
    <s v="None"/>
    <s v="Other Inc"/>
  </r>
  <r>
    <s v="MasterCard (Capital One)"/>
    <d v="2014-02-04T00:00:00"/>
    <n v="-13.42"/>
    <s v="X"/>
    <x v="15"/>
    <s v="2011: DIAMOND PARKING A096 SEATTLE WA 98101 USA"/>
    <s v="Auto &amp; Transport:Parking"/>
    <m/>
    <m/>
    <m/>
    <x v="17"/>
    <x v="11"/>
    <x v="0"/>
    <m/>
    <x v="0"/>
    <m/>
    <s v="Feb"/>
    <n v="2014"/>
    <s v="Monthly"/>
    <n v="0"/>
    <s v="No"/>
    <s v="None"/>
    <s v="Auto &amp; Transport|Parking"/>
  </r>
  <r>
    <s v="MasterCard (Capital One)"/>
    <d v="2014-02-04T00:00:00"/>
    <n v="-505.28"/>
    <s v="X"/>
    <x v="443"/>
    <s v="2011: LIBERTY MUTUAL 888-398-8924 MA 02116 USA"/>
    <s v="Auto &amp; Transport:Auto Insurance"/>
    <m/>
    <m/>
    <m/>
    <x v="17"/>
    <x v="68"/>
    <x v="0"/>
    <m/>
    <x v="0"/>
    <m/>
    <s v="Feb"/>
    <n v="2014"/>
    <s v="Annual"/>
    <n v="0"/>
    <s v="No"/>
    <s v="None"/>
    <s v="Auto &amp; Transport|Auto Insurance"/>
  </r>
  <r>
    <s v="REI Mastercard (xx1787)"/>
    <d v="2014-02-04T00:00:00"/>
    <n v="-126"/>
    <s v="X"/>
    <x v="459"/>
    <s v="#Kalaloch 2014#"/>
    <s v="Vacation:Lodging"/>
    <m/>
    <m/>
    <m/>
    <x v="23"/>
    <x v="9"/>
    <x v="0"/>
    <m/>
    <x v="13"/>
    <m/>
    <s v="Feb"/>
    <n v="2014"/>
    <s v="Irregular"/>
    <n v="0"/>
    <s v="No"/>
    <s v="None"/>
    <s v="Vacation|Lodging"/>
  </r>
  <r>
    <s v="First Tech - Checking (5544)"/>
    <d v="2014-02-03T00:00:00"/>
    <n v="-1976"/>
    <s v="X"/>
    <x v="90"/>
    <s v="ACH Debit--PHINNEY RIDGE LU 504759859 - CONTRIBUTN"/>
    <s v="Kids:Daycare"/>
    <m/>
    <m/>
    <m/>
    <x v="27"/>
    <x v="35"/>
    <x v="0"/>
    <m/>
    <x v="0"/>
    <m/>
    <s v="Feb"/>
    <n v="2014"/>
    <s v="Monthly"/>
    <n v="0"/>
    <s v="No"/>
    <s v="None"/>
    <s v="Kids|Daycare"/>
  </r>
  <r>
    <s v="First Tech - Checking (5544)"/>
    <d v="2014-02-03T00:00:00"/>
    <n v="-2033.91"/>
    <s v="X"/>
    <x v="84"/>
    <s v="ACH Debit--NYCB MORTGAGE CO 678 - NYCB MORTG"/>
    <s v="Business Expenses (Koolikai):Mortgage (Business)/9602"/>
    <m/>
    <m/>
    <n v="9602"/>
    <x v="36"/>
    <x v="30"/>
    <x v="0"/>
    <m/>
    <x v="0"/>
    <m/>
    <s v="Feb"/>
    <n v="2014"/>
    <s v="Monthly"/>
    <n v="0"/>
    <s v="No"/>
    <s v="None"/>
    <s v="Business Expenses (Koolikai)|Mortgage (Business)"/>
  </r>
  <r>
    <s v="First Tech - Checking (5544)"/>
    <d v="2014-02-03T00:00:00"/>
    <n v="-2942.27"/>
    <s v="X"/>
    <x v="85"/>
    <s v="ACH Debit--CAPITAL ONE  - CRCARDPMT"/>
    <s v="[MasterCard (Capital One)]"/>
    <m/>
    <m/>
    <m/>
    <x v="38"/>
    <x v="0"/>
    <x v="0"/>
    <m/>
    <x v="0"/>
    <m/>
    <s v="Feb"/>
    <n v="2014"/>
    <s v="Account"/>
    <n v="0"/>
    <s v="No"/>
    <s v="None"/>
    <s v="[MasterCard (Capital One)]"/>
  </r>
  <r>
    <s v="First Tech - Checking (5544)"/>
    <d v="2014-02-03T00:00:00"/>
    <n v="-3517.65"/>
    <s v="X"/>
    <x v="84"/>
    <s v="ACH Debit--NYCB MORTGAGE CO 678 - NYCB MORTG"/>
    <s v="Business Expenses (Koolikai):Mortgage (Business)/7231"/>
    <m/>
    <m/>
    <n v="7231"/>
    <x v="36"/>
    <x v="30"/>
    <x v="0"/>
    <m/>
    <x v="0"/>
    <m/>
    <s v="Feb"/>
    <n v="2014"/>
    <s v="Monthly"/>
    <n v="0"/>
    <s v="No"/>
    <s v="None"/>
    <s v="Business Expenses (Koolikai)|Mortgage (Business)"/>
  </r>
  <r>
    <s v="First Tech - Checking (5544)"/>
    <d v="2014-02-03T00:00:00"/>
    <n v="-147.22"/>
    <m/>
    <x v="460"/>
    <m/>
    <s v="[REI Mastercard (xx1787)]"/>
    <m/>
    <m/>
    <m/>
    <x v="11"/>
    <x v="0"/>
    <x v="0"/>
    <m/>
    <x v="0"/>
    <m/>
    <s v="Feb"/>
    <n v="2014"/>
    <e v="#N/A"/>
    <e v="#N/A"/>
    <e v="#N/A"/>
    <e v="#N/A"/>
    <s v="[REI Mastercard (xx1787)]"/>
  </r>
  <r>
    <s v="Discover Card"/>
    <d v="2014-02-03T00:00:00"/>
    <n v="-7.65"/>
    <s v="X"/>
    <x v="461"/>
    <s v="Super Market Madness"/>
    <s v="Shopping:Electronics &amp; Software"/>
    <m/>
    <m/>
    <m/>
    <x v="13"/>
    <x v="20"/>
    <x v="0"/>
    <m/>
    <x v="0"/>
    <m/>
    <s v="Feb"/>
    <n v="2014"/>
    <s v="Annual"/>
    <n v="0"/>
    <s v="No"/>
    <s v="None"/>
    <s v="Shopping|Electronics &amp; Software"/>
  </r>
  <r>
    <s v="MasterCard (Capital One)"/>
    <d v="2014-02-03T00:00:00"/>
    <n v="2942.27"/>
    <s v="X"/>
    <x v="85"/>
    <s v="@BAL:$4025.58@@CAT:@"/>
    <s v="[First Tech - Checking (5544)]"/>
    <m/>
    <m/>
    <m/>
    <x v="21"/>
    <x v="0"/>
    <x v="0"/>
    <m/>
    <x v="0"/>
    <m/>
    <s v="Feb"/>
    <n v="2014"/>
    <s v="Account"/>
    <n v="0"/>
    <s v="No"/>
    <s v="None"/>
    <s v="[First Tech - Checking (5544)]"/>
  </r>
  <r>
    <s v="MasterCard (Capital One)"/>
    <d v="2014-02-03T00:00:00"/>
    <n v="-38.229999999999997"/>
    <s v="X"/>
    <x v="64"/>
    <s v="2011: SAFEWAY STORE 00018457 SEATTLE WA 98103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REI Mastercard (xx1787)"/>
    <d v="2014-02-03T00:00:00"/>
    <n v="147.22"/>
    <s v="X"/>
    <x v="460"/>
    <m/>
    <s v="[First Tech - Checking (5544)]"/>
    <s v="TXFR"/>
    <m/>
    <m/>
    <x v="21"/>
    <x v="0"/>
    <x v="0"/>
    <m/>
    <x v="0"/>
    <m/>
    <s v="Feb"/>
    <n v="2014"/>
    <s v="Account"/>
    <n v="0"/>
    <s v="No"/>
    <s v="None"/>
    <s v="[First Tech - Checking (5544)]"/>
  </r>
  <r>
    <s v="MasterCard (Capital One)"/>
    <d v="2014-02-02T00:00:00"/>
    <n v="-22.02"/>
    <s v="X"/>
    <x v="88"/>
    <s v="2011: COMCAST CABLE COMM 800-COMCAST WA 98103 USA"/>
    <s v="Bills &amp; Utilities:Television"/>
    <m/>
    <s v="Split"/>
    <m/>
    <x v="34"/>
    <x v="32"/>
    <x v="0"/>
    <m/>
    <x v="0"/>
    <m/>
    <s v="Feb"/>
    <n v="2014"/>
    <s v="Monthly"/>
    <n v="0"/>
    <s v="No"/>
    <s v="None"/>
    <s v="Bills &amp; Utilities|Television"/>
  </r>
  <r>
    <s v="MasterCard (Capital One)"/>
    <d v="2014-02-02T00:00:00"/>
    <n v="-64.069999999999993"/>
    <s v="X"/>
    <x v="88"/>
    <m/>
    <s v="Business Expenses (Koolikai):Internet"/>
    <m/>
    <s v="Split"/>
    <m/>
    <x v="36"/>
    <x v="33"/>
    <x v="0"/>
    <m/>
    <x v="0"/>
    <m/>
    <s v="Feb"/>
    <n v="2014"/>
    <s v="Monthly"/>
    <n v="0"/>
    <s v="No"/>
    <s v="None"/>
    <s v="Business Expenses (Koolikai)|Internet"/>
  </r>
  <r>
    <s v="MasterCard (Capital One)"/>
    <d v="2014-02-02T00:00:00"/>
    <n v="-44.07"/>
    <s v="X"/>
    <x v="88"/>
    <m/>
    <s v="Bills &amp; Utilities:Home Phone"/>
    <m/>
    <s v="Split"/>
    <m/>
    <x v="34"/>
    <x v="34"/>
    <x v="0"/>
    <m/>
    <x v="0"/>
    <m/>
    <s v="Feb"/>
    <n v="2014"/>
    <s v="Monthly"/>
    <n v="0"/>
    <s v="No"/>
    <s v="None"/>
    <s v="Bills &amp; Utilities|Home Phone"/>
  </r>
  <r>
    <s v="MasterCard (Capital One)"/>
    <d v="2014-02-02T00:00:00"/>
    <n v="-15.49"/>
    <s v="X"/>
    <x v="462"/>
    <s v="2011: PARTY @ DISPLAY &amp; C SEATTLE WA 98125 USA"/>
    <s v="Parties/From Receipt"/>
    <m/>
    <m/>
    <s v="From Receipt"/>
    <x v="16"/>
    <x v="0"/>
    <x v="0"/>
    <m/>
    <x v="0"/>
    <m/>
    <s v="Feb"/>
    <n v="2014"/>
    <s v="Annual"/>
    <n v="0"/>
    <s v="No"/>
    <s v="None"/>
    <s v="Parties"/>
  </r>
  <r>
    <s v="MasterCard (Capital One)"/>
    <d v="2014-02-02T00:00:00"/>
    <n v="-31.04"/>
    <s v="X"/>
    <x v="463"/>
    <s v="2011: TINYPRINTS.COM 08773009256 CA 94085 USA"/>
    <s v="Parties"/>
    <m/>
    <m/>
    <m/>
    <x v="16"/>
    <x v="0"/>
    <x v="0"/>
    <m/>
    <x v="0"/>
    <m/>
    <s v="Feb"/>
    <n v="2014"/>
    <s v="Annual"/>
    <n v="0"/>
    <s v="No"/>
    <s v="None"/>
    <s v="Parties"/>
  </r>
  <r>
    <s v="Target Red Card"/>
    <d v="2014-02-02T00:00:00"/>
    <n v="-58.28"/>
    <s v="X"/>
    <x v="21"/>
    <s v="Piano, guitar, and other misc toys"/>
    <s v="Kids:Toys/From Receipt"/>
    <n v="799999940331"/>
    <m/>
    <s v="From Receipt"/>
    <x v="27"/>
    <x v="14"/>
    <x v="0"/>
    <m/>
    <x v="0"/>
    <m/>
    <s v="Feb"/>
    <n v="2014"/>
    <s v="Monthly"/>
    <n v="0"/>
    <s v="No"/>
    <s v="None"/>
    <s v="Kids|Toys"/>
  </r>
  <r>
    <s v="Koolikai - Checking XX2129"/>
    <d v="2014-02-01T00:00:00"/>
    <n v="2195"/>
    <s v="X"/>
    <x v="391"/>
    <s v="Deposit--Shared Branch Mobile Deposit"/>
    <s v="Business Income (Koolikai):Rent/9602"/>
    <m/>
    <m/>
    <n v="9602"/>
    <x v="37"/>
    <x v="25"/>
    <x v="0"/>
    <m/>
    <x v="0"/>
    <m/>
    <s v="Feb"/>
    <n v="2014"/>
    <s v="Monthly"/>
    <n v="0"/>
    <s v="No"/>
    <s v="None"/>
    <s v="Business Income (Koolikai)|Rent"/>
  </r>
  <r>
    <s v="Koolikai - Checking XX2129"/>
    <d v="2014-02-01T00:00:00"/>
    <n v="2295"/>
    <s v="X"/>
    <x v="144"/>
    <s v="@CAT:@"/>
    <s v="Business Income (Koolikai):Rent/7231"/>
    <m/>
    <s v="Split"/>
    <n v="7231"/>
    <x v="37"/>
    <x v="25"/>
    <x v="0"/>
    <m/>
    <x v="0"/>
    <m/>
    <s v="Feb"/>
    <n v="2014"/>
    <s v="Monthly"/>
    <n v="0"/>
    <s v="No"/>
    <s v="None"/>
    <s v="Business Income (Koolikai)|Rent"/>
  </r>
  <r>
    <s v="MasterCard (Capital One)"/>
    <d v="2014-02-01T00:00:00"/>
    <n v="-8.14"/>
    <s v="X"/>
    <x v="280"/>
    <s v="2011: WENDYS-SWL #0415 BELLINGHAM WA 98226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01T00:00:00"/>
    <n v="-12.04"/>
    <s v="X"/>
    <x v="148"/>
    <s v="2011: SQ *PLAYDATE CAFE Lynnwood WA 98036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01T00:00:00"/>
    <n v="-14.24"/>
    <s v="X"/>
    <x v="148"/>
    <s v="2011: SQ *PLAYDATE CAFE Lynnwood WA 98036 USA"/>
    <s v="Kids:Kids Activities"/>
    <m/>
    <m/>
    <m/>
    <x v="27"/>
    <x v="12"/>
    <x v="0"/>
    <m/>
    <x v="0"/>
    <m/>
    <s v="Feb"/>
    <n v="2014"/>
    <s v="Monthly"/>
    <n v="0"/>
    <s v="No"/>
    <s v="None"/>
    <s v="Kids|Kids Activities"/>
  </r>
  <r>
    <s v="MasterCard (Capital One)"/>
    <d v="2014-02-01T00:00:00"/>
    <n v="-34.17"/>
    <s v="X"/>
    <x v="464"/>
    <s v="2011: BUSARA THAI CUISINE BELLINGHAM WA 98225 USA"/>
    <s v="Food &amp; Dining:Restaurants"/>
    <m/>
    <m/>
    <m/>
    <x v="15"/>
    <x v="15"/>
    <x v="0"/>
    <m/>
    <x v="0"/>
    <m/>
    <s v="Feb"/>
    <n v="2014"/>
    <s v="Monthly"/>
    <n v="0"/>
    <s v="No"/>
    <s v="None"/>
    <s v="Food &amp; Dining|Restaurants"/>
  </r>
  <r>
    <s v="MasterCard (Capital One)"/>
    <d v="2014-02-01T00:00:00"/>
    <n v="-108.66"/>
    <s v="X"/>
    <x v="91"/>
    <s v="Garbage disposal for Mom"/>
    <s v="Gifts/From Receipt"/>
    <m/>
    <m/>
    <s v="From Receipt"/>
    <x v="28"/>
    <x v="0"/>
    <x v="0"/>
    <m/>
    <x v="0"/>
    <m/>
    <s v="Feb"/>
    <n v="2014"/>
    <s v="Monthly"/>
    <n v="0"/>
    <s v="No"/>
    <s v="None"/>
    <s v="Gifts"/>
  </r>
  <r>
    <s v="MasterCard (Capital One)"/>
    <d v="2014-02-01T00:00:00"/>
    <n v="-112.51"/>
    <s v="X"/>
    <x v="2"/>
    <s v="2011: FRED-MEYER #0608 SEATTLE WA 98107 USA"/>
    <s v="Food &amp; Dining:Groceries/From Receipt"/>
    <m/>
    <m/>
    <s v="From Receipt"/>
    <x v="15"/>
    <x v="3"/>
    <x v="0"/>
    <m/>
    <x v="0"/>
    <m/>
    <s v="Feb"/>
    <n v="2014"/>
    <s v="Monthly"/>
    <n v="0"/>
    <s v="No"/>
    <s v="None"/>
    <s v="Food &amp; Dining|Groceries"/>
  </r>
  <r>
    <s v="Capital One - Investment (6759)"/>
    <d v="2014-01-31T00:00:00"/>
    <n v="19.989999999999998"/>
    <s v="X"/>
    <x v="100"/>
    <s v="@BAL:47079.27@;@CAT:@"/>
    <s v="Interest Income"/>
    <s v="INT"/>
    <m/>
    <m/>
    <x v="40"/>
    <x v="0"/>
    <x v="0"/>
    <m/>
    <x v="0"/>
    <m/>
    <s v="Jan"/>
    <n v="2014"/>
    <s v="Monthly"/>
    <n v="0"/>
    <s v="No"/>
    <s v="None"/>
    <s v="Interest Income"/>
  </r>
  <r>
    <s v="Capital One - Long Term Emergency (1201)"/>
    <d v="2014-01-31T00:00:00"/>
    <n v="85.39"/>
    <s v="X"/>
    <x v="100"/>
    <s v="@BAL:201126.22@;@CAT:@"/>
    <s v="Interest Income"/>
    <s v="INT"/>
    <m/>
    <m/>
    <x v="40"/>
    <x v="0"/>
    <x v="0"/>
    <m/>
    <x v="0"/>
    <m/>
    <s v="Jan"/>
    <n v="2014"/>
    <s v="Monthly"/>
    <n v="0"/>
    <s v="No"/>
    <s v="None"/>
    <s v="Interest Income"/>
  </r>
  <r>
    <s v="Capital One - Secondary Savings (3126)"/>
    <d v="2014-01-31T00:00:00"/>
    <n v="44.74"/>
    <s v="X"/>
    <x v="100"/>
    <s v="@BAL:117088.39@;@CAT:@"/>
    <s v="Interest Income"/>
    <s v="INT"/>
    <m/>
    <m/>
    <x v="40"/>
    <x v="0"/>
    <x v="0"/>
    <m/>
    <x v="0"/>
    <m/>
    <s v="Jan"/>
    <n v="2014"/>
    <s v="Monthly"/>
    <n v="0"/>
    <s v="No"/>
    <s v="None"/>
    <s v="Interest Income"/>
  </r>
  <r>
    <s v="Capital One - Vacation (4959)"/>
    <d v="2014-01-31T00:00:00"/>
    <n v="2.13"/>
    <s v="X"/>
    <x v="100"/>
    <s v="@BAL:5008.48@;@CAT:@"/>
    <s v="Interest Income"/>
    <s v="INT"/>
    <m/>
    <m/>
    <x v="40"/>
    <x v="0"/>
    <x v="0"/>
    <m/>
    <x v="0"/>
    <m/>
    <s v="Jan"/>
    <n v="2014"/>
    <s v="Monthly"/>
    <n v="0"/>
    <s v="No"/>
    <s v="None"/>
    <s v="Interest Income"/>
  </r>
  <r>
    <s v="First Tech - Checking (5544)"/>
    <d v="2014-01-31T00:00:00"/>
    <n v="3052.73"/>
    <s v="X"/>
    <x v="47"/>
    <s v="ACH Deposit--MICROSOFT  - EDIPAYMENT"/>
    <s v="Net Salary"/>
    <m/>
    <m/>
    <m/>
    <x v="35"/>
    <x v="0"/>
    <x v="0"/>
    <m/>
    <x v="0"/>
    <m/>
    <s v="Jan"/>
    <n v="2014"/>
    <s v="Monthly"/>
    <n v="0"/>
    <s v="No"/>
    <s v="None"/>
    <s v="Net Salary"/>
  </r>
  <r>
    <s v="First Tech - Checking (5544)"/>
    <d v="2014-01-31T00:00:00"/>
    <n v="6195.6"/>
    <s v="X"/>
    <x v="109"/>
    <s v="ACH Deposit--Cancer Research  - Payroll"/>
    <s v="Net Salary"/>
    <m/>
    <m/>
    <m/>
    <x v="35"/>
    <x v="0"/>
    <x v="0"/>
    <m/>
    <x v="0"/>
    <m/>
    <s v="Jan"/>
    <n v="2014"/>
    <s v="Monthly"/>
    <n v="0"/>
    <s v="No"/>
    <s v="None"/>
    <s v="Net Salary"/>
  </r>
  <r>
    <s v="Koolikai - Sec Dep XX1200"/>
    <d v="2014-01-31T00:00:00"/>
    <n v="0.19"/>
    <s v="X"/>
    <x v="93"/>
    <s v="@BAL:$4500.75@;@CAT:@"/>
    <s v="Interest Income"/>
    <m/>
    <m/>
    <m/>
    <x v="40"/>
    <x v="0"/>
    <x v="0"/>
    <m/>
    <x v="0"/>
    <m/>
    <s v="Jan"/>
    <n v="2014"/>
    <s v="Monthly"/>
    <n v="0"/>
    <s v="No"/>
    <s v="None"/>
    <s v="Interest Income"/>
  </r>
  <r>
    <s v="Schwab - Checking (9784)"/>
    <d v="2014-01-31T00:00:00"/>
    <n v="0.14000000000000001"/>
    <s v="X"/>
    <x v="102"/>
    <m/>
    <s v="Interest Income"/>
    <m/>
    <m/>
    <m/>
    <x v="40"/>
    <x v="0"/>
    <x v="0"/>
    <m/>
    <x v="0"/>
    <m/>
    <s v="Jan"/>
    <n v="2014"/>
    <s v="Monthly"/>
    <n v="0"/>
    <s v="No"/>
    <s v="None"/>
    <s v="Interest Income"/>
  </r>
  <r>
    <s v="Schwab - Checking (9784)"/>
    <d v="2014-01-31T00:00:00"/>
    <n v="5.5"/>
    <s v="X"/>
    <x v="103"/>
    <m/>
    <s v="Bank Fees &amp; Charges:ATM Fee"/>
    <m/>
    <m/>
    <m/>
    <x v="32"/>
    <x v="17"/>
    <x v="0"/>
    <m/>
    <x v="0"/>
    <m/>
    <s v="Jan"/>
    <n v="2014"/>
    <s v="Monthly"/>
    <n v="0"/>
    <s v="No"/>
    <s v="None"/>
    <s v="Bank Fees &amp; Charges|ATM Fee"/>
  </r>
  <r>
    <s v="First Tech - Checking (5544)"/>
    <d v="2014-01-30T00:00:00"/>
    <n v="-115"/>
    <s v="X"/>
    <x v="176"/>
    <s v="ACH Debit--THE CLEANING AUT  - ONLINE PMT"/>
    <s v="Home:Home Services"/>
    <m/>
    <m/>
    <m/>
    <x v="14"/>
    <x v="46"/>
    <x v="0"/>
    <m/>
    <x v="0"/>
    <m/>
    <s v="Jan"/>
    <n v="2014"/>
    <s v="Monthly"/>
    <n v="0"/>
    <s v="No"/>
    <s v="None"/>
    <s v="Home|Home Services"/>
  </r>
  <r>
    <s v="MasterCard (Capital One)"/>
    <d v="2014-01-30T00:00:00"/>
    <n v="-52.56"/>
    <s v="X"/>
    <x v="2"/>
    <s v="Seahawks sweatshirt"/>
    <s v="Shopping:Clothing/From Receipt"/>
    <m/>
    <m/>
    <s v="From Receipt"/>
    <x v="13"/>
    <x v="1"/>
    <x v="0"/>
    <m/>
    <x v="0"/>
    <m/>
    <s v="Jan"/>
    <n v="2014"/>
    <s v="Annual"/>
    <n v="0"/>
    <s v="No"/>
    <s v="None"/>
    <s v="Shopping|Clothing"/>
  </r>
  <r>
    <s v="MasterCard (Capital One)"/>
    <d v="2014-01-29T00:00:00"/>
    <n v="-109.5"/>
    <s v="X"/>
    <x v="148"/>
    <s v="Birthday party for Josh and Zach"/>
    <s v="Parties"/>
    <m/>
    <m/>
    <m/>
    <x v="16"/>
    <x v="0"/>
    <x v="0"/>
    <m/>
    <x v="0"/>
    <m/>
    <s v="Jan"/>
    <n v="2014"/>
    <s v="Annual"/>
    <n v="0"/>
    <s v="No"/>
    <s v="None"/>
    <s v="Parties"/>
  </r>
  <r>
    <s v="Schwab - Checking (9784)"/>
    <d v="2014-01-28T00:00:00"/>
    <n v="-40"/>
    <s v="X"/>
    <x v="465"/>
    <s v="Babbysitter?"/>
    <s v="Kids:Babysitter/From Receipt"/>
    <m/>
    <s v="Split"/>
    <s v="From Receipt"/>
    <x v="27"/>
    <x v="13"/>
    <x v="0"/>
    <m/>
    <x v="0"/>
    <m/>
    <s v="Jan"/>
    <n v="2014"/>
    <s v="Monthly"/>
    <n v="0"/>
    <s v="No"/>
    <s v="None"/>
    <s v="Kids|Babysitter"/>
  </r>
  <r>
    <s v="Schwab - Checking (9784)"/>
    <d v="2014-01-28T00:00:00"/>
    <n v="-2"/>
    <s v="X"/>
    <x v="465"/>
    <m/>
    <s v="Bank Fees &amp; Charges:ATM Fee/From Receipt"/>
    <m/>
    <s v="Split"/>
    <s v="From Receipt"/>
    <x v="32"/>
    <x v="17"/>
    <x v="0"/>
    <m/>
    <x v="0"/>
    <m/>
    <s v="Jan"/>
    <n v="2014"/>
    <s v="Monthly"/>
    <n v="0"/>
    <s v="No"/>
    <s v="None"/>
    <s v="Bank Fees &amp; Charges|ATM Fee"/>
  </r>
  <r>
    <s v="MasterCard (Capital One)"/>
    <d v="2014-01-28T00:00:00"/>
    <n v="-17.32"/>
    <s v="X"/>
    <x v="139"/>
    <s v="2011: SUBWAY 03042314 SEATTLE WA 98133 USA"/>
    <s v="Food &amp; Dining:Restaurants/From Receipt"/>
    <m/>
    <m/>
    <s v="From Receipt"/>
    <x v="15"/>
    <x v="15"/>
    <x v="0"/>
    <m/>
    <x v="0"/>
    <m/>
    <s v="Jan"/>
    <n v="2014"/>
    <s v="Monthly"/>
    <n v="0"/>
    <s v="No"/>
    <s v="None"/>
    <s v="Food &amp; Dining|Restaurants"/>
  </r>
  <r>
    <s v="First Tech - Checking (5544)"/>
    <d v="2014-01-27T00:00:00"/>
    <n v="-30"/>
    <s v="X"/>
    <x v="293"/>
    <s v="ConsumerReports.org (via 1151 account)"/>
    <s v="Subscriptions &amp; Dues"/>
    <m/>
    <m/>
    <m/>
    <x v="33"/>
    <x v="0"/>
    <x v="0"/>
    <m/>
    <x v="0"/>
    <m/>
    <s v="Jan"/>
    <n v="2014"/>
    <s v="Annual"/>
    <n v="0"/>
    <s v="No"/>
    <s v="None"/>
    <s v="Subscriptions &amp; Dues"/>
  </r>
  <r>
    <s v="MasterCard (Capital One)"/>
    <d v="2014-01-27T00:00:00"/>
    <n v="-4.26"/>
    <s v="X"/>
    <x v="13"/>
    <s v="2011: MCDONALD'S M7125 OF BELLEVUE WA 98005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26T00:00:00"/>
    <n v="-8.3800000000000008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26T00:00:00"/>
    <n v="-44.96"/>
    <s v="X"/>
    <x v="134"/>
    <s v="Letter trays, planner, stacking bins ($40.49 from return)"/>
    <s v="Business Expenses (Koolikai):Office Expenses (Business)/From Receipt"/>
    <m/>
    <m/>
    <s v="From Receipt"/>
    <x v="36"/>
    <x v="42"/>
    <x v="0"/>
    <m/>
    <x v="0"/>
    <m/>
    <s v="Jan"/>
    <n v="2014"/>
    <s v="Monthly"/>
    <n v="0"/>
    <s v="No"/>
    <s v="None"/>
    <s v="Business Expenses (Koolikai)|Office Expenses (Business)"/>
  </r>
  <r>
    <s v="Schwab - Checking (9784)"/>
    <d v="2014-01-25T00:00:00"/>
    <n v="-3.5"/>
    <s v="X"/>
    <x v="466"/>
    <m/>
    <s v="Bank Fees &amp; Charges:ATM Fee"/>
    <m/>
    <s v="Split"/>
    <m/>
    <x v="32"/>
    <x v="17"/>
    <x v="0"/>
    <m/>
    <x v="0"/>
    <m/>
    <s v="Jan"/>
    <n v="2014"/>
    <s v="Monthly"/>
    <n v="0"/>
    <s v="No"/>
    <s v="None"/>
    <s v="Bank Fees &amp; Charges|ATM Fee"/>
  </r>
  <r>
    <s v="Schwab - Checking (9784)"/>
    <d v="2014-01-25T00:00:00"/>
    <n v="-20"/>
    <s v="X"/>
    <x v="466"/>
    <s v="Not sure about this... on a Sa"/>
    <s v="Kids:Babysitter"/>
    <m/>
    <s v="Split"/>
    <m/>
    <x v="27"/>
    <x v="13"/>
    <x v="0"/>
    <m/>
    <x v="0"/>
    <m/>
    <s v="Jan"/>
    <n v="2014"/>
    <s v="Monthly"/>
    <n v="0"/>
    <s v="No"/>
    <s v="None"/>
    <s v="Kids|Babysitter"/>
  </r>
  <r>
    <s v="MasterCard (Capital One)"/>
    <d v="2014-01-25T00:00:00"/>
    <n v="-6"/>
    <s v="X"/>
    <x v="87"/>
    <s v="Toddler room at Greenlake"/>
    <s v="Kids:Kids Activities/From Receipt"/>
    <m/>
    <m/>
    <s v="From Receipt"/>
    <x v="27"/>
    <x v="12"/>
    <x v="0"/>
    <m/>
    <x v="0"/>
    <m/>
    <s v="Jan"/>
    <n v="2014"/>
    <s v="Monthly"/>
    <n v="0"/>
    <s v="No"/>
    <s v="None"/>
    <s v="Kids|Kids Activities"/>
  </r>
  <r>
    <s v="MasterCard (Capital One)"/>
    <d v="2014-01-25T00:00:00"/>
    <n v="-44.86"/>
    <s v="X"/>
    <x v="134"/>
    <s v="Receipt holder, and other supplies"/>
    <s v="Business Expenses (Koolikai):Office Expenses (Business)"/>
    <m/>
    <m/>
    <m/>
    <x v="36"/>
    <x v="42"/>
    <x v="0"/>
    <m/>
    <x v="0"/>
    <m/>
    <s v="Jan"/>
    <n v="2014"/>
    <s v="Monthly"/>
    <n v="0"/>
    <s v="No"/>
    <s v="None"/>
    <s v="Business Expenses (Koolikai)|Office Expenses (Business)"/>
  </r>
  <r>
    <s v="MasterCard (Capital One)"/>
    <d v="2014-01-25T00:00:00"/>
    <n v="-119.88"/>
    <s v="X"/>
    <x v="2"/>
    <s v="2011: FRED-MEYER #0608 SEATTLE WA 98107 USA"/>
    <s v="Food &amp; Dining:Groceries/From Receipt"/>
    <m/>
    <m/>
    <s v="From Receipt"/>
    <x v="15"/>
    <x v="3"/>
    <x v="0"/>
    <m/>
    <x v="0"/>
    <m/>
    <s v="Jan"/>
    <n v="2014"/>
    <s v="Monthly"/>
    <n v="0"/>
    <s v="No"/>
    <s v="None"/>
    <s v="Food &amp; Dining|Groceries"/>
  </r>
  <r>
    <s v="First Tech - Checking (5544)"/>
    <d v="2014-01-24T00:00:00"/>
    <n v="-510.46"/>
    <s v="X"/>
    <x v="467"/>
    <s v="ACH Debit--DISCOVER DC PYMNTS DCIDPIINT - E-PAYMENT"/>
    <s v="[Discover Card]"/>
    <m/>
    <m/>
    <m/>
    <x v="24"/>
    <x v="0"/>
    <x v="0"/>
    <m/>
    <x v="0"/>
    <m/>
    <s v="Jan"/>
    <n v="2014"/>
    <s v="Account"/>
    <n v="0"/>
    <s v="No"/>
    <s v="None"/>
    <s v="[Discover Card]"/>
  </r>
  <r>
    <s v="First Tech - Checking (5544)"/>
    <d v="2014-01-24T00:00:00"/>
    <n v="-60"/>
    <s v="X"/>
    <x v="390"/>
    <s v="Check--"/>
    <s v="Kids:Babysitter"/>
    <n v="2293"/>
    <m/>
    <m/>
    <x v="27"/>
    <x v="13"/>
    <x v="0"/>
    <m/>
    <x v="0"/>
    <m/>
    <s v="Jan"/>
    <n v="2014"/>
    <s v="Monthly"/>
    <n v="0"/>
    <s v="No"/>
    <s v="None"/>
    <s v="Kids|Babysitter"/>
  </r>
  <r>
    <s v="Koolikai - Checking XX2129"/>
    <d v="2014-01-24T00:00:00"/>
    <n v="-146.54"/>
    <s v="X"/>
    <x v="11"/>
    <s v="@BAL:21002.67@"/>
    <s v="[Koolikai Credit Card]"/>
    <m/>
    <m/>
    <m/>
    <x v="9"/>
    <x v="0"/>
    <x v="0"/>
    <m/>
    <x v="0"/>
    <m/>
    <s v="Jan"/>
    <n v="2014"/>
    <s v="Account"/>
    <n v="0"/>
    <s v="No"/>
    <s v="None"/>
    <s v="[Koolikai Credit Card]"/>
  </r>
  <r>
    <s v="MasterCard (Capital One)"/>
    <d v="2014-01-24T00:00:00"/>
    <n v="-36.93"/>
    <s v="X"/>
    <x v="468"/>
    <s v="2011: LAS BRISAS INC EDMONDS WA 98020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First Tech - Checking (5544)"/>
    <d v="2014-01-23T00:00:00"/>
    <n v="-183.85"/>
    <s v="X"/>
    <x v="14"/>
    <s v="ACH Debit--NMAC LEASE  - ONLINE PMT"/>
    <s v="Auto &amp; Transport:Auto Lease Payment"/>
    <m/>
    <m/>
    <m/>
    <x v="17"/>
    <x v="10"/>
    <x v="0"/>
    <m/>
    <x v="0"/>
    <m/>
    <s v="Jan"/>
    <n v="2014"/>
    <s v="Monthly"/>
    <n v="0"/>
    <s v="No"/>
    <s v="None"/>
    <s v="Auto &amp; Transport|Auto Lease Payment"/>
  </r>
  <r>
    <s v="First Tech - Checking (5544)"/>
    <d v="2014-01-23T00:00:00"/>
    <n v="-157.29"/>
    <s v="X"/>
    <x v="157"/>
    <m/>
    <s v="[American Express (Costco)]"/>
    <m/>
    <m/>
    <m/>
    <x v="20"/>
    <x v="0"/>
    <x v="0"/>
    <m/>
    <x v="0"/>
    <m/>
    <s v="Jan"/>
    <n v="2014"/>
    <s v="Account"/>
    <n v="0"/>
    <s v="No"/>
    <s v="None"/>
    <s v="[American Express (Costco)]"/>
  </r>
  <r>
    <s v="American Express (Costco)"/>
    <d v="2014-01-23T00:00:00"/>
    <n v="157.29"/>
    <s v="X"/>
    <x v="157"/>
    <m/>
    <s v="[First Tech - Checking (5544)]"/>
    <m/>
    <m/>
    <m/>
    <x v="21"/>
    <x v="0"/>
    <x v="0"/>
    <m/>
    <x v="0"/>
    <m/>
    <s v="Jan"/>
    <n v="2014"/>
    <s v="Account"/>
    <n v="0"/>
    <s v="No"/>
    <s v="None"/>
    <s v="[First Tech - Checking (5544)]"/>
  </r>
  <r>
    <s v="Discover Card"/>
    <d v="2014-01-23T00:00:00"/>
    <n v="510.46"/>
    <s v="X"/>
    <x v="414"/>
    <m/>
    <s v="[First Tech - Checking (5544)]"/>
    <m/>
    <m/>
    <m/>
    <x v="21"/>
    <x v="0"/>
    <x v="0"/>
    <m/>
    <x v="0"/>
    <m/>
    <s v="Jan"/>
    <n v="2014"/>
    <s v="Account"/>
    <n v="0"/>
    <s v="No"/>
    <s v="None"/>
    <s v="[First Tech - Checking (5544)]"/>
  </r>
  <r>
    <s v="Koolikai Credit Card"/>
    <d v="2014-01-23T00:00:00"/>
    <n v="146.54"/>
    <s v="X"/>
    <x v="469"/>
    <s v="@BAL:-146.54@"/>
    <s v="[Koolikai - Checking XX2129]"/>
    <m/>
    <m/>
    <m/>
    <x v="25"/>
    <x v="0"/>
    <x v="0"/>
    <m/>
    <x v="0"/>
    <m/>
    <s v="Jan"/>
    <n v="2014"/>
    <s v="Account"/>
    <n v="0"/>
    <s v="No"/>
    <s v="None"/>
    <s v="[Koolikai - Checking XX2129]"/>
  </r>
  <r>
    <s v="MasterCard (Capital One)"/>
    <d v="2014-01-23T00:00:00"/>
    <n v="-23.9"/>
    <s v="X"/>
    <x v="470"/>
    <s v="2011: PORTAGE BAY CAFE AN SEATTLE WA 98109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First Tech - Checking (5544)"/>
    <d v="2014-01-22T00:00:00"/>
    <n v="-27.88"/>
    <s v="X"/>
    <x v="471"/>
    <s v="ACH Debit--LIBERTY MUTUAL  - PAYMENT"/>
    <s v="Bills &amp; Utilities:Insurance (Umbrella)"/>
    <m/>
    <m/>
    <m/>
    <x v="34"/>
    <x v="67"/>
    <x v="0"/>
    <m/>
    <x v="0"/>
    <m/>
    <s v="Jan"/>
    <n v="2014"/>
    <s v="Monthly"/>
    <n v="0"/>
    <s v="No"/>
    <s v="None"/>
    <s v="Bills &amp; Utilities|Insurance (Umbrella)"/>
  </r>
  <r>
    <s v="Discover Card"/>
    <d v="2014-01-22T00:00:00"/>
    <n v="-90"/>
    <s v="X"/>
    <x v="472"/>
    <s v="AAA Membership"/>
    <s v="Auto &amp; Transport:Auto Insurance"/>
    <m/>
    <m/>
    <m/>
    <x v="17"/>
    <x v="68"/>
    <x v="0"/>
    <m/>
    <x v="0"/>
    <m/>
    <s v="Jan"/>
    <n v="2014"/>
    <s v="Annual"/>
    <n v="0"/>
    <s v="No"/>
    <s v="None"/>
    <s v="Auto &amp; Transport|Auto Insurance"/>
  </r>
  <r>
    <s v="MasterCard (Capital One)"/>
    <d v="2014-01-22T00:00:00"/>
    <n v="25"/>
    <s v="X"/>
    <x v="60"/>
    <s v="2011: CREDIT-CASH BACK REWARD"/>
    <s v="Other Inc"/>
    <m/>
    <m/>
    <m/>
    <x v="29"/>
    <x v="0"/>
    <x v="0"/>
    <m/>
    <x v="0"/>
    <m/>
    <s v="Jan"/>
    <n v="2014"/>
    <s v="Monthly"/>
    <n v="0"/>
    <s v="No"/>
    <s v="None"/>
    <s v="Other Inc"/>
  </r>
  <r>
    <s v="MasterCard (Capital One)"/>
    <d v="2014-01-22T00:00:00"/>
    <n v="-15.09"/>
    <s v="X"/>
    <x v="473"/>
    <s v="2011: TAQUERIA GUAYMAS SEATTLE WA 98103 USA"/>
    <s v="Food &amp; Dining:Restaurants/From Receipt"/>
    <m/>
    <m/>
    <s v="From Receipt"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22T00:00:00"/>
    <n v="-27"/>
    <s v="X"/>
    <x v="474"/>
    <s v="2011: TAPROOT THEATRE SEATTLE WA 98103 USA"/>
    <s v="Entertainment"/>
    <m/>
    <m/>
    <m/>
    <x v="30"/>
    <x v="0"/>
    <x v="0"/>
    <m/>
    <x v="0"/>
    <m/>
    <s v="Jan"/>
    <n v="2014"/>
    <s v="Monthly"/>
    <n v="0"/>
    <s v="No"/>
    <s v="None"/>
    <s v="Entertainment"/>
  </r>
  <r>
    <s v="First Tech - Checking (5544)"/>
    <d v="2014-01-21T00:00:00"/>
    <n v="-100"/>
    <s v="X"/>
    <x v="299"/>
    <s v="ATM Withdrawal--FIRST TECH 5854 154TH PL NE       REDMOND      W"/>
    <s v="Food &amp; Dining:Restaurants/From Receipt"/>
    <m/>
    <m/>
    <s v="From Receipt"/>
    <x v="15"/>
    <x v="15"/>
    <x v="0"/>
    <m/>
    <x v="0"/>
    <m/>
    <s v="Jan"/>
    <n v="2014"/>
    <s v="Monthly"/>
    <n v="0"/>
    <s v="No"/>
    <s v="None"/>
    <s v="Food &amp; Dining|Restaurants"/>
  </r>
  <r>
    <s v="First Tech - Checking (5544)"/>
    <d v="2014-01-21T00:00:00"/>
    <n v="-105"/>
    <s v="X"/>
    <x v="176"/>
    <s v="ACH Debit--THE CLEANING AUT  - ONLINE PMT"/>
    <s v="Home:Home Services"/>
    <m/>
    <m/>
    <m/>
    <x v="14"/>
    <x v="46"/>
    <x v="0"/>
    <m/>
    <x v="0"/>
    <m/>
    <s v="Jan"/>
    <n v="2014"/>
    <s v="Monthly"/>
    <n v="0"/>
    <s v="No"/>
    <s v="None"/>
    <s v="Home|Home Services"/>
  </r>
  <r>
    <s v="MasterCard (Capital One)"/>
    <d v="2014-01-20T00:00:00"/>
    <n v="-5.37"/>
    <s v="X"/>
    <x v="64"/>
    <s v="2011: SAFEWAY STORE00011437 SEATTLE WA 98117 USA"/>
    <s v="Food &amp; Dining:Groceries/From Receipt"/>
    <m/>
    <m/>
    <s v="From Receipt"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20T00:00:00"/>
    <n v="-1516.19"/>
    <s v="X"/>
    <x v="445"/>
    <s v="Growth hormone"/>
    <s v="Health &amp; Fitness:Pharmacy"/>
    <m/>
    <m/>
    <m/>
    <x v="18"/>
    <x v="38"/>
    <x v="0"/>
    <m/>
    <x v="0"/>
    <m/>
    <s v="Jan"/>
    <n v="2014"/>
    <s v="Irregular"/>
    <n v="0"/>
    <s v="No"/>
    <s v="None"/>
    <s v="Health &amp; Fitness|Pharmacy"/>
  </r>
  <r>
    <s v="MasterCard (Capital One)"/>
    <d v="2014-01-19T00:00:00"/>
    <n v="-18.329999999999998"/>
    <s v="X"/>
    <x v="475"/>
    <s v="2011: OLIVER'S TWIST SEATTLE WA 98103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19T00:00:00"/>
    <n v="-19.7"/>
    <s v="X"/>
    <x v="17"/>
    <s v="Marble Run  28pc"/>
    <s v="Gifts/From Receipt"/>
    <m/>
    <m/>
    <s v="From Receipt"/>
    <x v="28"/>
    <x v="0"/>
    <x v="0"/>
    <m/>
    <x v="0"/>
    <m/>
    <s v="Jan"/>
    <n v="2014"/>
    <s v="Monthly"/>
    <n v="0"/>
    <s v="No"/>
    <s v="None"/>
    <s v="Gifts"/>
  </r>
  <r>
    <s v="Koolikai - Checking XX2129"/>
    <d v="2014-01-18T00:00:00"/>
    <n v="1195"/>
    <s v="X"/>
    <x v="144"/>
    <s v="Deposit--Shared Branch Mobile Deposit          First Tech FC CA"/>
    <s v="Business Income (Koolikai):Rent/7231"/>
    <m/>
    <m/>
    <n v="7231"/>
    <x v="37"/>
    <x v="25"/>
    <x v="0"/>
    <m/>
    <x v="0"/>
    <m/>
    <s v="Jan"/>
    <n v="2014"/>
    <s v="Monthly"/>
    <n v="0"/>
    <s v="No"/>
    <s v="None"/>
    <s v="Business Income (Koolikai)|Rent"/>
  </r>
  <r>
    <s v="MasterCard (Capital One)"/>
    <d v="2014-01-18T00:00:00"/>
    <n v="49.26"/>
    <s v="X"/>
    <x v="476"/>
    <s v="2011: CLARKS STORE #542 LYNNWOOD WA 98037 USA"/>
    <s v="Shopping:Clothing/From Receipt"/>
    <m/>
    <m/>
    <s v="From Receipt"/>
    <x v="13"/>
    <x v="1"/>
    <x v="0"/>
    <m/>
    <x v="0"/>
    <m/>
    <s v="Jan"/>
    <n v="2014"/>
    <s v="Annual"/>
    <n v="0"/>
    <s v="No"/>
    <s v="None"/>
    <s v="Shopping|Clothing"/>
  </r>
  <r>
    <s v="MasterCard (Capital One)"/>
    <d v="2014-01-18T00:00:00"/>
    <n v="-0.5"/>
    <s v="X"/>
    <x v="477"/>
    <s v="Account validation"/>
    <s v="Shopping:Electronics &amp; Software"/>
    <m/>
    <m/>
    <m/>
    <x v="13"/>
    <x v="20"/>
    <x v="0"/>
    <m/>
    <x v="0"/>
    <m/>
    <s v="Jan"/>
    <n v="2014"/>
    <s v="Annual"/>
    <n v="0"/>
    <s v="No"/>
    <s v="None"/>
    <s v="Shopping|Electronics &amp; Software"/>
  </r>
  <r>
    <s v="MasterCard (Capital One)"/>
    <d v="2014-01-18T00:00:00"/>
    <n v="-2.4900000000000002"/>
    <s v="X"/>
    <x v="287"/>
    <s v="2011: SEATTLE 684-PARK SEATTLE WA 98104 USA"/>
    <s v="Auto &amp; Transport:Parking"/>
    <m/>
    <m/>
    <m/>
    <x v="17"/>
    <x v="11"/>
    <x v="0"/>
    <m/>
    <x v="0"/>
    <m/>
    <s v="Jan"/>
    <n v="2014"/>
    <s v="Monthly"/>
    <n v="0"/>
    <s v="No"/>
    <s v="None"/>
    <s v="Auto &amp; Transport|Parking"/>
  </r>
  <r>
    <s v="MasterCard (Capital One)"/>
    <d v="2014-01-18T00:00:00"/>
    <n v="-4.1100000000000003"/>
    <s v="X"/>
    <x v="2"/>
    <s v="2011: FRED-MEYER #0122 SEATTLE WA 98117 USA"/>
    <s v="Kids:Clothing/From Receipt"/>
    <m/>
    <m/>
    <s v="From Receipt"/>
    <x v="27"/>
    <x v="1"/>
    <x v="0"/>
    <m/>
    <x v="0"/>
    <m/>
    <s v="Jan"/>
    <n v="2014"/>
    <s v="Monthly"/>
    <n v="0"/>
    <s v="No"/>
    <s v="None"/>
    <s v="Kids|Clothing"/>
  </r>
  <r>
    <s v="MasterCard (Capital One)"/>
    <d v="2014-01-18T00:00:00"/>
    <n v="-102.42"/>
    <s v="X"/>
    <x v="2"/>
    <s v="2011: FRED-MEYER #0122 SEATTLE WA 98117 USA"/>
    <s v="Food &amp; Dining:Groceries/From Receipt"/>
    <m/>
    <m/>
    <s v="From Receipt"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8T00:00:00"/>
    <n v="-244.77"/>
    <s v="X"/>
    <x v="478"/>
    <s v="2011: EL GAUCHO SEATTLE WA 98121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First Tech - Checking (5544)"/>
    <d v="2014-01-17T00:00:00"/>
    <n v="159.56"/>
    <s v="X"/>
    <x v="407"/>
    <s v="ACH Deposit--PREMERA FUNDING  - CYC-CLAIMS"/>
    <s v="[Premera Health Care Payment]"/>
    <m/>
    <m/>
    <m/>
    <x v="42"/>
    <x v="0"/>
    <x v="0"/>
    <m/>
    <x v="0"/>
    <m/>
    <s v="Jan"/>
    <n v="2014"/>
    <s v="Account"/>
    <n v="0"/>
    <s v="No"/>
    <s v="None"/>
    <s v="[Premera Health Care Payment]"/>
  </r>
  <r>
    <s v="MasterCard (Capital One)"/>
    <d v="2014-01-17T00:00:00"/>
    <n v="-2.73"/>
    <s v="X"/>
    <x v="461"/>
    <s v="Phonos"/>
    <s v="Shopping:Electronics &amp; Software"/>
    <m/>
    <m/>
    <m/>
    <x v="13"/>
    <x v="20"/>
    <x v="0"/>
    <m/>
    <x v="0"/>
    <m/>
    <s v="Jan"/>
    <n v="2014"/>
    <s v="Annual"/>
    <n v="0"/>
    <s v="No"/>
    <s v="None"/>
    <s v="Shopping|Electronics &amp; Software"/>
  </r>
  <r>
    <s v="MasterCard (Capital One)"/>
    <d v="2014-01-17T00:00:00"/>
    <n v="-3.99"/>
    <s v="X"/>
    <x v="2"/>
    <s v="Vegetable tray"/>
    <s v="Food &amp; Dining:Groceries/From Receipt"/>
    <m/>
    <m/>
    <s v="From Receipt"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7T00:00:00"/>
    <n v="-275.91000000000003"/>
    <s v="X"/>
    <x v="479"/>
    <s v="Refrigerator repair"/>
    <s v="Business Expenses (Koolikai):Repairs/7231"/>
    <m/>
    <m/>
    <n v="7231"/>
    <x v="36"/>
    <x v="41"/>
    <x v="0"/>
    <m/>
    <x v="0"/>
    <m/>
    <s v="Jan"/>
    <n v="2014"/>
    <s v="Irregular"/>
    <n v="0"/>
    <s v="No"/>
    <s v="None"/>
    <s v="Business Expenses (Koolikai)|Repairs"/>
  </r>
  <r>
    <s v="Premera Health Care Payment"/>
    <d v="2014-01-17T00:00:00"/>
    <n v="-159.56"/>
    <m/>
    <x v="407"/>
    <s v="ACH Deposit--PREMERA FUNDING  - CYC-CLAIMS"/>
    <s v="[First Tech - Checking (5544)]"/>
    <m/>
    <m/>
    <m/>
    <x v="21"/>
    <x v="0"/>
    <x v="0"/>
    <m/>
    <x v="0"/>
    <m/>
    <s v="Jan"/>
    <n v="2014"/>
    <s v="Account"/>
    <n v="0"/>
    <s v="No"/>
    <s v="None"/>
    <s v="[First Tech - Checking (5544)]"/>
  </r>
  <r>
    <s v="Capital One - Long Term Emergency (1201)"/>
    <d v="2014-01-16T00:00:00"/>
    <n v="25.31"/>
    <s v="X"/>
    <x v="480"/>
    <m/>
    <s v="Interest Income"/>
    <m/>
    <m/>
    <m/>
    <x v="40"/>
    <x v="0"/>
    <x v="0"/>
    <m/>
    <x v="0"/>
    <m/>
    <s v="Jan"/>
    <n v="2014"/>
    <s v="Monthly"/>
    <n v="0"/>
    <s v="No"/>
    <s v="None"/>
    <s v="Interest Income"/>
  </r>
  <r>
    <s v="MasterCard (Capital One)"/>
    <d v="2014-01-16T00:00:00"/>
    <n v="-4.29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6T00:00:00"/>
    <n v="-9.1300000000000008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5T00:00:00"/>
    <n v="-25"/>
    <s v="X"/>
    <x v="481"/>
    <s v="2011: CHARGEPOINT, INC 04083703802 CA 95008 USA"/>
    <s v="Auto &amp; Transport:Gas &amp; Fuel"/>
    <m/>
    <m/>
    <m/>
    <x v="17"/>
    <x v="37"/>
    <x v="0"/>
    <m/>
    <x v="0"/>
    <m/>
    <s v="Jan"/>
    <n v="2014"/>
    <s v="Monthly"/>
    <n v="0"/>
    <s v="No"/>
    <s v="None"/>
    <s v="Auto &amp; Transport|Gas &amp; Fuel"/>
  </r>
  <r>
    <s v="First Tech - Checking (5544)"/>
    <d v="2014-01-14T00:00:00"/>
    <n v="3165.19"/>
    <s v="X"/>
    <x v="47"/>
    <s v="ACH Deposit--MICROSOFT  - EDIPAYMENT"/>
    <s v="Net Salary"/>
    <m/>
    <m/>
    <m/>
    <x v="35"/>
    <x v="0"/>
    <x v="0"/>
    <m/>
    <x v="0"/>
    <m/>
    <s v="Jan"/>
    <n v="2014"/>
    <s v="Monthly"/>
    <n v="0"/>
    <s v="No"/>
    <s v="None"/>
    <s v="Net Salary"/>
  </r>
  <r>
    <s v="First Tech - Checking (5544)"/>
    <d v="2014-01-14T00:00:00"/>
    <n v="-156.19999999999999"/>
    <s v="X"/>
    <x v="45"/>
    <s v="ACH Debit--PUGET SOUND ENER DIRECT DEBITING - PSE BILL  12502672"/>
    <s v="Bills &amp; Utilities:Utilities"/>
    <m/>
    <m/>
    <m/>
    <x v="34"/>
    <x v="18"/>
    <x v="0"/>
    <m/>
    <x v="0"/>
    <m/>
    <s v="Jan"/>
    <n v="2014"/>
    <s v="Monthly"/>
    <n v="0"/>
    <s v="No"/>
    <s v="None"/>
    <s v="Bills &amp; Utilities|Utilities"/>
  </r>
  <r>
    <s v="MasterCard (Capital One)"/>
    <d v="2014-01-14T00:00:00"/>
    <n v="25"/>
    <s v="X"/>
    <x v="60"/>
    <s v="2011: CREDIT-CASH BACK REWARD"/>
    <s v="Other Inc"/>
    <m/>
    <m/>
    <m/>
    <x v="29"/>
    <x v="0"/>
    <x v="0"/>
    <m/>
    <x v="0"/>
    <m/>
    <s v="Jan"/>
    <n v="2014"/>
    <s v="Monthly"/>
    <n v="0"/>
    <s v="No"/>
    <s v="None"/>
    <s v="Other Inc"/>
  </r>
  <r>
    <s v="MasterCard (Capital One)"/>
    <d v="2014-01-14T00:00:00"/>
    <n v="-50"/>
    <s v="X"/>
    <x v="482"/>
    <s v="2011: GOOD2GO REPLENISHMENT 08669368246 WA 98105 USA"/>
    <s v="Auto &amp; Transport:Tolls"/>
    <m/>
    <m/>
    <m/>
    <x v="17"/>
    <x v="40"/>
    <x v="0"/>
    <m/>
    <x v="0"/>
    <m/>
    <s v="Jan"/>
    <n v="2014"/>
    <s v="Irregular"/>
    <n v="0"/>
    <s v="No"/>
    <s v="None"/>
    <s v="Auto &amp; Transport|Tolls"/>
  </r>
  <r>
    <s v="First Tech - Checking (5544)"/>
    <d v="2014-01-13T00:00:00"/>
    <n v="-118.52"/>
    <s v="X"/>
    <x v="125"/>
    <s v="ACH Debit--CITY OF SEATTLE  - 1 - SCL De"/>
    <s v="Bills &amp; Utilities:Utilities"/>
    <m/>
    <m/>
    <m/>
    <x v="34"/>
    <x v="18"/>
    <x v="0"/>
    <m/>
    <x v="0"/>
    <m/>
    <s v="Jan"/>
    <n v="2014"/>
    <s v="Monthly"/>
    <n v="0"/>
    <s v="No"/>
    <s v="None"/>
    <s v="Bills &amp; Utilities|Utilities"/>
  </r>
  <r>
    <s v="American Express (Costco)"/>
    <d v="2014-01-13T00:00:00"/>
    <n v="199.99"/>
    <s v="X"/>
    <x v="236"/>
    <s v="Returned lift tickets"/>
    <s v="Health &amp; Fitness:Sports/From Receipt"/>
    <m/>
    <m/>
    <s v="From Receipt"/>
    <x v="18"/>
    <x v="23"/>
    <x v="0"/>
    <m/>
    <x v="0"/>
    <m/>
    <s v="Jan"/>
    <n v="2014"/>
    <s v="Irregular"/>
    <n v="0"/>
    <s v="No"/>
    <s v="None"/>
    <s v="Health &amp; Fitness|Sports"/>
  </r>
  <r>
    <s v="American Express (Costco)"/>
    <d v="2014-01-13T00:00:00"/>
    <n v="-160"/>
    <s v="X"/>
    <x v="1"/>
    <s v="015317000   2065460480"/>
    <s v="Personal Care:Spa &amp; Massage/From Receipt"/>
    <m/>
    <s v="Split"/>
    <s v="From Receipt"/>
    <x v="31"/>
    <x v="70"/>
    <x v="0"/>
    <m/>
    <x v="0"/>
    <m/>
    <s v="Jan"/>
    <n v="2014"/>
    <s v="Irregular"/>
    <n v="0"/>
    <s v="No"/>
    <s v="None"/>
    <s v="Personal Care|Spa &amp; Massage"/>
  </r>
  <r>
    <s v="American Express (Costco)"/>
    <d v="2014-01-13T00:00:00"/>
    <n v="-90.3"/>
    <s v="X"/>
    <x v="1"/>
    <m/>
    <s v="Food &amp; Dining:Groceries/From Receipt"/>
    <m/>
    <s v="Split"/>
    <s v="From Receipt"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3T00:00:00"/>
    <n v="-6.5"/>
    <s v="X"/>
    <x v="483"/>
    <s v="2011: AMC ALDERWOOD 16 #2629 LYNNWOOD WA 98037 USA"/>
    <s v="Entertainment:Movies &amp; DVDs/From Receipt"/>
    <m/>
    <m/>
    <s v="From Receipt"/>
    <x v="30"/>
    <x v="43"/>
    <x v="0"/>
    <m/>
    <x v="0"/>
    <m/>
    <s v="Jan"/>
    <n v="2014"/>
    <s v="Unplanned"/>
    <n v="0"/>
    <s v="No"/>
    <s v="None"/>
    <s v="Entertainment|Movies &amp; DVDs"/>
  </r>
  <r>
    <s v="MasterCard (Capital One)"/>
    <d v="2014-01-13T00:00:00"/>
    <n v="-8.42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3T00:00:00"/>
    <n v="-22.44"/>
    <s v="X"/>
    <x v="470"/>
    <s v="2011: PORTAGE BAY CAFE &amp; SEATTLE WA 98107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13T00:00:00"/>
    <n v="-62.37"/>
    <s v="X"/>
    <x v="476"/>
    <s v="2011: CLARKS STORE #542 LYNNWOOD WA 98037 USA"/>
    <s v="Shopping:Clothing/From Receipt"/>
    <m/>
    <m/>
    <s v="From Receipt"/>
    <x v="13"/>
    <x v="1"/>
    <x v="0"/>
    <m/>
    <x v="0"/>
    <m/>
    <s v="Jan"/>
    <n v="2014"/>
    <s v="Annual"/>
    <n v="0"/>
    <s v="No"/>
    <s v="None"/>
    <s v="Shopping|Clothing"/>
  </r>
  <r>
    <s v="MasterCard (Capital One)"/>
    <d v="2014-01-13T00:00:00"/>
    <n v="-188.19"/>
    <s v="X"/>
    <x v="353"/>
    <s v="2011: DSW SEATTLE WA 98125 USA"/>
    <s v="Shopping:Clothing/From Receipt"/>
    <m/>
    <m/>
    <s v="From Receipt"/>
    <x v="13"/>
    <x v="1"/>
    <x v="0"/>
    <m/>
    <x v="0"/>
    <m/>
    <s v="Jan"/>
    <n v="2014"/>
    <s v="Annual"/>
    <n v="0"/>
    <s v="No"/>
    <s v="None"/>
    <s v="Shopping|Clothing"/>
  </r>
  <r>
    <s v="First Tech - Checking (5544)"/>
    <d v="2014-01-12T00:00:00"/>
    <n v="19.75"/>
    <s v="X"/>
    <x v="484"/>
    <s v="Duplicate charge?"/>
    <s v="Health &amp; Fitness:Doctor"/>
    <m/>
    <m/>
    <m/>
    <x v="18"/>
    <x v="56"/>
    <x v="0"/>
    <m/>
    <x v="0"/>
    <m/>
    <s v="Jan"/>
    <n v="2014"/>
    <s v="Irregular"/>
    <n v="0"/>
    <s v="No"/>
    <s v="None"/>
    <s v="Health &amp; Fitness|Doctor"/>
  </r>
  <r>
    <s v="First Tech - Checking (5544)"/>
    <d v="2014-01-12T00:00:00"/>
    <n v="61.66"/>
    <s v="X"/>
    <x v="485"/>
    <s v="Duplicate opthamology charge"/>
    <s v="Health &amp; Fitness:Doctor"/>
    <m/>
    <m/>
    <m/>
    <x v="18"/>
    <x v="56"/>
    <x v="0"/>
    <m/>
    <x v="0"/>
    <m/>
    <s v="Jan"/>
    <n v="2014"/>
    <s v="Irregular"/>
    <n v="0"/>
    <s v="No"/>
    <s v="None"/>
    <s v="Health &amp; Fitness|Doctor"/>
  </r>
  <r>
    <s v="Koolikai Credit Card"/>
    <d v="2014-01-12T00:00:00"/>
    <n v="-146.54"/>
    <s v="X"/>
    <x v="55"/>
    <m/>
    <s v="Business Expenses (Koolikai):Cell Phone"/>
    <m/>
    <m/>
    <m/>
    <x v="36"/>
    <x v="22"/>
    <x v="0"/>
    <m/>
    <x v="0"/>
    <m/>
    <s v="Jan"/>
    <n v="2014"/>
    <s v="Monthly"/>
    <n v="0"/>
    <s v="No"/>
    <s v="None"/>
    <s v="Business Expenses (Koolikai)|Cell Phone"/>
  </r>
  <r>
    <s v="MasterCard (Capital One)"/>
    <d v="2014-01-12T00:00:00"/>
    <n v="1.68"/>
    <s v="X"/>
    <x v="486"/>
    <s v="Free app?"/>
    <s v="Shopping:Electronics &amp; Software"/>
    <m/>
    <m/>
    <m/>
    <x v="13"/>
    <x v="20"/>
    <x v="0"/>
    <m/>
    <x v="0"/>
    <m/>
    <s v="Jan"/>
    <n v="2014"/>
    <s v="Annual"/>
    <n v="0"/>
    <s v="No"/>
    <s v="None"/>
    <s v="Shopping|Electronics &amp; Software"/>
  </r>
  <r>
    <s v="MasterCard (Capital One)"/>
    <d v="2014-01-12T00:00:00"/>
    <n v="-1.55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1T00:00:00"/>
    <n v="-4.33"/>
    <s v="X"/>
    <x v="21"/>
    <s v="Cards for Angela's birthday"/>
    <s v="Gifts/From Receipt"/>
    <m/>
    <m/>
    <s v="From Receipt"/>
    <x v="28"/>
    <x v="0"/>
    <x v="0"/>
    <m/>
    <x v="0"/>
    <m/>
    <s v="Jan"/>
    <n v="2014"/>
    <s v="Monthly"/>
    <n v="0"/>
    <s v="No"/>
    <s v="None"/>
    <s v="Gifts"/>
  </r>
  <r>
    <s v="MasterCard (Capital One)"/>
    <d v="2014-01-11T00:00:00"/>
    <n v="-6"/>
    <s v="X"/>
    <x v="287"/>
    <s v="2011: SEATTLE 684-PARK SEATTLE WA 98104 USA"/>
    <s v="Auto &amp; Transport:Parking"/>
    <m/>
    <m/>
    <m/>
    <x v="17"/>
    <x v="11"/>
    <x v="0"/>
    <m/>
    <x v="0"/>
    <m/>
    <s v="Jan"/>
    <n v="2014"/>
    <s v="Monthly"/>
    <n v="0"/>
    <s v="No"/>
    <s v="None"/>
    <s v="Auto &amp; Transport|Parking"/>
  </r>
  <r>
    <s v="MasterCard (Capital One)"/>
    <d v="2014-01-11T00:00:00"/>
    <n v="-17.52"/>
    <s v="X"/>
    <x v="26"/>
    <s v="Nurture Shock"/>
    <s v="Shopping:Books/From Receipt"/>
    <m/>
    <m/>
    <s v="From Receipt"/>
    <x v="13"/>
    <x v="51"/>
    <x v="0"/>
    <m/>
    <x v="0"/>
    <m/>
    <s v="Jan"/>
    <n v="2014"/>
    <s v="Unplanned"/>
    <n v="0"/>
    <s v="No"/>
    <s v="None"/>
    <s v="Shopping|Books"/>
  </r>
  <r>
    <s v="MasterCard (Capital One)"/>
    <d v="2014-01-11T00:00:00"/>
    <n v="-20.75"/>
    <s v="X"/>
    <x v="106"/>
    <s v="Nurture Shock"/>
    <s v="Shopping:Books/From Receipt"/>
    <m/>
    <m/>
    <s v="From Receipt"/>
    <x v="13"/>
    <x v="51"/>
    <x v="0"/>
    <m/>
    <x v="0"/>
    <m/>
    <s v="Jan"/>
    <n v="2014"/>
    <s v="Unplanned"/>
    <n v="0"/>
    <s v="No"/>
    <s v="None"/>
    <s v="Shopping|Books"/>
  </r>
  <r>
    <s v="MasterCard (Capital One)"/>
    <d v="2014-01-11T00:00:00"/>
    <n v="-79.709999999999994"/>
    <s v="X"/>
    <x v="421"/>
    <s v="2011: THEHILIFE SEATTLE WA 98107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11T00:00:00"/>
    <n v="-144.49"/>
    <s v="X"/>
    <x v="2"/>
    <s v="2011: FRED-MEYER #0122 SEATTLE WA 98117 USA"/>
    <s v="Food &amp; Dining:Groceries/From Receipt"/>
    <m/>
    <m/>
    <s v="From Receipt"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10T00:00:00"/>
    <n v="-5.95"/>
    <s v="X"/>
    <x v="299"/>
    <s v="2011: CAFE 50 11097474 REMOND WA 98052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10T00:00:00"/>
    <n v="-18.07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First Tech - Checking (5544)"/>
    <d v="2014-01-08T00:00:00"/>
    <n v="-42.62"/>
    <s v="X"/>
    <x v="487"/>
    <s v="ACH Debit--TARGET CARD SRVC 001 - AUTO PYMT"/>
    <s v="[Target Red Card]"/>
    <m/>
    <m/>
    <m/>
    <x v="12"/>
    <x v="0"/>
    <x v="0"/>
    <m/>
    <x v="0"/>
    <m/>
    <s v="Jan"/>
    <n v="2014"/>
    <s v="Account"/>
    <n v="0"/>
    <s v="No"/>
    <s v="None"/>
    <s v="[Target Red Card]"/>
  </r>
  <r>
    <s v="First Tech - Checking (5544)"/>
    <d v="2014-01-07T00:00:00"/>
    <n v="-3574.88"/>
    <s v="X"/>
    <x v="69"/>
    <s v="Mortgage for 7015"/>
    <s v="Home:Mortgage"/>
    <m/>
    <m/>
    <m/>
    <x v="14"/>
    <x v="27"/>
    <x v="0"/>
    <m/>
    <x v="0"/>
    <m/>
    <s v="Jan"/>
    <n v="2014"/>
    <s v="Monthly"/>
    <n v="0"/>
    <s v="No"/>
    <s v="None"/>
    <s v="Home|Mortgage"/>
  </r>
  <r>
    <s v="MasterCard (Capital One)"/>
    <d v="2014-01-07T00:00:00"/>
    <n v="-1.68"/>
    <s v="X"/>
    <x v="488"/>
    <s v="Free App?  Refunded later"/>
    <s v="Shopping:Electronics &amp; Software"/>
    <m/>
    <m/>
    <m/>
    <x v="13"/>
    <x v="20"/>
    <x v="0"/>
    <m/>
    <x v="0"/>
    <m/>
    <s v="Jan"/>
    <n v="2014"/>
    <s v="Annual"/>
    <n v="0"/>
    <s v="No"/>
    <s v="None"/>
    <s v="Shopping|Electronics &amp; Software"/>
  </r>
  <r>
    <s v="MasterCard (Capital One)"/>
    <d v="2014-01-07T00:00:00"/>
    <n v="-6"/>
    <s v="X"/>
    <x v="410"/>
    <s v="2011: PREMIER PARKING MARION NASHVILLE TN 372093602 USA"/>
    <s v="Auto &amp; Transport:Parking/From Receipt"/>
    <m/>
    <m/>
    <s v="From Receipt"/>
    <x v="17"/>
    <x v="11"/>
    <x v="0"/>
    <m/>
    <x v="0"/>
    <m/>
    <s v="Jan"/>
    <n v="2014"/>
    <s v="Monthly"/>
    <n v="0"/>
    <s v="No"/>
    <s v="None"/>
    <s v="Auto &amp; Transport|Parking"/>
  </r>
  <r>
    <s v="MasterCard (Capital One)"/>
    <d v="2014-01-07T00:00:00"/>
    <n v="-7.34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07T00:00:00"/>
    <n v="-14.64"/>
    <s v="X"/>
    <x v="15"/>
    <s v="2011: DIAMOND PARKING A096 SEATTLE WA 98101 USA"/>
    <s v="Auto &amp; Transport:Parking"/>
    <m/>
    <m/>
    <m/>
    <x v="17"/>
    <x v="11"/>
    <x v="0"/>
    <m/>
    <x v="0"/>
    <m/>
    <s v="Jan"/>
    <n v="2014"/>
    <s v="Monthly"/>
    <n v="0"/>
    <s v="No"/>
    <s v="None"/>
    <s v="Auto &amp; Transport|Parking"/>
  </r>
  <r>
    <s v="MasterCard (Capital One)"/>
    <d v="2014-01-06T00:00:00"/>
    <n v="-13.42"/>
    <s v="X"/>
    <x v="15"/>
    <s v="2011: DIAMOND PARKING A096 SEATTLE WA 98101 USA"/>
    <s v="Auto &amp; Transport:Parking"/>
    <m/>
    <m/>
    <m/>
    <x v="17"/>
    <x v="11"/>
    <x v="0"/>
    <m/>
    <x v="0"/>
    <m/>
    <s v="Jan"/>
    <n v="2014"/>
    <s v="Monthly"/>
    <n v="0"/>
    <s v="No"/>
    <s v="None"/>
    <s v="Auto &amp; Transport|Parking"/>
  </r>
  <r>
    <s v="Target Red Card"/>
    <d v="2014-01-06T00:00:00"/>
    <n v="42.62"/>
    <s v="X"/>
    <x v="142"/>
    <s v="@BAL:$491.36@"/>
    <s v="[First Tech - Checking (5544)]"/>
    <m/>
    <m/>
    <m/>
    <x v="21"/>
    <x v="0"/>
    <x v="0"/>
    <m/>
    <x v="0"/>
    <m/>
    <s v="Jan"/>
    <n v="2014"/>
    <s v="Account"/>
    <n v="0"/>
    <s v="No"/>
    <s v="None"/>
    <s v="[First Tech - Checking (5544)]"/>
  </r>
  <r>
    <s v="Koolikai - Checking XX2129"/>
    <d v="2014-01-05T00:00:00"/>
    <n v="100"/>
    <s v="X"/>
    <x v="144"/>
    <s v="Repayment of water/sewer"/>
    <s v="Business Expenses (Koolikai):Utilities (Business)/7231"/>
    <m/>
    <s v="Split"/>
    <n v="7231"/>
    <x v="36"/>
    <x v="63"/>
    <x v="0"/>
    <m/>
    <x v="0"/>
    <m/>
    <s v="Jan"/>
    <n v="2014"/>
    <s v="Monthly"/>
    <n v="0"/>
    <s v="No"/>
    <s v="None"/>
    <s v="Business Expenses (Koolikai)|Utilities (Business)"/>
  </r>
  <r>
    <s v="MasterCard (Capital One)"/>
    <d v="2014-01-05T00:00:00"/>
    <n v="-3.01"/>
    <s v="X"/>
    <x v="26"/>
    <s v="Hot cocoa"/>
    <s v="Food &amp; Dining:Restaurants/From Receipt"/>
    <m/>
    <m/>
    <s v="From Receipt"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05T00:00:00"/>
    <n v="-19.66"/>
    <s v="X"/>
    <x v="105"/>
    <s v="Furnace filter, and toilet valve repair kit"/>
    <s v="Business Expenses (Koolikai):Repairs/7231:From Receipt"/>
    <m/>
    <m/>
    <s v="7231:From Receipt"/>
    <x v="36"/>
    <x v="41"/>
    <x v="0"/>
    <m/>
    <x v="0"/>
    <m/>
    <s v="Jan"/>
    <n v="2014"/>
    <s v="Irregular"/>
    <n v="0"/>
    <s v="No"/>
    <s v="None"/>
    <s v="Business Expenses (Koolikai)|Repairs"/>
  </r>
  <r>
    <s v="MasterCard (Capital One)"/>
    <d v="2014-01-04T00:00:00"/>
    <n v="-16.34"/>
    <s v="X"/>
    <x v="96"/>
    <s v="No receipt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MasterCard (Capital One)"/>
    <d v="2014-01-04T00:00:00"/>
    <n v="-18"/>
    <s v="X"/>
    <x v="489"/>
    <s v="2011: ARENA SPORTS SEATTLE WA 98115 USA"/>
    <s v="Kids:Kids Activities"/>
    <m/>
    <m/>
    <m/>
    <x v="27"/>
    <x v="12"/>
    <x v="0"/>
    <m/>
    <x v="0"/>
    <m/>
    <s v="Jan"/>
    <n v="2014"/>
    <s v="Monthly"/>
    <n v="0"/>
    <s v="No"/>
    <s v="None"/>
    <s v="Kids|Kids Activities"/>
  </r>
  <r>
    <s v="MasterCard (Capital One)"/>
    <d v="2014-01-04T00:00:00"/>
    <n v="-77.150000000000006"/>
    <s v="X"/>
    <x v="99"/>
    <s v="2011: VIOS CAFE AT 3RD PLACE SEATTLE WA 98115 USA"/>
    <s v="Food &amp; Dining:Restaurants"/>
    <m/>
    <m/>
    <m/>
    <x v="15"/>
    <x v="15"/>
    <x v="0"/>
    <m/>
    <x v="0"/>
    <m/>
    <s v="Jan"/>
    <n v="2014"/>
    <s v="Monthly"/>
    <n v="0"/>
    <s v="No"/>
    <s v="None"/>
    <s v="Food &amp; Dining|Restaurants"/>
  </r>
  <r>
    <s v="MasterCard (Capital One)"/>
    <d v="2014-01-04T00:00:00"/>
    <n v="-95.46"/>
    <s v="X"/>
    <x v="2"/>
    <s v="No receipt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First Tech - Checking (5544)"/>
    <d v="2014-01-03T00:00:00"/>
    <n v="315.45999999999998"/>
    <s v="X"/>
    <x v="130"/>
    <s v="Stay Fit reimbursement for shoes, running pants, and ski passes."/>
    <s v="Health &amp; Fitness:Sports"/>
    <m/>
    <m/>
    <m/>
    <x v="18"/>
    <x v="23"/>
    <x v="0"/>
    <m/>
    <x v="0"/>
    <m/>
    <s v="Jan"/>
    <n v="2014"/>
    <s v="Irregular"/>
    <n v="0"/>
    <s v="No"/>
    <s v="None"/>
    <s v="Health &amp; Fitness|Sports"/>
  </r>
  <r>
    <s v="First Tech - Checking (5544)"/>
    <d v="2014-01-03T00:00:00"/>
    <n v="-500"/>
    <s v="X"/>
    <x v="80"/>
    <s v="ACH Debit-- AMERICAN FUNDS 0001002:  AMCAP-529A - INVESTMENT"/>
    <s v="Kids:American Funds 529A"/>
    <m/>
    <m/>
    <m/>
    <x v="27"/>
    <x v="29"/>
    <x v="0"/>
    <m/>
    <x v="0"/>
    <m/>
    <s v="Jan"/>
    <n v="2014"/>
    <s v="Monthly"/>
    <n v="0"/>
    <s v="No"/>
    <s v="None"/>
    <s v="Kids|American Funds 529A"/>
  </r>
  <r>
    <s v="First Tech - Checking (5544)"/>
    <d v="2014-01-03T00:00:00"/>
    <n v="-2048.5100000000002"/>
    <s v="X"/>
    <x v="84"/>
    <s v="9602 Mortgage Payment"/>
    <s v="Business Expenses (Koolikai):Mortgage (Business)/9602"/>
    <m/>
    <m/>
    <n v="9602"/>
    <x v="36"/>
    <x v="30"/>
    <x v="0"/>
    <m/>
    <x v="0"/>
    <m/>
    <s v="Jan"/>
    <n v="2014"/>
    <s v="Monthly"/>
    <n v="0"/>
    <s v="No"/>
    <s v="None"/>
    <s v="Business Expenses (Koolikai)|Mortgage (Business)"/>
  </r>
  <r>
    <s v="First Tech - Checking (5544)"/>
    <d v="2014-01-03T00:00:00"/>
    <n v="-3513.25"/>
    <s v="X"/>
    <x v="84"/>
    <s v="7231 Mortgage Payment"/>
    <s v="Business Expenses (Koolikai):Mortgage (Business)/7231"/>
    <m/>
    <m/>
    <n v="7231"/>
    <x v="36"/>
    <x v="30"/>
    <x v="0"/>
    <m/>
    <x v="0"/>
    <m/>
    <s v="Jan"/>
    <n v="2014"/>
    <s v="Monthly"/>
    <n v="0"/>
    <s v="No"/>
    <s v="None"/>
    <s v="Business Expenses (Koolikai)|Mortgage (Business)"/>
  </r>
  <r>
    <s v="First Tech - Checking (5544)"/>
    <d v="2014-01-03T00:00:00"/>
    <n v="-3941.59"/>
    <s v="X"/>
    <x v="85"/>
    <s v="@CAT:@"/>
    <s v="[MasterCard (Capital One)]"/>
    <m/>
    <m/>
    <m/>
    <x v="38"/>
    <x v="0"/>
    <x v="0"/>
    <m/>
    <x v="0"/>
    <m/>
    <s v="Jan"/>
    <n v="2014"/>
    <s v="Account"/>
    <n v="0"/>
    <s v="No"/>
    <s v="None"/>
    <s v="[MasterCard (Capital One)]"/>
  </r>
  <r>
    <s v="Koolikai - Checking XX2129"/>
    <d v="2014-01-03T00:00:00"/>
    <n v="238.75"/>
    <s v="X"/>
    <x v="84"/>
    <s v="Refund of escrow overage"/>
    <s v="Business Expenses (Koolikai):Mortgage (Business)/9602"/>
    <m/>
    <m/>
    <n v="9602"/>
    <x v="36"/>
    <x v="30"/>
    <x v="0"/>
    <m/>
    <x v="0"/>
    <m/>
    <s v="Jan"/>
    <n v="2014"/>
    <s v="Monthly"/>
    <n v="0"/>
    <s v="No"/>
    <s v="None"/>
    <s v="Business Expenses (Koolikai)|Mortgage (Business)"/>
  </r>
  <r>
    <s v="MasterCard (Capital One)"/>
    <d v="2014-01-03T00:00:00"/>
    <n v="3941.59"/>
    <s v="X"/>
    <x v="85"/>
    <s v="@CAT:@"/>
    <s v="[First Tech - Checking (5544)]"/>
    <m/>
    <m/>
    <m/>
    <x v="21"/>
    <x v="0"/>
    <x v="0"/>
    <m/>
    <x v="0"/>
    <m/>
    <s v="Jan"/>
    <n v="2014"/>
    <s v="Account"/>
    <n v="0"/>
    <s v="No"/>
    <s v="None"/>
    <s v="[First Tech - Checking (5544)]"/>
  </r>
  <r>
    <s v="MasterCard (Capital One)"/>
    <d v="2014-01-03T00:00:00"/>
    <n v="-5.51"/>
    <s v="X"/>
    <x v="490"/>
    <s v="2011: MENCHIE`S FROZEN YOGUR KIRKLAND WA 98033 USA"/>
    <s v="Food &amp; Dining:Restaurants/From Receipt"/>
    <m/>
    <m/>
    <s v="From Receipt"/>
    <x v="15"/>
    <x v="15"/>
    <x v="0"/>
    <m/>
    <x v="0"/>
    <m/>
    <s v="Jan"/>
    <n v="2014"/>
    <s v="Monthly"/>
    <n v="0"/>
    <s v="No"/>
    <s v="None"/>
    <s v="Food &amp; Dining|Restaurants"/>
  </r>
  <r>
    <s v="First Tech - Checking (5544)"/>
    <d v="2014-01-02T00:00:00"/>
    <n v="112.5"/>
    <s v="X"/>
    <x v="407"/>
    <s v="ACH Deposit--PREMERA FUNDING  - CYC-CLAIMS"/>
    <s v="[Premera Health Care Payment]"/>
    <m/>
    <m/>
    <m/>
    <x v="42"/>
    <x v="0"/>
    <x v="0"/>
    <m/>
    <x v="0"/>
    <m/>
    <s v="Jan"/>
    <n v="2014"/>
    <s v="Account"/>
    <n v="0"/>
    <s v="No"/>
    <s v="None"/>
    <s v="[Premera Health Care Payment]"/>
  </r>
  <r>
    <s v="First Tech - Checking (5544)"/>
    <d v="2014-01-02T00:00:00"/>
    <n v="-1976"/>
    <s v="X"/>
    <x v="90"/>
    <s v="ACH Debit--PHINNEY RIDGE LU 504759859 - CONTRIBUTN"/>
    <s v="Kids:Daycare"/>
    <m/>
    <m/>
    <m/>
    <x v="27"/>
    <x v="35"/>
    <x v="0"/>
    <m/>
    <x v="0"/>
    <m/>
    <s v="Jan"/>
    <n v="2014"/>
    <s v="Monthly"/>
    <n v="0"/>
    <s v="No"/>
    <s v="None"/>
    <s v="Kids|Daycare"/>
  </r>
  <r>
    <s v="First Tech - Checking (5544)"/>
    <d v="2014-01-02T00:00:00"/>
    <n v="-85.41"/>
    <m/>
    <x v="460"/>
    <m/>
    <s v="[REI Mastercard (xx1787)]"/>
    <m/>
    <m/>
    <m/>
    <x v="11"/>
    <x v="0"/>
    <x v="0"/>
    <m/>
    <x v="0"/>
    <m/>
    <s v="Jan"/>
    <n v="2014"/>
    <e v="#N/A"/>
    <e v="#N/A"/>
    <e v="#N/A"/>
    <e v="#N/A"/>
    <s v="[REI Mastercard (xx1787)]"/>
  </r>
  <r>
    <s v="MasterCard (Capital One)"/>
    <d v="2014-01-02T00:00:00"/>
    <n v="-20.84"/>
    <s v="X"/>
    <x v="88"/>
    <s v="2011: COMCAST CABLE COMM 800-COMCAST WA 98103 USA"/>
    <s v="Bills &amp; Utilities:Television"/>
    <m/>
    <s v="Split"/>
    <m/>
    <x v="34"/>
    <x v="32"/>
    <x v="0"/>
    <m/>
    <x v="0"/>
    <m/>
    <s v="Jan"/>
    <n v="2014"/>
    <s v="Monthly"/>
    <n v="0"/>
    <s v="No"/>
    <s v="None"/>
    <s v="Bills &amp; Utilities|Television"/>
  </r>
  <r>
    <s v="MasterCard (Capital One)"/>
    <d v="2014-01-02T00:00:00"/>
    <n v="-61.9"/>
    <s v="X"/>
    <x v="88"/>
    <m/>
    <s v="Business Expenses (Koolikai):Internet"/>
    <m/>
    <s v="Split"/>
    <m/>
    <x v="36"/>
    <x v="33"/>
    <x v="0"/>
    <m/>
    <x v="0"/>
    <m/>
    <s v="Jan"/>
    <n v="2014"/>
    <s v="Monthly"/>
    <n v="0"/>
    <s v="No"/>
    <s v="None"/>
    <s v="Business Expenses (Koolikai)|Internet"/>
  </r>
  <r>
    <s v="MasterCard (Capital One)"/>
    <d v="2014-01-02T00:00:00"/>
    <n v="-46.29"/>
    <s v="X"/>
    <x v="88"/>
    <m/>
    <s v="Bills &amp; Utilities:Home Phone"/>
    <m/>
    <s v="Split"/>
    <m/>
    <x v="34"/>
    <x v="34"/>
    <x v="0"/>
    <m/>
    <x v="0"/>
    <m/>
    <s v="Jan"/>
    <n v="2014"/>
    <s v="Monthly"/>
    <n v="0"/>
    <s v="No"/>
    <s v="None"/>
    <s v="Bills &amp; Utilities|Home Phone"/>
  </r>
  <r>
    <s v="MasterCard (Capital One)"/>
    <d v="2014-01-02T00:00:00"/>
    <n v="-2.61"/>
    <s v="X"/>
    <x v="37"/>
    <s v="Retractable audio cable"/>
    <s v="Shopping:Electronics &amp; Software"/>
    <m/>
    <m/>
    <m/>
    <x v="13"/>
    <x v="20"/>
    <x v="0"/>
    <m/>
    <x v="0"/>
    <m/>
    <s v="Jan"/>
    <n v="2014"/>
    <s v="Annual"/>
    <n v="0"/>
    <s v="No"/>
    <s v="None"/>
    <s v="Shopping|Electronics &amp; Software"/>
  </r>
  <r>
    <s v="MasterCard (Capital One)"/>
    <d v="2014-01-02T00:00:00"/>
    <n v="-6.92"/>
    <s v="X"/>
    <x v="57"/>
    <s v="2011: KEN'S MARKET #75-116 SEATTLE WA 98103 USA"/>
    <s v="Food &amp; Dining:Groceries"/>
    <m/>
    <m/>
    <m/>
    <x v="15"/>
    <x v="3"/>
    <x v="0"/>
    <m/>
    <x v="0"/>
    <m/>
    <s v="Jan"/>
    <n v="2014"/>
    <s v="Monthly"/>
    <n v="0"/>
    <s v="No"/>
    <s v="None"/>
    <s v="Food &amp; Dining|Groceries"/>
  </r>
  <r>
    <s v="Premera Health Care Payment"/>
    <d v="2014-01-02T00:00:00"/>
    <n v="-112.5"/>
    <m/>
    <x v="407"/>
    <s v="ACH Deposit--PREMERA FUNDING  - CYC-CLAIMS"/>
    <s v="[First Tech - Checking (5544)]"/>
    <m/>
    <m/>
    <m/>
    <x v="21"/>
    <x v="0"/>
    <x v="0"/>
    <m/>
    <x v="0"/>
    <m/>
    <s v="Jan"/>
    <n v="2014"/>
    <s v="Account"/>
    <n v="0"/>
    <s v="No"/>
    <s v="None"/>
    <s v="[First Tech - Checking (5544)]"/>
  </r>
  <r>
    <s v="REI Mastercard (xx1787)"/>
    <d v="2014-01-02T00:00:00"/>
    <n v="85.41"/>
    <s v="X"/>
    <x v="460"/>
    <m/>
    <s v="[First Tech - Checking (5544)]"/>
    <s v="TXFR"/>
    <m/>
    <m/>
    <x v="21"/>
    <x v="0"/>
    <x v="0"/>
    <m/>
    <x v="0"/>
    <m/>
    <s v="Jan"/>
    <n v="2014"/>
    <s v="Account"/>
    <n v="0"/>
    <s v="No"/>
    <s v="None"/>
    <s v="[First Tech - Checking (5544)]"/>
  </r>
  <r>
    <s v="Koolikai - Checking XX2129"/>
    <d v="2014-01-01T00:00:00"/>
    <n v="2195"/>
    <s v="X"/>
    <x v="391"/>
    <s v="Deposit--Shared Branch Mobile Deposit"/>
    <s v="Business Income (Koolikai):Rent/9602"/>
    <m/>
    <m/>
    <n v="9602"/>
    <x v="37"/>
    <x v="25"/>
    <x v="0"/>
    <m/>
    <x v="0"/>
    <m/>
    <s v="Jan"/>
    <n v="2014"/>
    <s v="Monthly"/>
    <n v="0"/>
    <s v="No"/>
    <s v="None"/>
    <s v="Business Income (Koolikai)|Rent"/>
  </r>
  <r>
    <s v="Koolikai - Checking XX2129"/>
    <d v="2014-01-01T00:00:00"/>
    <n v="1100"/>
    <s v="X"/>
    <x v="144"/>
    <s v="Deposit--Shared Branch Mobile Deposit"/>
    <s v="Business Income (Koolikai):Rent/7231"/>
    <m/>
    <s v="Split"/>
    <n v="7231"/>
    <x v="37"/>
    <x v="25"/>
    <x v="0"/>
    <m/>
    <x v="0"/>
    <m/>
    <s v="Jan"/>
    <n v="2014"/>
    <s v="Monthly"/>
    <n v="0"/>
    <s v="No"/>
    <s v="None"/>
    <s v="Business Income (Koolikai)|Rent"/>
  </r>
  <r>
    <s v="MasterCard (Capital One)"/>
    <d v="2014-01-01T00:00:00"/>
    <n v="-27.77"/>
    <s v="X"/>
    <x v="491"/>
    <s v="2011: 021 BALLARD SFB SEATTLE WA 98107 USA"/>
    <s v="Food &amp; Dining:Restaurants/From Receipt"/>
    <m/>
    <m/>
    <s v="From Receipt"/>
    <x v="15"/>
    <x v="15"/>
    <x v="0"/>
    <m/>
    <x v="0"/>
    <m/>
    <s v="Jan"/>
    <n v="2014"/>
    <s v="Monthly"/>
    <n v="0"/>
    <s v="No"/>
    <s v="None"/>
    <s v="Food &amp; Dining|Restaurants"/>
  </r>
  <r>
    <s v="Budget"/>
    <d v="2014-12-28T00:00:00"/>
    <n v="-200"/>
    <m/>
    <x v="16"/>
    <m/>
    <m/>
    <m/>
    <m/>
    <m/>
    <x v="17"/>
    <x v="68"/>
    <x v="3"/>
    <m/>
    <x v="0"/>
    <m/>
    <s v="Monthly"/>
    <s v="Budget"/>
    <s v="Annual"/>
    <n v="0"/>
    <s v="No"/>
    <s v="None"/>
    <s v="Auto &amp; Transport|Auto Insurance"/>
  </r>
  <r>
    <s v="Budget"/>
    <d v="2014-12-28T00:00:00"/>
    <n v="-2400"/>
    <m/>
    <x v="16"/>
    <m/>
    <m/>
    <m/>
    <m/>
    <m/>
    <x v="17"/>
    <x v="68"/>
    <x v="3"/>
    <m/>
    <x v="0"/>
    <m/>
    <s v="Annual"/>
    <s v="Budget"/>
    <s v="Annual"/>
    <n v="0"/>
    <s v="No"/>
    <s v="None"/>
    <s v="Auto &amp; Transport|Auto Insurance"/>
  </r>
  <r>
    <s v="Budget"/>
    <d v="2014-12-28T00:00:00"/>
    <n v="-185"/>
    <m/>
    <x v="16"/>
    <m/>
    <m/>
    <m/>
    <m/>
    <m/>
    <x v="17"/>
    <x v="10"/>
    <x v="3"/>
    <m/>
    <x v="0"/>
    <m/>
    <s v="Monthly"/>
    <s v="Budget"/>
    <s v="Monthly"/>
    <n v="0"/>
    <s v="No"/>
    <s v="None"/>
    <s v="Auto &amp; Transport|Auto Lease Payment"/>
  </r>
  <r>
    <s v="Budget"/>
    <d v="2014-12-28T00:00:00"/>
    <n v="-2220"/>
    <m/>
    <x v="16"/>
    <m/>
    <m/>
    <m/>
    <m/>
    <m/>
    <x v="17"/>
    <x v="10"/>
    <x v="3"/>
    <m/>
    <x v="0"/>
    <m/>
    <s v="Annual"/>
    <s v="Budget"/>
    <s v="Monthly"/>
    <n v="0"/>
    <s v="No"/>
    <s v="None"/>
    <s v="Auto &amp; Transport|Auto Lease Payment"/>
  </r>
  <r>
    <s v="Budget"/>
    <d v="2014-12-28T00:00:00"/>
    <n v="-2"/>
    <m/>
    <x v="16"/>
    <m/>
    <m/>
    <m/>
    <m/>
    <m/>
    <x v="17"/>
    <x v="71"/>
    <x v="3"/>
    <m/>
    <x v="0"/>
    <m/>
    <s v="Monthly"/>
    <s v="Budget"/>
    <s v="Annual"/>
    <n v="0"/>
    <s v="No"/>
    <s v="None"/>
    <s v="Auto &amp; Transport|Driver's License"/>
  </r>
  <r>
    <s v="Budget"/>
    <d v="2014-12-28T00:00:00"/>
    <n v="-24"/>
    <m/>
    <x v="16"/>
    <m/>
    <m/>
    <m/>
    <m/>
    <m/>
    <x v="17"/>
    <x v="71"/>
    <x v="3"/>
    <m/>
    <x v="0"/>
    <m/>
    <s v="Annual"/>
    <s v="Budget"/>
    <s v="Annual"/>
    <n v="0"/>
    <s v="No"/>
    <s v="None"/>
    <s v="Auto &amp; Transport|Driver's License"/>
  </r>
  <r>
    <s v="Budget"/>
    <d v="2014-12-28T00:00:00"/>
    <n v="-15"/>
    <m/>
    <x v="16"/>
    <m/>
    <m/>
    <m/>
    <m/>
    <m/>
    <x v="17"/>
    <x v="37"/>
    <x v="3"/>
    <m/>
    <x v="0"/>
    <m/>
    <s v="Monthly"/>
    <s v="Budget"/>
    <s v="Monthly"/>
    <n v="0"/>
    <s v="No"/>
    <s v="None"/>
    <s v="Auto &amp; Transport|Gas &amp; Fuel"/>
  </r>
  <r>
    <s v="Budget"/>
    <d v="2014-12-28T00:00:00"/>
    <n v="-180"/>
    <m/>
    <x v="16"/>
    <m/>
    <m/>
    <m/>
    <m/>
    <m/>
    <x v="17"/>
    <x v="37"/>
    <x v="3"/>
    <m/>
    <x v="0"/>
    <m/>
    <s v="Annual"/>
    <s v="Budget"/>
    <s v="Monthly"/>
    <n v="0"/>
    <s v="No"/>
    <s v="None"/>
    <s v="Auto &amp; Transport|Gas &amp; Fuel"/>
  </r>
  <r>
    <s v="Budget"/>
    <d v="2014-12-28T00:00:00"/>
    <n v="-30"/>
    <m/>
    <x v="16"/>
    <m/>
    <m/>
    <m/>
    <m/>
    <m/>
    <x v="17"/>
    <x v="11"/>
    <x v="3"/>
    <m/>
    <x v="0"/>
    <m/>
    <s v="Monthly"/>
    <s v="Budget"/>
    <s v="Monthly"/>
    <n v="0"/>
    <s v="No"/>
    <s v="None"/>
    <s v="Auto &amp; Transport|Parking"/>
  </r>
  <r>
    <s v="Budget"/>
    <d v="2014-12-28T00:00:00"/>
    <n v="-360"/>
    <m/>
    <x v="16"/>
    <m/>
    <m/>
    <m/>
    <m/>
    <m/>
    <x v="17"/>
    <x v="11"/>
    <x v="3"/>
    <m/>
    <x v="0"/>
    <m/>
    <s v="Annual"/>
    <s v="Budget"/>
    <s v="Monthly"/>
    <n v="0"/>
    <s v="No"/>
    <s v="None"/>
    <s v="Auto &amp; Transport|Parking"/>
  </r>
  <r>
    <s v="Budget"/>
    <d v="2014-12-28T00:00:00"/>
    <n v="-20"/>
    <m/>
    <x v="16"/>
    <m/>
    <m/>
    <m/>
    <m/>
    <m/>
    <x v="17"/>
    <x v="4"/>
    <x v="3"/>
    <m/>
    <x v="0"/>
    <m/>
    <s v="Monthly"/>
    <s v="Budget"/>
    <s v="Annual"/>
    <n v="0"/>
    <s v="No"/>
    <s v="None"/>
    <s v="Auto &amp; Transport|Registration"/>
  </r>
  <r>
    <s v="Budget"/>
    <d v="2014-12-28T00:00:00"/>
    <n v="-240"/>
    <m/>
    <x v="16"/>
    <m/>
    <m/>
    <m/>
    <m/>
    <m/>
    <x v="17"/>
    <x v="4"/>
    <x v="3"/>
    <m/>
    <x v="0"/>
    <m/>
    <s v="Annual"/>
    <s v="Budget"/>
    <s v="Annual"/>
    <n v="0"/>
    <s v="No"/>
    <s v="None"/>
    <s v="Auto &amp; Transport|Registration"/>
  </r>
  <r>
    <s v="Budget"/>
    <d v="2014-12-28T00:00:00"/>
    <n v="-20"/>
    <m/>
    <x v="16"/>
    <m/>
    <m/>
    <m/>
    <m/>
    <m/>
    <x v="17"/>
    <x v="64"/>
    <x v="3"/>
    <m/>
    <x v="0"/>
    <m/>
    <s v="Monthly"/>
    <s v="Budget"/>
    <s v="Unplanned"/>
    <n v="0"/>
    <s v="No"/>
    <s v="None"/>
    <s v="Auto &amp; Transport|Service &amp; Parts"/>
  </r>
  <r>
    <s v="Budget"/>
    <d v="2014-12-28T00:00:00"/>
    <n v="-240"/>
    <m/>
    <x v="16"/>
    <m/>
    <m/>
    <m/>
    <m/>
    <m/>
    <x v="17"/>
    <x v="64"/>
    <x v="3"/>
    <m/>
    <x v="0"/>
    <m/>
    <s v="Annual"/>
    <s v="Budget"/>
    <s v="Unplanned"/>
    <n v="0"/>
    <s v="No"/>
    <s v="None"/>
    <s v="Auto &amp; Transport|Service &amp; Parts"/>
  </r>
  <r>
    <s v="Budget"/>
    <d v="2014-12-28T00:00:00"/>
    <n v="-15"/>
    <m/>
    <x v="16"/>
    <m/>
    <m/>
    <m/>
    <m/>
    <m/>
    <x v="17"/>
    <x v="40"/>
    <x v="3"/>
    <m/>
    <x v="0"/>
    <m/>
    <s v="Monthly"/>
    <s v="Budget"/>
    <s v="Irregular"/>
    <n v="0"/>
    <s v="No"/>
    <s v="None"/>
    <s v="Auto &amp; Transport|Tolls"/>
  </r>
  <r>
    <s v="Budget"/>
    <d v="2014-12-28T00:00:00"/>
    <n v="-180"/>
    <m/>
    <x v="16"/>
    <m/>
    <m/>
    <m/>
    <m/>
    <m/>
    <x v="17"/>
    <x v="40"/>
    <x v="3"/>
    <m/>
    <x v="0"/>
    <m/>
    <s v="Annual"/>
    <s v="Budget"/>
    <s v="Irregular"/>
    <n v="0"/>
    <s v="No"/>
    <s v="None"/>
    <s v="Auto &amp; Transport|Tolls"/>
  </r>
  <r>
    <s v="Budget"/>
    <d v="2014-12-28T00:00:00"/>
    <n v="-48"/>
    <m/>
    <x v="16"/>
    <m/>
    <m/>
    <m/>
    <m/>
    <m/>
    <x v="34"/>
    <x v="34"/>
    <x v="3"/>
    <m/>
    <x v="0"/>
    <m/>
    <s v="Monthly"/>
    <s v="Budget"/>
    <s v="Monthly"/>
    <n v="0"/>
    <s v="No"/>
    <s v="None"/>
    <s v="Bills &amp; Utilities|Home Phone"/>
  </r>
  <r>
    <s v="Budget"/>
    <d v="2014-12-28T00:00:00"/>
    <n v="-576"/>
    <m/>
    <x v="16"/>
    <m/>
    <m/>
    <m/>
    <m/>
    <m/>
    <x v="34"/>
    <x v="34"/>
    <x v="3"/>
    <m/>
    <x v="0"/>
    <m/>
    <s v="Annual"/>
    <s v="Budget"/>
    <s v="Monthly"/>
    <n v="0"/>
    <s v="No"/>
    <s v="None"/>
    <s v="Bills &amp; Utilities|Home Phone"/>
  </r>
  <r>
    <s v="Budget"/>
    <d v="2014-12-28T00:00:00"/>
    <n v="-28"/>
    <m/>
    <x v="16"/>
    <m/>
    <m/>
    <m/>
    <m/>
    <m/>
    <x v="34"/>
    <x v="67"/>
    <x v="3"/>
    <m/>
    <x v="0"/>
    <m/>
    <s v="Monthly"/>
    <s v="Budget"/>
    <s v="Monthly"/>
    <n v="0"/>
    <s v="No"/>
    <s v="None"/>
    <s v="Bills &amp; Utilities|Insurance (Umbrella)"/>
  </r>
  <r>
    <s v="Budget"/>
    <d v="2014-12-28T00:00:00"/>
    <n v="-336"/>
    <m/>
    <x v="16"/>
    <m/>
    <m/>
    <m/>
    <m/>
    <m/>
    <x v="34"/>
    <x v="67"/>
    <x v="3"/>
    <m/>
    <x v="0"/>
    <m/>
    <s v="Annual"/>
    <s v="Budget"/>
    <s v="Monthly"/>
    <n v="0"/>
    <s v="No"/>
    <s v="None"/>
    <s v="Bills &amp; Utilities|Insurance (Umbrella)"/>
  </r>
  <r>
    <s v="Budget"/>
    <d v="2014-12-28T00:00:00"/>
    <n v="-21"/>
    <m/>
    <x v="16"/>
    <m/>
    <m/>
    <m/>
    <m/>
    <m/>
    <x v="34"/>
    <x v="32"/>
    <x v="3"/>
    <m/>
    <x v="0"/>
    <m/>
    <s v="Monthly"/>
    <s v="Budget"/>
    <s v="Monthly"/>
    <n v="0"/>
    <s v="No"/>
    <s v="None"/>
    <s v="Bills &amp; Utilities|Television"/>
  </r>
  <r>
    <s v="Budget"/>
    <d v="2014-12-28T00:00:00"/>
    <n v="-252"/>
    <m/>
    <x v="16"/>
    <m/>
    <m/>
    <m/>
    <m/>
    <m/>
    <x v="34"/>
    <x v="32"/>
    <x v="3"/>
    <m/>
    <x v="0"/>
    <m/>
    <s v="Annual"/>
    <s v="Budget"/>
    <s v="Monthly"/>
    <n v="0"/>
    <s v="No"/>
    <s v="None"/>
    <s v="Bills &amp; Utilities|Television"/>
  </r>
  <r>
    <s v="Budget"/>
    <d v="2014-12-28T00:00:00"/>
    <n v="-250"/>
    <m/>
    <x v="16"/>
    <m/>
    <m/>
    <m/>
    <m/>
    <m/>
    <x v="34"/>
    <x v="18"/>
    <x v="3"/>
    <m/>
    <x v="0"/>
    <m/>
    <s v="Monthly"/>
    <s v="Budget"/>
    <s v="Monthly"/>
    <n v="0"/>
    <s v="No"/>
    <s v="None"/>
    <s v="Bills &amp; Utilities|Utilities"/>
  </r>
  <r>
    <s v="Budget"/>
    <d v="2014-12-28T00:00:00"/>
    <n v="-3000"/>
    <m/>
    <x v="16"/>
    <m/>
    <m/>
    <m/>
    <m/>
    <m/>
    <x v="34"/>
    <x v="18"/>
    <x v="3"/>
    <m/>
    <x v="0"/>
    <m/>
    <s v="Annual"/>
    <s v="Budget"/>
    <s v="Monthly"/>
    <n v="0"/>
    <s v="No"/>
    <s v="None"/>
    <s v="Bills &amp; Utilities|Utilities"/>
  </r>
  <r>
    <s v="Budget"/>
    <d v="2014-12-28T00:00:00"/>
    <n v="-147"/>
    <m/>
    <x v="16"/>
    <m/>
    <m/>
    <m/>
    <m/>
    <m/>
    <x v="36"/>
    <x v="22"/>
    <x v="3"/>
    <m/>
    <x v="0"/>
    <m/>
    <s v="Monthly"/>
    <s v="Budget"/>
    <s v="Monthly"/>
    <n v="0"/>
    <s v="No"/>
    <s v="None"/>
    <s v="Business Expenses (Koolikai)|Cell Phone"/>
  </r>
  <r>
    <s v="Budget"/>
    <d v="2014-12-28T00:00:00"/>
    <n v="-1764"/>
    <m/>
    <x v="16"/>
    <m/>
    <m/>
    <m/>
    <m/>
    <m/>
    <x v="36"/>
    <x v="22"/>
    <x v="3"/>
    <m/>
    <x v="0"/>
    <m/>
    <s v="Annual"/>
    <s v="Budget"/>
    <s v="Monthly"/>
    <n v="0"/>
    <s v="No"/>
    <s v="None"/>
    <s v="Business Expenses (Koolikai)|Cell Phone"/>
  </r>
  <r>
    <s v="Budget"/>
    <d v="2014-12-28T00:00:00"/>
    <n v="-62"/>
    <m/>
    <x v="16"/>
    <m/>
    <m/>
    <m/>
    <m/>
    <m/>
    <x v="36"/>
    <x v="33"/>
    <x v="3"/>
    <m/>
    <x v="0"/>
    <m/>
    <s v="Monthly"/>
    <s v="Budget"/>
    <s v="Monthly"/>
    <n v="0"/>
    <s v="No"/>
    <s v="None"/>
    <s v="Business Expenses (Koolikai)|Internet"/>
  </r>
  <r>
    <s v="Budget"/>
    <d v="2014-12-28T00:00:00"/>
    <n v="-744"/>
    <m/>
    <x v="16"/>
    <m/>
    <m/>
    <m/>
    <m/>
    <m/>
    <x v="36"/>
    <x v="33"/>
    <x v="3"/>
    <m/>
    <x v="0"/>
    <m/>
    <s v="Annual"/>
    <s v="Budget"/>
    <s v="Monthly"/>
    <n v="0"/>
    <s v="No"/>
    <s v="None"/>
    <s v="Business Expenses (Koolikai)|Internet"/>
  </r>
  <r>
    <s v="Budget"/>
    <d v="2014-12-28T00:00:00"/>
    <n v="-5600"/>
    <m/>
    <x v="16"/>
    <m/>
    <m/>
    <m/>
    <m/>
    <m/>
    <x v="36"/>
    <x v="30"/>
    <x v="3"/>
    <m/>
    <x v="0"/>
    <m/>
    <s v="Monthly"/>
    <s v="Budget"/>
    <s v="Monthly"/>
    <n v="0"/>
    <s v="No"/>
    <s v="None"/>
    <s v="Business Expenses (Koolikai)|Mortgage (Business)"/>
  </r>
  <r>
    <s v="Budget"/>
    <d v="2014-12-28T00:00:00"/>
    <n v="-67200"/>
    <m/>
    <x v="16"/>
    <m/>
    <m/>
    <m/>
    <m/>
    <m/>
    <x v="36"/>
    <x v="30"/>
    <x v="3"/>
    <m/>
    <x v="0"/>
    <m/>
    <s v="Annual"/>
    <s v="Budget"/>
    <s v="Monthly"/>
    <n v="0"/>
    <s v="No"/>
    <s v="None"/>
    <s v="Business Expenses (Koolikai)|Mortgage (Business)"/>
  </r>
  <r>
    <s v="Budget"/>
    <d v="2014-12-28T00:00:00"/>
    <n v="-40"/>
    <m/>
    <x v="16"/>
    <m/>
    <m/>
    <m/>
    <m/>
    <m/>
    <x v="36"/>
    <x v="42"/>
    <x v="3"/>
    <m/>
    <x v="0"/>
    <m/>
    <s v="Monthly"/>
    <s v="Budget"/>
    <s v="Monthly"/>
    <n v="0"/>
    <s v="No"/>
    <s v="None"/>
    <s v="Business Expenses (Koolikai)|Office Expenses (Business)"/>
  </r>
  <r>
    <s v="Budget"/>
    <d v="2014-12-28T00:00:00"/>
    <n v="-480"/>
    <m/>
    <x v="16"/>
    <m/>
    <m/>
    <m/>
    <m/>
    <m/>
    <x v="36"/>
    <x v="42"/>
    <x v="3"/>
    <m/>
    <x v="0"/>
    <m/>
    <s v="Annual"/>
    <s v="Budget"/>
    <s v="Monthly"/>
    <n v="0"/>
    <s v="No"/>
    <s v="None"/>
    <s v="Business Expenses (Koolikai)|Office Expenses (Business)"/>
  </r>
  <r>
    <s v="Budget"/>
    <d v="2014-12-28T00:00:00"/>
    <n v="-2"/>
    <m/>
    <x v="16"/>
    <m/>
    <m/>
    <m/>
    <m/>
    <m/>
    <x v="36"/>
    <x v="69"/>
    <x v="3"/>
    <m/>
    <x v="0"/>
    <m/>
    <s v="Monthly"/>
    <s v="Budget"/>
    <s v="Annual"/>
    <n v="0"/>
    <s v="No"/>
    <s v="None"/>
    <s v="Business Expenses (Koolikai)|Postage and Delivery (Business)"/>
  </r>
  <r>
    <s v="Budget"/>
    <d v="2014-12-28T00:00:00"/>
    <n v="-24"/>
    <m/>
    <x v="16"/>
    <m/>
    <m/>
    <m/>
    <m/>
    <m/>
    <x v="36"/>
    <x v="69"/>
    <x v="3"/>
    <m/>
    <x v="0"/>
    <m/>
    <s v="Annual"/>
    <s v="Budget"/>
    <s v="Annual"/>
    <n v="0"/>
    <s v="No"/>
    <s v="None"/>
    <s v="Business Expenses (Koolikai)|Postage and Delivery (Business)"/>
  </r>
  <r>
    <s v="Budget"/>
    <d v="2014-12-28T00:00:00"/>
    <n v="-50"/>
    <m/>
    <x v="16"/>
    <m/>
    <m/>
    <m/>
    <m/>
    <m/>
    <x v="36"/>
    <x v="61"/>
    <x v="3"/>
    <m/>
    <x v="0"/>
    <m/>
    <s v="Monthly"/>
    <s v="Budget"/>
    <s v="Annual"/>
    <n v="0"/>
    <s v="No"/>
    <s v="None"/>
    <s v="Business Expenses (Koolikai)|Prof and Legal Fees"/>
  </r>
  <r>
    <s v="Budget"/>
    <d v="2014-12-28T00:00:00"/>
    <n v="-600"/>
    <m/>
    <x v="16"/>
    <m/>
    <m/>
    <m/>
    <m/>
    <m/>
    <x v="36"/>
    <x v="61"/>
    <x v="3"/>
    <m/>
    <x v="0"/>
    <m/>
    <s v="Annual"/>
    <s v="Budget"/>
    <s v="Annual"/>
    <n v="0"/>
    <s v="No"/>
    <s v="None"/>
    <s v="Business Expenses (Koolikai)|Prof and Legal Fees"/>
  </r>
  <r>
    <s v="Budget"/>
    <d v="2014-12-28T00:00:00"/>
    <n v="-250"/>
    <m/>
    <x v="16"/>
    <m/>
    <m/>
    <m/>
    <m/>
    <m/>
    <x v="36"/>
    <x v="72"/>
    <x v="3"/>
    <m/>
    <x v="0"/>
    <m/>
    <s v="Monthly"/>
    <s v="Budget"/>
    <s v="Irregular"/>
    <n v="0"/>
    <s v="No"/>
    <s v="None"/>
    <s v="Business Expenses (Koolikai)|Projects"/>
  </r>
  <r>
    <s v="Budget"/>
    <d v="2014-12-28T00:00:00"/>
    <n v="-3000"/>
    <m/>
    <x v="16"/>
    <m/>
    <m/>
    <m/>
    <m/>
    <m/>
    <x v="36"/>
    <x v="72"/>
    <x v="3"/>
    <m/>
    <x v="0"/>
    <m/>
    <s v="Annual"/>
    <s v="Budget"/>
    <s v="Irregular"/>
    <n v="0"/>
    <s v="No"/>
    <s v="None"/>
    <s v="Business Expenses (Koolikai)|Projects"/>
  </r>
  <r>
    <s v="Budget"/>
    <d v="2014-12-28T00:00:00"/>
    <n v="-100"/>
    <m/>
    <x v="16"/>
    <m/>
    <m/>
    <m/>
    <m/>
    <m/>
    <x v="36"/>
    <x v="41"/>
    <x v="3"/>
    <m/>
    <x v="0"/>
    <m/>
    <s v="Monthly"/>
    <s v="Budget"/>
    <s v="Irregular"/>
    <n v="0"/>
    <s v="No"/>
    <s v="None"/>
    <s v="Business Expenses (Koolikai)|Repairs"/>
  </r>
  <r>
    <s v="Budget"/>
    <d v="2014-12-28T00:00:00"/>
    <n v="-1200"/>
    <m/>
    <x v="16"/>
    <m/>
    <m/>
    <m/>
    <m/>
    <m/>
    <x v="36"/>
    <x v="41"/>
    <x v="3"/>
    <m/>
    <x v="0"/>
    <m/>
    <s v="Annual"/>
    <s v="Budget"/>
    <s v="Irregular"/>
    <n v="0"/>
    <s v="No"/>
    <s v="None"/>
    <s v="Business Expenses (Koolikai)|Repairs"/>
  </r>
  <r>
    <s v="Budget"/>
    <d v="2014-12-28T00:00:00"/>
    <n v="-10"/>
    <m/>
    <x v="16"/>
    <m/>
    <m/>
    <m/>
    <m/>
    <m/>
    <x v="36"/>
    <x v="66"/>
    <x v="3"/>
    <m/>
    <x v="0"/>
    <m/>
    <s v="Monthly"/>
    <s v="Budget"/>
    <s v="Irregular"/>
    <n v="0"/>
    <s v="No"/>
    <s v="None"/>
    <s v="Business Expenses (Koolikai)|Supplies (Business)"/>
  </r>
  <r>
    <s v="Budget"/>
    <d v="2014-12-28T00:00:00"/>
    <n v="-120"/>
    <m/>
    <x v="16"/>
    <m/>
    <m/>
    <m/>
    <m/>
    <m/>
    <x v="36"/>
    <x v="66"/>
    <x v="3"/>
    <m/>
    <x v="0"/>
    <m/>
    <s v="Annual"/>
    <s v="Budget"/>
    <s v="Irregular"/>
    <n v="0"/>
    <s v="No"/>
    <s v="None"/>
    <s v="Business Expenses (Koolikai)|Supplies (Business)"/>
  </r>
  <r>
    <s v="Budget"/>
    <d v="2014-12-28T00:00:00"/>
    <n v="-6"/>
    <m/>
    <x v="16"/>
    <m/>
    <m/>
    <m/>
    <m/>
    <m/>
    <x v="36"/>
    <x v="73"/>
    <x v="3"/>
    <m/>
    <x v="0"/>
    <m/>
    <s v="Monthly"/>
    <s v="Budget"/>
    <s v="Annual"/>
    <n v="0"/>
    <s v="No"/>
    <s v="None"/>
    <s v="Business Expenses (Koolikai)|Taxes (Business)"/>
  </r>
  <r>
    <s v="Budget"/>
    <d v="2014-12-28T00:00:00"/>
    <n v="-72"/>
    <m/>
    <x v="16"/>
    <m/>
    <m/>
    <m/>
    <m/>
    <m/>
    <x v="36"/>
    <x v="73"/>
    <x v="3"/>
    <m/>
    <x v="0"/>
    <m/>
    <s v="Annual"/>
    <s v="Budget"/>
    <s v="Annual"/>
    <n v="0"/>
    <s v="No"/>
    <s v="None"/>
    <s v="Business Expenses (Koolikai)|Taxes (Business)"/>
  </r>
  <r>
    <s v="Budget"/>
    <d v="2014-12-28T00:00:00"/>
    <n v="-10"/>
    <m/>
    <x v="16"/>
    <m/>
    <m/>
    <m/>
    <m/>
    <m/>
    <x v="36"/>
    <x v="49"/>
    <x v="3"/>
    <m/>
    <x v="0"/>
    <m/>
    <s v="Monthly"/>
    <s v="Budget"/>
    <s v="Irregular"/>
    <n v="0"/>
    <s v="No"/>
    <s v="None"/>
    <s v="Business Expenses (Koolikai)|Tools"/>
  </r>
  <r>
    <s v="Budget"/>
    <d v="2014-12-28T00:00:00"/>
    <n v="-120"/>
    <m/>
    <x v="16"/>
    <m/>
    <m/>
    <m/>
    <m/>
    <m/>
    <x v="36"/>
    <x v="49"/>
    <x v="3"/>
    <m/>
    <x v="0"/>
    <m/>
    <s v="Annual"/>
    <s v="Budget"/>
    <s v="Irregular"/>
    <n v="0"/>
    <s v="No"/>
    <s v="None"/>
    <s v="Business Expenses (Koolikai)|Tools"/>
  </r>
  <r>
    <s v="Budget"/>
    <d v="2014-12-28T00:00:00"/>
    <n v="4490"/>
    <m/>
    <x v="16"/>
    <m/>
    <m/>
    <m/>
    <m/>
    <m/>
    <x v="37"/>
    <x v="25"/>
    <x v="3"/>
    <m/>
    <x v="0"/>
    <m/>
    <s v="Monthly"/>
    <s v="Budget"/>
    <s v="Monthly"/>
    <n v="0"/>
    <s v="No"/>
    <s v="None"/>
    <s v="Business Income (Koolikai)|Rent"/>
  </r>
  <r>
    <s v="Budget"/>
    <d v="2014-12-28T00:00:00"/>
    <n v="53880"/>
    <m/>
    <x v="16"/>
    <m/>
    <m/>
    <m/>
    <m/>
    <m/>
    <x v="37"/>
    <x v="25"/>
    <x v="3"/>
    <m/>
    <x v="0"/>
    <m/>
    <s v="Annual"/>
    <s v="Budget"/>
    <s v="Monthly"/>
    <n v="0"/>
    <s v="No"/>
    <s v="None"/>
    <s v="Business Income (Koolikai)|Rent"/>
  </r>
  <r>
    <s v="Budget"/>
    <d v="2014-12-28T00:00:00"/>
    <n v="-2"/>
    <m/>
    <x v="16"/>
    <m/>
    <m/>
    <m/>
    <m/>
    <m/>
    <x v="53"/>
    <x v="74"/>
    <x v="3"/>
    <m/>
    <x v="0"/>
    <m/>
    <s v="Monthly"/>
    <s v="Budget"/>
    <s v="Irregular"/>
    <n v="0"/>
    <s v="No"/>
    <s v="None"/>
    <s v="Education|Books &amp; Supplies"/>
  </r>
  <r>
    <s v="Budget"/>
    <d v="2014-12-28T00:00:00"/>
    <n v="-24"/>
    <m/>
    <x v="16"/>
    <m/>
    <m/>
    <m/>
    <m/>
    <m/>
    <x v="53"/>
    <x v="74"/>
    <x v="3"/>
    <m/>
    <x v="0"/>
    <m/>
    <s v="Annual"/>
    <s v="Budget"/>
    <s v="Irregular"/>
    <n v="0"/>
    <s v="No"/>
    <s v="None"/>
    <s v="Education|Books &amp; Supplies"/>
  </r>
  <r>
    <s v="Budget"/>
    <d v="2014-12-28T00:00:00"/>
    <n v="-2"/>
    <m/>
    <x v="16"/>
    <m/>
    <m/>
    <m/>
    <m/>
    <m/>
    <x v="53"/>
    <x v="75"/>
    <x v="3"/>
    <m/>
    <x v="0"/>
    <m/>
    <s v="Monthly"/>
    <s v="Budget"/>
    <s v="Irregular"/>
    <n v="0"/>
    <s v="No"/>
    <s v="None"/>
    <s v="Education|Community Education"/>
  </r>
  <r>
    <s v="Budget"/>
    <d v="2014-12-28T00:00:00"/>
    <n v="-24"/>
    <m/>
    <x v="16"/>
    <m/>
    <m/>
    <m/>
    <m/>
    <m/>
    <x v="53"/>
    <x v="75"/>
    <x v="3"/>
    <m/>
    <x v="0"/>
    <m/>
    <s v="Annual"/>
    <s v="Budget"/>
    <s v="Irregular"/>
    <n v="0"/>
    <s v="No"/>
    <s v="None"/>
    <s v="Education|Community Education"/>
  </r>
  <r>
    <s v="Budget"/>
    <d v="2014-12-28T00:00:00"/>
    <n v="-100"/>
    <m/>
    <x v="16"/>
    <m/>
    <m/>
    <m/>
    <m/>
    <m/>
    <x v="30"/>
    <x v="0"/>
    <x v="3"/>
    <m/>
    <x v="0"/>
    <m/>
    <s v="Monthly"/>
    <s v="Budget"/>
    <s v="Monthly"/>
    <n v="0"/>
    <s v="No"/>
    <s v="None"/>
    <s v="Entertainment"/>
  </r>
  <r>
    <s v="Budget"/>
    <d v="2014-12-28T00:00:00"/>
    <n v="-1200"/>
    <m/>
    <x v="16"/>
    <m/>
    <m/>
    <m/>
    <m/>
    <m/>
    <x v="30"/>
    <x v="0"/>
    <x v="3"/>
    <m/>
    <x v="0"/>
    <m/>
    <s v="Annual"/>
    <s v="Budget"/>
    <s v="Monthly"/>
    <n v="0"/>
    <s v="No"/>
    <s v="None"/>
    <s v="Entertainment"/>
  </r>
  <r>
    <s v="Budget"/>
    <d v="2014-12-28T00:00:00"/>
    <n v="-700"/>
    <m/>
    <x v="16"/>
    <m/>
    <m/>
    <m/>
    <m/>
    <m/>
    <x v="15"/>
    <x v="3"/>
    <x v="3"/>
    <m/>
    <x v="0"/>
    <m/>
    <s v="Monthly"/>
    <s v="Budget"/>
    <s v="Monthly"/>
    <n v="0"/>
    <s v="No"/>
    <s v="None"/>
    <s v="Food &amp; Dining|Groceries"/>
  </r>
  <r>
    <s v="Budget"/>
    <d v="2014-12-28T00:00:00"/>
    <n v="-8400"/>
    <m/>
    <x v="16"/>
    <m/>
    <m/>
    <m/>
    <m/>
    <m/>
    <x v="15"/>
    <x v="3"/>
    <x v="3"/>
    <m/>
    <x v="0"/>
    <m/>
    <s v="Annual"/>
    <s v="Budget"/>
    <s v="Monthly"/>
    <n v="0"/>
    <s v="No"/>
    <s v="None"/>
    <s v="Food &amp; Dining|Groceries"/>
  </r>
  <r>
    <s v="Budget"/>
    <d v="2014-12-28T00:00:00"/>
    <n v="-500"/>
    <m/>
    <x v="16"/>
    <m/>
    <m/>
    <m/>
    <m/>
    <m/>
    <x v="15"/>
    <x v="15"/>
    <x v="3"/>
    <m/>
    <x v="0"/>
    <m/>
    <s v="Monthly"/>
    <s v="Budget"/>
    <s v="Monthly"/>
    <n v="0"/>
    <s v="No"/>
    <s v="None"/>
    <s v="Food &amp; Dining|Restaurants"/>
  </r>
  <r>
    <s v="Budget"/>
    <d v="2014-12-28T00:00:00"/>
    <n v="-6000"/>
    <m/>
    <x v="16"/>
    <m/>
    <m/>
    <m/>
    <m/>
    <m/>
    <x v="15"/>
    <x v="15"/>
    <x v="3"/>
    <m/>
    <x v="0"/>
    <m/>
    <s v="Annual"/>
    <s v="Budget"/>
    <s v="Monthly"/>
    <n v="0"/>
    <s v="No"/>
    <s v="None"/>
    <s v="Food &amp; Dining|Restaurants"/>
  </r>
  <r>
    <s v="Budget"/>
    <d v="2014-12-28T00:00:00"/>
    <n v="-100"/>
    <m/>
    <x v="16"/>
    <m/>
    <m/>
    <m/>
    <m/>
    <m/>
    <x v="28"/>
    <x v="0"/>
    <x v="3"/>
    <m/>
    <x v="0"/>
    <m/>
    <s v="Monthly"/>
    <s v="Budget"/>
    <s v="Monthly"/>
    <n v="0"/>
    <s v="No"/>
    <s v="None"/>
    <s v="Gifts"/>
  </r>
  <r>
    <s v="Budget"/>
    <d v="2014-12-28T00:00:00"/>
    <n v="-1200"/>
    <m/>
    <x v="16"/>
    <m/>
    <m/>
    <m/>
    <m/>
    <m/>
    <x v="28"/>
    <x v="0"/>
    <x v="3"/>
    <m/>
    <x v="0"/>
    <m/>
    <s v="Annual"/>
    <s v="Budget"/>
    <s v="Monthly"/>
    <n v="0"/>
    <s v="No"/>
    <s v="None"/>
    <s v="Gifts"/>
  </r>
  <r>
    <s v="Budget"/>
    <d v="2014-12-28T00:00:00"/>
    <n v="-325"/>
    <m/>
    <x v="16"/>
    <m/>
    <m/>
    <m/>
    <m/>
    <m/>
    <x v="18"/>
    <x v="56"/>
    <x v="3"/>
    <m/>
    <x v="0"/>
    <m/>
    <s v="Monthly"/>
    <s v="Budget"/>
    <s v="Irregular"/>
    <n v="0"/>
    <s v="No"/>
    <s v="None"/>
    <s v="Health &amp; Fitness|Doctor"/>
  </r>
  <r>
    <s v="Budget"/>
    <d v="2014-12-28T00:00:00"/>
    <n v="-3900"/>
    <m/>
    <x v="16"/>
    <m/>
    <m/>
    <m/>
    <m/>
    <m/>
    <x v="18"/>
    <x v="56"/>
    <x v="3"/>
    <m/>
    <x v="0"/>
    <m/>
    <s v="Annual"/>
    <s v="Budget"/>
    <s v="Irregular"/>
    <n v="0"/>
    <s v="No"/>
    <s v="None"/>
    <s v="Health &amp; Fitness|Doctor"/>
  </r>
  <r>
    <s v="Budget"/>
    <d v="2014-12-28T00:00:00"/>
    <n v="-50"/>
    <m/>
    <x v="16"/>
    <m/>
    <m/>
    <m/>
    <m/>
    <m/>
    <x v="14"/>
    <x v="2"/>
    <x v="3"/>
    <m/>
    <x v="0"/>
    <m/>
    <s v="Monthly"/>
    <s v="Budget"/>
    <s v="Monthly"/>
    <n v="0"/>
    <s v="No"/>
    <s v="None"/>
    <s v="Home|Furnishings"/>
  </r>
  <r>
    <s v="Budget"/>
    <d v="2014-12-28T00:00:00"/>
    <n v="-600"/>
    <m/>
    <x v="16"/>
    <m/>
    <m/>
    <m/>
    <m/>
    <m/>
    <x v="14"/>
    <x v="2"/>
    <x v="3"/>
    <m/>
    <x v="0"/>
    <m/>
    <s v="Annual"/>
    <s v="Budget"/>
    <s v="Monthly"/>
    <n v="0"/>
    <s v="No"/>
    <s v="None"/>
    <s v="Home|Furnishings"/>
  </r>
  <r>
    <s v="Budget"/>
    <d v="2014-12-28T00:00:00"/>
    <n v="-210"/>
    <m/>
    <x v="16"/>
    <m/>
    <m/>
    <m/>
    <m/>
    <m/>
    <x v="14"/>
    <x v="46"/>
    <x v="3"/>
    <m/>
    <x v="0"/>
    <m/>
    <s v="Monthly"/>
    <s v="Budget"/>
    <s v="Monthly"/>
    <n v="0"/>
    <s v="No"/>
    <s v="None"/>
    <s v="Home|Home Services"/>
  </r>
  <r>
    <s v="Budget"/>
    <d v="2014-12-28T00:00:00"/>
    <n v="-2520"/>
    <m/>
    <x v="16"/>
    <m/>
    <m/>
    <m/>
    <m/>
    <m/>
    <x v="14"/>
    <x v="46"/>
    <x v="3"/>
    <m/>
    <x v="0"/>
    <m/>
    <s v="Annual"/>
    <s v="Budget"/>
    <s v="Monthly"/>
    <n v="0"/>
    <s v="No"/>
    <s v="None"/>
    <s v="Home|Home Services"/>
  </r>
  <r>
    <s v="Budget"/>
    <d v="2014-12-28T00:00:00"/>
    <n v="-3575"/>
    <m/>
    <x v="16"/>
    <m/>
    <m/>
    <m/>
    <m/>
    <m/>
    <x v="14"/>
    <x v="27"/>
    <x v="3"/>
    <m/>
    <x v="0"/>
    <m/>
    <s v="Monthly"/>
    <s v="Budget"/>
    <s v="Monthly"/>
    <n v="0"/>
    <s v="No"/>
    <s v="None"/>
    <s v="Home|Mortgage"/>
  </r>
  <r>
    <s v="Budget"/>
    <d v="2014-12-28T00:00:00"/>
    <n v="-42900"/>
    <m/>
    <x v="16"/>
    <m/>
    <m/>
    <m/>
    <m/>
    <m/>
    <x v="14"/>
    <x v="27"/>
    <x v="3"/>
    <m/>
    <x v="0"/>
    <m/>
    <s v="Annual"/>
    <s v="Budget"/>
    <s v="Monthly"/>
    <n v="0"/>
    <s v="No"/>
    <s v="None"/>
    <s v="Home|Mortgage"/>
  </r>
  <r>
    <s v="Budget"/>
    <d v="2014-12-28T00:00:00"/>
    <n v="150"/>
    <m/>
    <x v="16"/>
    <m/>
    <m/>
    <m/>
    <m/>
    <m/>
    <x v="40"/>
    <x v="0"/>
    <x v="3"/>
    <m/>
    <x v="0"/>
    <m/>
    <s v="Monthly"/>
    <s v="Budget"/>
    <s v="Monthly"/>
    <n v="0"/>
    <s v="No"/>
    <s v="None"/>
    <s v="Interest Income"/>
  </r>
  <r>
    <s v="Budget"/>
    <d v="2014-12-28T00:00:00"/>
    <n v="1800"/>
    <m/>
    <x v="16"/>
    <m/>
    <m/>
    <m/>
    <m/>
    <m/>
    <x v="40"/>
    <x v="0"/>
    <x v="3"/>
    <m/>
    <x v="0"/>
    <m/>
    <s v="Annual"/>
    <s v="Budget"/>
    <s v="Monthly"/>
    <n v="0"/>
    <s v="No"/>
    <s v="None"/>
    <s v="Interest Income"/>
  </r>
  <r>
    <s v="Budget"/>
    <d v="2014-12-28T00:00:00"/>
    <n v="-500"/>
    <m/>
    <x v="16"/>
    <m/>
    <m/>
    <m/>
    <m/>
    <m/>
    <x v="27"/>
    <x v="29"/>
    <x v="3"/>
    <m/>
    <x v="0"/>
    <m/>
    <s v="Monthly"/>
    <s v="Budget"/>
    <s v="Monthly"/>
    <n v="0"/>
    <s v="No"/>
    <s v="None"/>
    <s v="Kids|American Funds 529A"/>
  </r>
  <r>
    <s v="Budget"/>
    <d v="2014-12-28T00:00:00"/>
    <n v="-6000"/>
    <m/>
    <x v="16"/>
    <m/>
    <m/>
    <m/>
    <m/>
    <m/>
    <x v="27"/>
    <x v="29"/>
    <x v="3"/>
    <m/>
    <x v="0"/>
    <m/>
    <s v="Annual"/>
    <s v="Budget"/>
    <s v="Monthly"/>
    <n v="0"/>
    <s v="No"/>
    <s v="None"/>
    <s v="Kids|American Funds 529A"/>
  </r>
  <r>
    <s v="Budget"/>
    <d v="2014-12-28T00:00:00"/>
    <n v="-125"/>
    <m/>
    <x v="16"/>
    <m/>
    <m/>
    <m/>
    <m/>
    <m/>
    <x v="27"/>
    <x v="13"/>
    <x v="3"/>
    <m/>
    <x v="0"/>
    <m/>
    <s v="Monthly"/>
    <s v="Budget"/>
    <s v="Monthly"/>
    <n v="0"/>
    <s v="No"/>
    <s v="None"/>
    <s v="Kids|Babysitter"/>
  </r>
  <r>
    <s v="Budget"/>
    <d v="2014-12-28T00:00:00"/>
    <n v="-1500"/>
    <m/>
    <x v="16"/>
    <m/>
    <m/>
    <m/>
    <m/>
    <m/>
    <x v="27"/>
    <x v="13"/>
    <x v="3"/>
    <m/>
    <x v="0"/>
    <m/>
    <s v="Annual"/>
    <s v="Budget"/>
    <s v="Monthly"/>
    <n v="0"/>
    <s v="No"/>
    <s v="None"/>
    <s v="Kids|Babysitter"/>
  </r>
  <r>
    <s v="Budget"/>
    <d v="2014-12-28T00:00:00"/>
    <n v="-40"/>
    <m/>
    <x v="16"/>
    <m/>
    <m/>
    <m/>
    <m/>
    <m/>
    <x v="27"/>
    <x v="1"/>
    <x v="3"/>
    <m/>
    <x v="0"/>
    <m/>
    <s v="Monthly"/>
    <s v="Budget"/>
    <s v="Monthly"/>
    <n v="0"/>
    <s v="No"/>
    <s v="None"/>
    <s v="Kids|Clothing"/>
  </r>
  <r>
    <s v="Budget"/>
    <d v="2014-12-28T00:00:00"/>
    <n v="-480"/>
    <m/>
    <x v="16"/>
    <m/>
    <m/>
    <m/>
    <m/>
    <m/>
    <x v="27"/>
    <x v="1"/>
    <x v="3"/>
    <m/>
    <x v="0"/>
    <m/>
    <s v="Annual"/>
    <s v="Budget"/>
    <s v="Monthly"/>
    <n v="0"/>
    <s v="No"/>
    <s v="None"/>
    <s v="Kids|Clothing"/>
  </r>
  <r>
    <s v="Budget"/>
    <d v="2014-12-28T00:00:00"/>
    <n v="-1976"/>
    <m/>
    <x v="16"/>
    <m/>
    <m/>
    <m/>
    <m/>
    <m/>
    <x v="27"/>
    <x v="35"/>
    <x v="3"/>
    <m/>
    <x v="0"/>
    <m/>
    <s v="Monthly"/>
    <s v="Budget"/>
    <s v="Monthly"/>
    <n v="0"/>
    <s v="No"/>
    <s v="None"/>
    <s v="Kids|Daycare"/>
  </r>
  <r>
    <s v="Budget"/>
    <d v="2014-12-28T00:00:00"/>
    <n v="-23712"/>
    <m/>
    <x v="16"/>
    <m/>
    <m/>
    <m/>
    <m/>
    <m/>
    <x v="27"/>
    <x v="35"/>
    <x v="3"/>
    <m/>
    <x v="0"/>
    <m/>
    <s v="Annual"/>
    <s v="Budget"/>
    <s v="Monthly"/>
    <n v="0"/>
    <s v="No"/>
    <s v="None"/>
    <s v="Kids|Daycare"/>
  </r>
  <r>
    <s v="Budget"/>
    <d v="2014-12-28T00:00:00"/>
    <n v="-65"/>
    <m/>
    <x v="16"/>
    <m/>
    <m/>
    <m/>
    <m/>
    <m/>
    <x v="27"/>
    <x v="12"/>
    <x v="3"/>
    <m/>
    <x v="0"/>
    <m/>
    <s v="Monthly"/>
    <s v="Budget"/>
    <s v="Monthly"/>
    <n v="0"/>
    <s v="No"/>
    <s v="None"/>
    <s v="Kids|Kids Activities"/>
  </r>
  <r>
    <s v="Budget"/>
    <d v="2014-12-28T00:00:00"/>
    <n v="-780"/>
    <m/>
    <x v="16"/>
    <m/>
    <m/>
    <m/>
    <m/>
    <m/>
    <x v="27"/>
    <x v="12"/>
    <x v="3"/>
    <m/>
    <x v="0"/>
    <m/>
    <s v="Annual"/>
    <s v="Budget"/>
    <s v="Monthly"/>
    <n v="0"/>
    <s v="No"/>
    <s v="None"/>
    <s v="Kids|Kids Activities"/>
  </r>
  <r>
    <s v="Budget"/>
    <d v="2014-12-28T00:00:00"/>
    <n v="-75"/>
    <m/>
    <x v="16"/>
    <m/>
    <m/>
    <m/>
    <m/>
    <m/>
    <x v="27"/>
    <x v="14"/>
    <x v="3"/>
    <m/>
    <x v="0"/>
    <m/>
    <s v="Monthly"/>
    <s v="Budget"/>
    <s v="Monthly"/>
    <n v="0"/>
    <s v="No"/>
    <s v="None"/>
    <s v="Kids|Toys"/>
  </r>
  <r>
    <s v="Budget"/>
    <d v="2014-12-28T00:00:00"/>
    <n v="-900"/>
    <m/>
    <x v="16"/>
    <m/>
    <m/>
    <m/>
    <m/>
    <m/>
    <x v="27"/>
    <x v="14"/>
    <x v="3"/>
    <m/>
    <x v="0"/>
    <m/>
    <s v="Annual"/>
    <s v="Budget"/>
    <s v="Monthly"/>
    <n v="0"/>
    <s v="No"/>
    <s v="None"/>
    <s v="Kids|Toys"/>
  </r>
  <r>
    <s v="Budget"/>
    <d v="2014-12-28T00:00:00"/>
    <n v="12500"/>
    <m/>
    <x v="16"/>
    <m/>
    <m/>
    <m/>
    <m/>
    <m/>
    <x v="35"/>
    <x v="0"/>
    <x v="3"/>
    <m/>
    <x v="0"/>
    <m/>
    <s v="Monthly"/>
    <s v="Budget"/>
    <s v="Monthly"/>
    <n v="0"/>
    <s v="No"/>
    <s v="None"/>
    <s v="Net Salary"/>
  </r>
  <r>
    <s v="Budget"/>
    <d v="2014-12-28T00:00:00"/>
    <n v="150000"/>
    <m/>
    <x v="16"/>
    <m/>
    <m/>
    <m/>
    <m/>
    <m/>
    <x v="35"/>
    <x v="0"/>
    <x v="3"/>
    <m/>
    <x v="0"/>
    <m/>
    <s v="Annual"/>
    <s v="Budget"/>
    <s v="Monthly"/>
    <n v="0"/>
    <s v="No"/>
    <s v="None"/>
    <s v="Net Salary"/>
  </r>
  <r>
    <s v="Budget"/>
    <d v="2014-12-28T00:00:00"/>
    <n v="75"/>
    <m/>
    <x v="16"/>
    <m/>
    <m/>
    <m/>
    <m/>
    <m/>
    <x v="29"/>
    <x v="0"/>
    <x v="3"/>
    <m/>
    <x v="0"/>
    <m/>
    <s v="Monthly"/>
    <s v="Budget"/>
    <s v="Monthly"/>
    <n v="0"/>
    <s v="No"/>
    <s v="None"/>
    <s v="Other Inc"/>
  </r>
  <r>
    <s v="Budget"/>
    <d v="2014-12-28T00:00:00"/>
    <n v="900"/>
    <m/>
    <x v="16"/>
    <m/>
    <m/>
    <m/>
    <m/>
    <m/>
    <x v="29"/>
    <x v="0"/>
    <x v="3"/>
    <m/>
    <x v="0"/>
    <m/>
    <s v="Annual"/>
    <s v="Budget"/>
    <s v="Monthly"/>
    <n v="0"/>
    <s v="No"/>
    <s v="None"/>
    <s v="Other Inc"/>
  </r>
  <r>
    <s v="Budget"/>
    <d v="2014-12-28T00:00:00"/>
    <n v="-50"/>
    <m/>
    <x v="16"/>
    <m/>
    <m/>
    <m/>
    <m/>
    <m/>
    <x v="16"/>
    <x v="0"/>
    <x v="3"/>
    <m/>
    <x v="0"/>
    <m/>
    <s v="Monthly"/>
    <s v="Budget"/>
    <s v="Annual"/>
    <n v="0"/>
    <s v="No"/>
    <s v="None"/>
    <s v="Parties"/>
  </r>
  <r>
    <s v="Budget"/>
    <d v="2014-12-28T00:00:00"/>
    <n v="-600"/>
    <m/>
    <x v="16"/>
    <m/>
    <m/>
    <m/>
    <m/>
    <m/>
    <x v="16"/>
    <x v="0"/>
    <x v="3"/>
    <m/>
    <x v="0"/>
    <m/>
    <s v="Annual"/>
    <s v="Budget"/>
    <s v="Annual"/>
    <n v="0"/>
    <s v="No"/>
    <s v="None"/>
    <s v="Parties"/>
  </r>
  <r>
    <s v="Budget"/>
    <d v="2014-12-28T00:00:00"/>
    <n v="-10"/>
    <m/>
    <x v="16"/>
    <m/>
    <m/>
    <m/>
    <m/>
    <m/>
    <x v="31"/>
    <x v="45"/>
    <x v="3"/>
    <m/>
    <x v="0"/>
    <m/>
    <s v="Monthly"/>
    <s v="Budget"/>
    <s v="Monthly"/>
    <n v="0"/>
    <s v="No"/>
    <s v="None"/>
    <s v="Personal Care|Beauty &amp; Makeup"/>
  </r>
  <r>
    <s v="Budget"/>
    <d v="2014-12-28T00:00:00"/>
    <n v="-120"/>
    <m/>
    <x v="16"/>
    <m/>
    <m/>
    <m/>
    <m/>
    <m/>
    <x v="31"/>
    <x v="45"/>
    <x v="3"/>
    <m/>
    <x v="0"/>
    <m/>
    <s v="Annual"/>
    <s v="Budget"/>
    <s v="Monthly"/>
    <n v="0"/>
    <s v="No"/>
    <s v="None"/>
    <s v="Personal Care|Beauty &amp; Makeup"/>
  </r>
  <r>
    <s v="Budget"/>
    <d v="2014-12-28T00:00:00"/>
    <n v="-100"/>
    <m/>
    <x v="16"/>
    <m/>
    <m/>
    <m/>
    <m/>
    <m/>
    <x v="31"/>
    <x v="16"/>
    <x v="3"/>
    <m/>
    <x v="0"/>
    <m/>
    <s v="Monthly"/>
    <s v="Budget"/>
    <s v="Monthly"/>
    <n v="0"/>
    <s v="No"/>
    <s v="None"/>
    <s v="Personal Care|Hair"/>
  </r>
  <r>
    <s v="Budget"/>
    <d v="2014-12-28T00:00:00"/>
    <n v="-1200"/>
    <m/>
    <x v="16"/>
    <m/>
    <m/>
    <m/>
    <m/>
    <m/>
    <x v="31"/>
    <x v="16"/>
    <x v="3"/>
    <m/>
    <x v="0"/>
    <m/>
    <s v="Annual"/>
    <s v="Budget"/>
    <s v="Monthly"/>
    <n v="0"/>
    <s v="No"/>
    <s v="None"/>
    <s v="Personal Care|Hair"/>
  </r>
  <r>
    <s v="Budget"/>
    <d v="2014-12-28T00:00:00"/>
    <n v="-2"/>
    <m/>
    <x v="16"/>
    <m/>
    <m/>
    <m/>
    <m/>
    <m/>
    <x v="31"/>
    <x v="76"/>
    <x v="3"/>
    <m/>
    <x v="0"/>
    <m/>
    <s v="Monthly"/>
    <s v="Budget"/>
    <s v="Unplanned"/>
    <n v="0"/>
    <s v="No"/>
    <s v="None"/>
    <s v="Personal Care|Laundry"/>
  </r>
  <r>
    <s v="Budget"/>
    <d v="2014-12-28T00:00:00"/>
    <n v="-24"/>
    <m/>
    <x v="16"/>
    <m/>
    <m/>
    <m/>
    <m/>
    <m/>
    <x v="31"/>
    <x v="76"/>
    <x v="3"/>
    <m/>
    <x v="0"/>
    <m/>
    <s v="Annual"/>
    <s v="Budget"/>
    <s v="Unplanned"/>
    <n v="0"/>
    <s v="No"/>
    <s v="None"/>
    <s v="Personal Care|Laundry"/>
  </r>
  <r>
    <s v="Budget"/>
    <d v="2014-12-28T00:00:00"/>
    <n v="-2"/>
    <m/>
    <x v="16"/>
    <m/>
    <m/>
    <m/>
    <m/>
    <m/>
    <x v="31"/>
    <x v="77"/>
    <x v="3"/>
    <m/>
    <x v="0"/>
    <m/>
    <s v="Monthly"/>
    <s v="Budget"/>
    <s v="Irregular"/>
    <n v="0"/>
    <s v="No"/>
    <s v="None"/>
    <s v="Personal Care|Miscellaneous"/>
  </r>
  <r>
    <s v="Budget"/>
    <d v="2014-12-28T00:00:00"/>
    <n v="-24"/>
    <m/>
    <x v="16"/>
    <m/>
    <m/>
    <m/>
    <m/>
    <m/>
    <x v="31"/>
    <x v="77"/>
    <x v="3"/>
    <m/>
    <x v="0"/>
    <m/>
    <s v="Annual"/>
    <s v="Budget"/>
    <s v="Irregular"/>
    <n v="0"/>
    <s v="No"/>
    <s v="None"/>
    <s v="Personal Care|Miscellaneous"/>
  </r>
  <r>
    <s v="Budget"/>
    <d v="2014-12-28T00:00:00"/>
    <n v="-625"/>
    <m/>
    <x v="16"/>
    <m/>
    <m/>
    <m/>
    <m/>
    <m/>
    <x v="39"/>
    <x v="0"/>
    <x v="3"/>
    <m/>
    <x v="0"/>
    <m/>
    <s v="Monthly"/>
    <s v="Budget"/>
    <s v="Unplanned"/>
    <n v="0"/>
    <s v="No"/>
    <s v="None"/>
    <s v="Projects"/>
  </r>
  <r>
    <s v="Budget"/>
    <d v="2014-12-28T00:00:00"/>
    <n v="-7500"/>
    <m/>
    <x v="16"/>
    <m/>
    <m/>
    <m/>
    <m/>
    <m/>
    <x v="39"/>
    <x v="0"/>
    <x v="3"/>
    <m/>
    <x v="0"/>
    <m/>
    <s v="Annual"/>
    <s v="Budget"/>
    <s v="Unplanned"/>
    <n v="0"/>
    <s v="No"/>
    <s v="None"/>
    <s v="Projects"/>
  </r>
  <r>
    <s v="Budget"/>
    <d v="2014-12-28T00:00:00"/>
    <n v="-5"/>
    <m/>
    <x v="16"/>
    <m/>
    <m/>
    <m/>
    <m/>
    <m/>
    <x v="13"/>
    <x v="51"/>
    <x v="3"/>
    <m/>
    <x v="0"/>
    <m/>
    <s v="Monthly"/>
    <s v="Budget"/>
    <s v="Unplanned"/>
    <n v="0"/>
    <s v="No"/>
    <s v="None"/>
    <s v="Shopping|Books"/>
  </r>
  <r>
    <s v="Budget"/>
    <d v="2014-12-28T00:00:00"/>
    <n v="-60"/>
    <m/>
    <x v="16"/>
    <m/>
    <m/>
    <m/>
    <m/>
    <m/>
    <x v="13"/>
    <x v="51"/>
    <x v="3"/>
    <m/>
    <x v="0"/>
    <m/>
    <s v="Annual"/>
    <s v="Budget"/>
    <s v="Unplanned"/>
    <n v="0"/>
    <s v="No"/>
    <s v="None"/>
    <s v="Shopping|Books"/>
  </r>
  <r>
    <s v="Budget"/>
    <d v="2014-12-28T00:00:00"/>
    <n v="-150"/>
    <m/>
    <x v="16"/>
    <m/>
    <m/>
    <m/>
    <m/>
    <m/>
    <x v="13"/>
    <x v="1"/>
    <x v="3"/>
    <m/>
    <x v="0"/>
    <m/>
    <s v="Monthly"/>
    <s v="Budget"/>
    <s v="Annual"/>
    <n v="0"/>
    <s v="No"/>
    <s v="None"/>
    <s v="Shopping|Clothing"/>
  </r>
  <r>
    <s v="Budget"/>
    <d v="2014-12-28T00:00:00"/>
    <n v="-1800"/>
    <m/>
    <x v="16"/>
    <m/>
    <m/>
    <m/>
    <m/>
    <m/>
    <x v="13"/>
    <x v="1"/>
    <x v="3"/>
    <m/>
    <x v="0"/>
    <m/>
    <s v="Annual"/>
    <s v="Budget"/>
    <s v="Annual"/>
    <n v="0"/>
    <s v="No"/>
    <s v="None"/>
    <s v="Shopping|Clothing"/>
  </r>
  <r>
    <s v="Budget"/>
    <d v="2014-12-28T00:00:00"/>
    <n v="-100"/>
    <m/>
    <x v="16"/>
    <m/>
    <m/>
    <m/>
    <m/>
    <m/>
    <x v="13"/>
    <x v="20"/>
    <x v="3"/>
    <m/>
    <x v="0"/>
    <m/>
    <s v="Monthly"/>
    <s v="Budget"/>
    <s v="Annual"/>
    <n v="0"/>
    <s v="No"/>
    <s v="None"/>
    <s v="Shopping|Electronics &amp; Software"/>
  </r>
  <r>
    <s v="Budget"/>
    <d v="2014-12-28T00:00:00"/>
    <n v="-1200"/>
    <m/>
    <x v="16"/>
    <m/>
    <m/>
    <m/>
    <m/>
    <m/>
    <x v="13"/>
    <x v="20"/>
    <x v="3"/>
    <m/>
    <x v="0"/>
    <m/>
    <s v="Annual"/>
    <s v="Budget"/>
    <s v="Annual"/>
    <n v="0"/>
    <s v="No"/>
    <s v="None"/>
    <s v="Shopping|Electronics &amp; Software"/>
  </r>
  <r>
    <s v="Budget"/>
    <d v="2014-12-28T00:00:00"/>
    <n v="-25"/>
    <m/>
    <x v="16"/>
    <m/>
    <m/>
    <m/>
    <m/>
    <m/>
    <x v="13"/>
    <x v="48"/>
    <x v="3"/>
    <m/>
    <x v="0"/>
    <m/>
    <s v="Monthly"/>
    <s v="Budget"/>
    <s v="Annual"/>
    <n v="0"/>
    <s v="No"/>
    <s v="None"/>
    <s v="Shopping|Hobbies"/>
  </r>
  <r>
    <s v="Budget"/>
    <d v="2014-12-28T00:00:00"/>
    <n v="-300"/>
    <m/>
    <x v="16"/>
    <m/>
    <m/>
    <m/>
    <m/>
    <m/>
    <x v="13"/>
    <x v="48"/>
    <x v="3"/>
    <m/>
    <x v="0"/>
    <m/>
    <s v="Annual"/>
    <s v="Budget"/>
    <s v="Annual"/>
    <n v="0"/>
    <s v="No"/>
    <s v="None"/>
    <s v="Shopping|Hobbies"/>
  </r>
  <r>
    <s v="Budget"/>
    <d v="2014-12-28T00:00:00"/>
    <n v="-20"/>
    <m/>
    <x v="16"/>
    <m/>
    <m/>
    <m/>
    <m/>
    <m/>
    <x v="13"/>
    <x v="78"/>
    <x v="3"/>
    <m/>
    <x v="0"/>
    <m/>
    <s v="Monthly"/>
    <s v="Budget"/>
    <s v="Annual"/>
    <n v="0"/>
    <s v="No"/>
    <s v="None"/>
    <s v="Shopping|Sporting Goods"/>
  </r>
  <r>
    <s v="Budget"/>
    <d v="2014-12-28T00:00:00"/>
    <n v="-240"/>
    <m/>
    <x v="16"/>
    <m/>
    <m/>
    <m/>
    <m/>
    <m/>
    <x v="13"/>
    <x v="78"/>
    <x v="3"/>
    <m/>
    <x v="0"/>
    <m/>
    <s v="Annual"/>
    <s v="Budget"/>
    <s v="Annual"/>
    <n v="0"/>
    <s v="No"/>
    <s v="None"/>
    <s v="Shopping|Sporting Goods"/>
  </r>
  <r>
    <s v="Budget"/>
    <d v="2014-12-28T00:00:00"/>
    <n v="-35"/>
    <m/>
    <x v="16"/>
    <m/>
    <m/>
    <m/>
    <m/>
    <m/>
    <x v="33"/>
    <x v="0"/>
    <x v="3"/>
    <m/>
    <x v="0"/>
    <m/>
    <s v="Monthly"/>
    <s v="Budget"/>
    <s v="Annual"/>
    <n v="0"/>
    <s v="No"/>
    <s v="None"/>
    <s v="Subscriptions &amp; Dues"/>
  </r>
  <r>
    <s v="Budget"/>
    <d v="2014-12-28T00:00:00"/>
    <n v="-420"/>
    <m/>
    <x v="16"/>
    <m/>
    <m/>
    <m/>
    <m/>
    <m/>
    <x v="33"/>
    <x v="0"/>
    <x v="3"/>
    <m/>
    <x v="0"/>
    <m/>
    <s v="Annual"/>
    <s v="Budget"/>
    <s v="Annual"/>
    <n v="0"/>
    <s v="No"/>
    <s v="None"/>
    <s v="Subscriptions &amp; Dues"/>
  </r>
  <r>
    <s v="Budget"/>
    <d v="2014-12-28T00:00:00"/>
    <n v="-800"/>
    <m/>
    <x v="16"/>
    <m/>
    <m/>
    <m/>
    <m/>
    <m/>
    <x v="23"/>
    <x v="58"/>
    <x v="3"/>
    <m/>
    <x v="0"/>
    <m/>
    <s v="Monthly"/>
    <s v="Budget"/>
    <s v="Irregular"/>
    <n v="0"/>
    <s v="No"/>
    <s v="None"/>
    <s v="Vacation|Other"/>
  </r>
  <r>
    <s v="Budget"/>
    <d v="2014-12-28T00:00:00"/>
    <n v="-9600"/>
    <m/>
    <x v="16"/>
    <m/>
    <m/>
    <m/>
    <m/>
    <m/>
    <x v="23"/>
    <x v="58"/>
    <x v="3"/>
    <m/>
    <x v="0"/>
    <m/>
    <s v="Annual"/>
    <s v="Budget"/>
    <s v="Irregular"/>
    <n v="0"/>
    <s v="No"/>
    <s v="None"/>
    <s v="Vacation|Oth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_Experiment" cacheId="17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6:B62" firstHeaderRow="1" firstDataRow="1" firstDataCol="1" rowPageCount="2" colPageCount="1"/>
  <pivotFields count="23">
    <pivotField showAll="0"/>
    <pivotField showAll="0"/>
    <pivotField dataField="1" showAll="0"/>
    <pivotField showAll="0"/>
    <pivotField showAll="0">
      <items count="493">
        <item x="213"/>
        <item x="182"/>
        <item x="472"/>
        <item x="144"/>
        <item x="214"/>
        <item x="329"/>
        <item x="218"/>
        <item x="111"/>
        <item x="167"/>
        <item x="307"/>
        <item x="253"/>
        <item x="458"/>
        <item x="37"/>
        <item x="265"/>
        <item x="483"/>
        <item x="156"/>
        <item x="157"/>
        <item x="457"/>
        <item x="80"/>
        <item x="392"/>
        <item x="77"/>
        <item x="5"/>
        <item x="188"/>
        <item x="309"/>
        <item x="489"/>
        <item x="192"/>
        <item x="103"/>
        <item x="469"/>
        <item x="393"/>
        <item x="82"/>
        <item x="123"/>
        <item x="306"/>
        <item x="225"/>
        <item x="0"/>
        <item x="240"/>
        <item x="185"/>
        <item x="113"/>
        <item x="376"/>
        <item x="26"/>
        <item x="283"/>
        <item x="386"/>
        <item x="238"/>
        <item x="378"/>
        <item x="186"/>
        <item x="239"/>
        <item x="266"/>
        <item x="454"/>
        <item x="52"/>
        <item x="164"/>
        <item x="221"/>
        <item x="383"/>
        <item x="292"/>
        <item x="95"/>
        <item x="246"/>
        <item x="302"/>
        <item x="41"/>
        <item x="209"/>
        <item x="8"/>
        <item x="372"/>
        <item x="172"/>
        <item x="379"/>
        <item x="394"/>
        <item x="237"/>
        <item x="59"/>
        <item x="284"/>
        <item x="430"/>
        <item x="66"/>
        <item x="317"/>
        <item x="464"/>
        <item x="151"/>
        <item x="181"/>
        <item x="215"/>
        <item x="406"/>
        <item x="131"/>
        <item x="212"/>
        <item x="357"/>
        <item x="233"/>
        <item x="349"/>
        <item x="85"/>
        <item x="60"/>
        <item x="100"/>
        <item x="436"/>
        <item x="435"/>
        <item x="417"/>
        <item x="30"/>
        <item x="363"/>
        <item x="120"/>
        <item x="481"/>
        <item x="293"/>
        <item x="11"/>
        <item x="101"/>
        <item x="200"/>
        <item x="6"/>
        <item x="387"/>
        <item x="154"/>
        <item x="108"/>
        <item x="324"/>
        <item x="316"/>
        <item x="24"/>
        <item x="295"/>
        <item x="187"/>
        <item x="485"/>
        <item x="19"/>
        <item x="190"/>
        <item x="301"/>
        <item x="89"/>
        <item x="315"/>
        <item x="153"/>
        <item x="476"/>
        <item x="176"/>
        <item x="399"/>
        <item x="219"/>
        <item x="445"/>
        <item x="88"/>
        <item x="404"/>
        <item x="255"/>
        <item x="162"/>
        <item x="1"/>
        <item x="236"/>
        <item x="143"/>
        <item x="109"/>
        <item x="116"/>
        <item x="450"/>
        <item x="197"/>
        <item x="425"/>
        <item x="422"/>
        <item x="198"/>
        <item x="269"/>
        <item x="4"/>
        <item x="15"/>
        <item x="414"/>
        <item x="178"/>
        <item x="10"/>
        <item x="467"/>
        <item x="110"/>
        <item x="412"/>
        <item x="73"/>
        <item x="272"/>
        <item x="353"/>
        <item x="297"/>
        <item x="184"/>
        <item x="368"/>
        <item x="279"/>
        <item x="193"/>
        <item x="478"/>
        <item x="195"/>
        <item x="74"/>
        <item x="397"/>
        <item x="51"/>
        <item x="299"/>
        <item x="355"/>
        <item x="146"/>
        <item x="217"/>
        <item x="405"/>
        <item x="204"/>
        <item x="260"/>
        <item x="332"/>
        <item x="44"/>
        <item x="93"/>
        <item x="282"/>
        <item x="159"/>
        <item x="61"/>
        <item x="50"/>
        <item x="170"/>
        <item x="331"/>
        <item x="285"/>
        <item x="2"/>
        <item x="274"/>
        <item x="177"/>
        <item x="402"/>
        <item x="121"/>
        <item x="58"/>
        <item x="328"/>
        <item x="447"/>
        <item x="145"/>
        <item x="354"/>
        <item x="333"/>
        <item x="196"/>
        <item x="304"/>
        <item x="104"/>
        <item x="482"/>
        <item x="173"/>
        <item x="155"/>
        <item x="442"/>
        <item x="183"/>
        <item x="29"/>
        <item x="48"/>
        <item x="371"/>
        <item x="286"/>
        <item x="98"/>
        <item x="322"/>
        <item x="416"/>
        <item x="138"/>
        <item x="343"/>
        <item x="249"/>
        <item x="206"/>
        <item x="409"/>
        <item x="56"/>
        <item x="434"/>
        <item x="334"/>
        <item x="207"/>
        <item x="28"/>
        <item x="105"/>
        <item x="320"/>
        <item x="68"/>
        <item x="158"/>
        <item x="163"/>
        <item x="132"/>
        <item x="86"/>
        <item x="128"/>
        <item x="241"/>
        <item x="268"/>
        <item x="389"/>
        <item x="271"/>
        <item x="453"/>
        <item x="102"/>
        <item x="267"/>
        <item x="385"/>
        <item x="491"/>
        <item x="288"/>
        <item x="257"/>
        <item x="256"/>
        <item x="232"/>
        <item x="27"/>
        <item x="180"/>
        <item x="439"/>
        <item x="250"/>
        <item x="323"/>
        <item x="133"/>
        <item x="361"/>
        <item x="335"/>
        <item x="118"/>
        <item x="20"/>
        <item x="38"/>
        <item x="57"/>
        <item x="465"/>
        <item x="281"/>
        <item x="424"/>
        <item x="242"/>
        <item x="428"/>
        <item x="222"/>
        <item x="201"/>
        <item x="72"/>
        <item x="312"/>
        <item x="261"/>
        <item x="112"/>
        <item x="468"/>
        <item x="443"/>
        <item x="471"/>
        <item x="403"/>
        <item x="374"/>
        <item x="223"/>
        <item x="91"/>
        <item x="375"/>
        <item x="431"/>
        <item x="325"/>
        <item x="296"/>
        <item x="398"/>
        <item x="356"/>
        <item x="169"/>
        <item x="9"/>
        <item x="40"/>
        <item x="228"/>
        <item x="380"/>
        <item x="313"/>
        <item x="330"/>
        <item x="13"/>
        <item x="208"/>
        <item x="490"/>
        <item x="122"/>
        <item x="54"/>
        <item x="47"/>
        <item x="314"/>
        <item x="486"/>
        <item x="92"/>
        <item x="160"/>
        <item x="25"/>
        <item x="243"/>
        <item x="254"/>
        <item x="360"/>
        <item x="477"/>
        <item x="488"/>
        <item x="311"/>
        <item x="382"/>
        <item x="76"/>
        <item x="278"/>
        <item x="7"/>
        <item x="81"/>
        <item x="318"/>
        <item x="401"/>
        <item x="14"/>
        <item x="46"/>
        <item x="258"/>
        <item x="147"/>
        <item x="358"/>
        <item x="259"/>
        <item x="84"/>
        <item x="194"/>
        <item x="384"/>
        <item x="134"/>
        <item x="369"/>
        <item x="216"/>
        <item x="273"/>
        <item x="475"/>
        <item x="127"/>
        <item x="263"/>
        <item x="31"/>
        <item x="419"/>
        <item x="135"/>
        <item x="342"/>
        <item x="33"/>
        <item x="141"/>
        <item x="17"/>
        <item x="362"/>
        <item x="42"/>
        <item x="39"/>
        <item x="277"/>
        <item x="462"/>
        <item x="107"/>
        <item x="377"/>
        <item x="381"/>
        <item x="53"/>
        <item x="415"/>
        <item x="298"/>
        <item x="124"/>
        <item x="226"/>
        <item x="437"/>
        <item x="90"/>
        <item x="291"/>
        <item x="35"/>
        <item x="294"/>
        <item x="351"/>
        <item x="231"/>
        <item x="211"/>
        <item x="247"/>
        <item x="251"/>
        <item x="79"/>
        <item x="327"/>
        <item x="148"/>
        <item x="137"/>
        <item x="70"/>
        <item x="18"/>
        <item x="244"/>
        <item x="470"/>
        <item x="407"/>
        <item x="344"/>
        <item x="175"/>
        <item x="410"/>
        <item x="45"/>
        <item x="388"/>
        <item x="22"/>
        <item x="480"/>
        <item x="165"/>
        <item x="23"/>
        <item x="413"/>
        <item x="352"/>
        <item x="459"/>
        <item x="345"/>
        <item x="370"/>
        <item x="308"/>
        <item x="171"/>
        <item x="36"/>
        <item x="427"/>
        <item x="460"/>
        <item x="227"/>
        <item x="449"/>
        <item x="205"/>
        <item x="75"/>
        <item x="12"/>
        <item x="97"/>
        <item x="455"/>
        <item x="346"/>
        <item x="64"/>
        <item x="408"/>
        <item x="433"/>
        <item x="432"/>
        <item x="395"/>
        <item x="479"/>
        <item x="341"/>
        <item x="125"/>
        <item x="126"/>
        <item x="136"/>
        <item x="287"/>
        <item x="87"/>
        <item x="230"/>
        <item x="252"/>
        <item x="245"/>
        <item x="396"/>
        <item x="275"/>
        <item x="199"/>
        <item x="364"/>
        <item x="63"/>
        <item x="115"/>
        <item x="67"/>
        <item x="326"/>
        <item x="310"/>
        <item x="119"/>
        <item x="446"/>
        <item x="150"/>
        <item x="423"/>
        <item x="191"/>
        <item x="270"/>
        <item x="224"/>
        <item x="189"/>
        <item x="117"/>
        <item x="262"/>
        <item x="149"/>
        <item x="367"/>
        <item x="359"/>
        <item x="32"/>
        <item x="444"/>
        <item x="130"/>
        <item x="373"/>
        <item x="49"/>
        <item x="438"/>
        <item x="139"/>
        <item x="300"/>
        <item x="390"/>
        <item x="210"/>
        <item x="365"/>
        <item x="448"/>
        <item x="319"/>
        <item x="34"/>
        <item x="411"/>
        <item x="418"/>
        <item x="474"/>
        <item x="473"/>
        <item x="21"/>
        <item x="142"/>
        <item x="487"/>
        <item x="235"/>
        <item x="426"/>
        <item x="174"/>
        <item x="305"/>
        <item x="421"/>
        <item x="114"/>
        <item x="106"/>
        <item x="140"/>
        <item x="71"/>
        <item x="400"/>
        <item x="463"/>
        <item x="94"/>
        <item x="78"/>
        <item x="248"/>
        <item x="83"/>
        <item x="129"/>
        <item x="43"/>
        <item x="339"/>
        <item x="337"/>
        <item x="336"/>
        <item x="338"/>
        <item x="203"/>
        <item x="347"/>
        <item x="420"/>
        <item x="466"/>
        <item x="452"/>
        <item x="429"/>
        <item x="451"/>
        <item x="350"/>
        <item x="166"/>
        <item x="456"/>
        <item x="484"/>
        <item x="391"/>
        <item x="276"/>
        <item x="3"/>
        <item x="340"/>
        <item x="161"/>
        <item x="55"/>
        <item x="99"/>
        <item x="65"/>
        <item x="234"/>
        <item x="168"/>
        <item x="290"/>
        <item x="152"/>
        <item x="366"/>
        <item x="96"/>
        <item x="229"/>
        <item x="179"/>
        <item x="69"/>
        <item x="280"/>
        <item x="62"/>
        <item x="461"/>
        <item x="348"/>
        <item x="220"/>
        <item x="264"/>
        <item x="440"/>
        <item x="289"/>
        <item x="441"/>
        <item x="321"/>
        <item x="303"/>
        <item x="202"/>
        <item x="16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>
      <items count="55">
        <item sd="0" x="20"/>
        <item sd="0" x="52"/>
        <item sd="0" x="0"/>
        <item sd="0" x="1"/>
        <item sd="0" x="2"/>
        <item sd="0" x="3"/>
        <item sd="0" x="6"/>
        <item sd="0" x="7"/>
        <item sd="0" x="8"/>
        <item sd="0" x="24"/>
        <item sd="0" x="49"/>
        <item sd="0" x="48"/>
        <item sd="0" x="43"/>
        <item sd="0" x="21"/>
        <item sd="0" x="4"/>
        <item sd="0" x="25"/>
        <item sd="0" x="41"/>
        <item sd="0" x="9"/>
        <item sd="0" x="44"/>
        <item sd="0" x="10"/>
        <item sd="0" x="38"/>
        <item sd="0" x="42"/>
        <item sd="0" x="11"/>
        <item sd="0" x="5"/>
        <item sd="0" x="12"/>
        <item sd="0" x="17"/>
        <item sd="0" x="32"/>
        <item sd="0" x="34"/>
        <item sd="0" x="36"/>
        <item sd="0" x="37"/>
        <item sd="0" x="22"/>
        <item sd="0" x="53"/>
        <item sd="0" x="30"/>
        <item sd="0" x="50"/>
        <item sd="0" x="15"/>
        <item sd="0" x="28"/>
        <item sd="0" x="18"/>
        <item sd="0" x="14"/>
        <item sd="0" x="40"/>
        <item sd="0" x="27"/>
        <item sd="0" x="45"/>
        <item sd="0" x="46"/>
        <item sd="0" x="35"/>
        <item sd="0" x="51"/>
        <item sd="0" x="29"/>
        <item sd="0" x="16"/>
        <item sd="0" x="31"/>
        <item sd="0" x="39"/>
        <item sd="0" x="13"/>
        <item sd="0" x="33"/>
        <item sd="0" x="47"/>
        <item sd="0" x="23"/>
        <item sd="0" x="19"/>
        <item x="26"/>
        <item t="default" sd="0"/>
      </items>
    </pivotField>
    <pivotField axis="axisRow" showAll="0">
      <items count="80">
        <item x="39"/>
        <item x="29"/>
        <item x="36"/>
        <item x="17"/>
        <item x="68"/>
        <item x="10"/>
        <item x="13"/>
        <item x="31"/>
        <item x="45"/>
        <item x="51"/>
        <item x="74"/>
        <item x="57"/>
        <item x="22"/>
        <item x="7"/>
        <item x="1"/>
        <item x="75"/>
        <item x="35"/>
        <item x="53"/>
        <item x="56"/>
        <item x="71"/>
        <item x="52"/>
        <item x="20"/>
        <item x="5"/>
        <item x="54"/>
        <item x="55"/>
        <item x="65"/>
        <item x="8"/>
        <item x="50"/>
        <item x="2"/>
        <item x="37"/>
        <item x="3"/>
        <item x="16"/>
        <item x="48"/>
        <item x="19"/>
        <item x="34"/>
        <item x="46"/>
        <item x="67"/>
        <item x="33"/>
        <item x="12"/>
        <item x="47"/>
        <item x="76"/>
        <item x="62"/>
        <item x="9"/>
        <item x="77"/>
        <item x="24"/>
        <item x="27"/>
        <item x="30"/>
        <item x="43"/>
        <item x="60"/>
        <item x="42"/>
        <item x="58"/>
        <item x="11"/>
        <item x="38"/>
        <item x="69"/>
        <item x="61"/>
        <item x="72"/>
        <item x="4"/>
        <item x="21"/>
        <item x="6"/>
        <item x="25"/>
        <item x="41"/>
        <item x="15"/>
        <item x="44"/>
        <item x="59"/>
        <item x="64"/>
        <item x="70"/>
        <item x="78"/>
        <item x="23"/>
        <item x="66"/>
        <item x="73"/>
        <item x="32"/>
        <item x="40"/>
        <item x="49"/>
        <item x="14"/>
        <item x="26"/>
        <item x="28"/>
        <item x="18"/>
        <item x="63"/>
        <item x="0"/>
        <item t="default"/>
      </items>
    </pivotField>
    <pivotField axis="axisPage" showAll="0">
      <items count="5">
        <item x="1"/>
        <item x="3"/>
        <item x="2"/>
        <item x="0"/>
        <item t="default"/>
      </items>
    </pivotField>
    <pivotField showAll="0"/>
    <pivotField axis="axisPage" showAll="0">
      <items count="27">
        <item x="4"/>
        <item x="8"/>
        <item x="15"/>
        <item x="16"/>
        <item x="6"/>
        <item x="25"/>
        <item x="18"/>
        <item x="7"/>
        <item x="20"/>
        <item x="13"/>
        <item x="11"/>
        <item x="23"/>
        <item x="12"/>
        <item x="17"/>
        <item x="14"/>
        <item x="9"/>
        <item x="19"/>
        <item x="21"/>
        <item x="10"/>
        <item x="2"/>
        <item x="22"/>
        <item x="24"/>
        <item x="1"/>
        <item x="3"/>
        <item x="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0"/>
    <field x="11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r="1">
      <x v="78"/>
    </i>
    <i t="grand">
      <x/>
    </i>
  </rowItems>
  <colItems count="1">
    <i/>
  </colItems>
  <pageFields count="2">
    <pageField fld="12" hier="-1"/>
    <pageField fld="14" hier="-1"/>
  </pageFields>
  <dataFields count="1">
    <dataField name="Sum of Amount" fld="2" baseField="0" baseItem="0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_Projects" cacheId="169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5:B11" firstHeaderRow="1" firstDataRow="1" firstDataCol="1" rowPageCount="1" colPageCount="1"/>
  <pivotFields count="23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5">
        <item h="1" x="20"/>
        <item h="1" x="52"/>
        <item h="1" x="0"/>
        <item h="1" x="1"/>
        <item h="1" x="2"/>
        <item h="1" x="3"/>
        <item h="1" x="6"/>
        <item h="1" x="7"/>
        <item h="1" x="8"/>
        <item h="1" x="24"/>
        <item h="1" x="49"/>
        <item h="1" x="48"/>
        <item h="1" x="43"/>
        <item h="1" x="21"/>
        <item h="1" x="4"/>
        <item h="1" x="25"/>
        <item h="1" x="41"/>
        <item h="1" x="9"/>
        <item h="1" x="44"/>
        <item h="1" x="10"/>
        <item h="1" x="38"/>
        <item h="1" x="42"/>
        <item h="1" x="11"/>
        <item h="1" x="5"/>
        <item h="1" x="12"/>
        <item h="1" x="17"/>
        <item h="1" x="32"/>
        <item h="1" x="34"/>
        <item h="1" x="36"/>
        <item h="1" x="37"/>
        <item h="1" x="22"/>
        <item h="1" x="53"/>
        <item h="1" x="30"/>
        <item h="1" x="50"/>
        <item h="1" x="15"/>
        <item h="1" x="28"/>
        <item h="1" x="18"/>
        <item h="1" x="14"/>
        <item h="1" x="40"/>
        <item h="1" x="27"/>
        <item h="1" x="45"/>
        <item h="1" x="46"/>
        <item h="1" x="35"/>
        <item h="1" x="51"/>
        <item h="1" x="29"/>
        <item h="1" x="16"/>
        <item h="1" x="31"/>
        <item x="39"/>
        <item h="1" x="13"/>
        <item h="1" x="33"/>
        <item h="1" x="47"/>
        <item h="1" x="23"/>
        <item h="1" x="19"/>
        <item h="1" x="26"/>
        <item t="default"/>
      </items>
    </pivotField>
    <pivotField axis="axisRow" showAll="0">
      <items count="80">
        <item x="39"/>
        <item x="29"/>
        <item x="36"/>
        <item x="17"/>
        <item x="68"/>
        <item x="10"/>
        <item x="13"/>
        <item x="31"/>
        <item x="45"/>
        <item x="51"/>
        <item x="74"/>
        <item x="57"/>
        <item x="22"/>
        <item x="7"/>
        <item x="1"/>
        <item x="75"/>
        <item x="35"/>
        <item x="53"/>
        <item x="56"/>
        <item x="71"/>
        <item x="52"/>
        <item x="20"/>
        <item x="5"/>
        <item x="54"/>
        <item x="55"/>
        <item x="65"/>
        <item x="8"/>
        <item x="50"/>
        <item x="2"/>
        <item x="37"/>
        <item x="3"/>
        <item x="16"/>
        <item x="48"/>
        <item x="19"/>
        <item x="34"/>
        <item x="46"/>
        <item x="67"/>
        <item x="33"/>
        <item x="12"/>
        <item x="47"/>
        <item x="76"/>
        <item x="62"/>
        <item x="9"/>
        <item x="77"/>
        <item x="24"/>
        <item x="27"/>
        <item x="30"/>
        <item x="43"/>
        <item x="60"/>
        <item x="42"/>
        <item x="58"/>
        <item x="11"/>
        <item x="38"/>
        <item x="69"/>
        <item x="61"/>
        <item x="72"/>
        <item x="4"/>
        <item x="21"/>
        <item x="6"/>
        <item x="25"/>
        <item x="41"/>
        <item x="15"/>
        <item x="44"/>
        <item x="59"/>
        <item x="64"/>
        <item x="70"/>
        <item x="78"/>
        <item x="23"/>
        <item x="66"/>
        <item x="73"/>
        <item x="32"/>
        <item x="40"/>
        <item x="49"/>
        <item x="14"/>
        <item x="26"/>
        <item x="28"/>
        <item x="18"/>
        <item x="6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6">
    <i>
      <x v="2"/>
    </i>
    <i>
      <x v="11"/>
    </i>
    <i>
      <x v="20"/>
    </i>
    <i>
      <x v="24"/>
    </i>
    <i>
      <x v="39"/>
    </i>
    <i t="grand">
      <x/>
    </i>
  </rowItems>
  <colItems count="1">
    <i/>
  </colItems>
  <pageFields count="1">
    <pageField fld="10" hier="-1"/>
  </pageFields>
  <dataFields count="1">
    <dataField name="Sum of Amount" fld="2" baseField="0" baseItem="0" numFmtId="164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VT_Vacation" cacheId="164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5:B21" firstHeaderRow="1" firstDataRow="1" firstDataCol="1" rowPageCount="2" colPageCount="1"/>
  <pivotFields count="23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5">
        <item h="1" x="20"/>
        <item h="1" x="52"/>
        <item h="1" x="0"/>
        <item h="1" x="1"/>
        <item h="1" x="2"/>
        <item h="1" x="3"/>
        <item h="1" x="6"/>
        <item h="1" x="7"/>
        <item h="1" x="8"/>
        <item h="1" x="24"/>
        <item h="1" x="49"/>
        <item h="1" x="48"/>
        <item h="1" x="43"/>
        <item h="1" x="21"/>
        <item h="1" x="4"/>
        <item h="1" x="25"/>
        <item h="1" x="41"/>
        <item h="1" x="9"/>
        <item h="1" x="44"/>
        <item h="1" x="10"/>
        <item h="1" x="38"/>
        <item h="1" x="42"/>
        <item h="1" x="11"/>
        <item h="1" x="5"/>
        <item h="1" x="12"/>
        <item h="1" x="17"/>
        <item h="1" x="32"/>
        <item h="1" x="34"/>
        <item h="1" x="36"/>
        <item h="1" x="37"/>
        <item h="1" x="22"/>
        <item h="1" x="53"/>
        <item h="1" x="30"/>
        <item h="1" x="50"/>
        <item h="1" x="15"/>
        <item h="1" x="28"/>
        <item h="1" x="18"/>
        <item h="1" x="14"/>
        <item h="1" x="40"/>
        <item h="1" x="27"/>
        <item h="1" x="45"/>
        <item h="1" x="46"/>
        <item h="1" x="35"/>
        <item h="1" x="51"/>
        <item h="1" x="29"/>
        <item h="1" x="16"/>
        <item h="1" x="31"/>
        <item h="1" x="39"/>
        <item h="1" x="13"/>
        <item h="1" x="33"/>
        <item h="1" x="47"/>
        <item x="23"/>
        <item h="1" x="19"/>
        <item h="1" x="26"/>
        <item t="default"/>
      </items>
    </pivotField>
    <pivotField showAll="0"/>
    <pivotField axis="axisPage" showAll="0">
      <items count="5">
        <item x="1"/>
        <item x="3"/>
        <item x="2"/>
        <item x="0"/>
        <item t="default"/>
      </items>
    </pivotField>
    <pivotField showAll="0"/>
    <pivotField axis="axisRow" showAll="0">
      <items count="27">
        <item x="4"/>
        <item x="8"/>
        <item x="15"/>
        <item x="16"/>
        <item x="6"/>
        <item x="25"/>
        <item x="18"/>
        <item x="7"/>
        <item x="20"/>
        <item x="13"/>
        <item x="11"/>
        <item x="23"/>
        <item x="12"/>
        <item x="17"/>
        <item x="14"/>
        <item x="9"/>
        <item x="19"/>
        <item x="21"/>
        <item x="10"/>
        <item x="2"/>
        <item x="22"/>
        <item x="24"/>
        <item x="1"/>
        <item x="3"/>
        <item x="5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16">
    <i>
      <x v="3"/>
    </i>
    <i>
      <x v="4"/>
    </i>
    <i>
      <x v="5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1"/>
    </i>
    <i>
      <x v="23"/>
    </i>
    <i t="grand">
      <x/>
    </i>
  </rowItems>
  <colItems count="1">
    <i/>
  </colItems>
  <pageFields count="2">
    <pageField fld="12" hier="-1"/>
    <pageField fld="10" hier="-1"/>
  </pageFields>
  <dataFields count="1">
    <dataField name="Sum of Amount" fld="2" baseField="0" baseItem="0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VT_Monthly" cacheId="158" applyNumberFormats="0" applyBorderFormats="0" applyFontFormats="0" applyPatternFormats="0" applyAlignmentFormats="0" applyWidthHeightFormats="1" dataCaption="Values" updatedVersion="5" minRefreshableVersion="3" showCalcMbrs="0" useAutoFormatting="1" rowGrandTotals="0" colGrandTotals="0" itemPrintTitles="1" createdVersion="3" indent="0" outline="1" outlineData="1" multipleFieldFilters="0">
  <location ref="A5:Q41" firstHeaderRow="1" firstDataRow="3" firstDataCol="1" rowPageCount="3" colPageCount="1"/>
  <pivotFields count="23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5">
        <item sd="0" x="20"/>
        <item sd="0" x="52"/>
        <item sd="0" x="0"/>
        <item sd="0" x="1"/>
        <item sd="0" x="2"/>
        <item sd="0" x="3"/>
        <item sd="0" x="6"/>
        <item sd="0" x="7"/>
        <item sd="0" x="8"/>
        <item sd="0" x="24"/>
        <item sd="0" x="49"/>
        <item sd="0" x="48"/>
        <item sd="0" x="43"/>
        <item sd="0" x="21"/>
        <item sd="0" x="4"/>
        <item sd="0" x="25"/>
        <item sd="0" x="41"/>
        <item sd="0" x="9"/>
        <item sd="0" x="44"/>
        <item sd="0" x="10"/>
        <item sd="0" x="38"/>
        <item sd="0" x="42"/>
        <item sd="0" x="11"/>
        <item sd="0" x="5"/>
        <item sd="0" x="12"/>
        <item x="17"/>
        <item sd="0" x="32"/>
        <item sd="0" x="34"/>
        <item sd="0" x="36"/>
        <item sd="0" x="37"/>
        <item sd="0" x="22"/>
        <item sd="0" x="53"/>
        <item sd="0" x="30"/>
        <item sd="0" x="50"/>
        <item sd="0" x="15"/>
        <item sd="0" x="28"/>
        <item sd="0" x="18"/>
        <item sd="0" x="14"/>
        <item sd="0" x="40"/>
        <item sd="0" x="27"/>
        <item sd="0" x="45"/>
        <item sd="0" x="46"/>
        <item sd="0" x="35"/>
        <item sd="0" x="51"/>
        <item sd="0" x="29"/>
        <item sd="0" x="16"/>
        <item sd="0" x="31"/>
        <item sd="0" x="39"/>
        <item sd="0" x="13"/>
        <item sd="0" x="33"/>
        <item sd="0" x="47"/>
        <item sd="0" x="23"/>
        <item sd="0" x="19"/>
        <item sd="0" x="26"/>
        <item t="default" sd="0"/>
      </items>
    </pivotField>
    <pivotField axis="axisRow" showAll="0">
      <items count="80">
        <item x="39"/>
        <item x="29"/>
        <item x="36"/>
        <item x="17"/>
        <item x="68"/>
        <item x="10"/>
        <item x="13"/>
        <item x="31"/>
        <item x="45"/>
        <item x="51"/>
        <item x="74"/>
        <item x="57"/>
        <item x="22"/>
        <item x="7"/>
        <item x="1"/>
        <item x="75"/>
        <item x="35"/>
        <item x="53"/>
        <item x="56"/>
        <item x="71"/>
        <item x="52"/>
        <item x="20"/>
        <item x="5"/>
        <item x="54"/>
        <item x="55"/>
        <item x="65"/>
        <item x="8"/>
        <item x="50"/>
        <item x="2"/>
        <item x="37"/>
        <item x="3"/>
        <item x="16"/>
        <item x="48"/>
        <item x="19"/>
        <item x="34"/>
        <item x="46"/>
        <item x="67"/>
        <item x="33"/>
        <item x="12"/>
        <item x="47"/>
        <item x="76"/>
        <item x="62"/>
        <item x="9"/>
        <item x="77"/>
        <item x="24"/>
        <item x="27"/>
        <item x="30"/>
        <item x="43"/>
        <item x="60"/>
        <item x="42"/>
        <item x="58"/>
        <item x="11"/>
        <item x="38"/>
        <item x="69"/>
        <item x="61"/>
        <item x="72"/>
        <item x="4"/>
        <item x="21"/>
        <item x="6"/>
        <item x="25"/>
        <item x="41"/>
        <item x="15"/>
        <item x="44"/>
        <item x="59"/>
        <item x="64"/>
        <item x="70"/>
        <item x="78"/>
        <item x="23"/>
        <item x="66"/>
        <item x="73"/>
        <item x="32"/>
        <item x="40"/>
        <item x="49"/>
        <item x="14"/>
        <item x="26"/>
        <item x="28"/>
        <item x="18"/>
        <item x="63"/>
        <item x="0"/>
        <item t="default"/>
      </items>
    </pivotField>
    <pivotField showAll="0"/>
    <pivotField showAll="0"/>
    <pivotField showAll="0"/>
    <pivotField showAll="0"/>
    <pivotField axis="axisCol" showAll="0">
      <items count="15"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3"/>
        <item x="12"/>
        <item t="default"/>
      </items>
    </pivotField>
    <pivotField axis="axisCol" showAll="0">
      <items count="3">
        <item x="0"/>
        <item x="1"/>
        <item t="default"/>
      </items>
    </pivotField>
    <pivotField axis="axisPage" multipleItemSelectionAllowed="1" showAll="0">
      <items count="8">
        <item h="1" x="0"/>
        <item x="2"/>
        <item h="1" x="5"/>
        <item x="4"/>
        <item x="3"/>
        <item x="6"/>
        <item h="1" x="1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</pivotFields>
  <rowFields count="2">
    <field x="10"/>
    <field x="11"/>
  </rowFields>
  <rowItems count="34">
    <i>
      <x v="25"/>
    </i>
    <i r="1">
      <x v="4"/>
    </i>
    <i r="1">
      <x v="5"/>
    </i>
    <i r="1">
      <x v="19"/>
    </i>
    <i r="1">
      <x v="29"/>
    </i>
    <i r="1">
      <x v="51"/>
    </i>
    <i r="1">
      <x v="56"/>
    </i>
    <i r="1">
      <x v="64"/>
    </i>
    <i r="1">
      <x v="71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rowItems>
  <colFields count="2">
    <field x="17"/>
    <field x="16"/>
  </colFields>
  <colItems count="1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 v="12"/>
    </i>
    <i r="1">
      <x v="13"/>
    </i>
    <i t="default">
      <x v="1"/>
    </i>
  </colItems>
  <pageFields count="3">
    <pageField fld="20" hier="-1"/>
    <pageField fld="19" hier="-1"/>
    <pageField fld="18" hier="-1"/>
  </pageFields>
  <dataFields count="1">
    <dataField name="Sum of Amount" fld="2" baseField="0" baseItem="0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workbookViewId="0"/>
  </sheetViews>
  <sheetFormatPr defaultRowHeight="15" x14ac:dyDescent="0.25"/>
  <cols>
    <col min="1" max="1" width="39" bestFit="1" customWidth="1"/>
    <col min="2" max="2" width="6.140625" bestFit="1" customWidth="1"/>
  </cols>
  <sheetData>
    <row r="1" spans="1:3" x14ac:dyDescent="0.25">
      <c r="A1" t="s">
        <v>264</v>
      </c>
      <c r="B1" t="s">
        <v>0</v>
      </c>
      <c r="C1" t="s">
        <v>265</v>
      </c>
    </row>
    <row r="2" spans="1:3" x14ac:dyDescent="0.25">
      <c r="A2" t="s">
        <v>278</v>
      </c>
      <c r="B2" t="s">
        <v>279</v>
      </c>
    </row>
    <row r="3" spans="1:3" x14ac:dyDescent="0.25">
      <c r="A3" t="s">
        <v>280</v>
      </c>
      <c r="B3" t="s">
        <v>279</v>
      </c>
    </row>
    <row r="4" spans="1:3" x14ac:dyDescent="0.25">
      <c r="A4" t="s">
        <v>281</v>
      </c>
      <c r="B4" t="s">
        <v>279</v>
      </c>
    </row>
    <row r="5" spans="1:3" x14ac:dyDescent="0.25">
      <c r="A5" t="s">
        <v>282</v>
      </c>
      <c r="B5" t="s">
        <v>279</v>
      </c>
    </row>
    <row r="6" spans="1:3" x14ac:dyDescent="0.25">
      <c r="A6" t="s">
        <v>283</v>
      </c>
      <c r="B6" t="s">
        <v>279</v>
      </c>
    </row>
    <row r="7" spans="1:3" x14ac:dyDescent="0.25">
      <c r="A7" t="s">
        <v>284</v>
      </c>
      <c r="B7" t="s">
        <v>279</v>
      </c>
    </row>
    <row r="8" spans="1:3" x14ac:dyDescent="0.25">
      <c r="A8" t="s">
        <v>285</v>
      </c>
      <c r="B8" t="s">
        <v>279</v>
      </c>
    </row>
    <row r="9" spans="1:3" x14ac:dyDescent="0.25">
      <c r="A9" t="s">
        <v>286</v>
      </c>
      <c r="B9" t="s">
        <v>279</v>
      </c>
    </row>
    <row r="10" spans="1:3" x14ac:dyDescent="0.25">
      <c r="A10" t="s">
        <v>287</v>
      </c>
      <c r="B10" t="s">
        <v>279</v>
      </c>
    </row>
    <row r="11" spans="1:3" x14ac:dyDescent="0.25">
      <c r="A11" t="s">
        <v>288</v>
      </c>
      <c r="B11" t="s">
        <v>279</v>
      </c>
    </row>
    <row r="12" spans="1:3" x14ac:dyDescent="0.25">
      <c r="A12" t="s">
        <v>289</v>
      </c>
      <c r="B12" t="s">
        <v>279</v>
      </c>
    </row>
    <row r="13" spans="1:3" x14ac:dyDescent="0.25">
      <c r="A13" t="s">
        <v>290</v>
      </c>
      <c r="B13" t="s">
        <v>279</v>
      </c>
    </row>
    <row r="14" spans="1:3" x14ac:dyDescent="0.25">
      <c r="A14" t="s">
        <v>291</v>
      </c>
      <c r="B14" t="s">
        <v>292</v>
      </c>
      <c r="C14">
        <v>0</v>
      </c>
    </row>
    <row r="15" spans="1:3" x14ac:dyDescent="0.25">
      <c r="A15" t="s">
        <v>760</v>
      </c>
      <c r="B15" t="s">
        <v>292</v>
      </c>
      <c r="C15">
        <v>0</v>
      </c>
    </row>
    <row r="16" spans="1:3" x14ac:dyDescent="0.25">
      <c r="A16" t="s">
        <v>633</v>
      </c>
      <c r="B16" t="s">
        <v>292</v>
      </c>
      <c r="C16">
        <v>0</v>
      </c>
    </row>
    <row r="17" spans="1:3" x14ac:dyDescent="0.25">
      <c r="A17" t="s">
        <v>761</v>
      </c>
      <c r="B17" t="s">
        <v>292</v>
      </c>
      <c r="C17">
        <v>0</v>
      </c>
    </row>
    <row r="18" spans="1:3" x14ac:dyDescent="0.25">
      <c r="A18" t="s">
        <v>293</v>
      </c>
      <c r="B18" t="s">
        <v>292</v>
      </c>
      <c r="C18">
        <v>0</v>
      </c>
    </row>
    <row r="19" spans="1:3" x14ac:dyDescent="0.25">
      <c r="A19" t="s">
        <v>294</v>
      </c>
      <c r="B19" t="s">
        <v>292</v>
      </c>
      <c r="C19">
        <v>0</v>
      </c>
    </row>
    <row r="20" spans="1:3" x14ac:dyDescent="0.25">
      <c r="A20" t="s">
        <v>295</v>
      </c>
      <c r="B20" t="s">
        <v>292</v>
      </c>
      <c r="C20">
        <v>0</v>
      </c>
    </row>
    <row r="21" spans="1:3" x14ac:dyDescent="0.25">
      <c r="A21" t="s">
        <v>296</v>
      </c>
      <c r="B21" t="s">
        <v>292</v>
      </c>
      <c r="C21" s="4">
        <v>15000</v>
      </c>
    </row>
    <row r="22" spans="1:3" x14ac:dyDescent="0.25">
      <c r="A22" t="s">
        <v>297</v>
      </c>
      <c r="B22" t="s">
        <v>292</v>
      </c>
      <c r="C22">
        <v>0</v>
      </c>
    </row>
    <row r="23" spans="1:3" x14ac:dyDescent="0.25">
      <c r="A23" t="s">
        <v>298</v>
      </c>
      <c r="B23" t="s">
        <v>292</v>
      </c>
      <c r="C23">
        <v>0</v>
      </c>
    </row>
    <row r="24" spans="1:3" x14ac:dyDescent="0.25">
      <c r="A24" t="s">
        <v>762</v>
      </c>
      <c r="B24" t="s">
        <v>292</v>
      </c>
      <c r="C24">
        <v>0</v>
      </c>
    </row>
    <row r="25" spans="1:3" x14ac:dyDescent="0.25">
      <c r="A25" t="s">
        <v>299</v>
      </c>
      <c r="B25" t="s">
        <v>292</v>
      </c>
      <c r="C25">
        <v>600</v>
      </c>
    </row>
    <row r="26" spans="1:3" x14ac:dyDescent="0.25">
      <c r="A26" t="s">
        <v>300</v>
      </c>
      <c r="B26" t="s">
        <v>301</v>
      </c>
    </row>
    <row r="27" spans="1:3" x14ac:dyDescent="0.25">
      <c r="A27" t="s">
        <v>763</v>
      </c>
      <c r="B27" t="s">
        <v>303</v>
      </c>
    </row>
    <row r="28" spans="1:3" x14ac:dyDescent="0.25">
      <c r="A28" t="s">
        <v>764</v>
      </c>
      <c r="B28" t="s">
        <v>303</v>
      </c>
    </row>
    <row r="29" spans="1:3" x14ac:dyDescent="0.25">
      <c r="A29" t="s">
        <v>765</v>
      </c>
      <c r="B29" t="s">
        <v>303</v>
      </c>
    </row>
    <row r="30" spans="1:3" x14ac:dyDescent="0.25">
      <c r="A30" t="s">
        <v>766</v>
      </c>
      <c r="B30" t="s">
        <v>303</v>
      </c>
    </row>
    <row r="31" spans="1:3" x14ac:dyDescent="0.25">
      <c r="A31" t="s">
        <v>302</v>
      </c>
      <c r="B31" t="s">
        <v>303</v>
      </c>
    </row>
    <row r="32" spans="1:3" x14ac:dyDescent="0.25">
      <c r="A32" t="s">
        <v>408</v>
      </c>
      <c r="B32" t="s">
        <v>279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workbookViewId="0"/>
  </sheetViews>
  <sheetFormatPr defaultRowHeight="15" x14ac:dyDescent="0.25"/>
  <cols>
    <col min="1" max="1" width="39" bestFit="1" customWidth="1"/>
    <col min="2" max="2" width="12.85546875" bestFit="1" customWidth="1"/>
    <col min="3" max="3" width="12.7109375" bestFit="1" customWidth="1"/>
  </cols>
  <sheetData>
    <row r="1" spans="1:3" x14ac:dyDescent="0.25">
      <c r="A1" s="1" t="s">
        <v>2</v>
      </c>
      <c r="B1" s="1" t="s">
        <v>1646</v>
      </c>
      <c r="C1" s="10" t="s">
        <v>1647</v>
      </c>
    </row>
    <row r="2" spans="1:3" x14ac:dyDescent="0.25">
      <c r="A2" t="s">
        <v>761</v>
      </c>
      <c r="B2" s="5">
        <v>41954</v>
      </c>
      <c r="C2" s="11">
        <v>0</v>
      </c>
    </row>
    <row r="3" spans="1:3" x14ac:dyDescent="0.25">
      <c r="A3" t="s">
        <v>760</v>
      </c>
      <c r="B3" s="5">
        <v>41918</v>
      </c>
      <c r="C3" s="11">
        <v>0</v>
      </c>
    </row>
    <row r="4" spans="1:3" x14ac:dyDescent="0.25">
      <c r="A4" t="s">
        <v>633</v>
      </c>
      <c r="B4" s="5">
        <v>41757</v>
      </c>
      <c r="C4" s="11">
        <v>100</v>
      </c>
    </row>
    <row r="5" spans="1:3" x14ac:dyDescent="0.25">
      <c r="A5" t="s">
        <v>293</v>
      </c>
      <c r="B5" s="5">
        <v>41700</v>
      </c>
      <c r="C5" s="11">
        <v>-7.6500000953674316</v>
      </c>
    </row>
    <row r="6" spans="1:3" x14ac:dyDescent="0.25">
      <c r="A6" t="s">
        <v>291</v>
      </c>
      <c r="B6" s="5">
        <v>41700</v>
      </c>
      <c r="C6" s="11">
        <v>-110</v>
      </c>
    </row>
    <row r="7" spans="1:3" x14ac:dyDescent="0.25">
      <c r="A7" t="s">
        <v>295</v>
      </c>
      <c r="B7" s="5">
        <v>41699</v>
      </c>
      <c r="C7" s="11">
        <v>0</v>
      </c>
    </row>
    <row r="8" spans="1:3" x14ac:dyDescent="0.25">
      <c r="A8" t="s">
        <v>290</v>
      </c>
      <c r="B8" s="5">
        <v>41688</v>
      </c>
      <c r="C8" s="11">
        <v>1524.949951171875</v>
      </c>
    </row>
    <row r="9" spans="1:3" x14ac:dyDescent="0.25">
      <c r="A9" t="s">
        <v>287</v>
      </c>
      <c r="B9" s="5">
        <v>41688</v>
      </c>
      <c r="C9" s="11">
        <v>5</v>
      </c>
    </row>
    <row r="10" spans="1:3" x14ac:dyDescent="0.25">
      <c r="A10" t="s">
        <v>278</v>
      </c>
      <c r="B10" s="5">
        <v>41687</v>
      </c>
      <c r="C10" s="11">
        <v>100</v>
      </c>
    </row>
    <row r="11" spans="1:3" x14ac:dyDescent="0.25">
      <c r="A11" t="s">
        <v>762</v>
      </c>
      <c r="B11" s="5">
        <v>41687</v>
      </c>
      <c r="C11" s="11">
        <v>126</v>
      </c>
    </row>
    <row r="12" spans="1:3" x14ac:dyDescent="0.25">
      <c r="A12" t="s">
        <v>284</v>
      </c>
      <c r="B12" s="5">
        <v>41683</v>
      </c>
      <c r="C12" s="11">
        <v>44862.4296875</v>
      </c>
    </row>
    <row r="13" spans="1:3" x14ac:dyDescent="0.25">
      <c r="A13" t="s">
        <v>296</v>
      </c>
      <c r="B13" s="5">
        <v>41673</v>
      </c>
      <c r="C13" s="11">
        <v>4025.580078125</v>
      </c>
    </row>
    <row r="14" spans="1:3" x14ac:dyDescent="0.25">
      <c r="A14" t="s">
        <v>289</v>
      </c>
      <c r="B14" s="5">
        <v>41670</v>
      </c>
      <c r="C14" s="11">
        <v>4500.75</v>
      </c>
    </row>
    <row r="15" spans="1:3" x14ac:dyDescent="0.25">
      <c r="A15" t="s">
        <v>283</v>
      </c>
      <c r="B15" s="5">
        <v>41670</v>
      </c>
      <c r="C15" s="11">
        <v>5008.47998046875</v>
      </c>
    </row>
    <row r="16" spans="1:3" x14ac:dyDescent="0.25">
      <c r="A16" t="s">
        <v>282</v>
      </c>
      <c r="B16" s="5">
        <v>41670</v>
      </c>
      <c r="C16" s="11">
        <v>117088.390625</v>
      </c>
    </row>
    <row r="17" spans="1:3" x14ac:dyDescent="0.25">
      <c r="A17" t="s">
        <v>281</v>
      </c>
      <c r="B17" s="5">
        <v>41670</v>
      </c>
      <c r="C17" s="11">
        <v>201126.21875</v>
      </c>
    </row>
    <row r="18" spans="1:3" x14ac:dyDescent="0.25">
      <c r="A18" t="s">
        <v>280</v>
      </c>
      <c r="B18" s="5">
        <v>41670</v>
      </c>
      <c r="C18" s="11">
        <v>47079.26953125</v>
      </c>
    </row>
    <row r="19" spans="1:3" x14ac:dyDescent="0.25">
      <c r="A19" t="s">
        <v>288</v>
      </c>
      <c r="B19" s="5">
        <v>41663</v>
      </c>
      <c r="C19" s="11">
        <v>21002.669921875</v>
      </c>
    </row>
    <row r="20" spans="1:3" x14ac:dyDescent="0.25">
      <c r="A20" t="s">
        <v>294</v>
      </c>
      <c r="B20" s="5">
        <v>41662</v>
      </c>
      <c r="C20" s="11">
        <v>-146.53999328613281</v>
      </c>
    </row>
    <row r="21" spans="1:3" x14ac:dyDescent="0.25">
      <c r="A21" t="s">
        <v>299</v>
      </c>
      <c r="B21" s="5">
        <v>41645</v>
      </c>
      <c r="C21" s="11">
        <v>491.3599853515625</v>
      </c>
    </row>
  </sheetData>
  <sortState ref="A2:C21">
    <sortCondition descending="1"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workbookViewId="0"/>
  </sheetViews>
  <sheetFormatPr defaultRowHeight="15" x14ac:dyDescent="0.25"/>
  <cols>
    <col min="1" max="1" width="39" bestFit="1" customWidth="1"/>
    <col min="2" max="2" width="15.5703125" bestFit="1" customWidth="1"/>
  </cols>
  <sheetData>
    <row r="1" spans="1:3" x14ac:dyDescent="0.25">
      <c r="A1" s="1" t="s">
        <v>2</v>
      </c>
      <c r="B1" s="1" t="s">
        <v>1653</v>
      </c>
      <c r="C1" s="11"/>
    </row>
    <row r="2" spans="1:3" x14ac:dyDescent="0.25">
      <c r="A2" t="s">
        <v>299</v>
      </c>
      <c r="B2" s="5">
        <v>42001</v>
      </c>
      <c r="C2" s="11"/>
    </row>
    <row r="3" spans="1:3" x14ac:dyDescent="0.25">
      <c r="A3" t="s">
        <v>762</v>
      </c>
      <c r="B3" s="5">
        <v>42001</v>
      </c>
      <c r="C3" s="11"/>
    </row>
    <row r="4" spans="1:3" x14ac:dyDescent="0.25">
      <c r="A4" t="s">
        <v>295</v>
      </c>
      <c r="B4" s="5">
        <v>42001</v>
      </c>
      <c r="C4" s="11"/>
    </row>
    <row r="5" spans="1:3" x14ac:dyDescent="0.25">
      <c r="A5" t="s">
        <v>294</v>
      </c>
      <c r="B5" s="5">
        <v>42001</v>
      </c>
      <c r="C5" s="11"/>
    </row>
    <row r="6" spans="1:3" x14ac:dyDescent="0.25">
      <c r="A6" t="s">
        <v>761</v>
      </c>
      <c r="B6" s="5">
        <v>42001</v>
      </c>
      <c r="C6" s="11"/>
    </row>
    <row r="7" spans="1:3" x14ac:dyDescent="0.25">
      <c r="A7" t="s">
        <v>633</v>
      </c>
      <c r="B7" s="5">
        <v>42001</v>
      </c>
      <c r="C7" s="11"/>
    </row>
    <row r="8" spans="1:3" x14ac:dyDescent="0.25">
      <c r="A8" t="s">
        <v>760</v>
      </c>
      <c r="B8" s="5">
        <v>42001</v>
      </c>
      <c r="C8" s="11"/>
    </row>
    <row r="9" spans="1:3" x14ac:dyDescent="0.25">
      <c r="A9" t="s">
        <v>290</v>
      </c>
      <c r="B9" s="5">
        <v>42001</v>
      </c>
      <c r="C9" s="11"/>
    </row>
    <row r="10" spans="1:3" x14ac:dyDescent="0.25">
      <c r="A10" t="s">
        <v>287</v>
      </c>
      <c r="B10" s="5">
        <v>42001</v>
      </c>
      <c r="C10" s="11"/>
    </row>
    <row r="11" spans="1:3" x14ac:dyDescent="0.25">
      <c r="A11" t="s">
        <v>283</v>
      </c>
      <c r="B11" s="5">
        <v>42001</v>
      </c>
      <c r="C11" s="11"/>
    </row>
    <row r="12" spans="1:3" x14ac:dyDescent="0.25">
      <c r="A12" t="s">
        <v>282</v>
      </c>
      <c r="B12" s="5">
        <v>42001</v>
      </c>
      <c r="C12" s="11"/>
    </row>
    <row r="13" spans="1:3" x14ac:dyDescent="0.25">
      <c r="A13" t="s">
        <v>281</v>
      </c>
      <c r="B13" s="5">
        <v>42001</v>
      </c>
      <c r="C13" s="11"/>
    </row>
    <row r="14" spans="1:3" x14ac:dyDescent="0.25">
      <c r="A14" t="s">
        <v>280</v>
      </c>
      <c r="B14" s="5">
        <v>42001</v>
      </c>
      <c r="C14" s="11"/>
    </row>
    <row r="15" spans="1:3" x14ac:dyDescent="0.25">
      <c r="A15" t="s">
        <v>291</v>
      </c>
      <c r="B15" s="5">
        <v>41999</v>
      </c>
      <c r="C15" s="11"/>
    </row>
    <row r="16" spans="1:3" x14ac:dyDescent="0.25">
      <c r="A16" t="s">
        <v>293</v>
      </c>
      <c r="B16" s="5">
        <v>41998</v>
      </c>
      <c r="C16" s="11"/>
    </row>
    <row r="17" spans="1:3" x14ac:dyDescent="0.25">
      <c r="A17" t="s">
        <v>284</v>
      </c>
      <c r="B17" s="5">
        <v>41992</v>
      </c>
      <c r="C17" s="11"/>
    </row>
    <row r="18" spans="1:3" x14ac:dyDescent="0.25">
      <c r="A18" t="s">
        <v>296</v>
      </c>
      <c r="B18" s="5">
        <v>41989</v>
      </c>
      <c r="C18" s="11"/>
    </row>
    <row r="19" spans="1:3" x14ac:dyDescent="0.25">
      <c r="A19" t="s">
        <v>289</v>
      </c>
      <c r="B19" s="5">
        <v>41955</v>
      </c>
      <c r="C19" s="11"/>
    </row>
    <row r="20" spans="1:3" x14ac:dyDescent="0.25">
      <c r="A20" t="s">
        <v>288</v>
      </c>
      <c r="B20" s="5">
        <v>41955</v>
      </c>
      <c r="C20" s="11"/>
    </row>
  </sheetData>
  <sortState ref="A2:B20">
    <sortCondition descending="1"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903"/>
  <sheetViews>
    <sheetView workbookViewId="0"/>
  </sheetViews>
  <sheetFormatPr defaultRowHeight="15" x14ac:dyDescent="0.25"/>
  <cols>
    <col min="1" max="1" width="39" bestFit="1" customWidth="1"/>
    <col min="2" max="2" width="10.7109375" bestFit="1" customWidth="1"/>
    <col min="3" max="3" width="10.85546875" bestFit="1" customWidth="1"/>
    <col min="4" max="4" width="6.42578125" bestFit="1" customWidth="1"/>
    <col min="5" max="5" width="38.42578125" bestFit="1" customWidth="1"/>
    <col min="6" max="6" width="64.28515625" bestFit="1" customWidth="1"/>
    <col min="7" max="7" width="69.7109375" bestFit="1" customWidth="1"/>
    <col min="8" max="8" width="14.140625" bestFit="1" customWidth="1"/>
    <col min="9" max="9" width="5" bestFit="1" customWidth="1"/>
  </cols>
  <sheetData>
    <row r="1" spans="1:23" x14ac:dyDescent="0.25">
      <c r="A1" t="s">
        <v>2</v>
      </c>
      <c r="B1" t="s">
        <v>266</v>
      </c>
      <c r="C1" t="s">
        <v>267</v>
      </c>
      <c r="D1" t="s">
        <v>268</v>
      </c>
      <c r="E1" t="s">
        <v>269</v>
      </c>
      <c r="F1" t="s">
        <v>270</v>
      </c>
      <c r="G1" t="s">
        <v>3</v>
      </c>
      <c r="H1" t="s">
        <v>271</v>
      </c>
      <c r="I1" t="s">
        <v>272</v>
      </c>
      <c r="J1" t="s">
        <v>1507</v>
      </c>
      <c r="K1" t="s">
        <v>1508</v>
      </c>
      <c r="L1" t="s">
        <v>1509</v>
      </c>
      <c r="M1" t="s">
        <v>1510</v>
      </c>
      <c r="N1" t="s">
        <v>1511</v>
      </c>
      <c r="O1" t="s">
        <v>1512</v>
      </c>
      <c r="P1" t="s">
        <v>1513</v>
      </c>
      <c r="Q1" t="s">
        <v>1514</v>
      </c>
      <c r="R1" t="s">
        <v>1515</v>
      </c>
      <c r="S1" t="s">
        <v>0</v>
      </c>
      <c r="T1" t="s">
        <v>83</v>
      </c>
      <c r="U1" t="s">
        <v>84</v>
      </c>
      <c r="V1" t="s">
        <v>85</v>
      </c>
      <c r="W1" t="s">
        <v>1516</v>
      </c>
    </row>
    <row r="2" spans="1:23" x14ac:dyDescent="0.25">
      <c r="A2" t="s">
        <v>280</v>
      </c>
      <c r="B2" s="5">
        <v>42001</v>
      </c>
      <c r="C2">
        <v>0</v>
      </c>
      <c r="D2" t="s">
        <v>304</v>
      </c>
      <c r="E2" t="s">
        <v>308</v>
      </c>
      <c r="G2" t="s">
        <v>6</v>
      </c>
      <c r="K2" t="s">
        <v>6</v>
      </c>
      <c r="Q2" t="str">
        <f t="shared" ref="Q2:Q65" si="0">TEXT($B2,"MMM")</f>
        <v>Dec</v>
      </c>
      <c r="R2">
        <f t="shared" ref="R2:R65" si="1">YEAR($B2)</f>
        <v>2014</v>
      </c>
      <c r="S2" t="str">
        <f>VLOOKUP($W2,TBL_Categories,2,FALSE)</f>
        <v>Account</v>
      </c>
      <c r="T2">
        <f>VLOOKUP($W2,TBL_Categories,3,FALSE)</f>
        <v>0</v>
      </c>
      <c r="U2" t="str">
        <f>VLOOKUP($W2,TBL_Categories,4,FALSE)</f>
        <v>No</v>
      </c>
      <c r="V2" t="str">
        <f>VLOOKUP($W2,TBL_Categories,5,FALSE)</f>
        <v>None</v>
      </c>
      <c r="W2" t="str">
        <f t="shared" ref="W2:W65" si="2">IF(ISBLANK($L2),$K2,CONCATENATE($K2,"|",$L2))</f>
        <v>[Capital One - Investment (6759)]</v>
      </c>
    </row>
    <row r="3" spans="1:23" x14ac:dyDescent="0.25">
      <c r="A3" t="s">
        <v>281</v>
      </c>
      <c r="B3" s="5">
        <v>42001</v>
      </c>
      <c r="C3">
        <v>0</v>
      </c>
      <c r="D3" t="s">
        <v>304</v>
      </c>
      <c r="E3" t="s">
        <v>308</v>
      </c>
      <c r="G3" t="s">
        <v>5</v>
      </c>
      <c r="K3" t="s">
        <v>5</v>
      </c>
      <c r="Q3" t="str">
        <f t="shared" si="0"/>
        <v>Dec</v>
      </c>
      <c r="R3">
        <f t="shared" si="1"/>
        <v>2014</v>
      </c>
      <c r="S3" t="str">
        <f>VLOOKUP($W3,TBL_Categories,2,FALSE)</f>
        <v>Account</v>
      </c>
      <c r="T3">
        <f>VLOOKUP($W3,TBL_Categories,3,FALSE)</f>
        <v>0</v>
      </c>
      <c r="U3" t="str">
        <f>VLOOKUP($W3,TBL_Categories,4,FALSE)</f>
        <v>No</v>
      </c>
      <c r="V3" t="str">
        <f>VLOOKUP($W3,TBL_Categories,5,FALSE)</f>
        <v>None</v>
      </c>
      <c r="W3" t="str">
        <f t="shared" si="2"/>
        <v>[Capital One - Long Term Emergency (1201)]</v>
      </c>
    </row>
    <row r="4" spans="1:23" x14ac:dyDescent="0.25">
      <c r="A4" t="s">
        <v>282</v>
      </c>
      <c r="B4" s="5">
        <v>42001</v>
      </c>
      <c r="C4">
        <v>0</v>
      </c>
      <c r="D4" t="s">
        <v>304</v>
      </c>
      <c r="E4" t="s">
        <v>308</v>
      </c>
      <c r="G4" t="s">
        <v>7</v>
      </c>
      <c r="K4" t="s">
        <v>7</v>
      </c>
      <c r="Q4" t="str">
        <f t="shared" si="0"/>
        <v>Dec</v>
      </c>
      <c r="R4">
        <f t="shared" si="1"/>
        <v>2014</v>
      </c>
      <c r="S4" t="str">
        <f>VLOOKUP($W4,TBL_Categories,2,FALSE)</f>
        <v>Account</v>
      </c>
      <c r="T4">
        <f>VLOOKUP($W4,TBL_Categories,3,FALSE)</f>
        <v>0</v>
      </c>
      <c r="U4" t="str">
        <f>VLOOKUP($W4,TBL_Categories,4,FALSE)</f>
        <v>No</v>
      </c>
      <c r="V4" t="str">
        <f>VLOOKUP($W4,TBL_Categories,5,FALSE)</f>
        <v>None</v>
      </c>
      <c r="W4" t="str">
        <f t="shared" si="2"/>
        <v>[Capital One - Secondary Savings (3126)]</v>
      </c>
    </row>
    <row r="5" spans="1:23" x14ac:dyDescent="0.25">
      <c r="A5" t="s">
        <v>283</v>
      </c>
      <c r="B5" s="5">
        <v>42001</v>
      </c>
      <c r="C5">
        <v>0</v>
      </c>
      <c r="D5" t="s">
        <v>304</v>
      </c>
      <c r="E5" t="s">
        <v>308</v>
      </c>
      <c r="G5" t="s">
        <v>10</v>
      </c>
      <c r="K5" t="s">
        <v>10</v>
      </c>
      <c r="Q5" t="str">
        <f t="shared" si="0"/>
        <v>Dec</v>
      </c>
      <c r="R5">
        <f t="shared" si="1"/>
        <v>2014</v>
      </c>
      <c r="S5" t="str">
        <f>VLOOKUP($W5,TBL_Categories,2,FALSE)</f>
        <v>Account</v>
      </c>
      <c r="T5">
        <f>VLOOKUP($W5,TBL_Categories,3,FALSE)</f>
        <v>0</v>
      </c>
      <c r="U5" t="str">
        <f>VLOOKUP($W5,TBL_Categories,4,FALSE)</f>
        <v>No</v>
      </c>
      <c r="V5" t="str">
        <f>VLOOKUP($W5,TBL_Categories,5,FALSE)</f>
        <v>None</v>
      </c>
      <c r="W5" t="str">
        <f t="shared" si="2"/>
        <v>[Capital One - Vacation (4959)]</v>
      </c>
    </row>
    <row r="6" spans="1:23" x14ac:dyDescent="0.25">
      <c r="A6" t="s">
        <v>287</v>
      </c>
      <c r="B6" s="5">
        <v>42001</v>
      </c>
      <c r="C6">
        <v>0</v>
      </c>
      <c r="E6" t="s">
        <v>308</v>
      </c>
      <c r="G6" t="s">
        <v>30</v>
      </c>
      <c r="K6" t="s">
        <v>30</v>
      </c>
      <c r="Q6" t="str">
        <f t="shared" si="0"/>
        <v>Dec</v>
      </c>
      <c r="R6">
        <f t="shared" si="1"/>
        <v>2014</v>
      </c>
      <c r="S6" t="str">
        <f>VLOOKUP($W6,TBL_Categories,2,FALSE)</f>
        <v>Account</v>
      </c>
      <c r="T6">
        <f>VLOOKUP($W6,TBL_Categories,3,FALSE)</f>
        <v>0</v>
      </c>
      <c r="U6" t="str">
        <f>VLOOKUP($W6,TBL_Categories,4,FALSE)</f>
        <v>No</v>
      </c>
      <c r="V6" t="str">
        <f>VLOOKUP($W6,TBL_Categories,5,FALSE)</f>
        <v>None</v>
      </c>
      <c r="W6" t="str">
        <f t="shared" si="2"/>
        <v>[First Tech - Short Term Emergency (5400)]</v>
      </c>
    </row>
    <row r="7" spans="1:23" x14ac:dyDescent="0.25">
      <c r="A7" t="s">
        <v>290</v>
      </c>
      <c r="B7" s="5">
        <v>42001</v>
      </c>
      <c r="C7">
        <v>0</v>
      </c>
      <c r="E7" t="s">
        <v>308</v>
      </c>
      <c r="G7" t="s">
        <v>11</v>
      </c>
      <c r="K7" t="s">
        <v>11</v>
      </c>
      <c r="Q7" t="str">
        <f t="shared" si="0"/>
        <v>Dec</v>
      </c>
      <c r="R7">
        <f t="shared" si="1"/>
        <v>2014</v>
      </c>
      <c r="S7" t="str">
        <f>VLOOKUP($W7,TBL_Categories,2,FALSE)</f>
        <v>Account</v>
      </c>
      <c r="T7">
        <f>VLOOKUP($W7,TBL_Categories,3,FALSE)</f>
        <v>0</v>
      </c>
      <c r="U7" t="str">
        <f>VLOOKUP($W7,TBL_Categories,4,FALSE)</f>
        <v>No</v>
      </c>
      <c r="V7" t="str">
        <f>VLOOKUP($W7,TBL_Categories,5,FALSE)</f>
        <v>None</v>
      </c>
      <c r="W7" t="str">
        <f t="shared" si="2"/>
        <v>[Schwab - Checking (9784)]</v>
      </c>
    </row>
    <row r="8" spans="1:23" x14ac:dyDescent="0.25">
      <c r="A8" t="s">
        <v>760</v>
      </c>
      <c r="B8" s="5">
        <v>42001</v>
      </c>
      <c r="C8">
        <v>0</v>
      </c>
      <c r="E8" t="s">
        <v>308</v>
      </c>
      <c r="G8" t="s">
        <v>830</v>
      </c>
      <c r="K8" t="s">
        <v>830</v>
      </c>
      <c r="Q8" t="str">
        <f t="shared" si="0"/>
        <v>Dec</v>
      </c>
      <c r="R8">
        <f t="shared" si="1"/>
        <v>2014</v>
      </c>
      <c r="S8" t="e">
        <f>VLOOKUP($W8,TBL_Categories,2,FALSE)</f>
        <v>#N/A</v>
      </c>
      <c r="T8" t="e">
        <f>VLOOKUP($W8,TBL_Categories,3,FALSE)</f>
        <v>#N/A</v>
      </c>
      <c r="U8" t="e">
        <f>VLOOKUP($W8,TBL_Categories,4,FALSE)</f>
        <v>#N/A</v>
      </c>
      <c r="V8" t="e">
        <f>VLOOKUP($W8,TBL_Categories,5,FALSE)</f>
        <v>#N/A</v>
      </c>
      <c r="W8" t="str">
        <f t="shared" si="2"/>
        <v>[Chase Amazon (XX8482)]</v>
      </c>
    </row>
    <row r="9" spans="1:23" x14ac:dyDescent="0.25">
      <c r="A9" t="s">
        <v>633</v>
      </c>
      <c r="B9" s="5">
        <v>42001</v>
      </c>
      <c r="C9">
        <v>0</v>
      </c>
      <c r="D9" t="s">
        <v>304</v>
      </c>
      <c r="E9" t="s">
        <v>308</v>
      </c>
      <c r="G9" t="s">
        <v>657</v>
      </c>
      <c r="K9" t="s">
        <v>657</v>
      </c>
      <c r="Q9" t="str">
        <f t="shared" si="0"/>
        <v>Dec</v>
      </c>
      <c r="R9">
        <f t="shared" si="1"/>
        <v>2014</v>
      </c>
      <c r="S9" t="e">
        <f>VLOOKUP($W9,TBL_Categories,2,FALSE)</f>
        <v>#N/A</v>
      </c>
      <c r="T9" t="e">
        <f>VLOOKUP($W9,TBL_Categories,3,FALSE)</f>
        <v>#N/A</v>
      </c>
      <c r="U9" t="e">
        <f>VLOOKUP($W9,TBL_Categories,4,FALSE)</f>
        <v>#N/A</v>
      </c>
      <c r="V9" t="e">
        <f>VLOOKUP($W9,TBL_Categories,5,FALSE)</f>
        <v>#N/A</v>
      </c>
      <c r="W9" t="str">
        <f t="shared" si="2"/>
        <v>[Chase Freedom XX9381]</v>
      </c>
    </row>
    <row r="10" spans="1:23" x14ac:dyDescent="0.25">
      <c r="A10" t="s">
        <v>761</v>
      </c>
      <c r="B10" s="5">
        <v>42001</v>
      </c>
      <c r="C10">
        <v>0</v>
      </c>
      <c r="E10" t="s">
        <v>308</v>
      </c>
      <c r="G10" t="s">
        <v>1007</v>
      </c>
      <c r="K10" t="s">
        <v>1007</v>
      </c>
      <c r="Q10" t="str">
        <f t="shared" si="0"/>
        <v>Dec</v>
      </c>
      <c r="R10">
        <f t="shared" si="1"/>
        <v>2014</v>
      </c>
      <c r="S10" t="e">
        <f>VLOOKUP($W10,TBL_Categories,2,FALSE)</f>
        <v>#N/A</v>
      </c>
      <c r="T10" t="e">
        <f>VLOOKUP($W10,TBL_Categories,3,FALSE)</f>
        <v>#N/A</v>
      </c>
      <c r="U10" t="e">
        <f>VLOOKUP($W10,TBL_Categories,4,FALSE)</f>
        <v>#N/A</v>
      </c>
      <c r="V10" t="e">
        <f>VLOOKUP($W10,TBL_Categories,5,FALSE)</f>
        <v>#N/A</v>
      </c>
      <c r="W10" t="str">
        <f t="shared" si="2"/>
        <v>[Chase Slate (XX1141)]</v>
      </c>
    </row>
    <row r="11" spans="1:23" x14ac:dyDescent="0.25">
      <c r="A11" t="s">
        <v>294</v>
      </c>
      <c r="B11" s="5">
        <v>42001</v>
      </c>
      <c r="C11">
        <v>0</v>
      </c>
      <c r="E11" t="s">
        <v>308</v>
      </c>
      <c r="G11" t="s">
        <v>31</v>
      </c>
      <c r="K11" t="s">
        <v>31</v>
      </c>
      <c r="Q11" t="str">
        <f t="shared" si="0"/>
        <v>Dec</v>
      </c>
      <c r="R11">
        <f t="shared" si="1"/>
        <v>2014</v>
      </c>
      <c r="S11" t="str">
        <f>VLOOKUP($W11,TBL_Categories,2,FALSE)</f>
        <v>Account</v>
      </c>
      <c r="T11">
        <f>VLOOKUP($W11,TBL_Categories,3,FALSE)</f>
        <v>0</v>
      </c>
      <c r="U11" t="str">
        <f>VLOOKUP($W11,TBL_Categories,4,FALSE)</f>
        <v>No</v>
      </c>
      <c r="V11" t="str">
        <f>VLOOKUP($W11,TBL_Categories,5,FALSE)</f>
        <v>None</v>
      </c>
      <c r="W11" t="str">
        <f t="shared" si="2"/>
        <v>[Koolikai Credit Card]</v>
      </c>
    </row>
    <row r="12" spans="1:23" x14ac:dyDescent="0.25">
      <c r="A12" t="s">
        <v>295</v>
      </c>
      <c r="B12" s="5">
        <v>42001</v>
      </c>
      <c r="C12">
        <v>0</v>
      </c>
      <c r="E12" t="s">
        <v>308</v>
      </c>
      <c r="G12" t="s">
        <v>16</v>
      </c>
      <c r="K12" t="s">
        <v>16</v>
      </c>
      <c r="Q12" t="str">
        <f t="shared" si="0"/>
        <v>Dec</v>
      </c>
      <c r="R12">
        <f t="shared" si="1"/>
        <v>2014</v>
      </c>
      <c r="S12" t="str">
        <f>VLOOKUP($W12,TBL_Categories,2,FALSE)</f>
        <v>Account</v>
      </c>
      <c r="T12">
        <f>VLOOKUP($W12,TBL_Categories,3,FALSE)</f>
        <v>0</v>
      </c>
      <c r="U12" t="str">
        <f>VLOOKUP($W12,TBL_Categories,4,FALSE)</f>
        <v>No</v>
      </c>
      <c r="V12" t="str">
        <f>VLOOKUP($W12,TBL_Categories,5,FALSE)</f>
        <v>None</v>
      </c>
      <c r="W12" t="str">
        <f t="shared" si="2"/>
        <v>[Mastercard (Angela)]</v>
      </c>
    </row>
    <row r="13" spans="1:23" x14ac:dyDescent="0.25">
      <c r="A13" t="s">
        <v>762</v>
      </c>
      <c r="B13" s="5">
        <v>42001</v>
      </c>
      <c r="C13">
        <v>0</v>
      </c>
      <c r="E13" t="s">
        <v>308</v>
      </c>
      <c r="G13" t="s">
        <v>771</v>
      </c>
      <c r="K13" t="s">
        <v>771</v>
      </c>
      <c r="Q13" t="str">
        <f t="shared" si="0"/>
        <v>Dec</v>
      </c>
      <c r="R13">
        <f t="shared" si="1"/>
        <v>2014</v>
      </c>
      <c r="S13" t="e">
        <f>VLOOKUP($W13,TBL_Categories,2,FALSE)</f>
        <v>#N/A</v>
      </c>
      <c r="T13" t="e">
        <f>VLOOKUP($W13,TBL_Categories,3,FALSE)</f>
        <v>#N/A</v>
      </c>
      <c r="U13" t="e">
        <f>VLOOKUP($W13,TBL_Categories,4,FALSE)</f>
        <v>#N/A</v>
      </c>
      <c r="V13" t="e">
        <f>VLOOKUP($W13,TBL_Categories,5,FALSE)</f>
        <v>#N/A</v>
      </c>
      <c r="W13" t="str">
        <f t="shared" si="2"/>
        <v>[REI Mastercard (xx1787)]</v>
      </c>
    </row>
    <row r="14" spans="1:23" x14ac:dyDescent="0.25">
      <c r="A14" t="s">
        <v>299</v>
      </c>
      <c r="B14" s="5">
        <v>42001</v>
      </c>
      <c r="C14">
        <v>0</v>
      </c>
      <c r="E14" t="s">
        <v>308</v>
      </c>
      <c r="G14" t="s">
        <v>23</v>
      </c>
      <c r="K14" t="s">
        <v>23</v>
      </c>
      <c r="Q14" t="str">
        <f t="shared" si="0"/>
        <v>Dec</v>
      </c>
      <c r="R14">
        <f t="shared" si="1"/>
        <v>2014</v>
      </c>
      <c r="S14" t="str">
        <f>VLOOKUP($W14,TBL_Categories,2,FALSE)</f>
        <v>Account</v>
      </c>
      <c r="T14">
        <f>VLOOKUP($W14,TBL_Categories,3,FALSE)</f>
        <v>0</v>
      </c>
      <c r="U14" t="str">
        <f>VLOOKUP($W14,TBL_Categories,4,FALSE)</f>
        <v>No</v>
      </c>
      <c r="V14" t="str">
        <f>VLOOKUP($W14,TBL_Categories,5,FALSE)</f>
        <v>None</v>
      </c>
      <c r="W14" t="str">
        <f t="shared" si="2"/>
        <v>[Target Red Card]</v>
      </c>
    </row>
    <row r="15" spans="1:23" x14ac:dyDescent="0.25">
      <c r="A15" t="s">
        <v>291</v>
      </c>
      <c r="B15" s="5">
        <v>42000</v>
      </c>
      <c r="C15">
        <v>-10.94</v>
      </c>
      <c r="E15" t="s">
        <v>400</v>
      </c>
      <c r="F15" t="s">
        <v>926</v>
      </c>
      <c r="G15" t="s">
        <v>927</v>
      </c>
      <c r="I15" t="s">
        <v>272</v>
      </c>
      <c r="J15" t="s">
        <v>1550</v>
      </c>
      <c r="K15" t="s">
        <v>72</v>
      </c>
      <c r="L15" t="s">
        <v>1537</v>
      </c>
      <c r="Q15" t="str">
        <f t="shared" si="0"/>
        <v>Dec</v>
      </c>
      <c r="R15">
        <f t="shared" si="1"/>
        <v>2014</v>
      </c>
      <c r="S15" t="str">
        <f>VLOOKUP($W15,TBL_Categories,2,FALSE)</f>
        <v>Annual</v>
      </c>
      <c r="T15">
        <f>VLOOKUP($W15,TBL_Categories,3,FALSE)</f>
        <v>0</v>
      </c>
      <c r="U15" t="str">
        <f>VLOOKUP($W15,TBL_Categories,4,FALSE)</f>
        <v>No</v>
      </c>
      <c r="V15" t="str">
        <f>VLOOKUP($W15,TBL_Categories,5,FALSE)</f>
        <v>None</v>
      </c>
      <c r="W15" t="str">
        <f t="shared" si="2"/>
        <v>Shopping|Clothing</v>
      </c>
    </row>
    <row r="16" spans="1:23" x14ac:dyDescent="0.25">
      <c r="A16" t="s">
        <v>291</v>
      </c>
      <c r="B16" s="5">
        <v>42000</v>
      </c>
      <c r="C16">
        <v>-21.89</v>
      </c>
      <c r="E16" t="s">
        <v>400</v>
      </c>
      <c r="F16" t="s">
        <v>928</v>
      </c>
      <c r="G16" t="s">
        <v>888</v>
      </c>
      <c r="I16" t="s">
        <v>272</v>
      </c>
      <c r="J16" t="s">
        <v>1550</v>
      </c>
      <c r="K16" t="s">
        <v>63</v>
      </c>
      <c r="L16" t="s">
        <v>1546</v>
      </c>
      <c r="Q16" t="str">
        <f t="shared" si="0"/>
        <v>Dec</v>
      </c>
      <c r="R16">
        <f t="shared" si="1"/>
        <v>2014</v>
      </c>
      <c r="S16" t="str">
        <f>VLOOKUP($W16,TBL_Categories,2,FALSE)</f>
        <v>Monthly</v>
      </c>
      <c r="T16">
        <f>VLOOKUP($W16,TBL_Categories,3,FALSE)</f>
        <v>0</v>
      </c>
      <c r="U16" t="str">
        <f>VLOOKUP($W16,TBL_Categories,4,FALSE)</f>
        <v>No</v>
      </c>
      <c r="V16" t="str">
        <f>VLOOKUP($W16,TBL_Categories,5,FALSE)</f>
        <v>None</v>
      </c>
      <c r="W16" t="str">
        <f t="shared" si="2"/>
        <v>Home|Furnishings</v>
      </c>
    </row>
    <row r="17" spans="1:23" x14ac:dyDescent="0.25">
      <c r="A17" t="s">
        <v>291</v>
      </c>
      <c r="B17" s="5">
        <v>42000</v>
      </c>
      <c r="C17">
        <v>-48.74</v>
      </c>
      <c r="E17" t="s">
        <v>400</v>
      </c>
      <c r="G17" t="s">
        <v>887</v>
      </c>
      <c r="I17" t="s">
        <v>272</v>
      </c>
      <c r="J17" t="s">
        <v>1550</v>
      </c>
      <c r="K17" t="s">
        <v>61</v>
      </c>
      <c r="L17" t="s">
        <v>401</v>
      </c>
      <c r="Q17" t="str">
        <f t="shared" si="0"/>
        <v>Dec</v>
      </c>
      <c r="R17">
        <f t="shared" si="1"/>
        <v>2014</v>
      </c>
      <c r="S17" t="str">
        <f>VLOOKUP($W17,TBL_Categories,2,FALSE)</f>
        <v>Monthly</v>
      </c>
      <c r="T17">
        <f>VLOOKUP($W17,TBL_Categories,3,FALSE)</f>
        <v>0</v>
      </c>
      <c r="U17" t="str">
        <f>VLOOKUP($W17,TBL_Categories,4,FALSE)</f>
        <v>No</v>
      </c>
      <c r="V17" t="str">
        <f>VLOOKUP($W17,TBL_Categories,5,FALSE)</f>
        <v>None</v>
      </c>
      <c r="W17" t="str">
        <f t="shared" si="2"/>
        <v>Food &amp; Dining|Groceries</v>
      </c>
    </row>
    <row r="18" spans="1:23" x14ac:dyDescent="0.25">
      <c r="A18" t="s">
        <v>296</v>
      </c>
      <c r="B18" s="5">
        <v>42000</v>
      </c>
      <c r="C18">
        <v>-45</v>
      </c>
      <c r="E18" t="s">
        <v>433</v>
      </c>
      <c r="F18" t="s">
        <v>1467</v>
      </c>
      <c r="G18" t="s">
        <v>1047</v>
      </c>
      <c r="I18" t="s">
        <v>272</v>
      </c>
      <c r="J18" t="s">
        <v>1550</v>
      </c>
      <c r="K18" t="s">
        <v>69</v>
      </c>
      <c r="O18" t="s">
        <v>1621</v>
      </c>
      <c r="Q18" t="str">
        <f t="shared" si="0"/>
        <v>Dec</v>
      </c>
      <c r="R18">
        <f t="shared" si="1"/>
        <v>2014</v>
      </c>
      <c r="S18" t="str">
        <f>VLOOKUP($W18,TBL_Categories,2,FALSE)</f>
        <v>Annual</v>
      </c>
      <c r="T18">
        <f>VLOOKUP($W18,TBL_Categories,3,FALSE)</f>
        <v>0</v>
      </c>
      <c r="U18" t="str">
        <f>VLOOKUP($W18,TBL_Categories,4,FALSE)</f>
        <v>No</v>
      </c>
      <c r="V18" t="str">
        <f>VLOOKUP($W18,TBL_Categories,5,FALSE)</f>
        <v>None</v>
      </c>
      <c r="W18" t="str">
        <f t="shared" si="2"/>
        <v>Parties</v>
      </c>
    </row>
    <row r="19" spans="1:23" x14ac:dyDescent="0.25">
      <c r="A19" t="s">
        <v>296</v>
      </c>
      <c r="B19" s="5">
        <v>42000</v>
      </c>
      <c r="C19">
        <v>-119.52</v>
      </c>
      <c r="E19" t="s">
        <v>433</v>
      </c>
      <c r="G19" t="s">
        <v>887</v>
      </c>
      <c r="I19" t="s">
        <v>272</v>
      </c>
      <c r="J19" t="s">
        <v>1550</v>
      </c>
      <c r="K19" t="s">
        <v>61</v>
      </c>
      <c r="L19" t="s">
        <v>401</v>
      </c>
      <c r="Q19" t="str">
        <f t="shared" si="0"/>
        <v>Dec</v>
      </c>
      <c r="R19">
        <f t="shared" si="1"/>
        <v>2014</v>
      </c>
      <c r="S19" t="str">
        <f>VLOOKUP($W19,TBL_Categories,2,FALSE)</f>
        <v>Monthly</v>
      </c>
      <c r="T19">
        <f>VLOOKUP($W19,TBL_Categories,3,FALSE)</f>
        <v>0</v>
      </c>
      <c r="U19" t="str">
        <f>VLOOKUP($W19,TBL_Categories,4,FALSE)</f>
        <v>No</v>
      </c>
      <c r="V19" t="str">
        <f>VLOOKUP($W19,TBL_Categories,5,FALSE)</f>
        <v>None</v>
      </c>
      <c r="W19" t="str">
        <f t="shared" si="2"/>
        <v>Food &amp; Dining|Groceries</v>
      </c>
    </row>
    <row r="20" spans="1:23" x14ac:dyDescent="0.25">
      <c r="A20" t="s">
        <v>296</v>
      </c>
      <c r="B20" s="5">
        <v>42000</v>
      </c>
      <c r="C20">
        <v>-15</v>
      </c>
      <c r="E20" t="s">
        <v>1468</v>
      </c>
      <c r="F20" t="s">
        <v>1469</v>
      </c>
      <c r="G20" t="s">
        <v>608</v>
      </c>
      <c r="K20" t="s">
        <v>52</v>
      </c>
      <c r="L20" t="s">
        <v>1588</v>
      </c>
      <c r="Q20" t="str">
        <f t="shared" si="0"/>
        <v>Dec</v>
      </c>
      <c r="R20">
        <f t="shared" si="1"/>
        <v>2014</v>
      </c>
      <c r="S20" t="str">
        <f>VLOOKUP($W20,TBL_Categories,2,FALSE)</f>
        <v>Annual</v>
      </c>
      <c r="T20">
        <f>VLOOKUP($W20,TBL_Categories,3,FALSE)</f>
        <v>0</v>
      </c>
      <c r="U20" t="str">
        <f>VLOOKUP($W20,TBL_Categories,4,FALSE)</f>
        <v>No</v>
      </c>
      <c r="V20" t="str">
        <f>VLOOKUP($W20,TBL_Categories,5,FALSE)</f>
        <v>None</v>
      </c>
      <c r="W20" t="str">
        <f t="shared" si="2"/>
        <v>Auto &amp; Transport|Registration</v>
      </c>
    </row>
    <row r="21" spans="1:23" x14ac:dyDescent="0.25">
      <c r="A21" t="s">
        <v>284</v>
      </c>
      <c r="B21" s="5">
        <v>41999</v>
      </c>
      <c r="C21">
        <v>98.99</v>
      </c>
      <c r="D21" t="s">
        <v>304</v>
      </c>
      <c r="E21" t="s">
        <v>852</v>
      </c>
      <c r="F21" t="s">
        <v>864</v>
      </c>
      <c r="G21" t="s">
        <v>598</v>
      </c>
      <c r="K21" t="s">
        <v>62</v>
      </c>
      <c r="L21" t="s">
        <v>1557</v>
      </c>
      <c r="Q21" t="str">
        <f t="shared" si="0"/>
        <v>Dec</v>
      </c>
      <c r="R21">
        <f t="shared" si="1"/>
        <v>2014</v>
      </c>
      <c r="S21" t="str">
        <f>VLOOKUP($W21,TBL_Categories,2,FALSE)</f>
        <v>Irregular</v>
      </c>
      <c r="T21">
        <f>VLOOKUP($W21,TBL_Categories,3,FALSE)</f>
        <v>0</v>
      </c>
      <c r="U21" t="str">
        <f>VLOOKUP($W21,TBL_Categories,4,FALSE)</f>
        <v>No</v>
      </c>
      <c r="V21" t="str">
        <f>VLOOKUP($W21,TBL_Categories,5,FALSE)</f>
        <v>None</v>
      </c>
      <c r="W21" t="str">
        <f t="shared" si="2"/>
        <v>Health &amp; Fitness|Eyecare</v>
      </c>
    </row>
    <row r="22" spans="1:23" x14ac:dyDescent="0.25">
      <c r="A22" t="s">
        <v>284</v>
      </c>
      <c r="B22" s="5">
        <v>41999</v>
      </c>
      <c r="C22">
        <v>300</v>
      </c>
      <c r="D22" t="s">
        <v>304</v>
      </c>
      <c r="E22" t="s">
        <v>865</v>
      </c>
      <c r="F22" t="s">
        <v>1669</v>
      </c>
      <c r="G22" t="s">
        <v>589</v>
      </c>
      <c r="K22" t="s">
        <v>29</v>
      </c>
      <c r="L22" t="s">
        <v>1539</v>
      </c>
      <c r="O22" t="s">
        <v>1619</v>
      </c>
      <c r="Q22" t="str">
        <f t="shared" si="0"/>
        <v>Dec</v>
      </c>
      <c r="R22">
        <f t="shared" si="1"/>
        <v>2014</v>
      </c>
      <c r="S22" t="str">
        <f>VLOOKUP($W22,TBL_Categories,2,FALSE)</f>
        <v>Irregular</v>
      </c>
      <c r="T22">
        <f>VLOOKUP($W22,TBL_Categories,3,FALSE)</f>
        <v>0</v>
      </c>
      <c r="U22" t="str">
        <f>VLOOKUP($W22,TBL_Categories,4,FALSE)</f>
        <v>No</v>
      </c>
      <c r="V22" t="str">
        <f>VLOOKUP($W22,TBL_Categories,5,FALSE)</f>
        <v>None</v>
      </c>
      <c r="W22" t="str">
        <f t="shared" si="2"/>
        <v>Work Expense|Reimbursement</v>
      </c>
    </row>
    <row r="23" spans="1:23" x14ac:dyDescent="0.25">
      <c r="A23" t="s">
        <v>284</v>
      </c>
      <c r="B23" s="5">
        <v>41999</v>
      </c>
      <c r="C23">
        <v>-88.86</v>
      </c>
      <c r="E23" t="s">
        <v>822</v>
      </c>
      <c r="G23" t="s">
        <v>657</v>
      </c>
      <c r="K23" t="s">
        <v>657</v>
      </c>
      <c r="Q23" t="str">
        <f t="shared" si="0"/>
        <v>Dec</v>
      </c>
      <c r="R23">
        <f t="shared" si="1"/>
        <v>2014</v>
      </c>
      <c r="S23" t="e">
        <f>VLOOKUP($W23,TBL_Categories,2,FALSE)</f>
        <v>#N/A</v>
      </c>
      <c r="T23" t="e">
        <f>VLOOKUP($W23,TBL_Categories,3,FALSE)</f>
        <v>#N/A</v>
      </c>
      <c r="U23" t="e">
        <f>VLOOKUP($W23,TBL_Categories,4,FALSE)</f>
        <v>#N/A</v>
      </c>
      <c r="V23" t="e">
        <f>VLOOKUP($W23,TBL_Categories,5,FALSE)</f>
        <v>#N/A</v>
      </c>
      <c r="W23" t="str">
        <f t="shared" si="2"/>
        <v>[Chase Freedom XX9381]</v>
      </c>
    </row>
    <row r="24" spans="1:23" x14ac:dyDescent="0.25">
      <c r="A24" t="s">
        <v>291</v>
      </c>
      <c r="B24" s="5">
        <v>41999</v>
      </c>
      <c r="C24">
        <v>0</v>
      </c>
      <c r="E24" t="s">
        <v>308</v>
      </c>
      <c r="G24" t="s">
        <v>15</v>
      </c>
      <c r="K24" t="s">
        <v>15</v>
      </c>
      <c r="Q24" t="str">
        <f t="shared" si="0"/>
        <v>Dec</v>
      </c>
      <c r="R24">
        <f t="shared" si="1"/>
        <v>2014</v>
      </c>
      <c r="S24" t="str">
        <f>VLOOKUP($W24,TBL_Categories,2,FALSE)</f>
        <v>Account</v>
      </c>
      <c r="T24">
        <f>VLOOKUP($W24,TBL_Categories,3,FALSE)</f>
        <v>0</v>
      </c>
      <c r="U24" t="str">
        <f>VLOOKUP($W24,TBL_Categories,4,FALSE)</f>
        <v>No</v>
      </c>
      <c r="V24" t="str">
        <f>VLOOKUP($W24,TBL_Categories,5,FALSE)</f>
        <v>None</v>
      </c>
      <c r="W24" t="str">
        <f t="shared" si="2"/>
        <v>[American Express (Costco)]</v>
      </c>
    </row>
    <row r="25" spans="1:23" x14ac:dyDescent="0.25">
      <c r="A25" t="s">
        <v>633</v>
      </c>
      <c r="B25" s="5">
        <v>41999</v>
      </c>
      <c r="C25">
        <v>88.86</v>
      </c>
      <c r="D25" t="s">
        <v>304</v>
      </c>
      <c r="E25" t="s">
        <v>822</v>
      </c>
      <c r="G25" t="s">
        <v>9</v>
      </c>
      <c r="K25" t="s">
        <v>9</v>
      </c>
      <c r="Q25" t="str">
        <f t="shared" si="0"/>
        <v>Dec</v>
      </c>
      <c r="R25">
        <f t="shared" si="1"/>
        <v>2014</v>
      </c>
      <c r="S25" t="str">
        <f>VLOOKUP($W25,TBL_Categories,2,FALSE)</f>
        <v>Account</v>
      </c>
      <c r="T25">
        <f>VLOOKUP($W25,TBL_Categories,3,FALSE)</f>
        <v>0</v>
      </c>
      <c r="U25" t="str">
        <f>VLOOKUP($W25,TBL_Categories,4,FALSE)</f>
        <v>No</v>
      </c>
      <c r="V25" t="str">
        <f>VLOOKUP($W25,TBL_Categories,5,FALSE)</f>
        <v>None</v>
      </c>
      <c r="W25" t="str">
        <f t="shared" si="2"/>
        <v>[First Tech - Checking (5544)]</v>
      </c>
    </row>
    <row r="26" spans="1:23" x14ac:dyDescent="0.25">
      <c r="A26" t="s">
        <v>293</v>
      </c>
      <c r="B26" s="5">
        <v>41999</v>
      </c>
      <c r="C26">
        <v>-15</v>
      </c>
      <c r="E26" t="s">
        <v>1022</v>
      </c>
      <c r="G26" t="s">
        <v>593</v>
      </c>
      <c r="K26" t="s">
        <v>56</v>
      </c>
      <c r="L26" t="s">
        <v>1547</v>
      </c>
      <c r="Q26" t="str">
        <f t="shared" si="0"/>
        <v>Dec</v>
      </c>
      <c r="R26">
        <f t="shared" si="1"/>
        <v>2014</v>
      </c>
      <c r="S26" t="str">
        <f>VLOOKUP($W26,TBL_Categories,2,FALSE)</f>
        <v>Annual</v>
      </c>
      <c r="T26">
        <f>VLOOKUP($W26,TBL_Categories,3,FALSE)</f>
        <v>0</v>
      </c>
      <c r="U26" t="str">
        <f>VLOOKUP($W26,TBL_Categories,4,FALSE)</f>
        <v>No</v>
      </c>
      <c r="V26" t="str">
        <f>VLOOKUP($W26,TBL_Categories,5,FALSE)</f>
        <v>None</v>
      </c>
      <c r="W26" t="str">
        <f t="shared" si="2"/>
        <v>Charity|Charity (Cash)</v>
      </c>
    </row>
    <row r="27" spans="1:23" x14ac:dyDescent="0.25">
      <c r="A27" t="s">
        <v>296</v>
      </c>
      <c r="B27" s="5">
        <v>41999</v>
      </c>
      <c r="C27">
        <v>-30.84</v>
      </c>
      <c r="D27" t="s">
        <v>304</v>
      </c>
      <c r="E27" t="s">
        <v>1466</v>
      </c>
      <c r="F27" t="s">
        <v>1465</v>
      </c>
      <c r="G27" t="s">
        <v>599</v>
      </c>
      <c r="K27" t="s">
        <v>75</v>
      </c>
      <c r="L27" t="s">
        <v>1564</v>
      </c>
      <c r="O27" t="s">
        <v>1620</v>
      </c>
      <c r="Q27" t="str">
        <f t="shared" si="0"/>
        <v>Dec</v>
      </c>
      <c r="R27">
        <f t="shared" si="1"/>
        <v>2014</v>
      </c>
      <c r="S27" t="str">
        <f>VLOOKUP($W27,TBL_Categories,2,FALSE)</f>
        <v>Irregular</v>
      </c>
      <c r="T27">
        <f>VLOOKUP($W27,TBL_Categories,3,FALSE)</f>
        <v>0</v>
      </c>
      <c r="U27" t="str">
        <f>VLOOKUP($W27,TBL_Categories,4,FALSE)</f>
        <v>No</v>
      </c>
      <c r="V27" t="str">
        <f>VLOOKUP($W27,TBL_Categories,5,FALSE)</f>
        <v>None</v>
      </c>
      <c r="W27" t="str">
        <f t="shared" si="2"/>
        <v>Vacation|Food</v>
      </c>
    </row>
    <row r="28" spans="1:23" x14ac:dyDescent="0.25">
      <c r="A28" t="s">
        <v>293</v>
      </c>
      <c r="B28" s="5">
        <v>41998</v>
      </c>
      <c r="C28">
        <v>0</v>
      </c>
      <c r="E28" t="s">
        <v>308</v>
      </c>
      <c r="G28" t="s">
        <v>18</v>
      </c>
      <c r="K28" t="s">
        <v>18</v>
      </c>
      <c r="Q28" t="str">
        <f t="shared" si="0"/>
        <v>Dec</v>
      </c>
      <c r="R28">
        <f t="shared" si="1"/>
        <v>2014</v>
      </c>
      <c r="S28" t="str">
        <f>VLOOKUP($W28,TBL_Categories,2,FALSE)</f>
        <v>Account</v>
      </c>
      <c r="T28">
        <f>VLOOKUP($W28,TBL_Categories,3,FALSE)</f>
        <v>0</v>
      </c>
      <c r="U28" t="str">
        <f>VLOOKUP($W28,TBL_Categories,4,FALSE)</f>
        <v>No</v>
      </c>
      <c r="V28" t="str">
        <f>VLOOKUP($W28,TBL_Categories,5,FALSE)</f>
        <v>None</v>
      </c>
      <c r="W28" t="str">
        <f t="shared" si="2"/>
        <v>[Discover Card]</v>
      </c>
    </row>
    <row r="29" spans="1:23" x14ac:dyDescent="0.25">
      <c r="A29" t="s">
        <v>296</v>
      </c>
      <c r="B29" s="5">
        <v>41998</v>
      </c>
      <c r="C29">
        <v>-151.84</v>
      </c>
      <c r="E29" t="s">
        <v>688</v>
      </c>
      <c r="F29" t="s">
        <v>1465</v>
      </c>
      <c r="G29" t="s">
        <v>347</v>
      </c>
      <c r="K29" t="s">
        <v>75</v>
      </c>
      <c r="L29" t="s">
        <v>1540</v>
      </c>
      <c r="O29" t="s">
        <v>1620</v>
      </c>
      <c r="Q29" t="str">
        <f t="shared" si="0"/>
        <v>Dec</v>
      </c>
      <c r="R29">
        <f t="shared" si="1"/>
        <v>2014</v>
      </c>
      <c r="S29" t="str">
        <f>VLOOKUP($W29,TBL_Categories,2,FALSE)</f>
        <v>Irregular</v>
      </c>
      <c r="T29">
        <f>VLOOKUP($W29,TBL_Categories,3,FALSE)</f>
        <v>0</v>
      </c>
      <c r="U29" t="str">
        <f>VLOOKUP($W29,TBL_Categories,4,FALSE)</f>
        <v>No</v>
      </c>
      <c r="V29" t="str">
        <f>VLOOKUP($W29,TBL_Categories,5,FALSE)</f>
        <v>None</v>
      </c>
      <c r="W29" t="str">
        <f t="shared" si="2"/>
        <v>Vacation|Lodging</v>
      </c>
    </row>
    <row r="30" spans="1:23" x14ac:dyDescent="0.25">
      <c r="A30" t="s">
        <v>284</v>
      </c>
      <c r="B30" s="5">
        <v>41997</v>
      </c>
      <c r="C30">
        <v>-347.45</v>
      </c>
      <c r="D30" t="s">
        <v>304</v>
      </c>
      <c r="E30" t="s">
        <v>863</v>
      </c>
      <c r="F30" t="s">
        <v>337</v>
      </c>
      <c r="G30" t="s">
        <v>18</v>
      </c>
      <c r="K30" t="s">
        <v>18</v>
      </c>
      <c r="Q30" t="str">
        <f t="shared" si="0"/>
        <v>Dec</v>
      </c>
      <c r="R30">
        <f t="shared" si="1"/>
        <v>2014</v>
      </c>
      <c r="S30" t="str">
        <f>VLOOKUP($W30,TBL_Categories,2,FALSE)</f>
        <v>Account</v>
      </c>
      <c r="T30">
        <f>VLOOKUP($W30,TBL_Categories,3,FALSE)</f>
        <v>0</v>
      </c>
      <c r="U30" t="str">
        <f>VLOOKUP($W30,TBL_Categories,4,FALSE)</f>
        <v>No</v>
      </c>
      <c r="V30" t="str">
        <f>VLOOKUP($W30,TBL_Categories,5,FALSE)</f>
        <v>None</v>
      </c>
      <c r="W30" t="str">
        <f t="shared" si="2"/>
        <v>[Discover Card]</v>
      </c>
    </row>
    <row r="31" spans="1:23" x14ac:dyDescent="0.25">
      <c r="A31" t="s">
        <v>288</v>
      </c>
      <c r="B31" s="5">
        <v>41997</v>
      </c>
      <c r="C31">
        <v>-146.88</v>
      </c>
      <c r="D31" t="s">
        <v>306</v>
      </c>
      <c r="E31" t="s">
        <v>391</v>
      </c>
      <c r="F31" t="s">
        <v>382</v>
      </c>
      <c r="G31" t="s">
        <v>31</v>
      </c>
      <c r="K31" t="s">
        <v>31</v>
      </c>
      <c r="Q31" t="str">
        <f t="shared" si="0"/>
        <v>Dec</v>
      </c>
      <c r="R31">
        <f t="shared" si="1"/>
        <v>2014</v>
      </c>
      <c r="S31" t="str">
        <f>VLOOKUP($W31,TBL_Categories,2,FALSE)</f>
        <v>Account</v>
      </c>
      <c r="T31">
        <f>VLOOKUP($W31,TBL_Categories,3,FALSE)</f>
        <v>0</v>
      </c>
      <c r="U31" t="str">
        <f>VLOOKUP($W31,TBL_Categories,4,FALSE)</f>
        <v>No</v>
      </c>
      <c r="V31" t="str">
        <f>VLOOKUP($W31,TBL_Categories,5,FALSE)</f>
        <v>None</v>
      </c>
      <c r="W31" t="str">
        <f t="shared" si="2"/>
        <v>[Koolikai Credit Card]</v>
      </c>
    </row>
    <row r="32" spans="1:23" x14ac:dyDescent="0.25">
      <c r="A32" t="s">
        <v>293</v>
      </c>
      <c r="B32" s="5">
        <v>41997</v>
      </c>
      <c r="C32">
        <v>347.45</v>
      </c>
      <c r="D32" t="s">
        <v>304</v>
      </c>
      <c r="E32" t="s">
        <v>863</v>
      </c>
      <c r="F32" t="s">
        <v>337</v>
      </c>
      <c r="G32" t="s">
        <v>9</v>
      </c>
      <c r="K32" t="s">
        <v>9</v>
      </c>
      <c r="Q32" t="str">
        <f t="shared" si="0"/>
        <v>Dec</v>
      </c>
      <c r="R32">
        <f t="shared" si="1"/>
        <v>2014</v>
      </c>
      <c r="S32" t="str">
        <f>VLOOKUP($W32,TBL_Categories,2,FALSE)</f>
        <v>Account</v>
      </c>
      <c r="T32">
        <f>VLOOKUP($W32,TBL_Categories,3,FALSE)</f>
        <v>0</v>
      </c>
      <c r="U32" t="str">
        <f>VLOOKUP($W32,TBL_Categories,4,FALSE)</f>
        <v>No</v>
      </c>
      <c r="V32" t="str">
        <f>VLOOKUP($W32,TBL_Categories,5,FALSE)</f>
        <v>None</v>
      </c>
      <c r="W32" t="str">
        <f t="shared" si="2"/>
        <v>[First Tech - Checking (5544)]</v>
      </c>
    </row>
    <row r="33" spans="1:23" x14ac:dyDescent="0.25">
      <c r="A33" t="s">
        <v>296</v>
      </c>
      <c r="B33" s="5">
        <v>41997</v>
      </c>
      <c r="C33">
        <v>-4.49</v>
      </c>
      <c r="D33" t="s">
        <v>304</v>
      </c>
      <c r="E33" t="s">
        <v>1464</v>
      </c>
      <c r="F33" t="s">
        <v>1465</v>
      </c>
      <c r="G33" t="s">
        <v>342</v>
      </c>
      <c r="K33" t="s">
        <v>61</v>
      </c>
      <c r="L33" t="s">
        <v>401</v>
      </c>
      <c r="O33" t="s">
        <v>1620</v>
      </c>
      <c r="Q33" t="str">
        <f t="shared" si="0"/>
        <v>Dec</v>
      </c>
      <c r="R33">
        <f t="shared" si="1"/>
        <v>2014</v>
      </c>
      <c r="S33" t="str">
        <f>VLOOKUP($W33,TBL_Categories,2,FALSE)</f>
        <v>Monthly</v>
      </c>
      <c r="T33">
        <f>VLOOKUP($W33,TBL_Categories,3,FALSE)</f>
        <v>0</v>
      </c>
      <c r="U33" t="str">
        <f>VLOOKUP($W33,TBL_Categories,4,FALSE)</f>
        <v>No</v>
      </c>
      <c r="V33" t="str">
        <f>VLOOKUP($W33,TBL_Categories,5,FALSE)</f>
        <v>None</v>
      </c>
      <c r="W33" t="str">
        <f t="shared" si="2"/>
        <v>Food &amp; Dining|Groceries</v>
      </c>
    </row>
    <row r="34" spans="1:23" x14ac:dyDescent="0.25">
      <c r="A34" t="s">
        <v>296</v>
      </c>
      <c r="B34" s="5">
        <v>41997</v>
      </c>
      <c r="C34">
        <v>-6.46</v>
      </c>
      <c r="D34" t="s">
        <v>304</v>
      </c>
      <c r="E34" t="s">
        <v>1464</v>
      </c>
      <c r="F34" t="s">
        <v>1465</v>
      </c>
      <c r="G34" t="s">
        <v>342</v>
      </c>
      <c r="K34" t="s">
        <v>61</v>
      </c>
      <c r="L34" t="s">
        <v>401</v>
      </c>
      <c r="O34" t="s">
        <v>1620</v>
      </c>
      <c r="Q34" t="str">
        <f t="shared" si="0"/>
        <v>Dec</v>
      </c>
      <c r="R34">
        <f t="shared" si="1"/>
        <v>2014</v>
      </c>
      <c r="S34" t="str">
        <f>VLOOKUP($W34,TBL_Categories,2,FALSE)</f>
        <v>Monthly</v>
      </c>
      <c r="T34">
        <f>VLOOKUP($W34,TBL_Categories,3,FALSE)</f>
        <v>0</v>
      </c>
      <c r="U34" t="str">
        <f>VLOOKUP($W34,TBL_Categories,4,FALSE)</f>
        <v>No</v>
      </c>
      <c r="V34" t="str">
        <f>VLOOKUP($W34,TBL_Categories,5,FALSE)</f>
        <v>None</v>
      </c>
      <c r="W34" t="str">
        <f t="shared" si="2"/>
        <v>Food &amp; Dining|Groceries</v>
      </c>
    </row>
    <row r="35" spans="1:23" x14ac:dyDescent="0.25">
      <c r="A35" t="s">
        <v>296</v>
      </c>
      <c r="B35" s="5">
        <v>41997</v>
      </c>
      <c r="C35">
        <v>-12.96</v>
      </c>
      <c r="D35" t="s">
        <v>304</v>
      </c>
      <c r="E35" t="s">
        <v>1464</v>
      </c>
      <c r="F35" t="s">
        <v>1465</v>
      </c>
      <c r="G35" t="s">
        <v>342</v>
      </c>
      <c r="K35" t="s">
        <v>61</v>
      </c>
      <c r="L35" t="s">
        <v>401</v>
      </c>
      <c r="O35" t="s">
        <v>1620</v>
      </c>
      <c r="Q35" t="str">
        <f t="shared" si="0"/>
        <v>Dec</v>
      </c>
      <c r="R35">
        <f t="shared" si="1"/>
        <v>2014</v>
      </c>
      <c r="S35" t="str">
        <f>VLOOKUP($W35,TBL_Categories,2,FALSE)</f>
        <v>Monthly</v>
      </c>
      <c r="T35">
        <f>VLOOKUP($W35,TBL_Categories,3,FALSE)</f>
        <v>0</v>
      </c>
      <c r="U35" t="str">
        <f>VLOOKUP($W35,TBL_Categories,4,FALSE)</f>
        <v>No</v>
      </c>
      <c r="V35" t="str">
        <f>VLOOKUP($W35,TBL_Categories,5,FALSE)</f>
        <v>None</v>
      </c>
      <c r="W35" t="str">
        <f t="shared" si="2"/>
        <v>Food &amp; Dining|Groceries</v>
      </c>
    </row>
    <row r="36" spans="1:23" x14ac:dyDescent="0.25">
      <c r="A36" t="s">
        <v>296</v>
      </c>
      <c r="B36" s="5">
        <v>41997</v>
      </c>
      <c r="C36">
        <v>-16.78</v>
      </c>
      <c r="D36" t="s">
        <v>304</v>
      </c>
      <c r="E36" t="s">
        <v>461</v>
      </c>
      <c r="F36" t="s">
        <v>1465</v>
      </c>
      <c r="G36" t="s">
        <v>599</v>
      </c>
      <c r="K36" t="s">
        <v>75</v>
      </c>
      <c r="L36" t="s">
        <v>1564</v>
      </c>
      <c r="O36" t="s">
        <v>1620</v>
      </c>
      <c r="Q36" t="str">
        <f t="shared" si="0"/>
        <v>Dec</v>
      </c>
      <c r="R36">
        <f t="shared" si="1"/>
        <v>2014</v>
      </c>
      <c r="S36" t="str">
        <f>VLOOKUP($W36,TBL_Categories,2,FALSE)</f>
        <v>Irregular</v>
      </c>
      <c r="T36">
        <f>VLOOKUP($W36,TBL_Categories,3,FALSE)</f>
        <v>0</v>
      </c>
      <c r="U36" t="str">
        <f>VLOOKUP($W36,TBL_Categories,4,FALSE)</f>
        <v>No</v>
      </c>
      <c r="V36" t="str">
        <f>VLOOKUP($W36,TBL_Categories,5,FALSE)</f>
        <v>None</v>
      </c>
      <c r="W36" t="str">
        <f t="shared" si="2"/>
        <v>Vacation|Food</v>
      </c>
    </row>
    <row r="37" spans="1:23" x14ac:dyDescent="0.25">
      <c r="A37" t="s">
        <v>284</v>
      </c>
      <c r="B37" s="5">
        <v>41996</v>
      </c>
      <c r="C37">
        <v>-183.85</v>
      </c>
      <c r="D37" t="s">
        <v>304</v>
      </c>
      <c r="E37" t="s">
        <v>352</v>
      </c>
      <c r="F37" t="s">
        <v>353</v>
      </c>
      <c r="G37" t="s">
        <v>354</v>
      </c>
      <c r="K37" t="s">
        <v>52</v>
      </c>
      <c r="L37" t="s">
        <v>1544</v>
      </c>
      <c r="Q37" t="str">
        <f t="shared" si="0"/>
        <v>Dec</v>
      </c>
      <c r="R37">
        <f t="shared" si="1"/>
        <v>2014</v>
      </c>
      <c r="S37" t="str">
        <f>VLOOKUP($W37,TBL_Categories,2,FALSE)</f>
        <v>Monthly</v>
      </c>
      <c r="T37">
        <f>VLOOKUP($W37,TBL_Categories,3,FALSE)</f>
        <v>0</v>
      </c>
      <c r="U37" t="str">
        <f>VLOOKUP($W37,TBL_Categories,4,FALSE)</f>
        <v>No</v>
      </c>
      <c r="V37" t="str">
        <f>VLOOKUP($W37,TBL_Categories,5,FALSE)</f>
        <v>None</v>
      </c>
      <c r="W37" t="str">
        <f t="shared" si="2"/>
        <v>Auto &amp; Transport|Auto Lease Payment</v>
      </c>
    </row>
    <row r="38" spans="1:23" x14ac:dyDescent="0.25">
      <c r="A38" t="s">
        <v>294</v>
      </c>
      <c r="B38" s="5">
        <v>41996</v>
      </c>
      <c r="C38">
        <v>146.88</v>
      </c>
      <c r="D38" t="s">
        <v>306</v>
      </c>
      <c r="E38" t="s">
        <v>391</v>
      </c>
      <c r="G38" t="s">
        <v>24</v>
      </c>
      <c r="K38" t="s">
        <v>24</v>
      </c>
      <c r="Q38" t="str">
        <f t="shared" si="0"/>
        <v>Dec</v>
      </c>
      <c r="R38">
        <f t="shared" si="1"/>
        <v>2014</v>
      </c>
      <c r="S38" t="str">
        <f>VLOOKUP($W38,TBL_Categories,2,FALSE)</f>
        <v>Account</v>
      </c>
      <c r="T38">
        <f>VLOOKUP($W38,TBL_Categories,3,FALSE)</f>
        <v>0</v>
      </c>
      <c r="U38" t="str">
        <f>VLOOKUP($W38,TBL_Categories,4,FALSE)</f>
        <v>No</v>
      </c>
      <c r="V38" t="str">
        <f>VLOOKUP($W38,TBL_Categories,5,FALSE)</f>
        <v>None</v>
      </c>
      <c r="W38" t="str">
        <f t="shared" si="2"/>
        <v>[Koolikai - Checking XX2129]</v>
      </c>
    </row>
    <row r="39" spans="1:23" x14ac:dyDescent="0.25">
      <c r="A39" t="s">
        <v>296</v>
      </c>
      <c r="B39" s="5">
        <v>41996</v>
      </c>
      <c r="C39">
        <v>-15.86</v>
      </c>
      <c r="D39" t="s">
        <v>304</v>
      </c>
      <c r="E39" t="s">
        <v>431</v>
      </c>
      <c r="G39" t="s">
        <v>432</v>
      </c>
      <c r="K39" t="s">
        <v>52</v>
      </c>
      <c r="L39" t="s">
        <v>1577</v>
      </c>
      <c r="Q39" t="str">
        <f t="shared" si="0"/>
        <v>Dec</v>
      </c>
      <c r="R39">
        <f t="shared" si="1"/>
        <v>2014</v>
      </c>
      <c r="S39" t="str">
        <f>VLOOKUP($W39,TBL_Categories,2,FALSE)</f>
        <v>Monthly</v>
      </c>
      <c r="T39">
        <f>VLOOKUP($W39,TBL_Categories,3,FALSE)</f>
        <v>0</v>
      </c>
      <c r="U39" t="str">
        <f>VLOOKUP($W39,TBL_Categories,4,FALSE)</f>
        <v>No</v>
      </c>
      <c r="V39" t="str">
        <f>VLOOKUP($W39,TBL_Categories,5,FALSE)</f>
        <v>None</v>
      </c>
      <c r="W39" t="str">
        <f t="shared" si="2"/>
        <v>Auto &amp; Transport|Parking</v>
      </c>
    </row>
    <row r="40" spans="1:23" x14ac:dyDescent="0.25">
      <c r="A40" t="s">
        <v>764</v>
      </c>
      <c r="B40" s="5">
        <v>41996</v>
      </c>
      <c r="C40">
        <v>332.99</v>
      </c>
      <c r="D40" t="s">
        <v>1497</v>
      </c>
      <c r="H40" t="s">
        <v>1506</v>
      </c>
      <c r="Q40" t="str">
        <f t="shared" si="0"/>
        <v>Dec</v>
      </c>
      <c r="R40">
        <f t="shared" si="1"/>
        <v>2014</v>
      </c>
      <c r="S40" t="e">
        <f>VLOOKUP($W40,TBL_Categories,2,FALSE)</f>
        <v>#N/A</v>
      </c>
      <c r="T40" t="e">
        <f>VLOOKUP($W40,TBL_Categories,3,FALSE)</f>
        <v>#N/A</v>
      </c>
      <c r="U40" t="e">
        <f>VLOOKUP($W40,TBL_Categories,4,FALSE)</f>
        <v>#N/A</v>
      </c>
      <c r="V40" t="e">
        <f>VLOOKUP($W40,TBL_Categories,5,FALSE)</f>
        <v>#N/A</v>
      </c>
      <c r="W40">
        <f t="shared" si="2"/>
        <v>0</v>
      </c>
    </row>
    <row r="41" spans="1:23" x14ac:dyDescent="0.25">
      <c r="A41" t="s">
        <v>764</v>
      </c>
      <c r="B41" s="5">
        <v>41996</v>
      </c>
      <c r="C41">
        <v>59.77</v>
      </c>
      <c r="D41" t="s">
        <v>1497</v>
      </c>
      <c r="H41" t="s">
        <v>1504</v>
      </c>
      <c r="Q41" t="str">
        <f t="shared" si="0"/>
        <v>Dec</v>
      </c>
      <c r="R41">
        <f t="shared" si="1"/>
        <v>2014</v>
      </c>
      <c r="S41" t="e">
        <f>VLOOKUP($W41,TBL_Categories,2,FALSE)</f>
        <v>#N/A</v>
      </c>
      <c r="T41" t="e">
        <f>VLOOKUP($W41,TBL_Categories,3,FALSE)</f>
        <v>#N/A</v>
      </c>
      <c r="U41" t="e">
        <f>VLOOKUP($W41,TBL_Categories,4,FALSE)</f>
        <v>#N/A</v>
      </c>
      <c r="V41" t="e">
        <f>VLOOKUP($W41,TBL_Categories,5,FALSE)</f>
        <v>#N/A</v>
      </c>
      <c r="W41">
        <f t="shared" si="2"/>
        <v>0</v>
      </c>
    </row>
    <row r="42" spans="1:23" x14ac:dyDescent="0.25">
      <c r="A42" t="s">
        <v>284</v>
      </c>
      <c r="B42" s="5">
        <v>41995</v>
      </c>
      <c r="C42">
        <v>-98</v>
      </c>
      <c r="D42" t="s">
        <v>304</v>
      </c>
      <c r="E42" t="s">
        <v>519</v>
      </c>
      <c r="F42" t="s">
        <v>858</v>
      </c>
      <c r="G42" t="s">
        <v>859</v>
      </c>
      <c r="H42">
        <v>2144</v>
      </c>
      <c r="J42" t="s">
        <v>274</v>
      </c>
      <c r="K42" t="s">
        <v>66</v>
      </c>
      <c r="L42" t="s">
        <v>1555</v>
      </c>
      <c r="Q42" t="str">
        <f t="shared" si="0"/>
        <v>Dec</v>
      </c>
      <c r="R42">
        <f t="shared" si="1"/>
        <v>2014</v>
      </c>
      <c r="S42" t="str">
        <f>VLOOKUP($W42,TBL_Categories,2,FALSE)</f>
        <v>Monthly</v>
      </c>
      <c r="T42">
        <f>VLOOKUP($W42,TBL_Categories,3,FALSE)</f>
        <v>0</v>
      </c>
      <c r="U42" t="str">
        <f>VLOOKUP($W42,TBL_Categories,4,FALSE)</f>
        <v>No</v>
      </c>
      <c r="V42" t="str">
        <f>VLOOKUP($W42,TBL_Categories,5,FALSE)</f>
        <v>None</v>
      </c>
      <c r="W42" t="str">
        <f t="shared" si="2"/>
        <v>Kids|Kids Activities</v>
      </c>
    </row>
    <row r="43" spans="1:23" x14ac:dyDescent="0.25">
      <c r="A43" t="s">
        <v>284</v>
      </c>
      <c r="B43" s="5">
        <v>41995</v>
      </c>
      <c r="C43">
        <v>-70</v>
      </c>
      <c r="D43" t="s">
        <v>304</v>
      </c>
      <c r="E43" t="s">
        <v>827</v>
      </c>
      <c r="F43" t="s">
        <v>860</v>
      </c>
      <c r="G43" t="s">
        <v>322</v>
      </c>
      <c r="H43">
        <v>2146</v>
      </c>
      <c r="K43" t="s">
        <v>66</v>
      </c>
      <c r="L43" t="s">
        <v>1527</v>
      </c>
      <c r="Q43" t="str">
        <f t="shared" si="0"/>
        <v>Dec</v>
      </c>
      <c r="R43">
        <f t="shared" si="1"/>
        <v>2014</v>
      </c>
      <c r="S43" t="str">
        <f>VLOOKUP($W43,TBL_Categories,2,FALSE)</f>
        <v>Monthly</v>
      </c>
      <c r="T43">
        <f>VLOOKUP($W43,TBL_Categories,3,FALSE)</f>
        <v>0</v>
      </c>
      <c r="U43" t="str">
        <f>VLOOKUP($W43,TBL_Categories,4,FALSE)</f>
        <v>No</v>
      </c>
      <c r="V43" t="str">
        <f>VLOOKUP($W43,TBL_Categories,5,FALSE)</f>
        <v>None</v>
      </c>
      <c r="W43" t="str">
        <f t="shared" si="2"/>
        <v>Kids|Babysitter</v>
      </c>
    </row>
    <row r="44" spans="1:23" x14ac:dyDescent="0.25">
      <c r="A44" t="s">
        <v>284</v>
      </c>
      <c r="B44" s="5">
        <v>41995</v>
      </c>
      <c r="C44">
        <v>-75</v>
      </c>
      <c r="D44" t="s">
        <v>304</v>
      </c>
      <c r="E44" t="s">
        <v>861</v>
      </c>
      <c r="F44" t="s">
        <v>862</v>
      </c>
      <c r="G44" t="s">
        <v>20</v>
      </c>
      <c r="H44">
        <v>2147</v>
      </c>
      <c r="K44" t="s">
        <v>20</v>
      </c>
      <c r="Q44" t="str">
        <f t="shared" si="0"/>
        <v>Dec</v>
      </c>
      <c r="R44">
        <f t="shared" si="1"/>
        <v>2014</v>
      </c>
      <c r="S44" t="str">
        <f>VLOOKUP($W44,TBL_Categories,2,FALSE)</f>
        <v>Monthly</v>
      </c>
      <c r="T44">
        <f>VLOOKUP($W44,TBL_Categories,3,FALSE)</f>
        <v>0</v>
      </c>
      <c r="U44" t="str">
        <f>VLOOKUP($W44,TBL_Categories,4,FALSE)</f>
        <v>No</v>
      </c>
      <c r="V44" t="str">
        <f>VLOOKUP($W44,TBL_Categories,5,FALSE)</f>
        <v>None</v>
      </c>
      <c r="W44" t="str">
        <f t="shared" si="2"/>
        <v>Gifts</v>
      </c>
    </row>
    <row r="45" spans="1:23" x14ac:dyDescent="0.25">
      <c r="A45" t="s">
        <v>296</v>
      </c>
      <c r="B45" s="5">
        <v>41995</v>
      </c>
      <c r="C45">
        <v>-13.98</v>
      </c>
      <c r="D45" t="s">
        <v>304</v>
      </c>
      <c r="E45" t="s">
        <v>1001</v>
      </c>
      <c r="G45" t="s">
        <v>342</v>
      </c>
      <c r="K45" t="s">
        <v>61</v>
      </c>
      <c r="L45" t="s">
        <v>401</v>
      </c>
      <c r="Q45" t="str">
        <f t="shared" si="0"/>
        <v>Dec</v>
      </c>
      <c r="R45">
        <f t="shared" si="1"/>
        <v>2014</v>
      </c>
      <c r="S45" t="str">
        <f>VLOOKUP($W45,TBL_Categories,2,FALSE)</f>
        <v>Monthly</v>
      </c>
      <c r="T45">
        <f>VLOOKUP($W45,TBL_Categories,3,FALSE)</f>
        <v>0</v>
      </c>
      <c r="U45" t="str">
        <f>VLOOKUP($W45,TBL_Categories,4,FALSE)</f>
        <v>No</v>
      </c>
      <c r="V45" t="str">
        <f>VLOOKUP($W45,TBL_Categories,5,FALSE)</f>
        <v>None</v>
      </c>
      <c r="W45" t="str">
        <f t="shared" si="2"/>
        <v>Food &amp; Dining|Groceries</v>
      </c>
    </row>
    <row r="46" spans="1:23" x14ac:dyDescent="0.25">
      <c r="A46" t="s">
        <v>299</v>
      </c>
      <c r="B46" s="5">
        <v>41995</v>
      </c>
      <c r="C46">
        <v>-41.6</v>
      </c>
      <c r="D46" t="s">
        <v>306</v>
      </c>
      <c r="E46" t="s">
        <v>368</v>
      </c>
      <c r="F46" t="s">
        <v>1495</v>
      </c>
      <c r="G46" t="s">
        <v>915</v>
      </c>
      <c r="H46">
        <v>799999943561</v>
      </c>
      <c r="I46" t="s">
        <v>272</v>
      </c>
      <c r="J46" t="s">
        <v>1550</v>
      </c>
      <c r="K46" t="s">
        <v>20</v>
      </c>
      <c r="Q46" t="str">
        <f t="shared" si="0"/>
        <v>Dec</v>
      </c>
      <c r="R46">
        <f t="shared" si="1"/>
        <v>2014</v>
      </c>
      <c r="S46" t="str">
        <f>VLOOKUP($W46,TBL_Categories,2,FALSE)</f>
        <v>Monthly</v>
      </c>
      <c r="T46">
        <f>VLOOKUP($W46,TBL_Categories,3,FALSE)</f>
        <v>0</v>
      </c>
      <c r="U46" t="str">
        <f>VLOOKUP($W46,TBL_Categories,4,FALSE)</f>
        <v>No</v>
      </c>
      <c r="V46" t="str">
        <f>VLOOKUP($W46,TBL_Categories,5,FALSE)</f>
        <v>None</v>
      </c>
      <c r="W46" t="str">
        <f t="shared" si="2"/>
        <v>Gifts</v>
      </c>
    </row>
    <row r="47" spans="1:23" x14ac:dyDescent="0.25">
      <c r="A47" t="s">
        <v>299</v>
      </c>
      <c r="B47" s="5">
        <v>41995</v>
      </c>
      <c r="C47">
        <v>-49.91</v>
      </c>
      <c r="D47" t="s">
        <v>306</v>
      </c>
      <c r="E47" t="s">
        <v>368</v>
      </c>
      <c r="F47" t="s">
        <v>1675</v>
      </c>
      <c r="G47" t="s">
        <v>1020</v>
      </c>
      <c r="H47">
        <v>799999943561</v>
      </c>
      <c r="I47" t="s">
        <v>272</v>
      </c>
      <c r="J47" t="s">
        <v>1550</v>
      </c>
      <c r="K47" t="s">
        <v>66</v>
      </c>
      <c r="L47" t="s">
        <v>1536</v>
      </c>
      <c r="Q47" t="str">
        <f t="shared" si="0"/>
        <v>Dec</v>
      </c>
      <c r="R47">
        <f t="shared" si="1"/>
        <v>2014</v>
      </c>
      <c r="S47" t="str">
        <f>VLOOKUP($W47,TBL_Categories,2,FALSE)</f>
        <v>Monthly</v>
      </c>
      <c r="T47">
        <f>VLOOKUP($W47,TBL_Categories,3,FALSE)</f>
        <v>0</v>
      </c>
      <c r="U47" t="str">
        <f>VLOOKUP($W47,TBL_Categories,4,FALSE)</f>
        <v>No</v>
      </c>
      <c r="V47" t="str">
        <f>VLOOKUP($W47,TBL_Categories,5,FALSE)</f>
        <v>None</v>
      </c>
      <c r="W47" t="str">
        <f t="shared" si="2"/>
        <v>Kids|Toys</v>
      </c>
    </row>
    <row r="48" spans="1:23" x14ac:dyDescent="0.25">
      <c r="A48" t="s">
        <v>294</v>
      </c>
      <c r="B48" s="5">
        <v>41994</v>
      </c>
      <c r="C48">
        <v>-65.7</v>
      </c>
      <c r="D48" t="s">
        <v>306</v>
      </c>
      <c r="E48" t="s">
        <v>433</v>
      </c>
      <c r="F48" t="s">
        <v>1029</v>
      </c>
      <c r="G48" t="s">
        <v>927</v>
      </c>
      <c r="I48" t="s">
        <v>272</v>
      </c>
      <c r="J48" t="s">
        <v>1550</v>
      </c>
      <c r="K48" t="s">
        <v>72</v>
      </c>
      <c r="L48" t="s">
        <v>1537</v>
      </c>
      <c r="Q48" t="str">
        <f t="shared" si="0"/>
        <v>Dec</v>
      </c>
      <c r="R48">
        <f t="shared" si="1"/>
        <v>2014</v>
      </c>
      <c r="S48" t="str">
        <f>VLOOKUP($W48,TBL_Categories,2,FALSE)</f>
        <v>Annual</v>
      </c>
      <c r="T48">
        <f>VLOOKUP($W48,TBL_Categories,3,FALSE)</f>
        <v>0</v>
      </c>
      <c r="U48" t="str">
        <f>VLOOKUP($W48,TBL_Categories,4,FALSE)</f>
        <v>No</v>
      </c>
      <c r="V48" t="str">
        <f>VLOOKUP($W48,TBL_Categories,5,FALSE)</f>
        <v>None</v>
      </c>
      <c r="W48" t="str">
        <f t="shared" si="2"/>
        <v>Shopping|Clothing</v>
      </c>
    </row>
    <row r="49" spans="1:23" x14ac:dyDescent="0.25">
      <c r="A49" t="s">
        <v>294</v>
      </c>
      <c r="B49" s="5">
        <v>41994</v>
      </c>
      <c r="C49">
        <v>-17.559999999999999</v>
      </c>
      <c r="D49" t="s">
        <v>306</v>
      </c>
      <c r="E49" t="s">
        <v>433</v>
      </c>
      <c r="G49" t="s">
        <v>887</v>
      </c>
      <c r="I49" t="s">
        <v>272</v>
      </c>
      <c r="J49" t="s">
        <v>1550</v>
      </c>
      <c r="K49" t="s">
        <v>61</v>
      </c>
      <c r="L49" t="s">
        <v>401</v>
      </c>
      <c r="Q49" t="str">
        <f t="shared" si="0"/>
        <v>Dec</v>
      </c>
      <c r="R49">
        <f t="shared" si="1"/>
        <v>2014</v>
      </c>
      <c r="S49" t="str">
        <f>VLOOKUP($W49,TBL_Categories,2,FALSE)</f>
        <v>Monthly</v>
      </c>
      <c r="T49">
        <f>VLOOKUP($W49,TBL_Categories,3,FALSE)</f>
        <v>0</v>
      </c>
      <c r="U49" t="str">
        <f>VLOOKUP($W49,TBL_Categories,4,FALSE)</f>
        <v>No</v>
      </c>
      <c r="V49" t="str">
        <f>VLOOKUP($W49,TBL_Categories,5,FALSE)</f>
        <v>None</v>
      </c>
      <c r="W49" t="str">
        <f t="shared" si="2"/>
        <v>Food &amp; Dining|Groceries</v>
      </c>
    </row>
    <row r="50" spans="1:23" x14ac:dyDescent="0.25">
      <c r="A50" t="s">
        <v>296</v>
      </c>
      <c r="B50" s="5">
        <v>41994</v>
      </c>
      <c r="C50">
        <v>-3.5</v>
      </c>
      <c r="D50" t="s">
        <v>304</v>
      </c>
      <c r="E50" t="s">
        <v>1461</v>
      </c>
      <c r="G50" t="s">
        <v>342</v>
      </c>
      <c r="K50" t="s">
        <v>61</v>
      </c>
      <c r="L50" t="s">
        <v>401</v>
      </c>
      <c r="Q50" t="str">
        <f t="shared" si="0"/>
        <v>Dec</v>
      </c>
      <c r="R50">
        <f t="shared" si="1"/>
        <v>2014</v>
      </c>
      <c r="S50" t="str">
        <f>VLOOKUP($W50,TBL_Categories,2,FALSE)</f>
        <v>Monthly</v>
      </c>
      <c r="T50">
        <f>VLOOKUP($W50,TBL_Categories,3,FALSE)</f>
        <v>0</v>
      </c>
      <c r="U50" t="str">
        <f>VLOOKUP($W50,TBL_Categories,4,FALSE)</f>
        <v>No</v>
      </c>
      <c r="V50" t="str">
        <f>VLOOKUP($W50,TBL_Categories,5,FALSE)</f>
        <v>None</v>
      </c>
      <c r="W50" t="str">
        <f t="shared" si="2"/>
        <v>Food &amp; Dining|Groceries</v>
      </c>
    </row>
    <row r="51" spans="1:23" x14ac:dyDescent="0.25">
      <c r="A51" t="s">
        <v>296</v>
      </c>
      <c r="B51" s="5">
        <v>41994</v>
      </c>
      <c r="C51">
        <v>-8.76</v>
      </c>
      <c r="D51" t="s">
        <v>304</v>
      </c>
      <c r="E51" t="s">
        <v>1462</v>
      </c>
      <c r="G51" t="s">
        <v>333</v>
      </c>
      <c r="K51" t="s">
        <v>61</v>
      </c>
      <c r="L51" t="s">
        <v>1530</v>
      </c>
      <c r="Q51" t="str">
        <f t="shared" si="0"/>
        <v>Dec</v>
      </c>
      <c r="R51">
        <f t="shared" si="1"/>
        <v>2014</v>
      </c>
      <c r="S51" t="str">
        <f>VLOOKUP($W51,TBL_Categories,2,FALSE)</f>
        <v>Monthly</v>
      </c>
      <c r="T51">
        <f>VLOOKUP($W51,TBL_Categories,3,FALSE)</f>
        <v>0</v>
      </c>
      <c r="U51" t="str">
        <f>VLOOKUP($W51,TBL_Categories,4,FALSE)</f>
        <v>No</v>
      </c>
      <c r="V51" t="str">
        <f>VLOOKUP($W51,TBL_Categories,5,FALSE)</f>
        <v>None</v>
      </c>
      <c r="W51" t="str">
        <f t="shared" si="2"/>
        <v>Food &amp; Dining|Restaurants</v>
      </c>
    </row>
    <row r="52" spans="1:23" x14ac:dyDescent="0.25">
      <c r="A52" t="s">
        <v>296</v>
      </c>
      <c r="B52" s="5">
        <v>41994</v>
      </c>
      <c r="C52">
        <v>-12</v>
      </c>
      <c r="D52" t="s">
        <v>304</v>
      </c>
      <c r="E52" t="s">
        <v>1463</v>
      </c>
      <c r="G52" t="s">
        <v>449</v>
      </c>
      <c r="K52" t="s">
        <v>66</v>
      </c>
      <c r="L52" t="s">
        <v>1555</v>
      </c>
      <c r="Q52" t="str">
        <f t="shared" si="0"/>
        <v>Dec</v>
      </c>
      <c r="R52">
        <f t="shared" si="1"/>
        <v>2014</v>
      </c>
      <c r="S52" t="str">
        <f>VLOOKUP($W52,TBL_Categories,2,FALSE)</f>
        <v>Monthly</v>
      </c>
      <c r="T52">
        <f>VLOOKUP($W52,TBL_Categories,3,FALSE)</f>
        <v>0</v>
      </c>
      <c r="U52" t="str">
        <f>VLOOKUP($W52,TBL_Categories,4,FALSE)</f>
        <v>No</v>
      </c>
      <c r="V52" t="str">
        <f>VLOOKUP($W52,TBL_Categories,5,FALSE)</f>
        <v>None</v>
      </c>
      <c r="W52" t="str">
        <f t="shared" si="2"/>
        <v>Kids|Kids Activities</v>
      </c>
    </row>
    <row r="53" spans="1:23" x14ac:dyDescent="0.25">
      <c r="A53" t="s">
        <v>296</v>
      </c>
      <c r="B53" s="5">
        <v>41994</v>
      </c>
      <c r="C53">
        <v>-19.579999999999998</v>
      </c>
      <c r="D53" t="s">
        <v>304</v>
      </c>
      <c r="E53" t="s">
        <v>727</v>
      </c>
      <c r="G53" t="s">
        <v>773</v>
      </c>
      <c r="J53" t="s">
        <v>1550</v>
      </c>
      <c r="K53" t="s">
        <v>61</v>
      </c>
      <c r="L53" t="s">
        <v>1530</v>
      </c>
      <c r="Q53" t="str">
        <f t="shared" si="0"/>
        <v>Dec</v>
      </c>
      <c r="R53">
        <f t="shared" si="1"/>
        <v>2014</v>
      </c>
      <c r="S53" t="str">
        <f>VLOOKUP($W53,TBL_Categories,2,FALSE)</f>
        <v>Monthly</v>
      </c>
      <c r="T53">
        <f>VLOOKUP($W53,TBL_Categories,3,FALSE)</f>
        <v>0</v>
      </c>
      <c r="U53" t="str">
        <f>VLOOKUP($W53,TBL_Categories,4,FALSE)</f>
        <v>No</v>
      </c>
      <c r="V53" t="str">
        <f>VLOOKUP($W53,TBL_Categories,5,FALSE)</f>
        <v>None</v>
      </c>
      <c r="W53" t="str">
        <f t="shared" si="2"/>
        <v>Food &amp; Dining|Restaurants</v>
      </c>
    </row>
    <row r="54" spans="1:23" x14ac:dyDescent="0.25">
      <c r="A54" t="s">
        <v>296</v>
      </c>
      <c r="B54" s="5">
        <v>41993</v>
      </c>
      <c r="C54">
        <v>-10.94</v>
      </c>
      <c r="D54" t="s">
        <v>304</v>
      </c>
      <c r="E54" t="s">
        <v>440</v>
      </c>
      <c r="G54" t="s">
        <v>20</v>
      </c>
      <c r="K54" t="s">
        <v>20</v>
      </c>
      <c r="Q54" t="str">
        <f t="shared" si="0"/>
        <v>Dec</v>
      </c>
      <c r="R54">
        <f t="shared" si="1"/>
        <v>2014</v>
      </c>
      <c r="S54" t="str">
        <f>VLOOKUP($W54,TBL_Categories,2,FALSE)</f>
        <v>Monthly</v>
      </c>
      <c r="T54">
        <f>VLOOKUP($W54,TBL_Categories,3,FALSE)</f>
        <v>0</v>
      </c>
      <c r="U54" t="str">
        <f>VLOOKUP($W54,TBL_Categories,4,FALSE)</f>
        <v>No</v>
      </c>
      <c r="V54" t="str">
        <f>VLOOKUP($W54,TBL_Categories,5,FALSE)</f>
        <v>None</v>
      </c>
      <c r="W54" t="str">
        <f t="shared" si="2"/>
        <v>Gifts</v>
      </c>
    </row>
    <row r="55" spans="1:23" x14ac:dyDescent="0.25">
      <c r="A55" t="s">
        <v>296</v>
      </c>
      <c r="B55" s="5">
        <v>41993</v>
      </c>
      <c r="C55">
        <v>-27.36</v>
      </c>
      <c r="D55" t="s">
        <v>304</v>
      </c>
      <c r="E55" t="s">
        <v>1426</v>
      </c>
      <c r="G55" t="s">
        <v>915</v>
      </c>
      <c r="J55" t="s">
        <v>1550</v>
      </c>
      <c r="K55" t="s">
        <v>20</v>
      </c>
      <c r="Q55" t="str">
        <f t="shared" si="0"/>
        <v>Dec</v>
      </c>
      <c r="R55">
        <f t="shared" si="1"/>
        <v>2014</v>
      </c>
      <c r="S55" t="str">
        <f>VLOOKUP($W55,TBL_Categories,2,FALSE)</f>
        <v>Monthly</v>
      </c>
      <c r="T55">
        <f>VLOOKUP($W55,TBL_Categories,3,FALSE)</f>
        <v>0</v>
      </c>
      <c r="U55" t="str">
        <f>VLOOKUP($W55,TBL_Categories,4,FALSE)</f>
        <v>No</v>
      </c>
      <c r="V55" t="str">
        <f>VLOOKUP($W55,TBL_Categories,5,FALSE)</f>
        <v>None</v>
      </c>
      <c r="W55" t="str">
        <f t="shared" si="2"/>
        <v>Gifts</v>
      </c>
    </row>
    <row r="56" spans="1:23" x14ac:dyDescent="0.25">
      <c r="A56" t="s">
        <v>296</v>
      </c>
      <c r="B56" s="5">
        <v>41993</v>
      </c>
      <c r="C56">
        <v>-27.36</v>
      </c>
      <c r="D56" t="s">
        <v>304</v>
      </c>
      <c r="E56" t="s">
        <v>725</v>
      </c>
      <c r="F56" t="s">
        <v>1459</v>
      </c>
      <c r="G56" t="s">
        <v>357</v>
      </c>
      <c r="K56" t="s">
        <v>63</v>
      </c>
      <c r="L56" t="s">
        <v>1546</v>
      </c>
      <c r="Q56" t="str">
        <f t="shared" si="0"/>
        <v>Dec</v>
      </c>
      <c r="R56">
        <f t="shared" si="1"/>
        <v>2014</v>
      </c>
      <c r="S56" t="str">
        <f>VLOOKUP($W56,TBL_Categories,2,FALSE)</f>
        <v>Monthly</v>
      </c>
      <c r="T56">
        <f>VLOOKUP($W56,TBL_Categories,3,FALSE)</f>
        <v>0</v>
      </c>
      <c r="U56" t="str">
        <f>VLOOKUP($W56,TBL_Categories,4,FALSE)</f>
        <v>No</v>
      </c>
      <c r="V56" t="str">
        <f>VLOOKUP($W56,TBL_Categories,5,FALSE)</f>
        <v>None</v>
      </c>
      <c r="W56" t="str">
        <f t="shared" si="2"/>
        <v>Home|Furnishings</v>
      </c>
    </row>
    <row r="57" spans="1:23" x14ac:dyDescent="0.25">
      <c r="A57" t="s">
        <v>296</v>
      </c>
      <c r="B57" s="5">
        <v>41993</v>
      </c>
      <c r="C57">
        <v>-91.87</v>
      </c>
      <c r="D57" t="s">
        <v>304</v>
      </c>
      <c r="E57" t="s">
        <v>433</v>
      </c>
      <c r="F57" t="s">
        <v>1460</v>
      </c>
      <c r="G57" t="s">
        <v>887</v>
      </c>
      <c r="J57" t="s">
        <v>1550</v>
      </c>
      <c r="K57" t="s">
        <v>61</v>
      </c>
      <c r="L57" t="s">
        <v>401</v>
      </c>
      <c r="Q57" t="str">
        <f t="shared" si="0"/>
        <v>Dec</v>
      </c>
      <c r="R57">
        <f t="shared" si="1"/>
        <v>2014</v>
      </c>
      <c r="S57" t="str">
        <f>VLOOKUP($W57,TBL_Categories,2,FALSE)</f>
        <v>Monthly</v>
      </c>
      <c r="T57">
        <f>VLOOKUP($W57,TBL_Categories,3,FALSE)</f>
        <v>0</v>
      </c>
      <c r="U57" t="str">
        <f>VLOOKUP($W57,TBL_Categories,4,FALSE)</f>
        <v>No</v>
      </c>
      <c r="V57" t="str">
        <f>VLOOKUP($W57,TBL_Categories,5,FALSE)</f>
        <v>None</v>
      </c>
      <c r="W57" t="str">
        <f t="shared" si="2"/>
        <v>Food &amp; Dining|Groceries</v>
      </c>
    </row>
    <row r="58" spans="1:23" x14ac:dyDescent="0.25">
      <c r="A58" t="s">
        <v>284</v>
      </c>
      <c r="B58" s="5">
        <v>41992</v>
      </c>
      <c r="C58">
        <v>-45</v>
      </c>
      <c r="D58" t="s">
        <v>304</v>
      </c>
      <c r="E58" t="s">
        <v>857</v>
      </c>
      <c r="F58" t="s">
        <v>726</v>
      </c>
      <c r="G58" t="s">
        <v>357</v>
      </c>
      <c r="H58">
        <v>2145</v>
      </c>
      <c r="K58" t="s">
        <v>63</v>
      </c>
      <c r="L58" t="s">
        <v>1546</v>
      </c>
      <c r="Q58" t="str">
        <f t="shared" si="0"/>
        <v>Dec</v>
      </c>
      <c r="R58">
        <f t="shared" si="1"/>
        <v>2014</v>
      </c>
      <c r="S58" t="str">
        <f>VLOOKUP($W58,TBL_Categories,2,FALSE)</f>
        <v>Monthly</v>
      </c>
      <c r="T58">
        <f>VLOOKUP($W58,TBL_Categories,3,FALSE)</f>
        <v>0</v>
      </c>
      <c r="U58" t="str">
        <f>VLOOKUP($W58,TBL_Categories,4,FALSE)</f>
        <v>No</v>
      </c>
      <c r="V58" t="str">
        <f>VLOOKUP($W58,TBL_Categories,5,FALSE)</f>
        <v>None</v>
      </c>
      <c r="W58" t="str">
        <f t="shared" si="2"/>
        <v>Home|Furnishings</v>
      </c>
    </row>
    <row r="59" spans="1:23" x14ac:dyDescent="0.25">
      <c r="A59" t="s">
        <v>296</v>
      </c>
      <c r="B59" s="5">
        <v>41992</v>
      </c>
      <c r="C59">
        <v>25</v>
      </c>
      <c r="D59" t="s">
        <v>304</v>
      </c>
      <c r="E59" t="s">
        <v>660</v>
      </c>
      <c r="G59" t="s">
        <v>14</v>
      </c>
      <c r="K59" t="s">
        <v>14</v>
      </c>
      <c r="Q59" t="str">
        <f t="shared" si="0"/>
        <v>Dec</v>
      </c>
      <c r="R59">
        <f t="shared" si="1"/>
        <v>2014</v>
      </c>
      <c r="S59" t="str">
        <f>VLOOKUP($W59,TBL_Categories,2,FALSE)</f>
        <v>Monthly</v>
      </c>
      <c r="T59">
        <f>VLOOKUP($W59,TBL_Categories,3,FALSE)</f>
        <v>0</v>
      </c>
      <c r="U59" t="str">
        <f>VLOOKUP($W59,TBL_Categories,4,FALSE)</f>
        <v>No</v>
      </c>
      <c r="V59" t="str">
        <f>VLOOKUP($W59,TBL_Categories,5,FALSE)</f>
        <v>None</v>
      </c>
      <c r="W59" t="str">
        <f t="shared" si="2"/>
        <v>Other Inc</v>
      </c>
    </row>
    <row r="60" spans="1:23" x14ac:dyDescent="0.25">
      <c r="A60" t="s">
        <v>296</v>
      </c>
      <c r="B60" s="5">
        <v>41992</v>
      </c>
      <c r="C60">
        <v>-12.03</v>
      </c>
      <c r="D60" t="s">
        <v>304</v>
      </c>
      <c r="E60" t="s">
        <v>706</v>
      </c>
      <c r="F60" t="s">
        <v>1455</v>
      </c>
      <c r="G60" t="s">
        <v>1020</v>
      </c>
      <c r="J60" t="s">
        <v>1550</v>
      </c>
      <c r="K60" t="s">
        <v>66</v>
      </c>
      <c r="L60" t="s">
        <v>1536</v>
      </c>
      <c r="Q60" t="str">
        <f t="shared" si="0"/>
        <v>Dec</v>
      </c>
      <c r="R60">
        <f t="shared" si="1"/>
        <v>2014</v>
      </c>
      <c r="S60" t="str">
        <f>VLOOKUP($W60,TBL_Categories,2,FALSE)</f>
        <v>Monthly</v>
      </c>
      <c r="T60">
        <f>VLOOKUP($W60,TBL_Categories,3,FALSE)</f>
        <v>0</v>
      </c>
      <c r="U60" t="str">
        <f>VLOOKUP($W60,TBL_Categories,4,FALSE)</f>
        <v>No</v>
      </c>
      <c r="V60" t="str">
        <f>VLOOKUP($W60,TBL_Categories,5,FALSE)</f>
        <v>None</v>
      </c>
      <c r="W60" t="str">
        <f t="shared" si="2"/>
        <v>Kids|Toys</v>
      </c>
    </row>
    <row r="61" spans="1:23" x14ac:dyDescent="0.25">
      <c r="A61" t="s">
        <v>296</v>
      </c>
      <c r="B61" s="5">
        <v>41992</v>
      </c>
      <c r="C61">
        <v>-15.86</v>
      </c>
      <c r="D61" t="s">
        <v>304</v>
      </c>
      <c r="E61" t="s">
        <v>431</v>
      </c>
      <c r="G61" t="s">
        <v>432</v>
      </c>
      <c r="K61" t="s">
        <v>52</v>
      </c>
      <c r="L61" t="s">
        <v>1577</v>
      </c>
      <c r="Q61" t="str">
        <f t="shared" si="0"/>
        <v>Dec</v>
      </c>
      <c r="R61">
        <f t="shared" si="1"/>
        <v>2014</v>
      </c>
      <c r="S61" t="str">
        <f>VLOOKUP($W61,TBL_Categories,2,FALSE)</f>
        <v>Monthly</v>
      </c>
      <c r="T61">
        <f>VLOOKUP($W61,TBL_Categories,3,FALSE)</f>
        <v>0</v>
      </c>
      <c r="U61" t="str">
        <f>VLOOKUP($W61,TBL_Categories,4,FALSE)</f>
        <v>No</v>
      </c>
      <c r="V61" t="str">
        <f>VLOOKUP($W61,TBL_Categories,5,FALSE)</f>
        <v>None</v>
      </c>
      <c r="W61" t="str">
        <f t="shared" si="2"/>
        <v>Auto &amp; Transport|Parking</v>
      </c>
    </row>
    <row r="62" spans="1:23" x14ac:dyDescent="0.25">
      <c r="A62" t="s">
        <v>296</v>
      </c>
      <c r="B62" s="5">
        <v>41992</v>
      </c>
      <c r="C62">
        <v>-34</v>
      </c>
      <c r="D62" t="s">
        <v>304</v>
      </c>
      <c r="E62" t="s">
        <v>430</v>
      </c>
      <c r="F62" t="s">
        <v>1456</v>
      </c>
      <c r="G62" t="s">
        <v>915</v>
      </c>
      <c r="J62" t="s">
        <v>1550</v>
      </c>
      <c r="K62" t="s">
        <v>20</v>
      </c>
      <c r="Q62" t="str">
        <f t="shared" si="0"/>
        <v>Dec</v>
      </c>
      <c r="R62">
        <f t="shared" si="1"/>
        <v>2014</v>
      </c>
      <c r="S62" t="str">
        <f>VLOOKUP($W62,TBL_Categories,2,FALSE)</f>
        <v>Monthly</v>
      </c>
      <c r="T62">
        <f>VLOOKUP($W62,TBL_Categories,3,FALSE)</f>
        <v>0</v>
      </c>
      <c r="U62" t="str">
        <f>VLOOKUP($W62,TBL_Categories,4,FALSE)</f>
        <v>No</v>
      </c>
      <c r="V62" t="str">
        <f>VLOOKUP($W62,TBL_Categories,5,FALSE)</f>
        <v>None</v>
      </c>
      <c r="W62" t="str">
        <f t="shared" si="2"/>
        <v>Gifts</v>
      </c>
    </row>
    <row r="63" spans="1:23" x14ac:dyDescent="0.25">
      <c r="A63" t="s">
        <v>296</v>
      </c>
      <c r="B63" s="5">
        <v>41992</v>
      </c>
      <c r="C63">
        <v>-11</v>
      </c>
      <c r="D63" t="s">
        <v>304</v>
      </c>
      <c r="E63" t="s">
        <v>699</v>
      </c>
      <c r="F63" t="s">
        <v>1457</v>
      </c>
      <c r="G63" t="s">
        <v>17</v>
      </c>
      <c r="K63" t="s">
        <v>17</v>
      </c>
      <c r="Q63" t="str">
        <f t="shared" si="0"/>
        <v>Dec</v>
      </c>
      <c r="R63">
        <f t="shared" si="1"/>
        <v>2014</v>
      </c>
      <c r="S63" t="str">
        <f>VLOOKUP($W63,TBL_Categories,2,FALSE)</f>
        <v>Monthly</v>
      </c>
      <c r="T63">
        <f>VLOOKUP($W63,TBL_Categories,3,FALSE)</f>
        <v>0</v>
      </c>
      <c r="U63" t="str">
        <f>VLOOKUP($W63,TBL_Categories,4,FALSE)</f>
        <v>No</v>
      </c>
      <c r="V63" t="str">
        <f>VLOOKUP($W63,TBL_Categories,5,FALSE)</f>
        <v>None</v>
      </c>
      <c r="W63" t="str">
        <f t="shared" si="2"/>
        <v>Entertainment</v>
      </c>
    </row>
    <row r="64" spans="1:23" x14ac:dyDescent="0.25">
      <c r="A64" t="s">
        <v>296</v>
      </c>
      <c r="B64" s="5">
        <v>41992</v>
      </c>
      <c r="C64">
        <v>-13.88</v>
      </c>
      <c r="D64" t="s">
        <v>304</v>
      </c>
      <c r="E64" t="s">
        <v>679</v>
      </c>
      <c r="F64" t="s">
        <v>941</v>
      </c>
      <c r="G64" t="s">
        <v>333</v>
      </c>
      <c r="K64" t="s">
        <v>61</v>
      </c>
      <c r="L64" t="s">
        <v>1530</v>
      </c>
      <c r="Q64" t="str">
        <f t="shared" si="0"/>
        <v>Dec</v>
      </c>
      <c r="R64">
        <f t="shared" si="1"/>
        <v>2014</v>
      </c>
      <c r="S64" t="str">
        <f>VLOOKUP($W64,TBL_Categories,2,FALSE)</f>
        <v>Monthly</v>
      </c>
      <c r="T64">
        <f>VLOOKUP($W64,TBL_Categories,3,FALSE)</f>
        <v>0</v>
      </c>
      <c r="U64" t="str">
        <f>VLOOKUP($W64,TBL_Categories,4,FALSE)</f>
        <v>No</v>
      </c>
      <c r="V64" t="str">
        <f>VLOOKUP($W64,TBL_Categories,5,FALSE)</f>
        <v>None</v>
      </c>
      <c r="W64" t="str">
        <f t="shared" si="2"/>
        <v>Food &amp; Dining|Restaurants</v>
      </c>
    </row>
    <row r="65" spans="1:23" x14ac:dyDescent="0.25">
      <c r="A65" t="s">
        <v>296</v>
      </c>
      <c r="B65" s="5">
        <v>41992</v>
      </c>
      <c r="C65">
        <v>-14.81</v>
      </c>
      <c r="D65" t="s">
        <v>304</v>
      </c>
      <c r="E65" t="s">
        <v>1458</v>
      </c>
      <c r="G65" t="s">
        <v>333</v>
      </c>
      <c r="K65" t="s">
        <v>61</v>
      </c>
      <c r="L65" t="s">
        <v>1530</v>
      </c>
      <c r="Q65" t="str">
        <f t="shared" si="0"/>
        <v>Dec</v>
      </c>
      <c r="R65">
        <f t="shared" si="1"/>
        <v>2014</v>
      </c>
      <c r="S65" t="str">
        <f>VLOOKUP($W65,TBL_Categories,2,FALSE)</f>
        <v>Monthly</v>
      </c>
      <c r="T65">
        <f>VLOOKUP($W65,TBL_Categories,3,FALSE)</f>
        <v>0</v>
      </c>
      <c r="U65" t="str">
        <f>VLOOKUP($W65,TBL_Categories,4,FALSE)</f>
        <v>No</v>
      </c>
      <c r="V65" t="str">
        <f>VLOOKUP($W65,TBL_Categories,5,FALSE)</f>
        <v>None</v>
      </c>
      <c r="W65" t="str">
        <f t="shared" si="2"/>
        <v>Food &amp; Dining|Restaurants</v>
      </c>
    </row>
    <row r="66" spans="1:23" x14ac:dyDescent="0.25">
      <c r="A66" t="s">
        <v>762</v>
      </c>
      <c r="B66" s="5">
        <v>41992</v>
      </c>
      <c r="C66">
        <v>-5</v>
      </c>
      <c r="D66" t="s">
        <v>306</v>
      </c>
      <c r="E66" t="s">
        <v>682</v>
      </c>
      <c r="F66" t="s">
        <v>1474</v>
      </c>
      <c r="G66" t="s">
        <v>887</v>
      </c>
      <c r="I66" t="s">
        <v>272</v>
      </c>
      <c r="J66" t="s">
        <v>1550</v>
      </c>
      <c r="K66" t="s">
        <v>61</v>
      </c>
      <c r="L66" t="s">
        <v>401</v>
      </c>
      <c r="Q66" t="str">
        <f t="shared" ref="Q66:Q129" si="3">TEXT($B66,"MMM")</f>
        <v>Dec</v>
      </c>
      <c r="R66">
        <f t="shared" ref="R66:R129" si="4">YEAR($B66)</f>
        <v>2014</v>
      </c>
      <c r="S66" t="str">
        <f>VLOOKUP($W66,TBL_Categories,2,FALSE)</f>
        <v>Monthly</v>
      </c>
      <c r="T66">
        <f>VLOOKUP($W66,TBL_Categories,3,FALSE)</f>
        <v>0</v>
      </c>
      <c r="U66" t="str">
        <f>VLOOKUP($W66,TBL_Categories,4,FALSE)</f>
        <v>No</v>
      </c>
      <c r="V66" t="str">
        <f>VLOOKUP($W66,TBL_Categories,5,FALSE)</f>
        <v>None</v>
      </c>
      <c r="W66" t="str">
        <f t="shared" ref="W66:W129" si="5">IF(ISBLANK($L66),$K66,CONCATENATE($K66,"|",$L66))</f>
        <v>Food &amp; Dining|Groceries</v>
      </c>
    </row>
    <row r="67" spans="1:23" x14ac:dyDescent="0.25">
      <c r="A67" t="s">
        <v>762</v>
      </c>
      <c r="B67" s="5">
        <v>41992</v>
      </c>
      <c r="C67">
        <v>-6.57</v>
      </c>
      <c r="D67" t="s">
        <v>306</v>
      </c>
      <c r="E67" t="s">
        <v>682</v>
      </c>
      <c r="F67" t="s">
        <v>1475</v>
      </c>
      <c r="G67" t="s">
        <v>927</v>
      </c>
      <c r="I67" t="s">
        <v>272</v>
      </c>
      <c r="J67" t="s">
        <v>1550</v>
      </c>
      <c r="K67" t="s">
        <v>72</v>
      </c>
      <c r="L67" t="s">
        <v>1537</v>
      </c>
      <c r="Q67" t="str">
        <f t="shared" si="3"/>
        <v>Dec</v>
      </c>
      <c r="R67">
        <f t="shared" si="4"/>
        <v>2014</v>
      </c>
      <c r="S67" t="str">
        <f>VLOOKUP($W67,TBL_Categories,2,FALSE)</f>
        <v>Annual</v>
      </c>
      <c r="T67">
        <f>VLOOKUP($W67,TBL_Categories,3,FALSE)</f>
        <v>0</v>
      </c>
      <c r="U67" t="str">
        <f>VLOOKUP($W67,TBL_Categories,4,FALSE)</f>
        <v>No</v>
      </c>
      <c r="V67" t="str">
        <f>VLOOKUP($W67,TBL_Categories,5,FALSE)</f>
        <v>None</v>
      </c>
      <c r="W67" t="str">
        <f t="shared" si="5"/>
        <v>Shopping|Clothing</v>
      </c>
    </row>
    <row r="68" spans="1:23" x14ac:dyDescent="0.25">
      <c r="A68" t="s">
        <v>762</v>
      </c>
      <c r="B68" s="5">
        <v>41992</v>
      </c>
      <c r="C68">
        <v>-15.33</v>
      </c>
      <c r="D68" t="s">
        <v>306</v>
      </c>
      <c r="E68" t="s">
        <v>682</v>
      </c>
      <c r="F68" t="s">
        <v>1476</v>
      </c>
      <c r="G68" t="s">
        <v>915</v>
      </c>
      <c r="I68" t="s">
        <v>272</v>
      </c>
      <c r="J68" t="s">
        <v>1550</v>
      </c>
      <c r="K68" t="s">
        <v>20</v>
      </c>
      <c r="Q68" t="str">
        <f t="shared" si="3"/>
        <v>Dec</v>
      </c>
      <c r="R68">
        <f t="shared" si="4"/>
        <v>2014</v>
      </c>
      <c r="S68" t="str">
        <f>VLOOKUP($W68,TBL_Categories,2,FALSE)</f>
        <v>Monthly</v>
      </c>
      <c r="T68">
        <f>VLOOKUP($W68,TBL_Categories,3,FALSE)</f>
        <v>0</v>
      </c>
      <c r="U68" t="str">
        <f>VLOOKUP($W68,TBL_Categories,4,FALSE)</f>
        <v>No</v>
      </c>
      <c r="V68" t="str">
        <f>VLOOKUP($W68,TBL_Categories,5,FALSE)</f>
        <v>None</v>
      </c>
      <c r="W68" t="str">
        <f t="shared" si="5"/>
        <v>Gifts</v>
      </c>
    </row>
    <row r="69" spans="1:23" x14ac:dyDescent="0.25">
      <c r="A69" t="s">
        <v>762</v>
      </c>
      <c r="B69" s="5">
        <v>41992</v>
      </c>
      <c r="C69">
        <v>-15.81</v>
      </c>
      <c r="D69" t="s">
        <v>306</v>
      </c>
      <c r="E69" t="s">
        <v>682</v>
      </c>
      <c r="F69" t="s">
        <v>1477</v>
      </c>
      <c r="G69" t="s">
        <v>1442</v>
      </c>
      <c r="I69" t="s">
        <v>272</v>
      </c>
      <c r="J69" t="s">
        <v>1550</v>
      </c>
      <c r="K69" t="s">
        <v>56</v>
      </c>
      <c r="L69" t="s">
        <v>1547</v>
      </c>
      <c r="Q69" t="str">
        <f t="shared" si="3"/>
        <v>Dec</v>
      </c>
      <c r="R69">
        <f t="shared" si="4"/>
        <v>2014</v>
      </c>
      <c r="S69" t="str">
        <f>VLOOKUP($W69,TBL_Categories,2,FALSE)</f>
        <v>Annual</v>
      </c>
      <c r="T69">
        <f>VLOOKUP($W69,TBL_Categories,3,FALSE)</f>
        <v>0</v>
      </c>
      <c r="U69" t="str">
        <f>VLOOKUP($W69,TBL_Categories,4,FALSE)</f>
        <v>No</v>
      </c>
      <c r="V69" t="str">
        <f>VLOOKUP($W69,TBL_Categories,5,FALSE)</f>
        <v>None</v>
      </c>
      <c r="W69" t="str">
        <f t="shared" si="5"/>
        <v>Charity|Charity (Cash)</v>
      </c>
    </row>
    <row r="70" spans="1:23" x14ac:dyDescent="0.25">
      <c r="A70" t="s">
        <v>296</v>
      </c>
      <c r="B70" s="5">
        <v>41991</v>
      </c>
      <c r="C70">
        <v>-15.05</v>
      </c>
      <c r="D70" t="s">
        <v>304</v>
      </c>
      <c r="E70" t="s">
        <v>451</v>
      </c>
      <c r="F70" t="s">
        <v>1453</v>
      </c>
      <c r="G70" t="s">
        <v>345</v>
      </c>
      <c r="K70" t="s">
        <v>66</v>
      </c>
      <c r="L70" t="s">
        <v>1536</v>
      </c>
      <c r="Q70" t="str">
        <f t="shared" si="3"/>
        <v>Dec</v>
      </c>
      <c r="R70">
        <f t="shared" si="4"/>
        <v>2014</v>
      </c>
      <c r="S70" t="str">
        <f>VLOOKUP($W70,TBL_Categories,2,FALSE)</f>
        <v>Monthly</v>
      </c>
      <c r="T70">
        <f>VLOOKUP($W70,TBL_Categories,3,FALSE)</f>
        <v>0</v>
      </c>
      <c r="U70" t="str">
        <f>VLOOKUP($W70,TBL_Categories,4,FALSE)</f>
        <v>No</v>
      </c>
      <c r="V70" t="str">
        <f>VLOOKUP($W70,TBL_Categories,5,FALSE)</f>
        <v>None</v>
      </c>
      <c r="W70" t="str">
        <f t="shared" si="5"/>
        <v>Kids|Toys</v>
      </c>
    </row>
    <row r="71" spans="1:23" x14ac:dyDescent="0.25">
      <c r="A71" t="s">
        <v>296</v>
      </c>
      <c r="B71" s="5">
        <v>41991</v>
      </c>
      <c r="C71">
        <v>-60.23</v>
      </c>
      <c r="D71" t="s">
        <v>304</v>
      </c>
      <c r="E71" t="s">
        <v>682</v>
      </c>
      <c r="F71" t="s">
        <v>1454</v>
      </c>
      <c r="G71" t="s">
        <v>927</v>
      </c>
      <c r="J71" t="s">
        <v>1550</v>
      </c>
      <c r="K71" t="s">
        <v>72</v>
      </c>
      <c r="L71" t="s">
        <v>1537</v>
      </c>
      <c r="Q71" t="str">
        <f t="shared" si="3"/>
        <v>Dec</v>
      </c>
      <c r="R71">
        <f t="shared" si="4"/>
        <v>2014</v>
      </c>
      <c r="S71" t="str">
        <f>VLOOKUP($W71,TBL_Categories,2,FALSE)</f>
        <v>Annual</v>
      </c>
      <c r="T71">
        <f>VLOOKUP($W71,TBL_Categories,3,FALSE)</f>
        <v>0</v>
      </c>
      <c r="U71" t="str">
        <f>VLOOKUP($W71,TBL_Categories,4,FALSE)</f>
        <v>No</v>
      </c>
      <c r="V71" t="str">
        <f>VLOOKUP($W71,TBL_Categories,5,FALSE)</f>
        <v>None</v>
      </c>
      <c r="W71" t="str">
        <f t="shared" si="5"/>
        <v>Shopping|Clothing</v>
      </c>
    </row>
    <row r="72" spans="1:23" x14ac:dyDescent="0.25">
      <c r="A72" t="s">
        <v>290</v>
      </c>
      <c r="B72" s="5">
        <v>41990</v>
      </c>
      <c r="C72">
        <v>-60</v>
      </c>
      <c r="D72" t="s">
        <v>304</v>
      </c>
      <c r="E72" t="s">
        <v>917</v>
      </c>
      <c r="F72" t="s">
        <v>918</v>
      </c>
      <c r="G72" t="s">
        <v>398</v>
      </c>
      <c r="I72" t="s">
        <v>272</v>
      </c>
      <c r="K72" t="s">
        <v>70</v>
      </c>
      <c r="L72" t="s">
        <v>1563</v>
      </c>
      <c r="Q72" t="str">
        <f t="shared" si="3"/>
        <v>Dec</v>
      </c>
      <c r="R72">
        <f t="shared" si="4"/>
        <v>2014</v>
      </c>
      <c r="S72" t="str">
        <f>VLOOKUP($W72,TBL_Categories,2,FALSE)</f>
        <v>Monthly</v>
      </c>
      <c r="T72">
        <f>VLOOKUP($W72,TBL_Categories,3,FALSE)</f>
        <v>0</v>
      </c>
      <c r="U72" t="str">
        <f>VLOOKUP($W72,TBL_Categories,4,FALSE)</f>
        <v>No</v>
      </c>
      <c r="V72" t="str">
        <f>VLOOKUP($W72,TBL_Categories,5,FALSE)</f>
        <v>None</v>
      </c>
      <c r="W72" t="str">
        <f t="shared" si="5"/>
        <v>Personal Care|Hair</v>
      </c>
    </row>
    <row r="73" spans="1:23" x14ac:dyDescent="0.25">
      <c r="A73" t="s">
        <v>290</v>
      </c>
      <c r="B73" s="5">
        <v>41990</v>
      </c>
      <c r="C73">
        <v>-2</v>
      </c>
      <c r="D73" t="s">
        <v>304</v>
      </c>
      <c r="E73" t="s">
        <v>917</v>
      </c>
      <c r="G73" t="s">
        <v>397</v>
      </c>
      <c r="I73" t="s">
        <v>272</v>
      </c>
      <c r="K73" t="s">
        <v>53</v>
      </c>
      <c r="L73" t="s">
        <v>1562</v>
      </c>
      <c r="Q73" t="str">
        <f t="shared" si="3"/>
        <v>Dec</v>
      </c>
      <c r="R73">
        <f t="shared" si="4"/>
        <v>2014</v>
      </c>
      <c r="S73" t="str">
        <f>VLOOKUP($W73,TBL_Categories,2,FALSE)</f>
        <v>Monthly</v>
      </c>
      <c r="T73">
        <f>VLOOKUP($W73,TBL_Categories,3,FALSE)</f>
        <v>0</v>
      </c>
      <c r="U73" t="str">
        <f>VLOOKUP($W73,TBL_Categories,4,FALSE)</f>
        <v>No</v>
      </c>
      <c r="V73" t="str">
        <f>VLOOKUP($W73,TBL_Categories,5,FALSE)</f>
        <v>None</v>
      </c>
      <c r="W73" t="str">
        <f t="shared" si="5"/>
        <v>Bank Fees &amp; Charges|ATM Fee</v>
      </c>
    </row>
    <row r="74" spans="1:23" x14ac:dyDescent="0.25">
      <c r="A74" t="s">
        <v>296</v>
      </c>
      <c r="B74" s="5">
        <v>41990</v>
      </c>
      <c r="C74">
        <v>-1.62</v>
      </c>
      <c r="D74" t="s">
        <v>304</v>
      </c>
      <c r="E74" t="s">
        <v>679</v>
      </c>
      <c r="F74" t="s">
        <v>941</v>
      </c>
      <c r="G74" t="s">
        <v>333</v>
      </c>
      <c r="K74" t="s">
        <v>61</v>
      </c>
      <c r="L74" t="s">
        <v>1530</v>
      </c>
      <c r="Q74" t="str">
        <f t="shared" si="3"/>
        <v>Dec</v>
      </c>
      <c r="R74">
        <f t="shared" si="4"/>
        <v>2014</v>
      </c>
      <c r="S74" t="str">
        <f>VLOOKUP($W74,TBL_Categories,2,FALSE)</f>
        <v>Monthly</v>
      </c>
      <c r="T74">
        <f>VLOOKUP($W74,TBL_Categories,3,FALSE)</f>
        <v>0</v>
      </c>
      <c r="U74" t="str">
        <f>VLOOKUP($W74,TBL_Categories,4,FALSE)</f>
        <v>No</v>
      </c>
      <c r="V74" t="str">
        <f>VLOOKUP($W74,TBL_Categories,5,FALSE)</f>
        <v>None</v>
      </c>
      <c r="W74" t="str">
        <f t="shared" si="5"/>
        <v>Food &amp; Dining|Restaurants</v>
      </c>
    </row>
    <row r="75" spans="1:23" x14ac:dyDescent="0.25">
      <c r="A75" t="s">
        <v>296</v>
      </c>
      <c r="B75" s="5">
        <v>41990</v>
      </c>
      <c r="C75">
        <v>-3.32</v>
      </c>
      <c r="D75" t="s">
        <v>304</v>
      </c>
      <c r="E75" t="s">
        <v>994</v>
      </c>
      <c r="G75" t="s">
        <v>432</v>
      </c>
      <c r="K75" t="s">
        <v>52</v>
      </c>
      <c r="L75" t="s">
        <v>1577</v>
      </c>
      <c r="Q75" t="str">
        <f t="shared" si="3"/>
        <v>Dec</v>
      </c>
      <c r="R75">
        <f t="shared" si="4"/>
        <v>2014</v>
      </c>
      <c r="S75" t="str">
        <f>VLOOKUP($W75,TBL_Categories,2,FALSE)</f>
        <v>Monthly</v>
      </c>
      <c r="T75">
        <f>VLOOKUP($W75,TBL_Categories,3,FALSE)</f>
        <v>0</v>
      </c>
      <c r="U75" t="str">
        <f>VLOOKUP($W75,TBL_Categories,4,FALSE)</f>
        <v>No</v>
      </c>
      <c r="V75" t="str">
        <f>VLOOKUP($W75,TBL_Categories,5,FALSE)</f>
        <v>None</v>
      </c>
      <c r="W75" t="str">
        <f t="shared" si="5"/>
        <v>Auto &amp; Transport|Parking</v>
      </c>
    </row>
    <row r="76" spans="1:23" x14ac:dyDescent="0.25">
      <c r="A76" t="s">
        <v>296</v>
      </c>
      <c r="B76" s="5">
        <v>41990</v>
      </c>
      <c r="C76">
        <v>-6.56</v>
      </c>
      <c r="D76" t="s">
        <v>304</v>
      </c>
      <c r="E76" t="s">
        <v>1447</v>
      </c>
      <c r="F76" t="s">
        <v>1448</v>
      </c>
      <c r="G76" t="s">
        <v>927</v>
      </c>
      <c r="J76" t="s">
        <v>1550</v>
      </c>
      <c r="K76" t="s">
        <v>72</v>
      </c>
      <c r="L76" t="s">
        <v>1537</v>
      </c>
      <c r="Q76" t="str">
        <f t="shared" si="3"/>
        <v>Dec</v>
      </c>
      <c r="R76">
        <f t="shared" si="4"/>
        <v>2014</v>
      </c>
      <c r="S76" t="str">
        <f>VLOOKUP($W76,TBL_Categories,2,FALSE)</f>
        <v>Annual</v>
      </c>
      <c r="T76">
        <f>VLOOKUP($W76,TBL_Categories,3,FALSE)</f>
        <v>0</v>
      </c>
      <c r="U76" t="str">
        <f>VLOOKUP($W76,TBL_Categories,4,FALSE)</f>
        <v>No</v>
      </c>
      <c r="V76" t="str">
        <f>VLOOKUP($W76,TBL_Categories,5,FALSE)</f>
        <v>None</v>
      </c>
      <c r="W76" t="str">
        <f t="shared" si="5"/>
        <v>Shopping|Clothing</v>
      </c>
    </row>
    <row r="77" spans="1:23" x14ac:dyDescent="0.25">
      <c r="A77" t="s">
        <v>296</v>
      </c>
      <c r="B77" s="5">
        <v>41990</v>
      </c>
      <c r="C77">
        <v>-7.95</v>
      </c>
      <c r="D77" t="s">
        <v>304</v>
      </c>
      <c r="E77" t="s">
        <v>430</v>
      </c>
      <c r="G77" t="s">
        <v>20</v>
      </c>
      <c r="K77" t="s">
        <v>20</v>
      </c>
      <c r="Q77" t="str">
        <f t="shared" si="3"/>
        <v>Dec</v>
      </c>
      <c r="R77">
        <f t="shared" si="4"/>
        <v>2014</v>
      </c>
      <c r="S77" t="str">
        <f>VLOOKUP($W77,TBL_Categories,2,FALSE)</f>
        <v>Monthly</v>
      </c>
      <c r="T77">
        <f>VLOOKUP($W77,TBL_Categories,3,FALSE)</f>
        <v>0</v>
      </c>
      <c r="U77" t="str">
        <f>VLOOKUP($W77,TBL_Categories,4,FALSE)</f>
        <v>No</v>
      </c>
      <c r="V77" t="str">
        <f>VLOOKUP($W77,TBL_Categories,5,FALSE)</f>
        <v>None</v>
      </c>
      <c r="W77" t="str">
        <f t="shared" si="5"/>
        <v>Gifts</v>
      </c>
    </row>
    <row r="78" spans="1:23" x14ac:dyDescent="0.25">
      <c r="A78" t="s">
        <v>296</v>
      </c>
      <c r="B78" s="5">
        <v>41990</v>
      </c>
      <c r="C78">
        <v>-8.75</v>
      </c>
      <c r="D78" t="s">
        <v>304</v>
      </c>
      <c r="E78" t="s">
        <v>1449</v>
      </c>
      <c r="G78" t="s">
        <v>773</v>
      </c>
      <c r="J78" t="s">
        <v>1550</v>
      </c>
      <c r="K78" t="s">
        <v>61</v>
      </c>
      <c r="L78" t="s">
        <v>1530</v>
      </c>
      <c r="Q78" t="str">
        <f t="shared" si="3"/>
        <v>Dec</v>
      </c>
      <c r="R78">
        <f t="shared" si="4"/>
        <v>2014</v>
      </c>
      <c r="S78" t="str">
        <f>VLOOKUP($W78,TBL_Categories,2,FALSE)</f>
        <v>Monthly</v>
      </c>
      <c r="T78">
        <f>VLOOKUP($W78,TBL_Categories,3,FALSE)</f>
        <v>0</v>
      </c>
      <c r="U78" t="str">
        <f>VLOOKUP($W78,TBL_Categories,4,FALSE)</f>
        <v>No</v>
      </c>
      <c r="V78" t="str">
        <f>VLOOKUP($W78,TBL_Categories,5,FALSE)</f>
        <v>None</v>
      </c>
      <c r="W78" t="str">
        <f t="shared" si="5"/>
        <v>Food &amp; Dining|Restaurants</v>
      </c>
    </row>
    <row r="79" spans="1:23" x14ac:dyDescent="0.25">
      <c r="A79" t="s">
        <v>296</v>
      </c>
      <c r="B79" s="5">
        <v>41990</v>
      </c>
      <c r="C79">
        <v>-13.81</v>
      </c>
      <c r="D79" t="s">
        <v>304</v>
      </c>
      <c r="E79" t="s">
        <v>679</v>
      </c>
      <c r="F79" t="s">
        <v>941</v>
      </c>
      <c r="G79" t="s">
        <v>333</v>
      </c>
      <c r="K79" t="s">
        <v>61</v>
      </c>
      <c r="L79" t="s">
        <v>1530</v>
      </c>
      <c r="Q79" t="str">
        <f t="shared" si="3"/>
        <v>Dec</v>
      </c>
      <c r="R79">
        <f t="shared" si="4"/>
        <v>2014</v>
      </c>
      <c r="S79" t="str">
        <f>VLOOKUP($W79,TBL_Categories,2,FALSE)</f>
        <v>Monthly</v>
      </c>
      <c r="T79">
        <f>VLOOKUP($W79,TBL_Categories,3,FALSE)</f>
        <v>0</v>
      </c>
      <c r="U79" t="str">
        <f>VLOOKUP($W79,TBL_Categories,4,FALSE)</f>
        <v>No</v>
      </c>
      <c r="V79" t="str">
        <f>VLOOKUP($W79,TBL_Categories,5,FALSE)</f>
        <v>None</v>
      </c>
      <c r="W79" t="str">
        <f t="shared" si="5"/>
        <v>Food &amp; Dining|Restaurants</v>
      </c>
    </row>
    <row r="80" spans="1:23" x14ac:dyDescent="0.25">
      <c r="A80" t="s">
        <v>296</v>
      </c>
      <c r="B80" s="5">
        <v>41990</v>
      </c>
      <c r="C80">
        <v>-17.510000000000002</v>
      </c>
      <c r="D80" t="s">
        <v>304</v>
      </c>
      <c r="E80" t="s">
        <v>451</v>
      </c>
      <c r="F80" t="s">
        <v>1450</v>
      </c>
      <c r="G80" t="s">
        <v>345</v>
      </c>
      <c r="K80" t="s">
        <v>66</v>
      </c>
      <c r="L80" t="s">
        <v>1536</v>
      </c>
      <c r="Q80" t="str">
        <f t="shared" si="3"/>
        <v>Dec</v>
      </c>
      <c r="R80">
        <f t="shared" si="4"/>
        <v>2014</v>
      </c>
      <c r="S80" t="str">
        <f>VLOOKUP($W80,TBL_Categories,2,FALSE)</f>
        <v>Monthly</v>
      </c>
      <c r="T80">
        <f>VLOOKUP($W80,TBL_Categories,3,FALSE)</f>
        <v>0</v>
      </c>
      <c r="U80" t="str">
        <f>VLOOKUP($W80,TBL_Categories,4,FALSE)</f>
        <v>No</v>
      </c>
      <c r="V80" t="str">
        <f>VLOOKUP($W80,TBL_Categories,5,FALSE)</f>
        <v>None</v>
      </c>
      <c r="W80" t="str">
        <f t="shared" si="5"/>
        <v>Kids|Toys</v>
      </c>
    </row>
    <row r="81" spans="1:23" x14ac:dyDescent="0.25">
      <c r="A81" t="s">
        <v>296</v>
      </c>
      <c r="B81" s="5">
        <v>41990</v>
      </c>
      <c r="C81">
        <v>-34.159999999999997</v>
      </c>
      <c r="D81" t="s">
        <v>304</v>
      </c>
      <c r="E81" t="s">
        <v>451</v>
      </c>
      <c r="F81" t="s">
        <v>1451</v>
      </c>
      <c r="G81" t="s">
        <v>345</v>
      </c>
      <c r="K81" t="s">
        <v>66</v>
      </c>
      <c r="L81" t="s">
        <v>1536</v>
      </c>
      <c r="Q81" t="str">
        <f t="shared" si="3"/>
        <v>Dec</v>
      </c>
      <c r="R81">
        <f t="shared" si="4"/>
        <v>2014</v>
      </c>
      <c r="S81" t="str">
        <f>VLOOKUP($W81,TBL_Categories,2,FALSE)</f>
        <v>Monthly</v>
      </c>
      <c r="T81">
        <f>VLOOKUP($W81,TBL_Categories,3,FALSE)</f>
        <v>0</v>
      </c>
      <c r="U81" t="str">
        <f>VLOOKUP($W81,TBL_Categories,4,FALSE)</f>
        <v>No</v>
      </c>
      <c r="V81" t="str">
        <f>VLOOKUP($W81,TBL_Categories,5,FALSE)</f>
        <v>None</v>
      </c>
      <c r="W81" t="str">
        <f t="shared" si="5"/>
        <v>Kids|Toys</v>
      </c>
    </row>
    <row r="82" spans="1:23" x14ac:dyDescent="0.25">
      <c r="A82" t="s">
        <v>296</v>
      </c>
      <c r="B82" s="5">
        <v>41990</v>
      </c>
      <c r="C82">
        <v>-52.99</v>
      </c>
      <c r="D82" t="s">
        <v>304</v>
      </c>
      <c r="E82" t="s">
        <v>451</v>
      </c>
      <c r="F82" t="s">
        <v>1452</v>
      </c>
      <c r="G82" t="s">
        <v>345</v>
      </c>
      <c r="K82" t="s">
        <v>66</v>
      </c>
      <c r="L82" t="s">
        <v>1536</v>
      </c>
      <c r="Q82" t="str">
        <f t="shared" si="3"/>
        <v>Dec</v>
      </c>
      <c r="R82">
        <f t="shared" si="4"/>
        <v>2014</v>
      </c>
      <c r="S82" t="str">
        <f>VLOOKUP($W82,TBL_Categories,2,FALSE)</f>
        <v>Monthly</v>
      </c>
      <c r="T82">
        <f>VLOOKUP($W82,TBL_Categories,3,FALSE)</f>
        <v>0</v>
      </c>
      <c r="U82" t="str">
        <f>VLOOKUP($W82,TBL_Categories,4,FALSE)</f>
        <v>No</v>
      </c>
      <c r="V82" t="str">
        <f>VLOOKUP($W82,TBL_Categories,5,FALSE)</f>
        <v>None</v>
      </c>
      <c r="W82" t="str">
        <f t="shared" si="5"/>
        <v>Kids|Toys</v>
      </c>
    </row>
    <row r="83" spans="1:23" x14ac:dyDescent="0.25">
      <c r="A83" t="s">
        <v>296</v>
      </c>
      <c r="B83" s="5">
        <v>41989</v>
      </c>
      <c r="C83">
        <v>-4.37</v>
      </c>
      <c r="D83" t="s">
        <v>304</v>
      </c>
      <c r="E83" t="s">
        <v>603</v>
      </c>
      <c r="G83" t="s">
        <v>73</v>
      </c>
      <c r="K83" t="s">
        <v>73</v>
      </c>
      <c r="Q83" t="str">
        <f t="shared" si="3"/>
        <v>Dec</v>
      </c>
      <c r="R83">
        <f t="shared" si="4"/>
        <v>2014</v>
      </c>
      <c r="S83" t="str">
        <f>VLOOKUP($W83,TBL_Categories,2,FALSE)</f>
        <v>Annual</v>
      </c>
      <c r="T83">
        <f>VLOOKUP($W83,TBL_Categories,3,FALSE)</f>
        <v>0</v>
      </c>
      <c r="U83" t="str">
        <f>VLOOKUP($W83,TBL_Categories,4,FALSE)</f>
        <v>No</v>
      </c>
      <c r="V83" t="str">
        <f>VLOOKUP($W83,TBL_Categories,5,FALSE)</f>
        <v>None</v>
      </c>
      <c r="W83" t="str">
        <f t="shared" si="5"/>
        <v>Subscriptions &amp; Dues</v>
      </c>
    </row>
    <row r="84" spans="1:23" x14ac:dyDescent="0.25">
      <c r="A84" t="s">
        <v>296</v>
      </c>
      <c r="B84" s="5">
        <v>41989</v>
      </c>
      <c r="C84">
        <v>-6.52</v>
      </c>
      <c r="D84" t="s">
        <v>304</v>
      </c>
      <c r="E84" t="s">
        <v>451</v>
      </c>
      <c r="F84" t="s">
        <v>1654</v>
      </c>
      <c r="G84" t="s">
        <v>345</v>
      </c>
      <c r="K84" t="s">
        <v>66</v>
      </c>
      <c r="L84" t="s">
        <v>1536</v>
      </c>
      <c r="Q84" t="str">
        <f t="shared" si="3"/>
        <v>Dec</v>
      </c>
      <c r="R84">
        <f t="shared" si="4"/>
        <v>2014</v>
      </c>
      <c r="S84" t="str">
        <f>VLOOKUP($W84,TBL_Categories,2,FALSE)</f>
        <v>Monthly</v>
      </c>
      <c r="T84">
        <f>VLOOKUP($W84,TBL_Categories,3,FALSE)</f>
        <v>0</v>
      </c>
      <c r="U84" t="str">
        <f>VLOOKUP($W84,TBL_Categories,4,FALSE)</f>
        <v>No</v>
      </c>
      <c r="V84" t="str">
        <f>VLOOKUP($W84,TBL_Categories,5,FALSE)</f>
        <v>None</v>
      </c>
      <c r="W84" t="str">
        <f t="shared" si="5"/>
        <v>Kids|Toys</v>
      </c>
    </row>
    <row r="85" spans="1:23" x14ac:dyDescent="0.25">
      <c r="A85" t="s">
        <v>296</v>
      </c>
      <c r="B85" s="5">
        <v>41989</v>
      </c>
      <c r="C85">
        <v>-9.4700000000000006</v>
      </c>
      <c r="D85" t="s">
        <v>304</v>
      </c>
      <c r="E85" t="s">
        <v>434</v>
      </c>
      <c r="G85" t="s">
        <v>887</v>
      </c>
      <c r="J85" t="s">
        <v>1550</v>
      </c>
      <c r="K85" t="s">
        <v>61</v>
      </c>
      <c r="L85" t="s">
        <v>401</v>
      </c>
      <c r="Q85" t="str">
        <f t="shared" si="3"/>
        <v>Dec</v>
      </c>
      <c r="R85">
        <f t="shared" si="4"/>
        <v>2014</v>
      </c>
      <c r="S85" t="str">
        <f>VLOOKUP($W85,TBL_Categories,2,FALSE)</f>
        <v>Monthly</v>
      </c>
      <c r="T85">
        <f>VLOOKUP($W85,TBL_Categories,3,FALSE)</f>
        <v>0</v>
      </c>
      <c r="U85" t="str">
        <f>VLOOKUP($W85,TBL_Categories,4,FALSE)</f>
        <v>No</v>
      </c>
      <c r="V85" t="str">
        <f>VLOOKUP($W85,TBL_Categories,5,FALSE)</f>
        <v>None</v>
      </c>
      <c r="W85" t="str">
        <f t="shared" si="5"/>
        <v>Food &amp; Dining|Groceries</v>
      </c>
    </row>
    <row r="86" spans="1:23" x14ac:dyDescent="0.25">
      <c r="A86" t="s">
        <v>296</v>
      </c>
      <c r="B86" s="5">
        <v>41989</v>
      </c>
      <c r="C86">
        <v>-20.77</v>
      </c>
      <c r="D86" t="s">
        <v>304</v>
      </c>
      <c r="E86" t="s">
        <v>433</v>
      </c>
      <c r="F86" t="s">
        <v>1441</v>
      </c>
      <c r="G86" t="s">
        <v>1442</v>
      </c>
      <c r="J86" t="s">
        <v>1550</v>
      </c>
      <c r="K86" t="s">
        <v>56</v>
      </c>
      <c r="L86" t="s">
        <v>1547</v>
      </c>
      <c r="Q86" t="str">
        <f t="shared" si="3"/>
        <v>Dec</v>
      </c>
      <c r="R86">
        <f t="shared" si="4"/>
        <v>2014</v>
      </c>
      <c r="S86" t="str">
        <f>VLOOKUP($W86,TBL_Categories,2,FALSE)</f>
        <v>Annual</v>
      </c>
      <c r="T86">
        <f>VLOOKUP($W86,TBL_Categories,3,FALSE)</f>
        <v>0</v>
      </c>
      <c r="U86" t="str">
        <f>VLOOKUP($W86,TBL_Categories,4,FALSE)</f>
        <v>No</v>
      </c>
      <c r="V86" t="str">
        <f>VLOOKUP($W86,TBL_Categories,5,FALSE)</f>
        <v>None</v>
      </c>
      <c r="W86" t="str">
        <f t="shared" si="5"/>
        <v>Charity|Charity (Cash)</v>
      </c>
    </row>
    <row r="87" spans="1:23" x14ac:dyDescent="0.25">
      <c r="A87" t="s">
        <v>296</v>
      </c>
      <c r="B87" s="5">
        <v>41989</v>
      </c>
      <c r="C87">
        <v>-32.69</v>
      </c>
      <c r="D87" t="s">
        <v>304</v>
      </c>
      <c r="E87" t="s">
        <v>451</v>
      </c>
      <c r="F87" t="s">
        <v>1443</v>
      </c>
      <c r="G87" t="s">
        <v>345</v>
      </c>
      <c r="K87" t="s">
        <v>66</v>
      </c>
      <c r="L87" t="s">
        <v>1536</v>
      </c>
      <c r="Q87" t="str">
        <f t="shared" si="3"/>
        <v>Dec</v>
      </c>
      <c r="R87">
        <f t="shared" si="4"/>
        <v>2014</v>
      </c>
      <c r="S87" t="str">
        <f>VLOOKUP($W87,TBL_Categories,2,FALSE)</f>
        <v>Monthly</v>
      </c>
      <c r="T87">
        <f>VLOOKUP($W87,TBL_Categories,3,FALSE)</f>
        <v>0</v>
      </c>
      <c r="U87" t="str">
        <f>VLOOKUP($W87,TBL_Categories,4,FALSE)</f>
        <v>No</v>
      </c>
      <c r="V87" t="str">
        <f>VLOOKUP($W87,TBL_Categories,5,FALSE)</f>
        <v>None</v>
      </c>
      <c r="W87" t="str">
        <f t="shared" si="5"/>
        <v>Kids|Toys</v>
      </c>
    </row>
    <row r="88" spans="1:23" x14ac:dyDescent="0.25">
      <c r="A88" t="s">
        <v>296</v>
      </c>
      <c r="B88" s="5">
        <v>41989</v>
      </c>
      <c r="C88">
        <v>-36.03</v>
      </c>
      <c r="D88" t="s">
        <v>304</v>
      </c>
      <c r="E88" t="s">
        <v>451</v>
      </c>
      <c r="F88" t="s">
        <v>1444</v>
      </c>
      <c r="G88" t="s">
        <v>345</v>
      </c>
      <c r="K88" t="s">
        <v>66</v>
      </c>
      <c r="L88" t="s">
        <v>1536</v>
      </c>
      <c r="Q88" t="str">
        <f t="shared" si="3"/>
        <v>Dec</v>
      </c>
      <c r="R88">
        <f t="shared" si="4"/>
        <v>2014</v>
      </c>
      <c r="S88" t="str">
        <f>VLOOKUP($W88,TBL_Categories,2,FALSE)</f>
        <v>Monthly</v>
      </c>
      <c r="T88">
        <f>VLOOKUP($W88,TBL_Categories,3,FALSE)</f>
        <v>0</v>
      </c>
      <c r="U88" t="str">
        <f>VLOOKUP($W88,TBL_Categories,4,FALSE)</f>
        <v>No</v>
      </c>
      <c r="V88" t="str">
        <f>VLOOKUP($W88,TBL_Categories,5,FALSE)</f>
        <v>None</v>
      </c>
      <c r="W88" t="str">
        <f t="shared" si="5"/>
        <v>Kids|Toys</v>
      </c>
    </row>
    <row r="89" spans="1:23" x14ac:dyDescent="0.25">
      <c r="A89" t="s">
        <v>296</v>
      </c>
      <c r="B89" s="5">
        <v>41989</v>
      </c>
      <c r="C89">
        <v>-57.88</v>
      </c>
      <c r="D89" t="s">
        <v>304</v>
      </c>
      <c r="E89" t="s">
        <v>451</v>
      </c>
      <c r="F89" t="s">
        <v>1445</v>
      </c>
      <c r="G89" t="s">
        <v>345</v>
      </c>
      <c r="K89" t="s">
        <v>66</v>
      </c>
      <c r="L89" t="s">
        <v>1536</v>
      </c>
      <c r="Q89" t="str">
        <f t="shared" si="3"/>
        <v>Dec</v>
      </c>
      <c r="R89">
        <f t="shared" si="4"/>
        <v>2014</v>
      </c>
      <c r="S89" t="str">
        <f>VLOOKUP($W89,TBL_Categories,2,FALSE)</f>
        <v>Monthly</v>
      </c>
      <c r="T89">
        <f>VLOOKUP($W89,TBL_Categories,3,FALSE)</f>
        <v>0</v>
      </c>
      <c r="U89" t="str">
        <f>VLOOKUP($W89,TBL_Categories,4,FALSE)</f>
        <v>No</v>
      </c>
      <c r="V89" t="str">
        <f>VLOOKUP($W89,TBL_Categories,5,FALSE)</f>
        <v>None</v>
      </c>
      <c r="W89" t="str">
        <f t="shared" si="5"/>
        <v>Kids|Toys</v>
      </c>
    </row>
    <row r="90" spans="1:23" x14ac:dyDescent="0.25">
      <c r="A90" t="s">
        <v>296</v>
      </c>
      <c r="B90" s="5">
        <v>41989</v>
      </c>
      <c r="C90">
        <v>-97.44</v>
      </c>
      <c r="D90" t="s">
        <v>304</v>
      </c>
      <c r="E90" t="s">
        <v>1446</v>
      </c>
      <c r="G90" t="s">
        <v>915</v>
      </c>
      <c r="J90" t="s">
        <v>1550</v>
      </c>
      <c r="K90" t="s">
        <v>20</v>
      </c>
      <c r="Q90" t="str">
        <f t="shared" si="3"/>
        <v>Dec</v>
      </c>
      <c r="R90">
        <f t="shared" si="4"/>
        <v>2014</v>
      </c>
      <c r="S90" t="str">
        <f>VLOOKUP($W90,TBL_Categories,2,FALSE)</f>
        <v>Monthly</v>
      </c>
      <c r="T90">
        <f>VLOOKUP($W90,TBL_Categories,3,FALSE)</f>
        <v>0</v>
      </c>
      <c r="U90" t="str">
        <f>VLOOKUP($W90,TBL_Categories,4,FALSE)</f>
        <v>No</v>
      </c>
      <c r="V90" t="str">
        <f>VLOOKUP($W90,TBL_Categories,5,FALSE)</f>
        <v>None</v>
      </c>
      <c r="W90" t="str">
        <f t="shared" si="5"/>
        <v>Gifts</v>
      </c>
    </row>
    <row r="91" spans="1:23" x14ac:dyDescent="0.25">
      <c r="A91" t="s">
        <v>284</v>
      </c>
      <c r="B91" s="5">
        <v>41988</v>
      </c>
      <c r="C91">
        <v>-103.03</v>
      </c>
      <c r="D91" t="s">
        <v>304</v>
      </c>
      <c r="E91" t="s">
        <v>324</v>
      </c>
      <c r="F91" t="s">
        <v>854</v>
      </c>
      <c r="G91" t="s">
        <v>313</v>
      </c>
      <c r="K91" t="s">
        <v>54</v>
      </c>
      <c r="L91" t="s">
        <v>1521</v>
      </c>
      <c r="Q91" t="str">
        <f t="shared" si="3"/>
        <v>Dec</v>
      </c>
      <c r="R91">
        <f t="shared" si="4"/>
        <v>2014</v>
      </c>
      <c r="S91" t="str">
        <f>VLOOKUP($W91,TBL_Categories,2,FALSE)</f>
        <v>Monthly</v>
      </c>
      <c r="T91">
        <f>VLOOKUP($W91,TBL_Categories,3,FALSE)</f>
        <v>0</v>
      </c>
      <c r="U91" t="str">
        <f>VLOOKUP($W91,TBL_Categories,4,FALSE)</f>
        <v>No</v>
      </c>
      <c r="V91" t="str">
        <f>VLOOKUP($W91,TBL_Categories,5,FALSE)</f>
        <v>None</v>
      </c>
      <c r="W91" t="str">
        <f t="shared" si="5"/>
        <v>Bills &amp; Utilities|Utilities</v>
      </c>
    </row>
    <row r="92" spans="1:23" x14ac:dyDescent="0.25">
      <c r="A92" t="s">
        <v>284</v>
      </c>
      <c r="B92" s="5">
        <v>41988</v>
      </c>
      <c r="C92">
        <v>-246.38</v>
      </c>
      <c r="D92" t="s">
        <v>304</v>
      </c>
      <c r="E92" t="s">
        <v>855</v>
      </c>
      <c r="F92" t="s">
        <v>856</v>
      </c>
      <c r="G92" t="s">
        <v>963</v>
      </c>
      <c r="K92" t="s">
        <v>63</v>
      </c>
      <c r="L92" t="s">
        <v>1574</v>
      </c>
      <c r="Q92" t="str">
        <f t="shared" si="3"/>
        <v>Dec</v>
      </c>
      <c r="R92">
        <f t="shared" si="4"/>
        <v>2014</v>
      </c>
      <c r="S92" t="str">
        <f>VLOOKUP($W92,TBL_Categories,2,FALSE)</f>
        <v>Irregular</v>
      </c>
      <c r="T92">
        <f>VLOOKUP($W92,TBL_Categories,3,FALSE)</f>
        <v>0</v>
      </c>
      <c r="U92" t="str">
        <f>VLOOKUP($W92,TBL_Categories,4,FALSE)</f>
        <v>No</v>
      </c>
      <c r="V92" t="str">
        <f>VLOOKUP($W92,TBL_Categories,5,FALSE)</f>
        <v>None</v>
      </c>
      <c r="W92" t="str">
        <f t="shared" si="5"/>
        <v>Home|Home Improvement</v>
      </c>
    </row>
    <row r="93" spans="1:23" x14ac:dyDescent="0.25">
      <c r="A93" t="s">
        <v>296</v>
      </c>
      <c r="B93" s="5">
        <v>41988</v>
      </c>
      <c r="C93">
        <v>-7.32</v>
      </c>
      <c r="D93" t="s">
        <v>304</v>
      </c>
      <c r="E93" t="s">
        <v>431</v>
      </c>
      <c r="G93" t="s">
        <v>432</v>
      </c>
      <c r="K93" t="s">
        <v>52</v>
      </c>
      <c r="L93" t="s">
        <v>1577</v>
      </c>
      <c r="Q93" t="str">
        <f t="shared" si="3"/>
        <v>Dec</v>
      </c>
      <c r="R93">
        <f t="shared" si="4"/>
        <v>2014</v>
      </c>
      <c r="S93" t="str">
        <f>VLOOKUP($W93,TBL_Categories,2,FALSE)</f>
        <v>Monthly</v>
      </c>
      <c r="T93">
        <f>VLOOKUP($W93,TBL_Categories,3,FALSE)</f>
        <v>0</v>
      </c>
      <c r="U93" t="str">
        <f>VLOOKUP($W93,TBL_Categories,4,FALSE)</f>
        <v>No</v>
      </c>
      <c r="V93" t="str">
        <f>VLOOKUP($W93,TBL_Categories,5,FALSE)</f>
        <v>None</v>
      </c>
      <c r="W93" t="str">
        <f t="shared" si="5"/>
        <v>Auto &amp; Transport|Parking</v>
      </c>
    </row>
    <row r="94" spans="1:23" x14ac:dyDescent="0.25">
      <c r="A94" t="s">
        <v>284</v>
      </c>
      <c r="B94" s="5">
        <v>41987</v>
      </c>
      <c r="C94" s="4">
        <v>5548.92</v>
      </c>
      <c r="D94" t="s">
        <v>304</v>
      </c>
      <c r="E94" t="s">
        <v>361</v>
      </c>
      <c r="F94" t="s">
        <v>312</v>
      </c>
      <c r="G94" t="s">
        <v>12</v>
      </c>
      <c r="K94" t="s">
        <v>12</v>
      </c>
      <c r="Q94" t="str">
        <f t="shared" si="3"/>
        <v>Dec</v>
      </c>
      <c r="R94">
        <f t="shared" si="4"/>
        <v>2014</v>
      </c>
      <c r="S94" t="str">
        <f>VLOOKUP($W94,TBL_Categories,2,FALSE)</f>
        <v>Monthly</v>
      </c>
      <c r="T94">
        <f>VLOOKUP($W94,TBL_Categories,3,FALSE)</f>
        <v>0</v>
      </c>
      <c r="U94" t="str">
        <f>VLOOKUP($W94,TBL_Categories,4,FALSE)</f>
        <v>No</v>
      </c>
      <c r="V94" t="str">
        <f>VLOOKUP($W94,TBL_Categories,5,FALSE)</f>
        <v>None</v>
      </c>
      <c r="W94" t="str">
        <f t="shared" si="5"/>
        <v>Net Salary</v>
      </c>
    </row>
    <row r="95" spans="1:23" x14ac:dyDescent="0.25">
      <c r="A95" t="s">
        <v>296</v>
      </c>
      <c r="B95" s="5">
        <v>41987</v>
      </c>
      <c r="C95">
        <v>-6.23</v>
      </c>
      <c r="D95" t="s">
        <v>304</v>
      </c>
      <c r="E95" t="s">
        <v>675</v>
      </c>
      <c r="F95" t="s">
        <v>1436</v>
      </c>
      <c r="G95" t="s">
        <v>888</v>
      </c>
      <c r="J95" t="s">
        <v>1550</v>
      </c>
      <c r="K95" t="s">
        <v>63</v>
      </c>
      <c r="L95" t="s">
        <v>1546</v>
      </c>
      <c r="Q95" t="str">
        <f t="shared" si="3"/>
        <v>Dec</v>
      </c>
      <c r="R95">
        <f t="shared" si="4"/>
        <v>2014</v>
      </c>
      <c r="S95" t="str">
        <f>VLOOKUP($W95,TBL_Categories,2,FALSE)</f>
        <v>Monthly</v>
      </c>
      <c r="T95">
        <f>VLOOKUP($W95,TBL_Categories,3,FALSE)</f>
        <v>0</v>
      </c>
      <c r="U95" t="str">
        <f>VLOOKUP($W95,TBL_Categories,4,FALSE)</f>
        <v>No</v>
      </c>
      <c r="V95" t="str">
        <f>VLOOKUP($W95,TBL_Categories,5,FALSE)</f>
        <v>None</v>
      </c>
      <c r="W95" t="str">
        <f t="shared" si="5"/>
        <v>Home|Furnishings</v>
      </c>
    </row>
    <row r="96" spans="1:23" x14ac:dyDescent="0.25">
      <c r="A96" t="s">
        <v>296</v>
      </c>
      <c r="B96" s="5">
        <v>41987</v>
      </c>
      <c r="C96">
        <v>-6.56</v>
      </c>
      <c r="D96" t="s">
        <v>304</v>
      </c>
      <c r="E96" t="s">
        <v>433</v>
      </c>
      <c r="F96" t="s">
        <v>1437</v>
      </c>
      <c r="G96" t="s">
        <v>888</v>
      </c>
      <c r="I96" t="s">
        <v>272</v>
      </c>
      <c r="J96" t="s">
        <v>1550</v>
      </c>
      <c r="K96" t="s">
        <v>63</v>
      </c>
      <c r="L96" t="s">
        <v>1546</v>
      </c>
      <c r="Q96" t="str">
        <f t="shared" si="3"/>
        <v>Dec</v>
      </c>
      <c r="R96">
        <f t="shared" si="4"/>
        <v>2014</v>
      </c>
      <c r="S96" t="str">
        <f>VLOOKUP($W96,TBL_Categories,2,FALSE)</f>
        <v>Monthly</v>
      </c>
      <c r="T96">
        <f>VLOOKUP($W96,TBL_Categories,3,FALSE)</f>
        <v>0</v>
      </c>
      <c r="U96" t="str">
        <f>VLOOKUP($W96,TBL_Categories,4,FALSE)</f>
        <v>No</v>
      </c>
      <c r="V96" t="str">
        <f>VLOOKUP($W96,TBL_Categories,5,FALSE)</f>
        <v>None</v>
      </c>
      <c r="W96" t="str">
        <f t="shared" si="5"/>
        <v>Home|Furnishings</v>
      </c>
    </row>
    <row r="97" spans="1:23" x14ac:dyDescent="0.25">
      <c r="A97" t="s">
        <v>296</v>
      </c>
      <c r="B97" s="5">
        <v>41987</v>
      </c>
      <c r="C97">
        <v>-2</v>
      </c>
      <c r="D97" t="s">
        <v>304</v>
      </c>
      <c r="E97" t="s">
        <v>433</v>
      </c>
      <c r="G97" t="s">
        <v>887</v>
      </c>
      <c r="I97" t="s">
        <v>272</v>
      </c>
      <c r="J97" t="s">
        <v>1550</v>
      </c>
      <c r="K97" t="s">
        <v>61</v>
      </c>
      <c r="L97" t="s">
        <v>401</v>
      </c>
      <c r="Q97" t="str">
        <f t="shared" si="3"/>
        <v>Dec</v>
      </c>
      <c r="R97">
        <f t="shared" si="4"/>
        <v>2014</v>
      </c>
      <c r="S97" t="str">
        <f>VLOOKUP($W97,TBL_Categories,2,FALSE)</f>
        <v>Monthly</v>
      </c>
      <c r="T97">
        <f>VLOOKUP($W97,TBL_Categories,3,FALSE)</f>
        <v>0</v>
      </c>
      <c r="U97" t="str">
        <f>VLOOKUP($W97,TBL_Categories,4,FALSE)</f>
        <v>No</v>
      </c>
      <c r="V97" t="str">
        <f>VLOOKUP($W97,TBL_Categories,5,FALSE)</f>
        <v>None</v>
      </c>
      <c r="W97" t="str">
        <f t="shared" si="5"/>
        <v>Food &amp; Dining|Groceries</v>
      </c>
    </row>
    <row r="98" spans="1:23" x14ac:dyDescent="0.25">
      <c r="A98" t="s">
        <v>296</v>
      </c>
      <c r="B98" s="5">
        <v>41987</v>
      </c>
      <c r="C98">
        <v>-9.8800000000000008</v>
      </c>
      <c r="D98" t="s">
        <v>304</v>
      </c>
      <c r="E98" t="s">
        <v>433</v>
      </c>
      <c r="G98" t="s">
        <v>342</v>
      </c>
      <c r="K98" t="s">
        <v>61</v>
      </c>
      <c r="L98" t="s">
        <v>401</v>
      </c>
      <c r="Q98" t="str">
        <f t="shared" si="3"/>
        <v>Dec</v>
      </c>
      <c r="R98">
        <f t="shared" si="4"/>
        <v>2014</v>
      </c>
      <c r="S98" t="str">
        <f>VLOOKUP($W98,TBL_Categories,2,FALSE)</f>
        <v>Monthly</v>
      </c>
      <c r="T98">
        <f>VLOOKUP($W98,TBL_Categories,3,FALSE)</f>
        <v>0</v>
      </c>
      <c r="U98" t="str">
        <f>VLOOKUP($W98,TBL_Categories,4,FALSE)</f>
        <v>No</v>
      </c>
      <c r="V98" t="str">
        <f>VLOOKUP($W98,TBL_Categories,5,FALSE)</f>
        <v>None</v>
      </c>
      <c r="W98" t="str">
        <f t="shared" si="5"/>
        <v>Food &amp; Dining|Groceries</v>
      </c>
    </row>
    <row r="99" spans="1:23" x14ac:dyDescent="0.25">
      <c r="A99" t="s">
        <v>296</v>
      </c>
      <c r="B99" s="5">
        <v>41987</v>
      </c>
      <c r="C99">
        <v>-11.25</v>
      </c>
      <c r="D99" t="s">
        <v>304</v>
      </c>
      <c r="E99" t="s">
        <v>1438</v>
      </c>
      <c r="F99" t="s">
        <v>1436</v>
      </c>
      <c r="G99" t="s">
        <v>888</v>
      </c>
      <c r="J99" t="s">
        <v>1550</v>
      </c>
      <c r="K99" t="s">
        <v>63</v>
      </c>
      <c r="L99" t="s">
        <v>1546</v>
      </c>
      <c r="Q99" t="str">
        <f t="shared" si="3"/>
        <v>Dec</v>
      </c>
      <c r="R99">
        <f t="shared" si="4"/>
        <v>2014</v>
      </c>
      <c r="S99" t="str">
        <f>VLOOKUP($W99,TBL_Categories,2,FALSE)</f>
        <v>Monthly</v>
      </c>
      <c r="T99">
        <f>VLOOKUP($W99,TBL_Categories,3,FALSE)</f>
        <v>0</v>
      </c>
      <c r="U99" t="str">
        <f>VLOOKUP($W99,TBL_Categories,4,FALSE)</f>
        <v>No</v>
      </c>
      <c r="V99" t="str">
        <f>VLOOKUP($W99,TBL_Categories,5,FALSE)</f>
        <v>None</v>
      </c>
      <c r="W99" t="str">
        <f t="shared" si="5"/>
        <v>Home|Furnishings</v>
      </c>
    </row>
    <row r="100" spans="1:23" x14ac:dyDescent="0.25">
      <c r="A100" t="s">
        <v>296</v>
      </c>
      <c r="B100" s="5">
        <v>41987</v>
      </c>
      <c r="C100">
        <v>-25.61</v>
      </c>
      <c r="D100" t="s">
        <v>304</v>
      </c>
      <c r="E100" t="s">
        <v>1439</v>
      </c>
      <c r="F100" t="s">
        <v>1440</v>
      </c>
      <c r="G100" t="s">
        <v>341</v>
      </c>
      <c r="K100" t="s">
        <v>72</v>
      </c>
      <c r="L100" t="s">
        <v>1534</v>
      </c>
      <c r="Q100" t="str">
        <f t="shared" si="3"/>
        <v>Dec</v>
      </c>
      <c r="R100">
        <f t="shared" si="4"/>
        <v>2014</v>
      </c>
      <c r="S100" t="str">
        <f>VLOOKUP($W100,TBL_Categories,2,FALSE)</f>
        <v>Annual</v>
      </c>
      <c r="T100">
        <f>VLOOKUP($W100,TBL_Categories,3,FALSE)</f>
        <v>0</v>
      </c>
      <c r="U100" t="str">
        <f>VLOOKUP($W100,TBL_Categories,4,FALSE)</f>
        <v>No</v>
      </c>
      <c r="V100" t="str">
        <f>VLOOKUP($W100,TBL_Categories,5,FALSE)</f>
        <v>None</v>
      </c>
      <c r="W100" t="str">
        <f t="shared" si="5"/>
        <v>Shopping|Electronics &amp; Software</v>
      </c>
    </row>
    <row r="101" spans="1:23" x14ac:dyDescent="0.25">
      <c r="A101" t="s">
        <v>296</v>
      </c>
      <c r="B101" s="5">
        <v>41986</v>
      </c>
      <c r="C101">
        <v>0.25</v>
      </c>
      <c r="D101" t="s">
        <v>304</v>
      </c>
      <c r="E101" t="s">
        <v>1421</v>
      </c>
      <c r="G101" t="s">
        <v>20</v>
      </c>
      <c r="K101" t="s">
        <v>20</v>
      </c>
      <c r="Q101" t="str">
        <f t="shared" si="3"/>
        <v>Dec</v>
      </c>
      <c r="R101">
        <f t="shared" si="4"/>
        <v>2014</v>
      </c>
      <c r="S101" t="str">
        <f>VLOOKUP($W101,TBL_Categories,2,FALSE)</f>
        <v>Monthly</v>
      </c>
      <c r="T101">
        <f>VLOOKUP($W101,TBL_Categories,3,FALSE)</f>
        <v>0</v>
      </c>
      <c r="U101" t="str">
        <f>VLOOKUP($W101,TBL_Categories,4,FALSE)</f>
        <v>No</v>
      </c>
      <c r="V101" t="str">
        <f>VLOOKUP($W101,TBL_Categories,5,FALSE)</f>
        <v>None</v>
      </c>
      <c r="W101" t="str">
        <f t="shared" si="5"/>
        <v>Gifts</v>
      </c>
    </row>
    <row r="102" spans="1:23" x14ac:dyDescent="0.25">
      <c r="A102" t="s">
        <v>296</v>
      </c>
      <c r="B102" s="5">
        <v>41986</v>
      </c>
      <c r="C102">
        <v>4</v>
      </c>
      <c r="D102" t="s">
        <v>304</v>
      </c>
      <c r="E102" t="s">
        <v>1421</v>
      </c>
      <c r="G102" t="s">
        <v>20</v>
      </c>
      <c r="K102" t="s">
        <v>20</v>
      </c>
      <c r="Q102" t="str">
        <f t="shared" si="3"/>
        <v>Dec</v>
      </c>
      <c r="R102">
        <f t="shared" si="4"/>
        <v>2014</v>
      </c>
      <c r="S102" t="str">
        <f>VLOOKUP($W102,TBL_Categories,2,FALSE)</f>
        <v>Monthly</v>
      </c>
      <c r="T102">
        <f>VLOOKUP($W102,TBL_Categories,3,FALSE)</f>
        <v>0</v>
      </c>
      <c r="U102" t="str">
        <f>VLOOKUP($W102,TBL_Categories,4,FALSE)</f>
        <v>No</v>
      </c>
      <c r="V102" t="str">
        <f>VLOOKUP($W102,TBL_Categories,5,FALSE)</f>
        <v>None</v>
      </c>
      <c r="W102" t="str">
        <f t="shared" si="5"/>
        <v>Gifts</v>
      </c>
    </row>
    <row r="103" spans="1:23" x14ac:dyDescent="0.25">
      <c r="A103" t="s">
        <v>296</v>
      </c>
      <c r="B103" s="5">
        <v>41986</v>
      </c>
      <c r="C103">
        <v>-2.87</v>
      </c>
      <c r="D103" t="s">
        <v>304</v>
      </c>
      <c r="E103" t="s">
        <v>994</v>
      </c>
      <c r="G103" t="s">
        <v>432</v>
      </c>
      <c r="K103" t="s">
        <v>52</v>
      </c>
      <c r="L103" t="s">
        <v>1577</v>
      </c>
      <c r="Q103" t="str">
        <f t="shared" si="3"/>
        <v>Dec</v>
      </c>
      <c r="R103">
        <f t="shared" si="4"/>
        <v>2014</v>
      </c>
      <c r="S103" t="str">
        <f>VLOOKUP($W103,TBL_Categories,2,FALSE)</f>
        <v>Monthly</v>
      </c>
      <c r="T103">
        <f>VLOOKUP($W103,TBL_Categories,3,FALSE)</f>
        <v>0</v>
      </c>
      <c r="U103" t="str">
        <f>VLOOKUP($W103,TBL_Categories,4,FALSE)</f>
        <v>No</v>
      </c>
      <c r="V103" t="str">
        <f>VLOOKUP($W103,TBL_Categories,5,FALSE)</f>
        <v>None</v>
      </c>
      <c r="W103" t="str">
        <f t="shared" si="5"/>
        <v>Auto &amp; Transport|Parking</v>
      </c>
    </row>
    <row r="104" spans="1:23" x14ac:dyDescent="0.25">
      <c r="A104" t="s">
        <v>296</v>
      </c>
      <c r="B104" s="5">
        <v>41986</v>
      </c>
      <c r="C104">
        <v>-13.07</v>
      </c>
      <c r="D104" t="s">
        <v>304</v>
      </c>
      <c r="E104" t="s">
        <v>451</v>
      </c>
      <c r="F104" t="s">
        <v>1434</v>
      </c>
      <c r="G104" t="s">
        <v>20</v>
      </c>
      <c r="I104" t="s">
        <v>272</v>
      </c>
      <c r="K104" t="s">
        <v>20</v>
      </c>
      <c r="Q104" t="str">
        <f t="shared" si="3"/>
        <v>Dec</v>
      </c>
      <c r="R104">
        <f t="shared" si="4"/>
        <v>2014</v>
      </c>
      <c r="S104" t="str">
        <f>VLOOKUP($W104,TBL_Categories,2,FALSE)</f>
        <v>Monthly</v>
      </c>
      <c r="T104">
        <f>VLOOKUP($W104,TBL_Categories,3,FALSE)</f>
        <v>0</v>
      </c>
      <c r="U104" t="str">
        <f>VLOOKUP($W104,TBL_Categories,4,FALSE)</f>
        <v>No</v>
      </c>
      <c r="V104" t="str">
        <f>VLOOKUP($W104,TBL_Categories,5,FALSE)</f>
        <v>None</v>
      </c>
      <c r="W104" t="str">
        <f t="shared" si="5"/>
        <v>Gifts</v>
      </c>
    </row>
    <row r="105" spans="1:23" x14ac:dyDescent="0.25">
      <c r="A105" t="s">
        <v>296</v>
      </c>
      <c r="B105" s="5">
        <v>41986</v>
      </c>
      <c r="C105">
        <v>-11.82</v>
      </c>
      <c r="D105" t="s">
        <v>304</v>
      </c>
      <c r="E105" t="s">
        <v>451</v>
      </c>
      <c r="F105" t="s">
        <v>1435</v>
      </c>
      <c r="G105" t="s">
        <v>345</v>
      </c>
      <c r="I105" t="s">
        <v>272</v>
      </c>
      <c r="K105" t="s">
        <v>66</v>
      </c>
      <c r="L105" t="s">
        <v>1536</v>
      </c>
      <c r="Q105" t="str">
        <f t="shared" si="3"/>
        <v>Dec</v>
      </c>
      <c r="R105">
        <f t="shared" si="4"/>
        <v>2014</v>
      </c>
      <c r="S105" t="str">
        <f>VLOOKUP($W105,TBL_Categories,2,FALSE)</f>
        <v>Monthly</v>
      </c>
      <c r="T105">
        <f>VLOOKUP($W105,TBL_Categories,3,FALSE)</f>
        <v>0</v>
      </c>
      <c r="U105" t="str">
        <f>VLOOKUP($W105,TBL_Categories,4,FALSE)</f>
        <v>No</v>
      </c>
      <c r="V105" t="str">
        <f>VLOOKUP($W105,TBL_Categories,5,FALSE)</f>
        <v>None</v>
      </c>
      <c r="W105" t="str">
        <f t="shared" si="5"/>
        <v>Kids|Toys</v>
      </c>
    </row>
    <row r="106" spans="1:23" x14ac:dyDescent="0.25">
      <c r="A106" t="s">
        <v>296</v>
      </c>
      <c r="B106" s="5">
        <v>41986</v>
      </c>
      <c r="C106">
        <v>-57</v>
      </c>
      <c r="D106" t="s">
        <v>304</v>
      </c>
      <c r="E106" t="s">
        <v>991</v>
      </c>
      <c r="F106" t="s">
        <v>1096</v>
      </c>
      <c r="G106" t="s">
        <v>398</v>
      </c>
      <c r="K106" t="s">
        <v>70</v>
      </c>
      <c r="L106" t="s">
        <v>1563</v>
      </c>
      <c r="Q106" t="str">
        <f t="shared" si="3"/>
        <v>Dec</v>
      </c>
      <c r="R106">
        <f t="shared" si="4"/>
        <v>2014</v>
      </c>
      <c r="S106" t="str">
        <f>VLOOKUP($W106,TBL_Categories,2,FALSE)</f>
        <v>Monthly</v>
      </c>
      <c r="T106">
        <f>VLOOKUP($W106,TBL_Categories,3,FALSE)</f>
        <v>0</v>
      </c>
      <c r="U106" t="str">
        <f>VLOOKUP($W106,TBL_Categories,4,FALSE)</f>
        <v>No</v>
      </c>
      <c r="V106" t="str">
        <f>VLOOKUP($W106,TBL_Categories,5,FALSE)</f>
        <v>None</v>
      </c>
      <c r="W106" t="str">
        <f t="shared" si="5"/>
        <v>Personal Care|Hair</v>
      </c>
    </row>
    <row r="107" spans="1:23" x14ac:dyDescent="0.25">
      <c r="A107" t="s">
        <v>296</v>
      </c>
      <c r="B107" s="5">
        <v>41986</v>
      </c>
      <c r="C107">
        <v>-60.76</v>
      </c>
      <c r="D107" t="s">
        <v>304</v>
      </c>
      <c r="E107" t="s">
        <v>716</v>
      </c>
      <c r="G107" t="s">
        <v>333</v>
      </c>
      <c r="K107" t="s">
        <v>61</v>
      </c>
      <c r="L107" t="s">
        <v>1530</v>
      </c>
      <c r="Q107" t="str">
        <f t="shared" si="3"/>
        <v>Dec</v>
      </c>
      <c r="R107">
        <f t="shared" si="4"/>
        <v>2014</v>
      </c>
      <c r="S107" t="str">
        <f>VLOOKUP($W107,TBL_Categories,2,FALSE)</f>
        <v>Monthly</v>
      </c>
      <c r="T107">
        <f>VLOOKUP($W107,TBL_Categories,3,FALSE)</f>
        <v>0</v>
      </c>
      <c r="U107" t="str">
        <f>VLOOKUP($W107,TBL_Categories,4,FALSE)</f>
        <v>No</v>
      </c>
      <c r="V107" t="str">
        <f>VLOOKUP($W107,TBL_Categories,5,FALSE)</f>
        <v>None</v>
      </c>
      <c r="W107" t="str">
        <f t="shared" si="5"/>
        <v>Food &amp; Dining|Restaurants</v>
      </c>
    </row>
    <row r="108" spans="1:23" x14ac:dyDescent="0.25">
      <c r="A108" t="s">
        <v>296</v>
      </c>
      <c r="B108" s="5">
        <v>41986</v>
      </c>
      <c r="C108">
        <v>-160.66</v>
      </c>
      <c r="D108" t="s">
        <v>304</v>
      </c>
      <c r="E108" t="s">
        <v>433</v>
      </c>
      <c r="G108" t="s">
        <v>342</v>
      </c>
      <c r="K108" t="s">
        <v>61</v>
      </c>
      <c r="L108" t="s">
        <v>401</v>
      </c>
      <c r="Q108" t="str">
        <f t="shared" si="3"/>
        <v>Dec</v>
      </c>
      <c r="R108">
        <f t="shared" si="4"/>
        <v>2014</v>
      </c>
      <c r="S108" t="str">
        <f>VLOOKUP($W108,TBL_Categories,2,FALSE)</f>
        <v>Monthly</v>
      </c>
      <c r="T108">
        <f>VLOOKUP($W108,TBL_Categories,3,FALSE)</f>
        <v>0</v>
      </c>
      <c r="U108" t="str">
        <f>VLOOKUP($W108,TBL_Categories,4,FALSE)</f>
        <v>No</v>
      </c>
      <c r="V108" t="str">
        <f>VLOOKUP($W108,TBL_Categories,5,FALSE)</f>
        <v>None</v>
      </c>
      <c r="W108" t="str">
        <f t="shared" si="5"/>
        <v>Food &amp; Dining|Groceries</v>
      </c>
    </row>
    <row r="109" spans="1:23" x14ac:dyDescent="0.25">
      <c r="A109" t="s">
        <v>293</v>
      </c>
      <c r="B109" s="5">
        <v>41985</v>
      </c>
      <c r="C109">
        <v>-5.46</v>
      </c>
      <c r="D109" t="s">
        <v>304</v>
      </c>
      <c r="E109" t="s">
        <v>985</v>
      </c>
      <c r="F109" t="s">
        <v>1021</v>
      </c>
      <c r="G109" t="s">
        <v>940</v>
      </c>
      <c r="K109" t="s">
        <v>29</v>
      </c>
      <c r="L109" t="s">
        <v>1573</v>
      </c>
      <c r="O109" t="s">
        <v>1607</v>
      </c>
      <c r="Q109" t="str">
        <f t="shared" si="3"/>
        <v>Dec</v>
      </c>
      <c r="R109">
        <f t="shared" si="4"/>
        <v>2014</v>
      </c>
      <c r="S109" t="str">
        <f>VLOOKUP($W109,TBL_Categories,2,FALSE)</f>
        <v>Irregular</v>
      </c>
      <c r="T109">
        <f>VLOOKUP($W109,TBL_Categories,3,FALSE)</f>
        <v>0</v>
      </c>
      <c r="U109" t="str">
        <f>VLOOKUP($W109,TBL_Categories,4,FALSE)</f>
        <v>No</v>
      </c>
      <c r="V109" t="str">
        <f>VLOOKUP($W109,TBL_Categories,5,FALSE)</f>
        <v>None</v>
      </c>
      <c r="W109" t="str">
        <f t="shared" si="5"/>
        <v>Work Expense|Reimbursable expense</v>
      </c>
    </row>
    <row r="110" spans="1:23" x14ac:dyDescent="0.25">
      <c r="A110" t="s">
        <v>294</v>
      </c>
      <c r="B110" s="5">
        <v>41985</v>
      </c>
      <c r="C110">
        <v>-146.88</v>
      </c>
      <c r="D110" t="s">
        <v>306</v>
      </c>
      <c r="E110" t="s">
        <v>335</v>
      </c>
      <c r="G110" t="s">
        <v>336</v>
      </c>
      <c r="K110" t="s">
        <v>55</v>
      </c>
      <c r="L110" t="s">
        <v>1532</v>
      </c>
      <c r="Q110" t="str">
        <f t="shared" si="3"/>
        <v>Dec</v>
      </c>
      <c r="R110">
        <f t="shared" si="4"/>
        <v>2014</v>
      </c>
      <c r="S110" t="str">
        <f>VLOOKUP($W110,TBL_Categories,2,FALSE)</f>
        <v>Monthly</v>
      </c>
      <c r="T110">
        <f>VLOOKUP($W110,TBL_Categories,3,FALSE)</f>
        <v>0</v>
      </c>
      <c r="U110" t="str">
        <f>VLOOKUP($W110,TBL_Categories,4,FALSE)</f>
        <v>No</v>
      </c>
      <c r="V110" t="str">
        <f>VLOOKUP($W110,TBL_Categories,5,FALSE)</f>
        <v>None</v>
      </c>
      <c r="W110" t="str">
        <f t="shared" si="5"/>
        <v>Business Expenses (Koolikai)|Cell Phone</v>
      </c>
    </row>
    <row r="111" spans="1:23" x14ac:dyDescent="0.25">
      <c r="A111" t="s">
        <v>296</v>
      </c>
      <c r="B111" s="5">
        <v>41985</v>
      </c>
      <c r="C111">
        <v>-36.71</v>
      </c>
      <c r="D111" t="s">
        <v>304</v>
      </c>
      <c r="E111" t="s">
        <v>451</v>
      </c>
      <c r="F111" t="s">
        <v>1429</v>
      </c>
      <c r="G111" t="s">
        <v>20</v>
      </c>
      <c r="K111" t="s">
        <v>20</v>
      </c>
      <c r="Q111" t="str">
        <f t="shared" si="3"/>
        <v>Dec</v>
      </c>
      <c r="R111">
        <f t="shared" si="4"/>
        <v>2014</v>
      </c>
      <c r="S111" t="str">
        <f>VLOOKUP($W111,TBL_Categories,2,FALSE)</f>
        <v>Monthly</v>
      </c>
      <c r="T111">
        <f>VLOOKUP($W111,TBL_Categories,3,FALSE)</f>
        <v>0</v>
      </c>
      <c r="U111" t="str">
        <f>VLOOKUP($W111,TBL_Categories,4,FALSE)</f>
        <v>No</v>
      </c>
      <c r="V111" t="str">
        <f>VLOOKUP($W111,TBL_Categories,5,FALSE)</f>
        <v>None</v>
      </c>
      <c r="W111" t="str">
        <f t="shared" si="5"/>
        <v>Gifts</v>
      </c>
    </row>
    <row r="112" spans="1:23" x14ac:dyDescent="0.25">
      <c r="A112" t="s">
        <v>296</v>
      </c>
      <c r="B112" s="5">
        <v>41985</v>
      </c>
      <c r="C112">
        <v>-24.63</v>
      </c>
      <c r="D112" t="s">
        <v>304</v>
      </c>
      <c r="E112" t="s">
        <v>451</v>
      </c>
      <c r="F112" t="s">
        <v>1430</v>
      </c>
      <c r="G112" t="s">
        <v>20</v>
      </c>
      <c r="I112" t="s">
        <v>272</v>
      </c>
      <c r="K112" t="s">
        <v>20</v>
      </c>
      <c r="Q112" t="str">
        <f t="shared" si="3"/>
        <v>Dec</v>
      </c>
      <c r="R112">
        <f t="shared" si="4"/>
        <v>2014</v>
      </c>
      <c r="S112" t="str">
        <f>VLOOKUP($W112,TBL_Categories,2,FALSE)</f>
        <v>Monthly</v>
      </c>
      <c r="T112">
        <f>VLOOKUP($W112,TBL_Categories,3,FALSE)</f>
        <v>0</v>
      </c>
      <c r="U112" t="str">
        <f>VLOOKUP($W112,TBL_Categories,4,FALSE)</f>
        <v>No</v>
      </c>
      <c r="V112" t="str">
        <f>VLOOKUP($W112,TBL_Categories,5,FALSE)</f>
        <v>None</v>
      </c>
      <c r="W112" t="str">
        <f t="shared" si="5"/>
        <v>Gifts</v>
      </c>
    </row>
    <row r="113" spans="1:23" x14ac:dyDescent="0.25">
      <c r="A113" t="s">
        <v>296</v>
      </c>
      <c r="B113" s="5">
        <v>41985</v>
      </c>
      <c r="C113">
        <v>-14.89</v>
      </c>
      <c r="D113" t="s">
        <v>304</v>
      </c>
      <c r="E113" t="s">
        <v>451</v>
      </c>
      <c r="F113" t="s">
        <v>1431</v>
      </c>
      <c r="G113" t="s">
        <v>345</v>
      </c>
      <c r="I113" t="s">
        <v>272</v>
      </c>
      <c r="K113" t="s">
        <v>66</v>
      </c>
      <c r="L113" t="s">
        <v>1536</v>
      </c>
      <c r="Q113" t="str">
        <f t="shared" si="3"/>
        <v>Dec</v>
      </c>
      <c r="R113">
        <f t="shared" si="4"/>
        <v>2014</v>
      </c>
      <c r="S113" t="str">
        <f>VLOOKUP($W113,TBL_Categories,2,FALSE)</f>
        <v>Monthly</v>
      </c>
      <c r="T113">
        <f>VLOOKUP($W113,TBL_Categories,3,FALSE)</f>
        <v>0</v>
      </c>
      <c r="U113" t="str">
        <f>VLOOKUP($W113,TBL_Categories,4,FALSE)</f>
        <v>No</v>
      </c>
      <c r="V113" t="str">
        <f>VLOOKUP($W113,TBL_Categories,5,FALSE)</f>
        <v>None</v>
      </c>
      <c r="W113" t="str">
        <f t="shared" si="5"/>
        <v>Kids|Toys</v>
      </c>
    </row>
    <row r="114" spans="1:23" x14ac:dyDescent="0.25">
      <c r="A114" t="s">
        <v>296</v>
      </c>
      <c r="B114" s="5">
        <v>41985</v>
      </c>
      <c r="C114">
        <v>-4.37</v>
      </c>
      <c r="D114" t="s">
        <v>304</v>
      </c>
      <c r="E114" t="s">
        <v>451</v>
      </c>
      <c r="F114" t="s">
        <v>1432</v>
      </c>
      <c r="G114" t="s">
        <v>345</v>
      </c>
      <c r="I114" t="s">
        <v>272</v>
      </c>
      <c r="K114" t="s">
        <v>66</v>
      </c>
      <c r="L114" t="s">
        <v>1536</v>
      </c>
      <c r="Q114" t="str">
        <f t="shared" si="3"/>
        <v>Dec</v>
      </c>
      <c r="R114">
        <f t="shared" si="4"/>
        <v>2014</v>
      </c>
      <c r="S114" t="str">
        <f>VLOOKUP($W114,TBL_Categories,2,FALSE)</f>
        <v>Monthly</v>
      </c>
      <c r="T114">
        <f>VLOOKUP($W114,TBL_Categories,3,FALSE)</f>
        <v>0</v>
      </c>
      <c r="U114" t="str">
        <f>VLOOKUP($W114,TBL_Categories,4,FALSE)</f>
        <v>No</v>
      </c>
      <c r="V114" t="str">
        <f>VLOOKUP($W114,TBL_Categories,5,FALSE)</f>
        <v>None</v>
      </c>
      <c r="W114" t="str">
        <f t="shared" si="5"/>
        <v>Kids|Toys</v>
      </c>
    </row>
    <row r="115" spans="1:23" x14ac:dyDescent="0.25">
      <c r="A115" t="s">
        <v>296</v>
      </c>
      <c r="B115" s="5">
        <v>41985</v>
      </c>
      <c r="C115">
        <v>-42.52</v>
      </c>
      <c r="D115" t="s">
        <v>304</v>
      </c>
      <c r="E115" t="s">
        <v>451</v>
      </c>
      <c r="G115" t="s">
        <v>20</v>
      </c>
      <c r="I115" t="s">
        <v>272</v>
      </c>
      <c r="K115" t="s">
        <v>20</v>
      </c>
      <c r="Q115" t="str">
        <f t="shared" si="3"/>
        <v>Dec</v>
      </c>
      <c r="R115">
        <f t="shared" si="4"/>
        <v>2014</v>
      </c>
      <c r="S115" t="str">
        <f>VLOOKUP($W115,TBL_Categories,2,FALSE)</f>
        <v>Monthly</v>
      </c>
      <c r="T115">
        <f>VLOOKUP($W115,TBL_Categories,3,FALSE)</f>
        <v>0</v>
      </c>
      <c r="U115" t="str">
        <f>VLOOKUP($W115,TBL_Categories,4,FALSE)</f>
        <v>No</v>
      </c>
      <c r="V115" t="str">
        <f>VLOOKUP($W115,TBL_Categories,5,FALSE)</f>
        <v>None</v>
      </c>
      <c r="W115" t="str">
        <f t="shared" si="5"/>
        <v>Gifts</v>
      </c>
    </row>
    <row r="116" spans="1:23" x14ac:dyDescent="0.25">
      <c r="A116" t="s">
        <v>296</v>
      </c>
      <c r="B116" s="5">
        <v>41985</v>
      </c>
      <c r="C116">
        <v>-95.66</v>
      </c>
      <c r="D116" t="s">
        <v>304</v>
      </c>
      <c r="E116" t="s">
        <v>1433</v>
      </c>
      <c r="G116" t="s">
        <v>333</v>
      </c>
      <c r="K116" t="s">
        <v>61</v>
      </c>
      <c r="L116" t="s">
        <v>1530</v>
      </c>
      <c r="Q116" t="str">
        <f t="shared" si="3"/>
        <v>Dec</v>
      </c>
      <c r="R116">
        <f t="shared" si="4"/>
        <v>2014</v>
      </c>
      <c r="S116" t="str">
        <f>VLOOKUP($W116,TBL_Categories,2,FALSE)</f>
        <v>Monthly</v>
      </c>
      <c r="T116">
        <f>VLOOKUP($W116,TBL_Categories,3,FALSE)</f>
        <v>0</v>
      </c>
      <c r="U116" t="str">
        <f>VLOOKUP($W116,TBL_Categories,4,FALSE)</f>
        <v>No</v>
      </c>
      <c r="V116" t="str">
        <f>VLOOKUP($W116,TBL_Categories,5,FALSE)</f>
        <v>None</v>
      </c>
      <c r="W116" t="str">
        <f t="shared" si="5"/>
        <v>Food &amp; Dining|Restaurants</v>
      </c>
    </row>
    <row r="117" spans="1:23" x14ac:dyDescent="0.25">
      <c r="A117" t="s">
        <v>293</v>
      </c>
      <c r="B117" s="5">
        <v>41984</v>
      </c>
      <c r="C117">
        <v>-3.27</v>
      </c>
      <c r="D117" t="s">
        <v>304</v>
      </c>
      <c r="E117" t="s">
        <v>985</v>
      </c>
      <c r="F117" t="s">
        <v>1021</v>
      </c>
      <c r="G117" t="s">
        <v>940</v>
      </c>
      <c r="K117" t="s">
        <v>29</v>
      </c>
      <c r="L117" t="s">
        <v>1573</v>
      </c>
      <c r="O117" t="s">
        <v>1607</v>
      </c>
      <c r="Q117" t="str">
        <f t="shared" si="3"/>
        <v>Dec</v>
      </c>
      <c r="R117">
        <f t="shared" si="4"/>
        <v>2014</v>
      </c>
      <c r="S117" t="str">
        <f>VLOOKUP($W117,TBL_Categories,2,FALSE)</f>
        <v>Irregular</v>
      </c>
      <c r="T117">
        <f>VLOOKUP($W117,TBL_Categories,3,FALSE)</f>
        <v>0</v>
      </c>
      <c r="U117" t="str">
        <f>VLOOKUP($W117,TBL_Categories,4,FALSE)</f>
        <v>No</v>
      </c>
      <c r="V117" t="str">
        <f>VLOOKUP($W117,TBL_Categories,5,FALSE)</f>
        <v>None</v>
      </c>
      <c r="W117" t="str">
        <f t="shared" si="5"/>
        <v>Work Expense|Reimbursable expense</v>
      </c>
    </row>
    <row r="118" spans="1:23" x14ac:dyDescent="0.25">
      <c r="A118" t="s">
        <v>293</v>
      </c>
      <c r="B118" s="5">
        <v>41984</v>
      </c>
      <c r="C118">
        <v>-4.37</v>
      </c>
      <c r="D118" t="s">
        <v>304</v>
      </c>
      <c r="E118" t="s">
        <v>985</v>
      </c>
      <c r="F118" t="s">
        <v>1021</v>
      </c>
      <c r="G118" t="s">
        <v>940</v>
      </c>
      <c r="K118" t="s">
        <v>29</v>
      </c>
      <c r="L118" t="s">
        <v>1573</v>
      </c>
      <c r="O118" t="s">
        <v>1607</v>
      </c>
      <c r="Q118" t="str">
        <f t="shared" si="3"/>
        <v>Dec</v>
      </c>
      <c r="R118">
        <f t="shared" si="4"/>
        <v>2014</v>
      </c>
      <c r="S118" t="str">
        <f>VLOOKUP($W118,TBL_Categories,2,FALSE)</f>
        <v>Irregular</v>
      </c>
      <c r="T118">
        <f>VLOOKUP($W118,TBL_Categories,3,FALSE)</f>
        <v>0</v>
      </c>
      <c r="U118" t="str">
        <f>VLOOKUP($W118,TBL_Categories,4,FALSE)</f>
        <v>No</v>
      </c>
      <c r="V118" t="str">
        <f>VLOOKUP($W118,TBL_Categories,5,FALSE)</f>
        <v>None</v>
      </c>
      <c r="W118" t="str">
        <f t="shared" si="5"/>
        <v>Work Expense|Reimbursable expense</v>
      </c>
    </row>
    <row r="119" spans="1:23" x14ac:dyDescent="0.25">
      <c r="A119" t="s">
        <v>296</v>
      </c>
      <c r="B119" s="5">
        <v>41984</v>
      </c>
      <c r="C119">
        <v>-14.59</v>
      </c>
      <c r="D119" t="s">
        <v>304</v>
      </c>
      <c r="E119" t="s">
        <v>428</v>
      </c>
      <c r="G119" t="s">
        <v>342</v>
      </c>
      <c r="K119" t="s">
        <v>61</v>
      </c>
      <c r="L119" t="s">
        <v>401</v>
      </c>
      <c r="Q119" t="str">
        <f t="shared" si="3"/>
        <v>Dec</v>
      </c>
      <c r="R119">
        <f t="shared" si="4"/>
        <v>2014</v>
      </c>
      <c r="S119" t="str">
        <f>VLOOKUP($W119,TBL_Categories,2,FALSE)</f>
        <v>Monthly</v>
      </c>
      <c r="T119">
        <f>VLOOKUP($W119,TBL_Categories,3,FALSE)</f>
        <v>0</v>
      </c>
      <c r="U119" t="str">
        <f>VLOOKUP($W119,TBL_Categories,4,FALSE)</f>
        <v>No</v>
      </c>
      <c r="V119" t="str">
        <f>VLOOKUP($W119,TBL_Categories,5,FALSE)</f>
        <v>None</v>
      </c>
      <c r="W119" t="str">
        <f t="shared" si="5"/>
        <v>Food &amp; Dining|Groceries</v>
      </c>
    </row>
    <row r="120" spans="1:23" x14ac:dyDescent="0.25">
      <c r="A120" t="s">
        <v>296</v>
      </c>
      <c r="B120" s="5">
        <v>41984</v>
      </c>
      <c r="C120">
        <v>-16.41</v>
      </c>
      <c r="D120" t="s">
        <v>304</v>
      </c>
      <c r="E120" t="s">
        <v>724</v>
      </c>
      <c r="F120" t="s">
        <v>1425</v>
      </c>
      <c r="G120" t="s">
        <v>915</v>
      </c>
      <c r="J120" t="s">
        <v>1550</v>
      </c>
      <c r="K120" t="s">
        <v>20</v>
      </c>
      <c r="Q120" t="str">
        <f t="shared" si="3"/>
        <v>Dec</v>
      </c>
      <c r="R120">
        <f t="shared" si="4"/>
        <v>2014</v>
      </c>
      <c r="S120" t="str">
        <f>VLOOKUP($W120,TBL_Categories,2,FALSE)</f>
        <v>Monthly</v>
      </c>
      <c r="T120">
        <f>VLOOKUP($W120,TBL_Categories,3,FALSE)</f>
        <v>0</v>
      </c>
      <c r="U120" t="str">
        <f>VLOOKUP($W120,TBL_Categories,4,FALSE)</f>
        <v>No</v>
      </c>
      <c r="V120" t="str">
        <f>VLOOKUP($W120,TBL_Categories,5,FALSE)</f>
        <v>None</v>
      </c>
      <c r="W120" t="str">
        <f t="shared" si="5"/>
        <v>Gifts</v>
      </c>
    </row>
    <row r="121" spans="1:23" x14ac:dyDescent="0.25">
      <c r="A121" t="s">
        <v>296</v>
      </c>
      <c r="B121" s="5">
        <v>41984</v>
      </c>
      <c r="C121">
        <v>-30.65</v>
      </c>
      <c r="D121" t="s">
        <v>304</v>
      </c>
      <c r="E121" t="s">
        <v>1426</v>
      </c>
      <c r="G121" t="s">
        <v>915</v>
      </c>
      <c r="J121" t="s">
        <v>1550</v>
      </c>
      <c r="K121" t="s">
        <v>20</v>
      </c>
      <c r="Q121" t="str">
        <f t="shared" si="3"/>
        <v>Dec</v>
      </c>
      <c r="R121">
        <f t="shared" si="4"/>
        <v>2014</v>
      </c>
      <c r="S121" t="str">
        <f>VLOOKUP($W121,TBL_Categories,2,FALSE)</f>
        <v>Monthly</v>
      </c>
      <c r="T121">
        <f>VLOOKUP($W121,TBL_Categories,3,FALSE)</f>
        <v>0</v>
      </c>
      <c r="U121" t="str">
        <f>VLOOKUP($W121,TBL_Categories,4,FALSE)</f>
        <v>No</v>
      </c>
      <c r="V121" t="str">
        <f>VLOOKUP($W121,TBL_Categories,5,FALSE)</f>
        <v>None</v>
      </c>
      <c r="W121" t="str">
        <f t="shared" si="5"/>
        <v>Gifts</v>
      </c>
    </row>
    <row r="122" spans="1:23" x14ac:dyDescent="0.25">
      <c r="A122" t="s">
        <v>296</v>
      </c>
      <c r="B122" s="5">
        <v>41984</v>
      </c>
      <c r="C122">
        <v>-32.840000000000003</v>
      </c>
      <c r="D122" t="s">
        <v>304</v>
      </c>
      <c r="E122" t="s">
        <v>1427</v>
      </c>
      <c r="F122" t="s">
        <v>1428</v>
      </c>
      <c r="G122" t="s">
        <v>962</v>
      </c>
      <c r="J122" t="s">
        <v>1550</v>
      </c>
      <c r="K122" t="s">
        <v>72</v>
      </c>
      <c r="L122" t="s">
        <v>1537</v>
      </c>
      <c r="M122" t="s">
        <v>1575</v>
      </c>
      <c r="Q122" t="str">
        <f t="shared" si="3"/>
        <v>Dec</v>
      </c>
      <c r="R122">
        <f t="shared" si="4"/>
        <v>2014</v>
      </c>
      <c r="S122" t="str">
        <f>VLOOKUP($W122,TBL_Categories,2,FALSE)</f>
        <v>Annual</v>
      </c>
      <c r="T122">
        <f>VLOOKUP($W122,TBL_Categories,3,FALSE)</f>
        <v>0</v>
      </c>
      <c r="U122" t="str">
        <f>VLOOKUP($W122,TBL_Categories,4,FALSE)</f>
        <v>No</v>
      </c>
      <c r="V122" t="str">
        <f>VLOOKUP($W122,TBL_Categories,5,FALSE)</f>
        <v>None</v>
      </c>
      <c r="W122" t="str">
        <f t="shared" si="5"/>
        <v>Shopping|Clothing</v>
      </c>
    </row>
    <row r="123" spans="1:23" x14ac:dyDescent="0.25">
      <c r="A123" t="s">
        <v>296</v>
      </c>
      <c r="B123" s="5">
        <v>41984</v>
      </c>
      <c r="C123">
        <v>-146.5</v>
      </c>
      <c r="D123" t="s">
        <v>304</v>
      </c>
      <c r="E123" t="s">
        <v>440</v>
      </c>
      <c r="G123" t="s">
        <v>915</v>
      </c>
      <c r="J123" t="s">
        <v>1550</v>
      </c>
      <c r="K123" t="s">
        <v>20</v>
      </c>
      <c r="Q123" t="str">
        <f t="shared" si="3"/>
        <v>Dec</v>
      </c>
      <c r="R123">
        <f t="shared" si="4"/>
        <v>2014</v>
      </c>
      <c r="S123" t="str">
        <f>VLOOKUP($W123,TBL_Categories,2,FALSE)</f>
        <v>Monthly</v>
      </c>
      <c r="T123">
        <f>VLOOKUP($W123,TBL_Categories,3,FALSE)</f>
        <v>0</v>
      </c>
      <c r="U123" t="str">
        <f>VLOOKUP($W123,TBL_Categories,4,FALSE)</f>
        <v>No</v>
      </c>
      <c r="V123" t="str">
        <f>VLOOKUP($W123,TBL_Categories,5,FALSE)</f>
        <v>None</v>
      </c>
      <c r="W123" t="str">
        <f t="shared" si="5"/>
        <v>Gifts</v>
      </c>
    </row>
    <row r="124" spans="1:23" x14ac:dyDescent="0.25">
      <c r="A124" t="s">
        <v>296</v>
      </c>
      <c r="B124" s="5">
        <v>41983</v>
      </c>
      <c r="C124">
        <v>25</v>
      </c>
      <c r="D124" t="s">
        <v>304</v>
      </c>
      <c r="E124" t="s">
        <v>429</v>
      </c>
      <c r="G124" t="s">
        <v>14</v>
      </c>
      <c r="K124" t="s">
        <v>14</v>
      </c>
      <c r="Q124" t="str">
        <f t="shared" si="3"/>
        <v>Dec</v>
      </c>
      <c r="R124">
        <f t="shared" si="4"/>
        <v>2014</v>
      </c>
      <c r="S124" t="str">
        <f>VLOOKUP($W124,TBL_Categories,2,FALSE)</f>
        <v>Monthly</v>
      </c>
      <c r="T124">
        <f>VLOOKUP($W124,TBL_Categories,3,FALSE)</f>
        <v>0</v>
      </c>
      <c r="U124" t="str">
        <f>VLOOKUP($W124,TBL_Categories,4,FALSE)</f>
        <v>No</v>
      </c>
      <c r="V124" t="str">
        <f>VLOOKUP($W124,TBL_Categories,5,FALSE)</f>
        <v>None</v>
      </c>
      <c r="W124" t="str">
        <f t="shared" si="5"/>
        <v>Other Inc</v>
      </c>
    </row>
    <row r="125" spans="1:23" x14ac:dyDescent="0.25">
      <c r="A125" t="s">
        <v>296</v>
      </c>
      <c r="B125" s="5">
        <v>41983</v>
      </c>
      <c r="C125">
        <v>-11.58</v>
      </c>
      <c r="D125" t="s">
        <v>304</v>
      </c>
      <c r="E125" t="s">
        <v>428</v>
      </c>
      <c r="G125" t="s">
        <v>342</v>
      </c>
      <c r="K125" t="s">
        <v>61</v>
      </c>
      <c r="L125" t="s">
        <v>401</v>
      </c>
      <c r="Q125" t="str">
        <f t="shared" si="3"/>
        <v>Dec</v>
      </c>
      <c r="R125">
        <f t="shared" si="4"/>
        <v>2014</v>
      </c>
      <c r="S125" t="str">
        <f>VLOOKUP($W125,TBL_Categories,2,FALSE)</f>
        <v>Monthly</v>
      </c>
      <c r="T125">
        <f>VLOOKUP($W125,TBL_Categories,3,FALSE)</f>
        <v>0</v>
      </c>
      <c r="U125" t="str">
        <f>VLOOKUP($W125,TBL_Categories,4,FALSE)</f>
        <v>No</v>
      </c>
      <c r="V125" t="str">
        <f>VLOOKUP($W125,TBL_Categories,5,FALSE)</f>
        <v>None</v>
      </c>
      <c r="W125" t="str">
        <f t="shared" si="5"/>
        <v>Food &amp; Dining|Groceries</v>
      </c>
    </row>
    <row r="126" spans="1:23" x14ac:dyDescent="0.25">
      <c r="A126" t="s">
        <v>296</v>
      </c>
      <c r="B126" s="5">
        <v>41983</v>
      </c>
      <c r="C126">
        <v>-142.30000000000001</v>
      </c>
      <c r="D126" t="s">
        <v>304</v>
      </c>
      <c r="E126" t="s">
        <v>1424</v>
      </c>
      <c r="F126" t="s">
        <v>1423</v>
      </c>
      <c r="G126" t="s">
        <v>356</v>
      </c>
      <c r="K126" t="s">
        <v>62</v>
      </c>
      <c r="L126" t="s">
        <v>1545</v>
      </c>
      <c r="O126" t="s">
        <v>1600</v>
      </c>
      <c r="Q126" t="str">
        <f t="shared" si="3"/>
        <v>Dec</v>
      </c>
      <c r="R126">
        <f t="shared" si="4"/>
        <v>2014</v>
      </c>
      <c r="S126" t="str">
        <f>VLOOKUP($W126,TBL_Categories,2,FALSE)</f>
        <v>Irregular</v>
      </c>
      <c r="T126">
        <f>VLOOKUP($W126,TBL_Categories,3,FALSE)</f>
        <v>0</v>
      </c>
      <c r="U126" t="str">
        <f>VLOOKUP($W126,TBL_Categories,4,FALSE)</f>
        <v>No</v>
      </c>
      <c r="V126" t="str">
        <f>VLOOKUP($W126,TBL_Categories,5,FALSE)</f>
        <v>None</v>
      </c>
      <c r="W126" t="str">
        <f t="shared" si="5"/>
        <v>Health &amp; Fitness|Sports</v>
      </c>
    </row>
    <row r="127" spans="1:23" x14ac:dyDescent="0.25">
      <c r="A127" t="s">
        <v>296</v>
      </c>
      <c r="B127" s="5">
        <v>41982</v>
      </c>
      <c r="C127">
        <v>-8.25</v>
      </c>
      <c r="D127" t="s">
        <v>304</v>
      </c>
      <c r="E127" t="s">
        <v>1421</v>
      </c>
      <c r="G127" t="s">
        <v>20</v>
      </c>
      <c r="K127" t="s">
        <v>20</v>
      </c>
      <c r="Q127" t="str">
        <f t="shared" si="3"/>
        <v>Dec</v>
      </c>
      <c r="R127">
        <f t="shared" si="4"/>
        <v>2014</v>
      </c>
      <c r="S127" t="str">
        <f>VLOOKUP($W127,TBL_Categories,2,FALSE)</f>
        <v>Monthly</v>
      </c>
      <c r="T127">
        <f>VLOOKUP($W127,TBL_Categories,3,FALSE)</f>
        <v>0</v>
      </c>
      <c r="U127" t="str">
        <f>VLOOKUP($W127,TBL_Categories,4,FALSE)</f>
        <v>No</v>
      </c>
      <c r="V127" t="str">
        <f>VLOOKUP($W127,TBL_Categories,5,FALSE)</f>
        <v>None</v>
      </c>
      <c r="W127" t="str">
        <f t="shared" si="5"/>
        <v>Gifts</v>
      </c>
    </row>
    <row r="128" spans="1:23" x14ac:dyDescent="0.25">
      <c r="A128" t="s">
        <v>296</v>
      </c>
      <c r="B128" s="5">
        <v>41982</v>
      </c>
      <c r="C128">
        <v>-35.25</v>
      </c>
      <c r="D128" t="s">
        <v>304</v>
      </c>
      <c r="E128" t="s">
        <v>1421</v>
      </c>
      <c r="G128" t="s">
        <v>20</v>
      </c>
      <c r="K128" t="s">
        <v>20</v>
      </c>
      <c r="Q128" t="str">
        <f t="shared" si="3"/>
        <v>Dec</v>
      </c>
      <c r="R128">
        <f t="shared" si="4"/>
        <v>2014</v>
      </c>
      <c r="S128" t="str">
        <f>VLOOKUP($W128,TBL_Categories,2,FALSE)</f>
        <v>Monthly</v>
      </c>
      <c r="T128">
        <f>VLOOKUP($W128,TBL_Categories,3,FALSE)</f>
        <v>0</v>
      </c>
      <c r="U128" t="str">
        <f>VLOOKUP($W128,TBL_Categories,4,FALSE)</f>
        <v>No</v>
      </c>
      <c r="V128" t="str">
        <f>VLOOKUP($W128,TBL_Categories,5,FALSE)</f>
        <v>None</v>
      </c>
      <c r="W128" t="str">
        <f t="shared" si="5"/>
        <v>Gifts</v>
      </c>
    </row>
    <row r="129" spans="1:23" x14ac:dyDescent="0.25">
      <c r="A129" t="s">
        <v>296</v>
      </c>
      <c r="B129" s="5">
        <v>41982</v>
      </c>
      <c r="C129">
        <v>-180</v>
      </c>
      <c r="D129" t="s">
        <v>304</v>
      </c>
      <c r="E129" t="s">
        <v>1422</v>
      </c>
      <c r="F129" t="s">
        <v>1423</v>
      </c>
      <c r="G129" t="s">
        <v>356</v>
      </c>
      <c r="K129" t="s">
        <v>62</v>
      </c>
      <c r="L129" t="s">
        <v>1545</v>
      </c>
      <c r="O129" t="s">
        <v>1600</v>
      </c>
      <c r="Q129" t="str">
        <f t="shared" si="3"/>
        <v>Dec</v>
      </c>
      <c r="R129">
        <f t="shared" si="4"/>
        <v>2014</v>
      </c>
      <c r="S129" t="str">
        <f>VLOOKUP($W129,TBL_Categories,2,FALSE)</f>
        <v>Irregular</v>
      </c>
      <c r="T129">
        <f>VLOOKUP($W129,TBL_Categories,3,FALSE)</f>
        <v>0</v>
      </c>
      <c r="U129" t="str">
        <f>VLOOKUP($W129,TBL_Categories,4,FALSE)</f>
        <v>No</v>
      </c>
      <c r="V129" t="str">
        <f>VLOOKUP($W129,TBL_Categories,5,FALSE)</f>
        <v>None</v>
      </c>
      <c r="W129" t="str">
        <f t="shared" si="5"/>
        <v>Health &amp; Fitness|Sports</v>
      </c>
    </row>
    <row r="130" spans="1:23" x14ac:dyDescent="0.25">
      <c r="A130" t="s">
        <v>296</v>
      </c>
      <c r="B130" s="5">
        <v>41981</v>
      </c>
      <c r="C130">
        <v>-7.88</v>
      </c>
      <c r="D130" t="s">
        <v>304</v>
      </c>
      <c r="E130" t="s">
        <v>679</v>
      </c>
      <c r="F130" t="s">
        <v>941</v>
      </c>
      <c r="G130" t="s">
        <v>333</v>
      </c>
      <c r="K130" t="s">
        <v>61</v>
      </c>
      <c r="L130" t="s">
        <v>1530</v>
      </c>
      <c r="Q130" t="str">
        <f t="shared" ref="Q130:Q193" si="6">TEXT($B130,"MMM")</f>
        <v>Dec</v>
      </c>
      <c r="R130">
        <f t="shared" ref="R130:R193" si="7">YEAR($B130)</f>
        <v>2014</v>
      </c>
      <c r="S130" t="str">
        <f>VLOOKUP($W130,TBL_Categories,2,FALSE)</f>
        <v>Monthly</v>
      </c>
      <c r="T130">
        <f>VLOOKUP($W130,TBL_Categories,3,FALSE)</f>
        <v>0</v>
      </c>
      <c r="U130" t="str">
        <f>VLOOKUP($W130,TBL_Categories,4,FALSE)</f>
        <v>No</v>
      </c>
      <c r="V130" t="str">
        <f>VLOOKUP($W130,TBL_Categories,5,FALSE)</f>
        <v>None</v>
      </c>
      <c r="W130" t="str">
        <f t="shared" ref="W130:W193" si="8">IF(ISBLANK($L130),$K130,CONCATENATE($K130,"|",$L130))</f>
        <v>Food &amp; Dining|Restaurants</v>
      </c>
    </row>
    <row r="131" spans="1:23" x14ac:dyDescent="0.25">
      <c r="A131" t="s">
        <v>284</v>
      </c>
      <c r="B131" s="5">
        <v>41980</v>
      </c>
      <c r="C131">
        <v>11.95</v>
      </c>
      <c r="D131" t="s">
        <v>304</v>
      </c>
      <c r="E131" t="s">
        <v>852</v>
      </c>
      <c r="F131" t="s">
        <v>853</v>
      </c>
      <c r="G131" t="s">
        <v>601</v>
      </c>
      <c r="K131" t="s">
        <v>54</v>
      </c>
      <c r="L131" t="s">
        <v>1556</v>
      </c>
      <c r="Q131" t="str">
        <f t="shared" si="6"/>
        <v>Dec</v>
      </c>
      <c r="R131">
        <f t="shared" si="7"/>
        <v>2014</v>
      </c>
      <c r="S131" t="str">
        <f>VLOOKUP($W131,TBL_Categories,2,FALSE)</f>
        <v>Hidden</v>
      </c>
      <c r="T131">
        <f>VLOOKUP($W131,TBL_Categories,3,FALSE)</f>
        <v>0</v>
      </c>
      <c r="U131" t="str">
        <f>VLOOKUP($W131,TBL_Categories,4,FALSE)</f>
        <v>No</v>
      </c>
      <c r="V131" t="str">
        <f>VLOOKUP($W131,TBL_Categories,5,FALSE)</f>
        <v>None</v>
      </c>
      <c r="W131" t="str">
        <f t="shared" si="8"/>
        <v>Bills &amp; Utilities|Mobile Phone</v>
      </c>
    </row>
    <row r="132" spans="1:23" x14ac:dyDescent="0.25">
      <c r="A132" t="s">
        <v>288</v>
      </c>
      <c r="B132" s="5">
        <v>41980</v>
      </c>
      <c r="C132" s="4">
        <v>2295</v>
      </c>
      <c r="D132" t="s">
        <v>306</v>
      </c>
      <c r="E132" t="s">
        <v>346</v>
      </c>
      <c r="F132" t="s">
        <v>394</v>
      </c>
      <c r="G132" t="s">
        <v>386</v>
      </c>
      <c r="J132">
        <v>7231</v>
      </c>
      <c r="K132" t="s">
        <v>33</v>
      </c>
      <c r="L132" t="s">
        <v>1519</v>
      </c>
      <c r="Q132" t="str">
        <f t="shared" si="6"/>
        <v>Dec</v>
      </c>
      <c r="R132">
        <f t="shared" si="7"/>
        <v>2014</v>
      </c>
      <c r="S132" t="str">
        <f>VLOOKUP($W132,TBL_Categories,2,FALSE)</f>
        <v>Monthly</v>
      </c>
      <c r="T132">
        <f>VLOOKUP($W132,TBL_Categories,3,FALSE)</f>
        <v>0</v>
      </c>
      <c r="U132" t="str">
        <f>VLOOKUP($W132,TBL_Categories,4,FALSE)</f>
        <v>No</v>
      </c>
      <c r="V132" t="str">
        <f>VLOOKUP($W132,TBL_Categories,5,FALSE)</f>
        <v>None</v>
      </c>
      <c r="W132" t="str">
        <f t="shared" si="8"/>
        <v>Business Income (Koolikai)|Rent</v>
      </c>
    </row>
    <row r="133" spans="1:23" x14ac:dyDescent="0.25">
      <c r="A133" t="s">
        <v>296</v>
      </c>
      <c r="B133" s="5">
        <v>41980</v>
      </c>
      <c r="C133">
        <v>-21.45</v>
      </c>
      <c r="D133" t="s">
        <v>304</v>
      </c>
      <c r="E133" t="s">
        <v>424</v>
      </c>
      <c r="G133" t="s">
        <v>887</v>
      </c>
      <c r="J133" t="s">
        <v>1550</v>
      </c>
      <c r="K133" t="s">
        <v>61</v>
      </c>
      <c r="L133" t="s">
        <v>401</v>
      </c>
      <c r="Q133" t="str">
        <f t="shared" si="6"/>
        <v>Dec</v>
      </c>
      <c r="R133">
        <f t="shared" si="7"/>
        <v>2014</v>
      </c>
      <c r="S133" t="str">
        <f>VLOOKUP($W133,TBL_Categories,2,FALSE)</f>
        <v>Monthly</v>
      </c>
      <c r="T133">
        <f>VLOOKUP($W133,TBL_Categories,3,FALSE)</f>
        <v>0</v>
      </c>
      <c r="U133" t="str">
        <f>VLOOKUP($W133,TBL_Categories,4,FALSE)</f>
        <v>No</v>
      </c>
      <c r="V133" t="str">
        <f>VLOOKUP($W133,TBL_Categories,5,FALSE)</f>
        <v>None</v>
      </c>
      <c r="W133" t="str">
        <f t="shared" si="8"/>
        <v>Food &amp; Dining|Groceries</v>
      </c>
    </row>
    <row r="134" spans="1:23" x14ac:dyDescent="0.25">
      <c r="A134" t="s">
        <v>296</v>
      </c>
      <c r="B134" s="5">
        <v>41979</v>
      </c>
      <c r="C134">
        <v>-25</v>
      </c>
      <c r="D134" t="s">
        <v>304</v>
      </c>
      <c r="E134" t="s">
        <v>1327</v>
      </c>
      <c r="F134" t="s">
        <v>1328</v>
      </c>
      <c r="G134" t="s">
        <v>410</v>
      </c>
      <c r="K134" t="s">
        <v>75</v>
      </c>
      <c r="L134" t="s">
        <v>1570</v>
      </c>
      <c r="O134" t="s">
        <v>1617</v>
      </c>
      <c r="Q134" t="str">
        <f t="shared" si="6"/>
        <v>Dec</v>
      </c>
      <c r="R134">
        <f t="shared" si="7"/>
        <v>2014</v>
      </c>
      <c r="S134" t="str">
        <f>VLOOKUP($W134,TBL_Categories,2,FALSE)</f>
        <v>Irregular</v>
      </c>
      <c r="T134">
        <f>VLOOKUP($W134,TBL_Categories,3,FALSE)</f>
        <v>0</v>
      </c>
      <c r="U134" t="str">
        <f>VLOOKUP($W134,TBL_Categories,4,FALSE)</f>
        <v>No</v>
      </c>
      <c r="V134" t="str">
        <f>VLOOKUP($W134,TBL_Categories,5,FALSE)</f>
        <v>None</v>
      </c>
      <c r="W134" t="str">
        <f t="shared" si="8"/>
        <v>Vacation|Transportation</v>
      </c>
    </row>
    <row r="135" spans="1:23" x14ac:dyDescent="0.25">
      <c r="A135" t="s">
        <v>296</v>
      </c>
      <c r="B135" s="5">
        <v>41979</v>
      </c>
      <c r="C135">
        <v>-26.01</v>
      </c>
      <c r="D135" t="s">
        <v>304</v>
      </c>
      <c r="E135" t="s">
        <v>712</v>
      </c>
      <c r="F135" t="s">
        <v>1328</v>
      </c>
      <c r="G135" t="s">
        <v>599</v>
      </c>
      <c r="K135" t="s">
        <v>75</v>
      </c>
      <c r="L135" t="s">
        <v>1564</v>
      </c>
      <c r="O135" t="s">
        <v>1617</v>
      </c>
      <c r="Q135" t="str">
        <f t="shared" si="6"/>
        <v>Dec</v>
      </c>
      <c r="R135">
        <f t="shared" si="7"/>
        <v>2014</v>
      </c>
      <c r="S135" t="str">
        <f>VLOOKUP($W135,TBL_Categories,2,FALSE)</f>
        <v>Irregular</v>
      </c>
      <c r="T135">
        <f>VLOOKUP($W135,TBL_Categories,3,FALSE)</f>
        <v>0</v>
      </c>
      <c r="U135" t="str">
        <f>VLOOKUP($W135,TBL_Categories,4,FALSE)</f>
        <v>No</v>
      </c>
      <c r="V135" t="str">
        <f>VLOOKUP($W135,TBL_Categories,5,FALSE)</f>
        <v>None</v>
      </c>
      <c r="W135" t="str">
        <f t="shared" si="8"/>
        <v>Vacation|Food</v>
      </c>
    </row>
    <row r="136" spans="1:23" x14ac:dyDescent="0.25">
      <c r="A136" t="s">
        <v>296</v>
      </c>
      <c r="B136" s="5">
        <v>41979</v>
      </c>
      <c r="C136">
        <v>-64.7</v>
      </c>
      <c r="D136" t="s">
        <v>304</v>
      </c>
      <c r="E136" t="s">
        <v>1351</v>
      </c>
      <c r="F136" t="s">
        <v>1328</v>
      </c>
      <c r="G136" t="s">
        <v>1054</v>
      </c>
      <c r="J136" t="s">
        <v>1550</v>
      </c>
      <c r="K136" t="s">
        <v>75</v>
      </c>
      <c r="L136" t="s">
        <v>1570</v>
      </c>
      <c r="O136" t="s">
        <v>1617</v>
      </c>
      <c r="Q136" t="str">
        <f t="shared" si="6"/>
        <v>Dec</v>
      </c>
      <c r="R136">
        <f t="shared" si="7"/>
        <v>2014</v>
      </c>
      <c r="S136" t="str">
        <f>VLOOKUP($W136,TBL_Categories,2,FALSE)</f>
        <v>Irregular</v>
      </c>
      <c r="T136">
        <f>VLOOKUP($W136,TBL_Categories,3,FALSE)</f>
        <v>0</v>
      </c>
      <c r="U136" t="str">
        <f>VLOOKUP($W136,TBL_Categories,4,FALSE)</f>
        <v>No</v>
      </c>
      <c r="V136" t="str">
        <f>VLOOKUP($W136,TBL_Categories,5,FALSE)</f>
        <v>None</v>
      </c>
      <c r="W136" t="str">
        <f t="shared" si="8"/>
        <v>Vacation|Transportation</v>
      </c>
    </row>
    <row r="137" spans="1:23" x14ac:dyDescent="0.25">
      <c r="A137" t="s">
        <v>296</v>
      </c>
      <c r="B137" s="5">
        <v>41979</v>
      </c>
      <c r="C137">
        <v>-921.39</v>
      </c>
      <c r="D137" t="s">
        <v>304</v>
      </c>
      <c r="E137" t="s">
        <v>1420</v>
      </c>
      <c r="F137" t="s">
        <v>1328</v>
      </c>
      <c r="G137" t="s">
        <v>347</v>
      </c>
      <c r="K137" t="s">
        <v>75</v>
      </c>
      <c r="L137" t="s">
        <v>1540</v>
      </c>
      <c r="O137" t="s">
        <v>1617</v>
      </c>
      <c r="Q137" t="str">
        <f t="shared" si="6"/>
        <v>Dec</v>
      </c>
      <c r="R137">
        <f t="shared" si="7"/>
        <v>2014</v>
      </c>
      <c r="S137" t="str">
        <f>VLOOKUP($W137,TBL_Categories,2,FALSE)</f>
        <v>Irregular</v>
      </c>
      <c r="T137">
        <f>VLOOKUP($W137,TBL_Categories,3,FALSE)</f>
        <v>0</v>
      </c>
      <c r="U137" t="str">
        <f>VLOOKUP($W137,TBL_Categories,4,FALSE)</f>
        <v>No</v>
      </c>
      <c r="V137" t="str">
        <f>VLOOKUP($W137,TBL_Categories,5,FALSE)</f>
        <v>None</v>
      </c>
      <c r="W137" t="str">
        <f t="shared" si="8"/>
        <v>Vacation|Lodging</v>
      </c>
    </row>
    <row r="138" spans="1:23" x14ac:dyDescent="0.25">
      <c r="A138" t="s">
        <v>284</v>
      </c>
      <c r="B138" s="5">
        <v>41978</v>
      </c>
      <c r="C138" s="4">
        <v>-3864.19</v>
      </c>
      <c r="D138" t="s">
        <v>304</v>
      </c>
      <c r="E138" t="s">
        <v>344</v>
      </c>
      <c r="F138" t="s">
        <v>349</v>
      </c>
      <c r="G138" t="s">
        <v>320</v>
      </c>
      <c r="K138" t="s">
        <v>63</v>
      </c>
      <c r="L138" t="s">
        <v>1526</v>
      </c>
      <c r="Q138" t="str">
        <f t="shared" si="6"/>
        <v>Dec</v>
      </c>
      <c r="R138">
        <f t="shared" si="7"/>
        <v>2014</v>
      </c>
      <c r="S138" t="str">
        <f>VLOOKUP($W138,TBL_Categories,2,FALSE)</f>
        <v>Monthly</v>
      </c>
      <c r="T138">
        <f>VLOOKUP($W138,TBL_Categories,3,FALSE)</f>
        <v>0</v>
      </c>
      <c r="U138" t="str">
        <f>VLOOKUP($W138,TBL_Categories,4,FALSE)</f>
        <v>No</v>
      </c>
      <c r="V138" t="str">
        <f>VLOOKUP($W138,TBL_Categories,5,FALSE)</f>
        <v>None</v>
      </c>
      <c r="W138" t="str">
        <f t="shared" si="8"/>
        <v>Home|Mortgage</v>
      </c>
    </row>
    <row r="139" spans="1:23" x14ac:dyDescent="0.25">
      <c r="A139" t="s">
        <v>296</v>
      </c>
      <c r="B139" s="5">
        <v>41978</v>
      </c>
      <c r="C139">
        <v>-2.58</v>
      </c>
      <c r="D139" t="s">
        <v>304</v>
      </c>
      <c r="E139" t="s">
        <v>461</v>
      </c>
      <c r="F139" t="s">
        <v>1328</v>
      </c>
      <c r="G139" t="s">
        <v>599</v>
      </c>
      <c r="K139" t="s">
        <v>75</v>
      </c>
      <c r="L139" t="s">
        <v>1564</v>
      </c>
      <c r="O139" t="s">
        <v>1617</v>
      </c>
      <c r="Q139" t="str">
        <f t="shared" si="6"/>
        <v>Dec</v>
      </c>
      <c r="R139">
        <f t="shared" si="7"/>
        <v>2014</v>
      </c>
      <c r="S139" t="str">
        <f>VLOOKUP($W139,TBL_Categories,2,FALSE)</f>
        <v>Irregular</v>
      </c>
      <c r="T139">
        <f>VLOOKUP($W139,TBL_Categories,3,FALSE)</f>
        <v>0</v>
      </c>
      <c r="U139" t="str">
        <f>VLOOKUP($W139,TBL_Categories,4,FALSE)</f>
        <v>No</v>
      </c>
      <c r="V139" t="str">
        <f>VLOOKUP($W139,TBL_Categories,5,FALSE)</f>
        <v>None</v>
      </c>
      <c r="W139" t="str">
        <f t="shared" si="8"/>
        <v>Vacation|Food</v>
      </c>
    </row>
    <row r="140" spans="1:23" x14ac:dyDescent="0.25">
      <c r="A140" t="s">
        <v>296</v>
      </c>
      <c r="B140" s="5">
        <v>41978</v>
      </c>
      <c r="C140">
        <v>-4.25</v>
      </c>
      <c r="D140" t="s">
        <v>304</v>
      </c>
      <c r="E140" t="s">
        <v>1411</v>
      </c>
      <c r="F140" t="s">
        <v>1412</v>
      </c>
      <c r="G140" t="s">
        <v>972</v>
      </c>
      <c r="J140" t="s">
        <v>1550</v>
      </c>
      <c r="K140" t="s">
        <v>75</v>
      </c>
      <c r="L140" t="s">
        <v>1564</v>
      </c>
      <c r="O140" t="s">
        <v>1617</v>
      </c>
      <c r="Q140" t="str">
        <f t="shared" si="6"/>
        <v>Dec</v>
      </c>
      <c r="R140">
        <f t="shared" si="7"/>
        <v>2014</v>
      </c>
      <c r="S140" t="str">
        <f>VLOOKUP($W140,TBL_Categories,2,FALSE)</f>
        <v>Irregular</v>
      </c>
      <c r="T140">
        <f>VLOOKUP($W140,TBL_Categories,3,FALSE)</f>
        <v>0</v>
      </c>
      <c r="U140" t="str">
        <f>VLOOKUP($W140,TBL_Categories,4,FALSE)</f>
        <v>No</v>
      </c>
      <c r="V140" t="str">
        <f>VLOOKUP($W140,TBL_Categories,5,FALSE)</f>
        <v>None</v>
      </c>
      <c r="W140" t="str">
        <f t="shared" si="8"/>
        <v>Vacation|Food</v>
      </c>
    </row>
    <row r="141" spans="1:23" x14ac:dyDescent="0.25">
      <c r="A141" t="s">
        <v>296</v>
      </c>
      <c r="B141" s="5">
        <v>41978</v>
      </c>
      <c r="C141">
        <v>-5.61</v>
      </c>
      <c r="D141" t="s">
        <v>304</v>
      </c>
      <c r="E141" t="s">
        <v>1413</v>
      </c>
      <c r="F141" t="s">
        <v>1328</v>
      </c>
      <c r="G141" t="s">
        <v>972</v>
      </c>
      <c r="J141" t="s">
        <v>1550</v>
      </c>
      <c r="K141" t="s">
        <v>75</v>
      </c>
      <c r="L141" t="s">
        <v>1564</v>
      </c>
      <c r="O141" t="s">
        <v>1617</v>
      </c>
      <c r="Q141" t="str">
        <f t="shared" si="6"/>
        <v>Dec</v>
      </c>
      <c r="R141">
        <f t="shared" si="7"/>
        <v>2014</v>
      </c>
      <c r="S141" t="str">
        <f>VLOOKUP($W141,TBL_Categories,2,FALSE)</f>
        <v>Irregular</v>
      </c>
      <c r="T141">
        <f>VLOOKUP($W141,TBL_Categories,3,FALSE)</f>
        <v>0</v>
      </c>
      <c r="U141" t="str">
        <f>VLOOKUP($W141,TBL_Categories,4,FALSE)</f>
        <v>No</v>
      </c>
      <c r="V141" t="str">
        <f>VLOOKUP($W141,TBL_Categories,5,FALSE)</f>
        <v>None</v>
      </c>
      <c r="W141" t="str">
        <f t="shared" si="8"/>
        <v>Vacation|Food</v>
      </c>
    </row>
    <row r="142" spans="1:23" x14ac:dyDescent="0.25">
      <c r="A142" t="s">
        <v>296</v>
      </c>
      <c r="B142" s="5">
        <v>41978</v>
      </c>
      <c r="C142">
        <v>-10.53</v>
      </c>
      <c r="D142" t="s">
        <v>304</v>
      </c>
      <c r="E142" t="s">
        <v>1414</v>
      </c>
      <c r="F142" t="s">
        <v>1328</v>
      </c>
      <c r="G142" t="s">
        <v>599</v>
      </c>
      <c r="K142" t="s">
        <v>75</v>
      </c>
      <c r="L142" t="s">
        <v>1564</v>
      </c>
      <c r="O142" t="s">
        <v>1617</v>
      </c>
      <c r="Q142" t="str">
        <f t="shared" si="6"/>
        <v>Dec</v>
      </c>
      <c r="R142">
        <f t="shared" si="7"/>
        <v>2014</v>
      </c>
      <c r="S142" t="str">
        <f>VLOOKUP($W142,TBL_Categories,2,FALSE)</f>
        <v>Irregular</v>
      </c>
      <c r="T142">
        <f>VLOOKUP($W142,TBL_Categories,3,FALSE)</f>
        <v>0</v>
      </c>
      <c r="U142" t="str">
        <f>VLOOKUP($W142,TBL_Categories,4,FALSE)</f>
        <v>No</v>
      </c>
      <c r="V142" t="str">
        <f>VLOOKUP($W142,TBL_Categories,5,FALSE)</f>
        <v>None</v>
      </c>
      <c r="W142" t="str">
        <f t="shared" si="8"/>
        <v>Vacation|Food</v>
      </c>
    </row>
    <row r="143" spans="1:23" x14ac:dyDescent="0.25">
      <c r="A143" t="s">
        <v>296</v>
      </c>
      <c r="B143" s="5">
        <v>41978</v>
      </c>
      <c r="C143">
        <v>-14.18</v>
      </c>
      <c r="D143" t="s">
        <v>304</v>
      </c>
      <c r="E143" t="s">
        <v>461</v>
      </c>
      <c r="F143" t="s">
        <v>1328</v>
      </c>
      <c r="G143" t="s">
        <v>599</v>
      </c>
      <c r="K143" t="s">
        <v>75</v>
      </c>
      <c r="L143" t="s">
        <v>1564</v>
      </c>
      <c r="O143" t="s">
        <v>1617</v>
      </c>
      <c r="Q143" t="str">
        <f t="shared" si="6"/>
        <v>Dec</v>
      </c>
      <c r="R143">
        <f t="shared" si="7"/>
        <v>2014</v>
      </c>
      <c r="S143" t="str">
        <f>VLOOKUP($W143,TBL_Categories,2,FALSE)</f>
        <v>Irregular</v>
      </c>
      <c r="T143">
        <f>VLOOKUP($W143,TBL_Categories,3,FALSE)</f>
        <v>0</v>
      </c>
      <c r="U143" t="str">
        <f>VLOOKUP($W143,TBL_Categories,4,FALSE)</f>
        <v>No</v>
      </c>
      <c r="V143" t="str">
        <f>VLOOKUP($W143,TBL_Categories,5,FALSE)</f>
        <v>None</v>
      </c>
      <c r="W143" t="str">
        <f t="shared" si="8"/>
        <v>Vacation|Food</v>
      </c>
    </row>
    <row r="144" spans="1:23" x14ac:dyDescent="0.25">
      <c r="A144" t="s">
        <v>296</v>
      </c>
      <c r="B144" s="5">
        <v>41978</v>
      </c>
      <c r="C144">
        <v>-18.309999999999999</v>
      </c>
      <c r="D144" t="s">
        <v>304</v>
      </c>
      <c r="E144" t="s">
        <v>1393</v>
      </c>
      <c r="F144" t="s">
        <v>1415</v>
      </c>
      <c r="G144" t="s">
        <v>609</v>
      </c>
      <c r="K144" t="s">
        <v>75</v>
      </c>
      <c r="L144" t="s">
        <v>1589</v>
      </c>
      <c r="O144" t="s">
        <v>1617</v>
      </c>
      <c r="Q144" t="str">
        <f t="shared" si="6"/>
        <v>Dec</v>
      </c>
      <c r="R144">
        <f t="shared" si="7"/>
        <v>2014</v>
      </c>
      <c r="S144" t="str">
        <f>VLOOKUP($W144,TBL_Categories,2,FALSE)</f>
        <v>Irregular</v>
      </c>
      <c r="T144">
        <f>VLOOKUP($W144,TBL_Categories,3,FALSE)</f>
        <v>0</v>
      </c>
      <c r="U144" t="str">
        <f>VLOOKUP($W144,TBL_Categories,4,FALSE)</f>
        <v>No</v>
      </c>
      <c r="V144" t="str">
        <f>VLOOKUP($W144,TBL_Categories,5,FALSE)</f>
        <v>None</v>
      </c>
      <c r="W144" t="str">
        <f t="shared" si="8"/>
        <v>Vacation|Trinkets</v>
      </c>
    </row>
    <row r="145" spans="1:23" x14ac:dyDescent="0.25">
      <c r="A145" t="s">
        <v>296</v>
      </c>
      <c r="B145" s="5">
        <v>41978</v>
      </c>
      <c r="C145">
        <v>-29.05</v>
      </c>
      <c r="D145" t="s">
        <v>304</v>
      </c>
      <c r="E145" t="s">
        <v>1399</v>
      </c>
      <c r="F145" t="s">
        <v>1416</v>
      </c>
      <c r="G145" t="s">
        <v>1283</v>
      </c>
      <c r="J145" t="s">
        <v>1550</v>
      </c>
      <c r="K145" t="s">
        <v>75</v>
      </c>
      <c r="L145" t="s">
        <v>1589</v>
      </c>
      <c r="O145" t="s">
        <v>1617</v>
      </c>
      <c r="Q145" t="str">
        <f t="shared" si="6"/>
        <v>Dec</v>
      </c>
      <c r="R145">
        <f t="shared" si="7"/>
        <v>2014</v>
      </c>
      <c r="S145" t="str">
        <f>VLOOKUP($W145,TBL_Categories,2,FALSE)</f>
        <v>Irregular</v>
      </c>
      <c r="T145">
        <f>VLOOKUP($W145,TBL_Categories,3,FALSE)</f>
        <v>0</v>
      </c>
      <c r="U145" t="str">
        <f>VLOOKUP($W145,TBL_Categories,4,FALSE)</f>
        <v>No</v>
      </c>
      <c r="V145" t="str">
        <f>VLOOKUP($W145,TBL_Categories,5,FALSE)</f>
        <v>None</v>
      </c>
      <c r="W145" t="str">
        <f t="shared" si="8"/>
        <v>Vacation|Trinkets</v>
      </c>
    </row>
    <row r="146" spans="1:23" x14ac:dyDescent="0.25">
      <c r="A146" t="s">
        <v>296</v>
      </c>
      <c r="B146" s="5">
        <v>41978</v>
      </c>
      <c r="C146">
        <v>-32.68</v>
      </c>
      <c r="D146" t="s">
        <v>304</v>
      </c>
      <c r="E146" t="s">
        <v>1417</v>
      </c>
      <c r="F146" t="s">
        <v>1418</v>
      </c>
      <c r="G146" t="s">
        <v>972</v>
      </c>
      <c r="J146" t="s">
        <v>1550</v>
      </c>
      <c r="K146" t="s">
        <v>75</v>
      </c>
      <c r="L146" t="s">
        <v>1564</v>
      </c>
      <c r="O146" t="s">
        <v>1617</v>
      </c>
      <c r="Q146" t="str">
        <f t="shared" si="6"/>
        <v>Dec</v>
      </c>
      <c r="R146">
        <f t="shared" si="7"/>
        <v>2014</v>
      </c>
      <c r="S146" t="str">
        <f>VLOOKUP($W146,TBL_Categories,2,FALSE)</f>
        <v>Irregular</v>
      </c>
      <c r="T146">
        <f>VLOOKUP($W146,TBL_Categories,3,FALSE)</f>
        <v>0</v>
      </c>
      <c r="U146" t="str">
        <f>VLOOKUP($W146,TBL_Categories,4,FALSE)</f>
        <v>No</v>
      </c>
      <c r="V146" t="str">
        <f>VLOOKUP($W146,TBL_Categories,5,FALSE)</f>
        <v>None</v>
      </c>
      <c r="W146" t="str">
        <f t="shared" si="8"/>
        <v>Vacation|Food</v>
      </c>
    </row>
    <row r="147" spans="1:23" x14ac:dyDescent="0.25">
      <c r="A147" t="s">
        <v>296</v>
      </c>
      <c r="B147" s="5">
        <v>41978</v>
      </c>
      <c r="C147">
        <v>-91.82</v>
      </c>
      <c r="D147" t="s">
        <v>304</v>
      </c>
      <c r="E147" t="s">
        <v>1419</v>
      </c>
      <c r="F147" t="s">
        <v>1328</v>
      </c>
      <c r="G147" t="s">
        <v>599</v>
      </c>
      <c r="K147" t="s">
        <v>75</v>
      </c>
      <c r="L147" t="s">
        <v>1564</v>
      </c>
      <c r="O147" t="s">
        <v>1617</v>
      </c>
      <c r="Q147" t="str">
        <f t="shared" si="6"/>
        <v>Dec</v>
      </c>
      <c r="R147">
        <f t="shared" si="7"/>
        <v>2014</v>
      </c>
      <c r="S147" t="str">
        <f>VLOOKUP($W147,TBL_Categories,2,FALSE)</f>
        <v>Irregular</v>
      </c>
      <c r="T147">
        <f>VLOOKUP($W147,TBL_Categories,3,FALSE)</f>
        <v>0</v>
      </c>
      <c r="U147" t="str">
        <f>VLOOKUP($W147,TBL_Categories,4,FALSE)</f>
        <v>No</v>
      </c>
      <c r="V147" t="str">
        <f>VLOOKUP($W147,TBL_Categories,5,FALSE)</f>
        <v>None</v>
      </c>
      <c r="W147" t="str">
        <f t="shared" si="8"/>
        <v>Vacation|Food</v>
      </c>
    </row>
    <row r="148" spans="1:23" x14ac:dyDescent="0.25">
      <c r="A148" t="s">
        <v>284</v>
      </c>
      <c r="B148" s="5">
        <v>41977</v>
      </c>
      <c r="C148">
        <v>-25.5</v>
      </c>
      <c r="D148" t="s">
        <v>304</v>
      </c>
      <c r="E148" t="s">
        <v>850</v>
      </c>
      <c r="F148" t="s">
        <v>851</v>
      </c>
      <c r="G148" t="s">
        <v>17</v>
      </c>
      <c r="H148">
        <v>2140</v>
      </c>
      <c r="K148" t="s">
        <v>17</v>
      </c>
      <c r="Q148" t="str">
        <f t="shared" si="6"/>
        <v>Dec</v>
      </c>
      <c r="R148">
        <f t="shared" si="7"/>
        <v>2014</v>
      </c>
      <c r="S148" t="str">
        <f>VLOOKUP($W148,TBL_Categories,2,FALSE)</f>
        <v>Monthly</v>
      </c>
      <c r="T148">
        <f>VLOOKUP($W148,TBL_Categories,3,FALSE)</f>
        <v>0</v>
      </c>
      <c r="U148" t="str">
        <f>VLOOKUP($W148,TBL_Categories,4,FALSE)</f>
        <v>No</v>
      </c>
      <c r="V148" t="str">
        <f>VLOOKUP($W148,TBL_Categories,5,FALSE)</f>
        <v>None</v>
      </c>
      <c r="W148" t="str">
        <f t="shared" si="8"/>
        <v>Entertainment</v>
      </c>
    </row>
    <row r="149" spans="1:23" x14ac:dyDescent="0.25">
      <c r="A149" t="s">
        <v>296</v>
      </c>
      <c r="B149" s="5">
        <v>41977</v>
      </c>
      <c r="C149">
        <v>25</v>
      </c>
      <c r="D149" t="s">
        <v>304</v>
      </c>
      <c r="E149" t="s">
        <v>660</v>
      </c>
      <c r="G149" t="s">
        <v>14</v>
      </c>
      <c r="K149" t="s">
        <v>14</v>
      </c>
      <c r="Q149" t="str">
        <f t="shared" si="6"/>
        <v>Dec</v>
      </c>
      <c r="R149">
        <f t="shared" si="7"/>
        <v>2014</v>
      </c>
      <c r="S149" t="str">
        <f>VLOOKUP($W149,TBL_Categories,2,FALSE)</f>
        <v>Monthly</v>
      </c>
      <c r="T149">
        <f>VLOOKUP($W149,TBL_Categories,3,FALSE)</f>
        <v>0</v>
      </c>
      <c r="U149" t="str">
        <f>VLOOKUP($W149,TBL_Categories,4,FALSE)</f>
        <v>No</v>
      </c>
      <c r="V149" t="str">
        <f>VLOOKUP($W149,TBL_Categories,5,FALSE)</f>
        <v>None</v>
      </c>
      <c r="W149" t="str">
        <f t="shared" si="8"/>
        <v>Other Inc</v>
      </c>
    </row>
    <row r="150" spans="1:23" x14ac:dyDescent="0.25">
      <c r="A150" t="s">
        <v>296</v>
      </c>
      <c r="B150" s="5">
        <v>41977</v>
      </c>
      <c r="C150">
        <v>-8.6300000000000008</v>
      </c>
      <c r="D150" t="s">
        <v>304</v>
      </c>
      <c r="E150" t="s">
        <v>1410</v>
      </c>
      <c r="F150" t="s">
        <v>1328</v>
      </c>
      <c r="G150" t="s">
        <v>599</v>
      </c>
      <c r="K150" t="s">
        <v>75</v>
      </c>
      <c r="L150" t="s">
        <v>1564</v>
      </c>
      <c r="O150" t="s">
        <v>1617</v>
      </c>
      <c r="Q150" t="str">
        <f t="shared" si="6"/>
        <v>Dec</v>
      </c>
      <c r="R150">
        <f t="shared" si="7"/>
        <v>2014</v>
      </c>
      <c r="S150" t="str">
        <f>VLOOKUP($W150,TBL_Categories,2,FALSE)</f>
        <v>Irregular</v>
      </c>
      <c r="T150">
        <f>VLOOKUP($W150,TBL_Categories,3,FALSE)</f>
        <v>0</v>
      </c>
      <c r="U150" t="str">
        <f>VLOOKUP($W150,TBL_Categories,4,FALSE)</f>
        <v>No</v>
      </c>
      <c r="V150" t="str">
        <f>VLOOKUP($W150,TBL_Categories,5,FALSE)</f>
        <v>None</v>
      </c>
      <c r="W150" t="str">
        <f t="shared" si="8"/>
        <v>Vacation|Food</v>
      </c>
    </row>
    <row r="151" spans="1:23" x14ac:dyDescent="0.25">
      <c r="A151" t="s">
        <v>296</v>
      </c>
      <c r="B151" s="5">
        <v>41977</v>
      </c>
      <c r="C151">
        <v>-21.6</v>
      </c>
      <c r="D151" t="s">
        <v>304</v>
      </c>
      <c r="E151" t="s">
        <v>1401</v>
      </c>
      <c r="F151" t="s">
        <v>1328</v>
      </c>
      <c r="G151" t="s">
        <v>599</v>
      </c>
      <c r="K151" t="s">
        <v>75</v>
      </c>
      <c r="L151" t="s">
        <v>1564</v>
      </c>
      <c r="O151" t="s">
        <v>1617</v>
      </c>
      <c r="Q151" t="str">
        <f t="shared" si="6"/>
        <v>Dec</v>
      </c>
      <c r="R151">
        <f t="shared" si="7"/>
        <v>2014</v>
      </c>
      <c r="S151" t="str">
        <f>VLOOKUP($W151,TBL_Categories,2,FALSE)</f>
        <v>Irregular</v>
      </c>
      <c r="T151">
        <f>VLOOKUP($W151,TBL_Categories,3,FALSE)</f>
        <v>0</v>
      </c>
      <c r="U151" t="str">
        <f>VLOOKUP($W151,TBL_Categories,4,FALSE)</f>
        <v>No</v>
      </c>
      <c r="V151" t="str">
        <f>VLOOKUP($W151,TBL_Categories,5,FALSE)</f>
        <v>None</v>
      </c>
      <c r="W151" t="str">
        <f t="shared" si="8"/>
        <v>Vacation|Food</v>
      </c>
    </row>
    <row r="152" spans="1:23" x14ac:dyDescent="0.25">
      <c r="A152" t="s">
        <v>284</v>
      </c>
      <c r="B152" s="5">
        <v>41976</v>
      </c>
      <c r="C152">
        <v>-500</v>
      </c>
      <c r="D152" t="s">
        <v>304</v>
      </c>
      <c r="E152" t="s">
        <v>338</v>
      </c>
      <c r="F152" t="s">
        <v>339</v>
      </c>
      <c r="G152" t="s">
        <v>340</v>
      </c>
      <c r="K152" t="s">
        <v>66</v>
      </c>
      <c r="L152" t="s">
        <v>1533</v>
      </c>
      <c r="Q152" t="str">
        <f t="shared" si="6"/>
        <v>Dec</v>
      </c>
      <c r="R152">
        <f t="shared" si="7"/>
        <v>2014</v>
      </c>
      <c r="S152" t="str">
        <f>VLOOKUP($W152,TBL_Categories,2,FALSE)</f>
        <v>Monthly</v>
      </c>
      <c r="T152">
        <f>VLOOKUP($W152,TBL_Categories,3,FALSE)</f>
        <v>0</v>
      </c>
      <c r="U152" t="str">
        <f>VLOOKUP($W152,TBL_Categories,4,FALSE)</f>
        <v>No</v>
      </c>
      <c r="V152" t="str">
        <f>VLOOKUP($W152,TBL_Categories,5,FALSE)</f>
        <v>None</v>
      </c>
      <c r="W152" t="str">
        <f t="shared" si="8"/>
        <v>Kids|American Funds 529A</v>
      </c>
    </row>
    <row r="153" spans="1:23" x14ac:dyDescent="0.25">
      <c r="A153" t="s">
        <v>296</v>
      </c>
      <c r="B153" s="5">
        <v>41976</v>
      </c>
      <c r="C153">
        <v>-8.75</v>
      </c>
      <c r="D153" t="s">
        <v>304</v>
      </c>
      <c r="E153" t="s">
        <v>667</v>
      </c>
      <c r="G153" t="s">
        <v>73</v>
      </c>
      <c r="K153" t="s">
        <v>73</v>
      </c>
      <c r="Q153" t="str">
        <f t="shared" si="6"/>
        <v>Dec</v>
      </c>
      <c r="R153">
        <f t="shared" si="7"/>
        <v>2014</v>
      </c>
      <c r="S153" t="str">
        <f>VLOOKUP($W153,TBL_Categories,2,FALSE)</f>
        <v>Annual</v>
      </c>
      <c r="T153">
        <f>VLOOKUP($W153,TBL_Categories,3,FALSE)</f>
        <v>0</v>
      </c>
      <c r="U153" t="str">
        <f>VLOOKUP($W153,TBL_Categories,4,FALSE)</f>
        <v>No</v>
      </c>
      <c r="V153" t="str">
        <f>VLOOKUP($W153,TBL_Categories,5,FALSE)</f>
        <v>None</v>
      </c>
      <c r="W153" t="str">
        <f t="shared" si="8"/>
        <v>Subscriptions &amp; Dues</v>
      </c>
    </row>
    <row r="154" spans="1:23" x14ac:dyDescent="0.25">
      <c r="A154" t="s">
        <v>296</v>
      </c>
      <c r="B154" s="5">
        <v>41976</v>
      </c>
      <c r="C154">
        <v>-10.86</v>
      </c>
      <c r="D154" t="s">
        <v>304</v>
      </c>
      <c r="E154" t="s">
        <v>461</v>
      </c>
      <c r="F154" t="s">
        <v>1328</v>
      </c>
      <c r="G154" t="s">
        <v>599</v>
      </c>
      <c r="K154" t="s">
        <v>75</v>
      </c>
      <c r="L154" t="s">
        <v>1564</v>
      </c>
      <c r="O154" t="s">
        <v>1617</v>
      </c>
      <c r="Q154" t="str">
        <f t="shared" si="6"/>
        <v>Dec</v>
      </c>
      <c r="R154">
        <f t="shared" si="7"/>
        <v>2014</v>
      </c>
      <c r="S154" t="str">
        <f>VLOOKUP($W154,TBL_Categories,2,FALSE)</f>
        <v>Irregular</v>
      </c>
      <c r="T154">
        <f>VLOOKUP($W154,TBL_Categories,3,FALSE)</f>
        <v>0</v>
      </c>
      <c r="U154" t="str">
        <f>VLOOKUP($W154,TBL_Categories,4,FALSE)</f>
        <v>No</v>
      </c>
      <c r="V154" t="str">
        <f>VLOOKUP($W154,TBL_Categories,5,FALSE)</f>
        <v>None</v>
      </c>
      <c r="W154" t="str">
        <f t="shared" si="8"/>
        <v>Vacation|Food</v>
      </c>
    </row>
    <row r="155" spans="1:23" x14ac:dyDescent="0.25">
      <c r="A155" t="s">
        <v>296</v>
      </c>
      <c r="B155" s="5">
        <v>41976</v>
      </c>
      <c r="C155">
        <v>-29.44</v>
      </c>
      <c r="D155" t="s">
        <v>304</v>
      </c>
      <c r="E155" t="s">
        <v>1408</v>
      </c>
      <c r="F155" t="s">
        <v>1328</v>
      </c>
      <c r="G155" t="s">
        <v>599</v>
      </c>
      <c r="K155" t="s">
        <v>75</v>
      </c>
      <c r="L155" t="s">
        <v>1564</v>
      </c>
      <c r="O155" t="s">
        <v>1617</v>
      </c>
      <c r="Q155" t="str">
        <f t="shared" si="6"/>
        <v>Dec</v>
      </c>
      <c r="R155">
        <f t="shared" si="7"/>
        <v>2014</v>
      </c>
      <c r="S155" t="str">
        <f>VLOOKUP($W155,TBL_Categories,2,FALSE)</f>
        <v>Irregular</v>
      </c>
      <c r="T155">
        <f>VLOOKUP($W155,TBL_Categories,3,FALSE)</f>
        <v>0</v>
      </c>
      <c r="U155" t="str">
        <f>VLOOKUP($W155,TBL_Categories,4,FALSE)</f>
        <v>No</v>
      </c>
      <c r="V155" t="str">
        <f>VLOOKUP($W155,TBL_Categories,5,FALSE)</f>
        <v>None</v>
      </c>
      <c r="W155" t="str">
        <f t="shared" si="8"/>
        <v>Vacation|Food</v>
      </c>
    </row>
    <row r="156" spans="1:23" x14ac:dyDescent="0.25">
      <c r="A156" t="s">
        <v>296</v>
      </c>
      <c r="B156" s="5">
        <v>41976</v>
      </c>
      <c r="C156">
        <v>-91.98</v>
      </c>
      <c r="D156" t="s">
        <v>304</v>
      </c>
      <c r="E156" t="s">
        <v>1409</v>
      </c>
      <c r="F156" t="s">
        <v>1328</v>
      </c>
      <c r="G156" t="s">
        <v>599</v>
      </c>
      <c r="K156" t="s">
        <v>75</v>
      </c>
      <c r="L156" t="s">
        <v>1564</v>
      </c>
      <c r="O156" t="s">
        <v>1617</v>
      </c>
      <c r="Q156" t="str">
        <f t="shared" si="6"/>
        <v>Dec</v>
      </c>
      <c r="R156">
        <f t="shared" si="7"/>
        <v>2014</v>
      </c>
      <c r="S156" t="str">
        <f>VLOOKUP($W156,TBL_Categories,2,FALSE)</f>
        <v>Irregular</v>
      </c>
      <c r="T156">
        <f>VLOOKUP($W156,TBL_Categories,3,FALSE)</f>
        <v>0</v>
      </c>
      <c r="U156" t="str">
        <f>VLOOKUP($W156,TBL_Categories,4,FALSE)</f>
        <v>No</v>
      </c>
      <c r="V156" t="str">
        <f>VLOOKUP($W156,TBL_Categories,5,FALSE)</f>
        <v>None</v>
      </c>
      <c r="W156" t="str">
        <f t="shared" si="8"/>
        <v>Vacation|Food</v>
      </c>
    </row>
    <row r="157" spans="1:23" x14ac:dyDescent="0.25">
      <c r="A157" t="s">
        <v>284</v>
      </c>
      <c r="B157" s="5">
        <v>41975</v>
      </c>
      <c r="C157" s="4">
        <v>-2033.91</v>
      </c>
      <c r="D157" t="s">
        <v>304</v>
      </c>
      <c r="E157" t="s">
        <v>318</v>
      </c>
      <c r="F157" t="s">
        <v>378</v>
      </c>
      <c r="G157" t="s">
        <v>379</v>
      </c>
      <c r="J157">
        <v>9602</v>
      </c>
      <c r="K157" t="s">
        <v>55</v>
      </c>
      <c r="L157" t="s">
        <v>1525</v>
      </c>
      <c r="Q157" t="str">
        <f t="shared" si="6"/>
        <v>Dec</v>
      </c>
      <c r="R157">
        <f t="shared" si="7"/>
        <v>2014</v>
      </c>
      <c r="S157" t="str">
        <f>VLOOKUP($W157,TBL_Categories,2,FALSE)</f>
        <v>Monthly</v>
      </c>
      <c r="T157">
        <f>VLOOKUP($W157,TBL_Categories,3,FALSE)</f>
        <v>0</v>
      </c>
      <c r="U157" t="str">
        <f>VLOOKUP($W157,TBL_Categories,4,FALSE)</f>
        <v>No</v>
      </c>
      <c r="V157" t="str">
        <f>VLOOKUP($W157,TBL_Categories,5,FALSE)</f>
        <v>None</v>
      </c>
      <c r="W157" t="str">
        <f t="shared" si="8"/>
        <v>Business Expenses (Koolikai)|Mortgage (Business)</v>
      </c>
    </row>
    <row r="158" spans="1:23" x14ac:dyDescent="0.25">
      <c r="A158" t="s">
        <v>284</v>
      </c>
      <c r="B158" s="5">
        <v>41975</v>
      </c>
      <c r="C158" s="4">
        <v>-3517.65</v>
      </c>
      <c r="D158" t="s">
        <v>304</v>
      </c>
      <c r="E158" t="s">
        <v>318</v>
      </c>
      <c r="F158" t="s">
        <v>849</v>
      </c>
      <c r="G158" t="s">
        <v>380</v>
      </c>
      <c r="J158">
        <v>7231</v>
      </c>
      <c r="K158" t="s">
        <v>55</v>
      </c>
      <c r="L158" t="s">
        <v>1525</v>
      </c>
      <c r="Q158" t="str">
        <f t="shared" si="6"/>
        <v>Dec</v>
      </c>
      <c r="R158">
        <f t="shared" si="7"/>
        <v>2014</v>
      </c>
      <c r="S158" t="str">
        <f>VLOOKUP($W158,TBL_Categories,2,FALSE)</f>
        <v>Monthly</v>
      </c>
      <c r="T158">
        <f>VLOOKUP($W158,TBL_Categories,3,FALSE)</f>
        <v>0</v>
      </c>
      <c r="U158" t="str">
        <f>VLOOKUP($W158,TBL_Categories,4,FALSE)</f>
        <v>No</v>
      </c>
      <c r="V158" t="str">
        <f>VLOOKUP($W158,TBL_Categories,5,FALSE)</f>
        <v>None</v>
      </c>
      <c r="W158" t="str">
        <f t="shared" si="8"/>
        <v>Business Expenses (Koolikai)|Mortgage (Business)</v>
      </c>
    </row>
    <row r="159" spans="1:23" x14ac:dyDescent="0.25">
      <c r="A159" t="s">
        <v>284</v>
      </c>
      <c r="B159" s="5">
        <v>41975</v>
      </c>
      <c r="C159" s="4">
        <v>-4343.96</v>
      </c>
      <c r="D159" t="s">
        <v>304</v>
      </c>
      <c r="E159" t="s">
        <v>321</v>
      </c>
      <c r="F159" t="s">
        <v>365</v>
      </c>
      <c r="G159" t="s">
        <v>13</v>
      </c>
      <c r="K159" t="s">
        <v>13</v>
      </c>
      <c r="Q159" t="str">
        <f t="shared" si="6"/>
        <v>Dec</v>
      </c>
      <c r="R159">
        <f t="shared" si="7"/>
        <v>2014</v>
      </c>
      <c r="S159" t="str">
        <f>VLOOKUP($W159,TBL_Categories,2,FALSE)</f>
        <v>Account</v>
      </c>
      <c r="T159">
        <f>VLOOKUP($W159,TBL_Categories,3,FALSE)</f>
        <v>0</v>
      </c>
      <c r="U159" t="str">
        <f>VLOOKUP($W159,TBL_Categories,4,FALSE)</f>
        <v>No</v>
      </c>
      <c r="V159" t="str">
        <f>VLOOKUP($W159,TBL_Categories,5,FALSE)</f>
        <v>None</v>
      </c>
      <c r="W159" t="str">
        <f t="shared" si="8"/>
        <v>[MasterCard (Capital One)]</v>
      </c>
    </row>
    <row r="160" spans="1:23" x14ac:dyDescent="0.25">
      <c r="A160" t="s">
        <v>296</v>
      </c>
      <c r="B160" s="5">
        <v>41975</v>
      </c>
      <c r="C160">
        <v>25</v>
      </c>
      <c r="D160" t="s">
        <v>304</v>
      </c>
      <c r="E160" t="s">
        <v>660</v>
      </c>
      <c r="G160" t="s">
        <v>14</v>
      </c>
      <c r="K160" t="s">
        <v>14</v>
      </c>
      <c r="Q160" t="str">
        <f t="shared" si="6"/>
        <v>Dec</v>
      </c>
      <c r="R160">
        <f t="shared" si="7"/>
        <v>2014</v>
      </c>
      <c r="S160" t="str">
        <f>VLOOKUP($W160,TBL_Categories,2,FALSE)</f>
        <v>Monthly</v>
      </c>
      <c r="T160">
        <f>VLOOKUP($W160,TBL_Categories,3,FALSE)</f>
        <v>0</v>
      </c>
      <c r="U160" t="str">
        <f>VLOOKUP($W160,TBL_Categories,4,FALSE)</f>
        <v>No</v>
      </c>
      <c r="V160" t="str">
        <f>VLOOKUP($W160,TBL_Categories,5,FALSE)</f>
        <v>None</v>
      </c>
      <c r="W160" t="str">
        <f t="shared" si="8"/>
        <v>Other Inc</v>
      </c>
    </row>
    <row r="161" spans="1:23" x14ac:dyDescent="0.25">
      <c r="A161" t="s">
        <v>296</v>
      </c>
      <c r="B161" s="5">
        <v>41975</v>
      </c>
      <c r="C161">
        <v>-8.73</v>
      </c>
      <c r="D161" t="s">
        <v>304</v>
      </c>
      <c r="E161" t="s">
        <v>461</v>
      </c>
      <c r="F161" t="s">
        <v>1328</v>
      </c>
      <c r="G161" t="s">
        <v>599</v>
      </c>
      <c r="K161" t="s">
        <v>75</v>
      </c>
      <c r="L161" t="s">
        <v>1564</v>
      </c>
      <c r="O161" t="s">
        <v>1617</v>
      </c>
      <c r="Q161" t="str">
        <f t="shared" si="6"/>
        <v>Dec</v>
      </c>
      <c r="R161">
        <f t="shared" si="7"/>
        <v>2014</v>
      </c>
      <c r="S161" t="str">
        <f>VLOOKUP($W161,TBL_Categories,2,FALSE)</f>
        <v>Irregular</v>
      </c>
      <c r="T161">
        <f>VLOOKUP($W161,TBL_Categories,3,FALSE)</f>
        <v>0</v>
      </c>
      <c r="U161" t="str">
        <f>VLOOKUP($W161,TBL_Categories,4,FALSE)</f>
        <v>No</v>
      </c>
      <c r="V161" t="str">
        <f>VLOOKUP($W161,TBL_Categories,5,FALSE)</f>
        <v>None</v>
      </c>
      <c r="W161" t="str">
        <f t="shared" si="8"/>
        <v>Vacation|Food</v>
      </c>
    </row>
    <row r="162" spans="1:23" x14ac:dyDescent="0.25">
      <c r="A162" t="s">
        <v>296</v>
      </c>
      <c r="B162" s="5">
        <v>41975</v>
      </c>
      <c r="C162">
        <v>-17.170000000000002</v>
      </c>
      <c r="D162" t="s">
        <v>304</v>
      </c>
      <c r="E162" t="s">
        <v>1399</v>
      </c>
      <c r="F162" t="s">
        <v>1400</v>
      </c>
      <c r="G162" t="s">
        <v>20</v>
      </c>
      <c r="K162" t="s">
        <v>20</v>
      </c>
      <c r="O162" t="s">
        <v>1617</v>
      </c>
      <c r="Q162" t="str">
        <f t="shared" si="6"/>
        <v>Dec</v>
      </c>
      <c r="R162">
        <f t="shared" si="7"/>
        <v>2014</v>
      </c>
      <c r="S162" t="str">
        <f>VLOOKUP($W162,TBL_Categories,2,FALSE)</f>
        <v>Monthly</v>
      </c>
      <c r="T162">
        <f>VLOOKUP($W162,TBL_Categories,3,FALSE)</f>
        <v>0</v>
      </c>
      <c r="U162" t="str">
        <f>VLOOKUP($W162,TBL_Categories,4,FALSE)</f>
        <v>No</v>
      </c>
      <c r="V162" t="str">
        <f>VLOOKUP($W162,TBL_Categories,5,FALSE)</f>
        <v>None</v>
      </c>
      <c r="W162" t="str">
        <f t="shared" si="8"/>
        <v>Gifts</v>
      </c>
    </row>
    <row r="163" spans="1:23" x14ac:dyDescent="0.25">
      <c r="A163" t="s">
        <v>296</v>
      </c>
      <c r="B163" s="5">
        <v>41975</v>
      </c>
      <c r="C163">
        <v>-23.6</v>
      </c>
      <c r="D163" t="s">
        <v>304</v>
      </c>
      <c r="E163" t="s">
        <v>1401</v>
      </c>
      <c r="F163" t="s">
        <v>1328</v>
      </c>
      <c r="G163" t="s">
        <v>599</v>
      </c>
      <c r="K163" t="s">
        <v>75</v>
      </c>
      <c r="L163" t="s">
        <v>1564</v>
      </c>
      <c r="O163" t="s">
        <v>1617</v>
      </c>
      <c r="Q163" t="str">
        <f t="shared" si="6"/>
        <v>Dec</v>
      </c>
      <c r="R163">
        <f t="shared" si="7"/>
        <v>2014</v>
      </c>
      <c r="S163" t="str">
        <f>VLOOKUP($W163,TBL_Categories,2,FALSE)</f>
        <v>Irregular</v>
      </c>
      <c r="T163">
        <f>VLOOKUP($W163,TBL_Categories,3,FALSE)</f>
        <v>0</v>
      </c>
      <c r="U163" t="str">
        <f>VLOOKUP($W163,TBL_Categories,4,FALSE)</f>
        <v>No</v>
      </c>
      <c r="V163" t="str">
        <f>VLOOKUP($W163,TBL_Categories,5,FALSE)</f>
        <v>None</v>
      </c>
      <c r="W163" t="str">
        <f t="shared" si="8"/>
        <v>Vacation|Food</v>
      </c>
    </row>
    <row r="164" spans="1:23" x14ac:dyDescent="0.25">
      <c r="A164" t="s">
        <v>296</v>
      </c>
      <c r="B164" s="5">
        <v>41975</v>
      </c>
      <c r="C164">
        <v>-27.19</v>
      </c>
      <c r="D164" t="s">
        <v>304</v>
      </c>
      <c r="E164" t="s">
        <v>1399</v>
      </c>
      <c r="F164" t="s">
        <v>1402</v>
      </c>
      <c r="G164" t="s">
        <v>609</v>
      </c>
      <c r="K164" t="s">
        <v>75</v>
      </c>
      <c r="L164" t="s">
        <v>1589</v>
      </c>
      <c r="O164" t="s">
        <v>1617</v>
      </c>
      <c r="Q164" t="str">
        <f t="shared" si="6"/>
        <v>Dec</v>
      </c>
      <c r="R164">
        <f t="shared" si="7"/>
        <v>2014</v>
      </c>
      <c r="S164" t="str">
        <f>VLOOKUP($W164,TBL_Categories,2,FALSE)</f>
        <v>Irregular</v>
      </c>
      <c r="T164">
        <f>VLOOKUP($W164,TBL_Categories,3,FALSE)</f>
        <v>0</v>
      </c>
      <c r="U164" t="str">
        <f>VLOOKUP($W164,TBL_Categories,4,FALSE)</f>
        <v>No</v>
      </c>
      <c r="V164" t="str">
        <f>VLOOKUP($W164,TBL_Categories,5,FALSE)</f>
        <v>None</v>
      </c>
      <c r="W164" t="str">
        <f t="shared" si="8"/>
        <v>Vacation|Trinkets</v>
      </c>
    </row>
    <row r="165" spans="1:23" x14ac:dyDescent="0.25">
      <c r="A165" t="s">
        <v>296</v>
      </c>
      <c r="B165" s="5">
        <v>41975</v>
      </c>
      <c r="C165">
        <v>-42.17</v>
      </c>
      <c r="D165" t="s">
        <v>304</v>
      </c>
      <c r="E165" t="s">
        <v>1403</v>
      </c>
      <c r="F165" t="s">
        <v>1328</v>
      </c>
      <c r="G165" t="s">
        <v>599</v>
      </c>
      <c r="K165" t="s">
        <v>75</v>
      </c>
      <c r="L165" t="s">
        <v>1564</v>
      </c>
      <c r="O165" t="s">
        <v>1617</v>
      </c>
      <c r="Q165" t="str">
        <f t="shared" si="6"/>
        <v>Dec</v>
      </c>
      <c r="R165">
        <f t="shared" si="7"/>
        <v>2014</v>
      </c>
      <c r="S165" t="str">
        <f>VLOOKUP($W165,TBL_Categories,2,FALSE)</f>
        <v>Irregular</v>
      </c>
      <c r="T165">
        <f>VLOOKUP($W165,TBL_Categories,3,FALSE)</f>
        <v>0</v>
      </c>
      <c r="U165" t="str">
        <f>VLOOKUP($W165,TBL_Categories,4,FALSE)</f>
        <v>No</v>
      </c>
      <c r="V165" t="str">
        <f>VLOOKUP($W165,TBL_Categories,5,FALSE)</f>
        <v>None</v>
      </c>
      <c r="W165" t="str">
        <f t="shared" si="8"/>
        <v>Vacation|Food</v>
      </c>
    </row>
    <row r="166" spans="1:23" x14ac:dyDescent="0.25">
      <c r="A166" t="s">
        <v>296</v>
      </c>
      <c r="B166" s="5">
        <v>41975</v>
      </c>
      <c r="C166">
        <v>-76.5</v>
      </c>
      <c r="D166" t="s">
        <v>304</v>
      </c>
      <c r="E166" t="s">
        <v>529</v>
      </c>
      <c r="F166" t="s">
        <v>1246</v>
      </c>
      <c r="G166" t="s">
        <v>449</v>
      </c>
      <c r="K166" t="s">
        <v>66</v>
      </c>
      <c r="L166" t="s">
        <v>1555</v>
      </c>
      <c r="Q166" t="str">
        <f t="shared" si="6"/>
        <v>Dec</v>
      </c>
      <c r="R166">
        <f t="shared" si="7"/>
        <v>2014</v>
      </c>
      <c r="S166" t="str">
        <f>VLOOKUP($W166,TBL_Categories,2,FALSE)</f>
        <v>Monthly</v>
      </c>
      <c r="T166">
        <f>VLOOKUP($W166,TBL_Categories,3,FALSE)</f>
        <v>0</v>
      </c>
      <c r="U166" t="str">
        <f>VLOOKUP($W166,TBL_Categories,4,FALSE)</f>
        <v>No</v>
      </c>
      <c r="V166" t="str">
        <f>VLOOKUP($W166,TBL_Categories,5,FALSE)</f>
        <v>None</v>
      </c>
      <c r="W166" t="str">
        <f t="shared" si="8"/>
        <v>Kids|Kids Activities</v>
      </c>
    </row>
    <row r="167" spans="1:23" x14ac:dyDescent="0.25">
      <c r="A167" t="s">
        <v>296</v>
      </c>
      <c r="B167" s="5">
        <v>41975</v>
      </c>
      <c r="C167">
        <v>10.56</v>
      </c>
      <c r="D167" t="s">
        <v>304</v>
      </c>
      <c r="E167" t="s">
        <v>443</v>
      </c>
      <c r="F167" t="s">
        <v>1404</v>
      </c>
      <c r="G167" t="s">
        <v>591</v>
      </c>
      <c r="I167" t="s">
        <v>272</v>
      </c>
      <c r="K167" t="s">
        <v>53</v>
      </c>
      <c r="L167" t="s">
        <v>1542</v>
      </c>
      <c r="Q167" t="str">
        <f t="shared" si="6"/>
        <v>Dec</v>
      </c>
      <c r="R167">
        <f t="shared" si="7"/>
        <v>2014</v>
      </c>
      <c r="S167" t="str">
        <f>VLOOKUP($W167,TBL_Categories,2,FALSE)</f>
        <v>Irregular</v>
      </c>
      <c r="T167">
        <f>VLOOKUP($W167,TBL_Categories,3,FALSE)</f>
        <v>0</v>
      </c>
      <c r="U167" t="str">
        <f>VLOOKUP($W167,TBL_Categories,4,FALSE)</f>
        <v>No</v>
      </c>
      <c r="V167" t="str">
        <f>VLOOKUP($W167,TBL_Categories,5,FALSE)</f>
        <v>None</v>
      </c>
      <c r="W167" t="str">
        <f t="shared" si="8"/>
        <v>Bank Fees &amp; Charges|Bank Fee</v>
      </c>
    </row>
    <row r="168" spans="1:23" x14ac:dyDescent="0.25">
      <c r="A168" t="s">
        <v>296</v>
      </c>
      <c r="B168" s="5">
        <v>41975</v>
      </c>
      <c r="C168">
        <v>-19.72</v>
      </c>
      <c r="D168" t="s">
        <v>304</v>
      </c>
      <c r="E168" t="s">
        <v>443</v>
      </c>
      <c r="G168" t="s">
        <v>444</v>
      </c>
      <c r="I168" t="s">
        <v>272</v>
      </c>
      <c r="K168" t="s">
        <v>54</v>
      </c>
      <c r="L168" t="s">
        <v>1581</v>
      </c>
      <c r="Q168" t="str">
        <f t="shared" si="6"/>
        <v>Dec</v>
      </c>
      <c r="R168">
        <f t="shared" si="7"/>
        <v>2014</v>
      </c>
      <c r="S168" t="str">
        <f>VLOOKUP($W168,TBL_Categories,2,FALSE)</f>
        <v>Monthly</v>
      </c>
      <c r="T168">
        <f>VLOOKUP($W168,TBL_Categories,3,FALSE)</f>
        <v>0</v>
      </c>
      <c r="U168" t="str">
        <f>VLOOKUP($W168,TBL_Categories,4,FALSE)</f>
        <v>No</v>
      </c>
      <c r="V168" t="str">
        <f>VLOOKUP($W168,TBL_Categories,5,FALSE)</f>
        <v>None</v>
      </c>
      <c r="W168" t="str">
        <f t="shared" si="8"/>
        <v>Bills &amp; Utilities|Television</v>
      </c>
    </row>
    <row r="169" spans="1:23" x14ac:dyDescent="0.25">
      <c r="A169" t="s">
        <v>296</v>
      </c>
      <c r="B169" s="5">
        <v>41975</v>
      </c>
      <c r="C169">
        <v>-65.27</v>
      </c>
      <c r="D169" t="s">
        <v>304</v>
      </c>
      <c r="E169" t="s">
        <v>443</v>
      </c>
      <c r="G169" t="s">
        <v>445</v>
      </c>
      <c r="I169" t="s">
        <v>272</v>
      </c>
      <c r="K169" t="s">
        <v>55</v>
      </c>
      <c r="L169" t="s">
        <v>1582</v>
      </c>
      <c r="Q169" t="str">
        <f t="shared" si="6"/>
        <v>Dec</v>
      </c>
      <c r="R169">
        <f t="shared" si="7"/>
        <v>2014</v>
      </c>
      <c r="S169" t="str">
        <f>VLOOKUP($W169,TBL_Categories,2,FALSE)</f>
        <v>Monthly</v>
      </c>
      <c r="T169">
        <f>VLOOKUP($W169,TBL_Categories,3,FALSE)</f>
        <v>0</v>
      </c>
      <c r="U169" t="str">
        <f>VLOOKUP($W169,TBL_Categories,4,FALSE)</f>
        <v>No</v>
      </c>
      <c r="V169" t="str">
        <f>VLOOKUP($W169,TBL_Categories,5,FALSE)</f>
        <v>None</v>
      </c>
      <c r="W169" t="str">
        <f t="shared" si="8"/>
        <v>Business Expenses (Koolikai)|Internet</v>
      </c>
    </row>
    <row r="170" spans="1:23" x14ac:dyDescent="0.25">
      <c r="A170" t="s">
        <v>296</v>
      </c>
      <c r="B170" s="5">
        <v>41975</v>
      </c>
      <c r="C170">
        <v>-43.27</v>
      </c>
      <c r="D170" t="s">
        <v>304</v>
      </c>
      <c r="E170" t="s">
        <v>443</v>
      </c>
      <c r="G170" t="s">
        <v>446</v>
      </c>
      <c r="I170" t="s">
        <v>272</v>
      </c>
      <c r="K170" t="s">
        <v>54</v>
      </c>
      <c r="L170" t="s">
        <v>1583</v>
      </c>
      <c r="Q170" t="str">
        <f t="shared" si="6"/>
        <v>Dec</v>
      </c>
      <c r="R170">
        <f t="shared" si="7"/>
        <v>2014</v>
      </c>
      <c r="S170" t="str">
        <f>VLOOKUP($W170,TBL_Categories,2,FALSE)</f>
        <v>Monthly</v>
      </c>
      <c r="T170">
        <f>VLOOKUP($W170,TBL_Categories,3,FALSE)</f>
        <v>0</v>
      </c>
      <c r="U170" t="str">
        <f>VLOOKUP($W170,TBL_Categories,4,FALSE)</f>
        <v>No</v>
      </c>
      <c r="V170" t="str">
        <f>VLOOKUP($W170,TBL_Categories,5,FALSE)</f>
        <v>None</v>
      </c>
      <c r="W170" t="str">
        <f t="shared" si="8"/>
        <v>Bills &amp; Utilities|Home Phone</v>
      </c>
    </row>
    <row r="171" spans="1:23" x14ac:dyDescent="0.25">
      <c r="A171" t="s">
        <v>296</v>
      </c>
      <c r="B171" s="5">
        <v>41975</v>
      </c>
      <c r="C171">
        <v>-5.48</v>
      </c>
      <c r="D171" t="s">
        <v>304</v>
      </c>
      <c r="E171" t="s">
        <v>443</v>
      </c>
      <c r="F171" t="s">
        <v>1405</v>
      </c>
      <c r="G171" t="s">
        <v>445</v>
      </c>
      <c r="I171" t="s">
        <v>272</v>
      </c>
      <c r="K171" t="s">
        <v>55</v>
      </c>
      <c r="L171" t="s">
        <v>1582</v>
      </c>
      <c r="Q171" t="str">
        <f t="shared" si="6"/>
        <v>Dec</v>
      </c>
      <c r="R171">
        <f t="shared" si="7"/>
        <v>2014</v>
      </c>
      <c r="S171" t="str">
        <f>VLOOKUP($W171,TBL_Categories,2,FALSE)</f>
        <v>Monthly</v>
      </c>
      <c r="T171">
        <f>VLOOKUP($W171,TBL_Categories,3,FALSE)</f>
        <v>0</v>
      </c>
      <c r="U171" t="str">
        <f>VLOOKUP($W171,TBL_Categories,4,FALSE)</f>
        <v>No</v>
      </c>
      <c r="V171" t="str">
        <f>VLOOKUP($W171,TBL_Categories,5,FALSE)</f>
        <v>None</v>
      </c>
      <c r="W171" t="str">
        <f t="shared" si="8"/>
        <v>Business Expenses (Koolikai)|Internet</v>
      </c>
    </row>
    <row r="172" spans="1:23" x14ac:dyDescent="0.25">
      <c r="A172" t="s">
        <v>296</v>
      </c>
      <c r="B172" s="5">
        <v>41975</v>
      </c>
      <c r="C172">
        <v>-300</v>
      </c>
      <c r="D172" t="s">
        <v>304</v>
      </c>
      <c r="E172" t="s">
        <v>1406</v>
      </c>
      <c r="F172" t="s">
        <v>1407</v>
      </c>
      <c r="G172" t="s">
        <v>940</v>
      </c>
      <c r="K172" t="s">
        <v>29</v>
      </c>
      <c r="L172" t="s">
        <v>1573</v>
      </c>
      <c r="O172" t="s">
        <v>1619</v>
      </c>
      <c r="Q172" t="str">
        <f t="shared" si="6"/>
        <v>Dec</v>
      </c>
      <c r="R172">
        <f t="shared" si="7"/>
        <v>2014</v>
      </c>
      <c r="S172" t="str">
        <f>VLOOKUP($W172,TBL_Categories,2,FALSE)</f>
        <v>Irregular</v>
      </c>
      <c r="T172">
        <f>VLOOKUP($W172,TBL_Categories,3,FALSE)</f>
        <v>0</v>
      </c>
      <c r="U172" t="str">
        <f>VLOOKUP($W172,TBL_Categories,4,FALSE)</f>
        <v>No</v>
      </c>
      <c r="V172" t="str">
        <f>VLOOKUP($W172,TBL_Categories,5,FALSE)</f>
        <v>None</v>
      </c>
      <c r="W172" t="str">
        <f t="shared" si="8"/>
        <v>Work Expense|Reimbursable expense</v>
      </c>
    </row>
    <row r="173" spans="1:23" x14ac:dyDescent="0.25">
      <c r="A173" t="s">
        <v>284</v>
      </c>
      <c r="B173" s="5">
        <v>41974</v>
      </c>
      <c r="C173" s="4">
        <v>-2052</v>
      </c>
      <c r="D173" t="s">
        <v>304</v>
      </c>
      <c r="E173" t="s">
        <v>314</v>
      </c>
      <c r="F173" t="s">
        <v>315</v>
      </c>
      <c r="G173" t="s">
        <v>316</v>
      </c>
      <c r="K173" t="s">
        <v>66</v>
      </c>
      <c r="L173" t="s">
        <v>1522</v>
      </c>
      <c r="Q173" t="str">
        <f t="shared" si="6"/>
        <v>Dec</v>
      </c>
      <c r="R173">
        <f t="shared" si="7"/>
        <v>2014</v>
      </c>
      <c r="S173" t="str">
        <f>VLOOKUP($W173,TBL_Categories,2,FALSE)</f>
        <v>Monthly</v>
      </c>
      <c r="T173">
        <f>VLOOKUP($W173,TBL_Categories,3,FALSE)</f>
        <v>0</v>
      </c>
      <c r="U173" t="str">
        <f>VLOOKUP($W173,TBL_Categories,4,FALSE)</f>
        <v>No</v>
      </c>
      <c r="V173" t="str">
        <f>VLOOKUP($W173,TBL_Categories,5,FALSE)</f>
        <v>None</v>
      </c>
      <c r="W173" t="str">
        <f t="shared" si="8"/>
        <v>Kids|Daycare</v>
      </c>
    </row>
    <row r="174" spans="1:23" x14ac:dyDescent="0.25">
      <c r="A174" t="s">
        <v>284</v>
      </c>
      <c r="B174" s="5">
        <v>41974</v>
      </c>
      <c r="C174">
        <v>-727.13</v>
      </c>
      <c r="D174" t="s">
        <v>304</v>
      </c>
      <c r="E174" t="s">
        <v>423</v>
      </c>
      <c r="F174" t="s">
        <v>848</v>
      </c>
      <c r="G174" t="s">
        <v>819</v>
      </c>
      <c r="H174">
        <v>2143</v>
      </c>
      <c r="K174" t="s">
        <v>90</v>
      </c>
      <c r="L174" t="s">
        <v>1552</v>
      </c>
      <c r="Q174" t="str">
        <f t="shared" si="6"/>
        <v>Dec</v>
      </c>
      <c r="R174">
        <f t="shared" si="7"/>
        <v>2014</v>
      </c>
      <c r="S174" t="str">
        <f>VLOOKUP($W174,TBL_Categories,2,FALSE)</f>
        <v>Unplanned</v>
      </c>
      <c r="T174">
        <f>VLOOKUP($W174,TBL_Categories,3,FALSE)</f>
        <v>0</v>
      </c>
      <c r="U174" t="str">
        <f>VLOOKUP($W174,TBL_Categories,4,FALSE)</f>
        <v>No</v>
      </c>
      <c r="V174" t="str">
        <f>VLOOKUP($W174,TBL_Categories,5,FALSE)</f>
        <v>None</v>
      </c>
      <c r="W174" t="str">
        <f t="shared" si="8"/>
        <v>Projects|Appliances</v>
      </c>
    </row>
    <row r="175" spans="1:23" x14ac:dyDescent="0.25">
      <c r="A175" t="s">
        <v>296</v>
      </c>
      <c r="B175" s="5">
        <v>41974</v>
      </c>
      <c r="C175" s="4">
        <v>4343.96</v>
      </c>
      <c r="D175" t="s">
        <v>304</v>
      </c>
      <c r="E175" t="s">
        <v>321</v>
      </c>
      <c r="G175" t="s">
        <v>9</v>
      </c>
      <c r="K175" t="s">
        <v>9</v>
      </c>
      <c r="Q175" t="str">
        <f t="shared" si="6"/>
        <v>Dec</v>
      </c>
      <c r="R175">
        <f t="shared" si="7"/>
        <v>2014</v>
      </c>
      <c r="S175" t="str">
        <f>VLOOKUP($W175,TBL_Categories,2,FALSE)</f>
        <v>Account</v>
      </c>
      <c r="T175">
        <f>VLOOKUP($W175,TBL_Categories,3,FALSE)</f>
        <v>0</v>
      </c>
      <c r="U175" t="str">
        <f>VLOOKUP($W175,TBL_Categories,4,FALSE)</f>
        <v>No</v>
      </c>
      <c r="V175" t="str">
        <f>VLOOKUP($W175,TBL_Categories,5,FALSE)</f>
        <v>None</v>
      </c>
      <c r="W175" t="str">
        <f t="shared" si="8"/>
        <v>[First Tech - Checking (5544)]</v>
      </c>
    </row>
    <row r="176" spans="1:23" x14ac:dyDescent="0.25">
      <c r="A176" t="s">
        <v>296</v>
      </c>
      <c r="B176" s="5">
        <v>41974</v>
      </c>
      <c r="C176">
        <v>-64.94</v>
      </c>
      <c r="D176" t="s">
        <v>304</v>
      </c>
      <c r="E176" t="s">
        <v>1398</v>
      </c>
      <c r="F176" t="s">
        <v>1328</v>
      </c>
      <c r="G176" t="s">
        <v>599</v>
      </c>
      <c r="K176" t="s">
        <v>75</v>
      </c>
      <c r="L176" t="s">
        <v>1564</v>
      </c>
      <c r="O176" t="s">
        <v>1617</v>
      </c>
      <c r="Q176" t="str">
        <f t="shared" si="6"/>
        <v>Dec</v>
      </c>
      <c r="R176">
        <f t="shared" si="7"/>
        <v>2014</v>
      </c>
      <c r="S176" t="str">
        <f>VLOOKUP($W176,TBL_Categories,2,FALSE)</f>
        <v>Irregular</v>
      </c>
      <c r="T176">
        <f>VLOOKUP($W176,TBL_Categories,3,FALSE)</f>
        <v>0</v>
      </c>
      <c r="U176" t="str">
        <f>VLOOKUP($W176,TBL_Categories,4,FALSE)</f>
        <v>No</v>
      </c>
      <c r="V176" t="str">
        <f>VLOOKUP($W176,TBL_Categories,5,FALSE)</f>
        <v>None</v>
      </c>
      <c r="W176" t="str">
        <f t="shared" si="8"/>
        <v>Vacation|Food</v>
      </c>
    </row>
    <row r="177" spans="1:23" x14ac:dyDescent="0.25">
      <c r="A177" t="s">
        <v>289</v>
      </c>
      <c r="B177" s="5">
        <v>41973</v>
      </c>
      <c r="C177">
        <v>0.19</v>
      </c>
      <c r="D177" t="s">
        <v>306</v>
      </c>
      <c r="E177" t="s">
        <v>396</v>
      </c>
      <c r="F177" t="s">
        <v>595</v>
      </c>
      <c r="G177" t="s">
        <v>8</v>
      </c>
      <c r="K177" t="s">
        <v>8</v>
      </c>
      <c r="Q177" t="str">
        <f t="shared" si="6"/>
        <v>Nov</v>
      </c>
      <c r="R177">
        <f t="shared" si="7"/>
        <v>2014</v>
      </c>
      <c r="S177" t="str">
        <f>VLOOKUP($W177,TBL_Categories,2,FALSE)</f>
        <v>Monthly</v>
      </c>
      <c r="T177">
        <f>VLOOKUP($W177,TBL_Categories,3,FALSE)</f>
        <v>0</v>
      </c>
      <c r="U177" t="str">
        <f>VLOOKUP($W177,TBL_Categories,4,FALSE)</f>
        <v>No</v>
      </c>
      <c r="V177" t="str">
        <f>VLOOKUP($W177,TBL_Categories,5,FALSE)</f>
        <v>None</v>
      </c>
      <c r="W177" t="str">
        <f t="shared" si="8"/>
        <v>Interest Income</v>
      </c>
    </row>
    <row r="178" spans="1:23" x14ac:dyDescent="0.25">
      <c r="A178" t="s">
        <v>633</v>
      </c>
      <c r="B178" s="5">
        <v>41973</v>
      </c>
      <c r="C178">
        <v>-11.95</v>
      </c>
      <c r="D178" t="s">
        <v>304</v>
      </c>
      <c r="E178" t="s">
        <v>987</v>
      </c>
      <c r="F178" t="s">
        <v>1006</v>
      </c>
      <c r="G178" t="s">
        <v>601</v>
      </c>
      <c r="K178" t="s">
        <v>54</v>
      </c>
      <c r="L178" t="s">
        <v>1556</v>
      </c>
      <c r="Q178" t="str">
        <f t="shared" si="6"/>
        <v>Nov</v>
      </c>
      <c r="R178">
        <f t="shared" si="7"/>
        <v>2014</v>
      </c>
      <c r="S178" t="str">
        <f>VLOOKUP($W178,TBL_Categories,2,FALSE)</f>
        <v>Hidden</v>
      </c>
      <c r="T178">
        <f>VLOOKUP($W178,TBL_Categories,3,FALSE)</f>
        <v>0</v>
      </c>
      <c r="U178" t="str">
        <f>VLOOKUP($W178,TBL_Categories,4,FALSE)</f>
        <v>No</v>
      </c>
      <c r="V178" t="str">
        <f>VLOOKUP($W178,TBL_Categories,5,FALSE)</f>
        <v>None</v>
      </c>
      <c r="W178" t="str">
        <f t="shared" si="8"/>
        <v>Bills &amp; Utilities|Mobile Phone</v>
      </c>
    </row>
    <row r="179" spans="1:23" x14ac:dyDescent="0.25">
      <c r="A179" t="s">
        <v>296</v>
      </c>
      <c r="B179" s="5">
        <v>41973</v>
      </c>
      <c r="C179">
        <v>-2.87</v>
      </c>
      <c r="D179" t="s">
        <v>304</v>
      </c>
      <c r="E179" t="s">
        <v>630</v>
      </c>
      <c r="G179" t="s">
        <v>409</v>
      </c>
      <c r="K179" t="s">
        <v>52</v>
      </c>
      <c r="L179" t="s">
        <v>1568</v>
      </c>
      <c r="Q179" t="str">
        <f t="shared" si="6"/>
        <v>Nov</v>
      </c>
      <c r="R179">
        <f t="shared" si="7"/>
        <v>2014</v>
      </c>
      <c r="S179" t="str">
        <f>VLOOKUP($W179,TBL_Categories,2,FALSE)</f>
        <v>Monthly</v>
      </c>
      <c r="T179">
        <f>VLOOKUP($W179,TBL_Categories,3,FALSE)</f>
        <v>0</v>
      </c>
      <c r="U179" t="str">
        <f>VLOOKUP($W179,TBL_Categories,4,FALSE)</f>
        <v>No</v>
      </c>
      <c r="V179" t="str">
        <f>VLOOKUP($W179,TBL_Categories,5,FALSE)</f>
        <v>None</v>
      </c>
      <c r="W179" t="str">
        <f t="shared" si="8"/>
        <v>Auto &amp; Transport|Gas &amp; Fuel</v>
      </c>
    </row>
    <row r="180" spans="1:23" x14ac:dyDescent="0.25">
      <c r="A180" t="s">
        <v>296</v>
      </c>
      <c r="B180" s="5">
        <v>41973</v>
      </c>
      <c r="C180">
        <v>-12.59</v>
      </c>
      <c r="D180" t="s">
        <v>304</v>
      </c>
      <c r="E180" t="s">
        <v>679</v>
      </c>
      <c r="F180" t="s">
        <v>941</v>
      </c>
      <c r="G180" t="s">
        <v>333</v>
      </c>
      <c r="K180" t="s">
        <v>61</v>
      </c>
      <c r="L180" t="s">
        <v>1530</v>
      </c>
      <c r="Q180" t="str">
        <f t="shared" si="6"/>
        <v>Nov</v>
      </c>
      <c r="R180">
        <f t="shared" si="7"/>
        <v>2014</v>
      </c>
      <c r="S180" t="str">
        <f>VLOOKUP($W180,TBL_Categories,2,FALSE)</f>
        <v>Monthly</v>
      </c>
      <c r="T180">
        <f>VLOOKUP($W180,TBL_Categories,3,FALSE)</f>
        <v>0</v>
      </c>
      <c r="U180" t="str">
        <f>VLOOKUP($W180,TBL_Categories,4,FALSE)</f>
        <v>No</v>
      </c>
      <c r="V180" t="str">
        <f>VLOOKUP($W180,TBL_Categories,5,FALSE)</f>
        <v>None</v>
      </c>
      <c r="W180" t="str">
        <f t="shared" si="8"/>
        <v>Food &amp; Dining|Restaurants</v>
      </c>
    </row>
    <row r="181" spans="1:23" x14ac:dyDescent="0.25">
      <c r="A181" t="s">
        <v>296</v>
      </c>
      <c r="B181" s="5">
        <v>41973</v>
      </c>
      <c r="C181">
        <v>-4.7</v>
      </c>
      <c r="D181" t="s">
        <v>304</v>
      </c>
      <c r="E181" t="s">
        <v>426</v>
      </c>
      <c r="F181" t="s">
        <v>1395</v>
      </c>
      <c r="G181" t="s">
        <v>887</v>
      </c>
      <c r="I181" t="s">
        <v>272</v>
      </c>
      <c r="J181" t="s">
        <v>1550</v>
      </c>
      <c r="K181" t="s">
        <v>61</v>
      </c>
      <c r="L181" t="s">
        <v>401</v>
      </c>
      <c r="Q181" t="str">
        <f t="shared" si="6"/>
        <v>Nov</v>
      </c>
      <c r="R181">
        <f t="shared" si="7"/>
        <v>2014</v>
      </c>
      <c r="S181" t="str">
        <f>VLOOKUP($W181,TBL_Categories,2,FALSE)</f>
        <v>Monthly</v>
      </c>
      <c r="T181">
        <f>VLOOKUP($W181,TBL_Categories,3,FALSE)</f>
        <v>0</v>
      </c>
      <c r="U181" t="str">
        <f>VLOOKUP($W181,TBL_Categories,4,FALSE)</f>
        <v>No</v>
      </c>
      <c r="V181" t="str">
        <f>VLOOKUP($W181,TBL_Categories,5,FALSE)</f>
        <v>None</v>
      </c>
      <c r="W181" t="str">
        <f t="shared" si="8"/>
        <v>Food &amp; Dining|Groceries</v>
      </c>
    </row>
    <row r="182" spans="1:23" x14ac:dyDescent="0.25">
      <c r="A182" t="s">
        <v>296</v>
      </c>
      <c r="B182" s="5">
        <v>41973</v>
      </c>
      <c r="C182">
        <v>-10</v>
      </c>
      <c r="D182" t="s">
        <v>304</v>
      </c>
      <c r="E182" t="s">
        <v>426</v>
      </c>
      <c r="G182" t="s">
        <v>1059</v>
      </c>
      <c r="I182" t="s">
        <v>272</v>
      </c>
      <c r="J182" t="s">
        <v>1550</v>
      </c>
      <c r="K182" t="s">
        <v>62</v>
      </c>
      <c r="L182" t="s">
        <v>1592</v>
      </c>
      <c r="Q182" t="str">
        <f t="shared" si="6"/>
        <v>Nov</v>
      </c>
      <c r="R182">
        <f t="shared" si="7"/>
        <v>2014</v>
      </c>
      <c r="S182" t="str">
        <f>VLOOKUP($W182,TBL_Categories,2,FALSE)</f>
        <v>Irregular</v>
      </c>
      <c r="T182">
        <f>VLOOKUP($W182,TBL_Categories,3,FALSE)</f>
        <v>0</v>
      </c>
      <c r="U182" t="str">
        <f>VLOOKUP($W182,TBL_Categories,4,FALSE)</f>
        <v>No</v>
      </c>
      <c r="V182" t="str">
        <f>VLOOKUP($W182,TBL_Categories,5,FALSE)</f>
        <v>None</v>
      </c>
      <c r="W182" t="str">
        <f t="shared" si="8"/>
        <v>Health &amp; Fitness|Pharmacy</v>
      </c>
    </row>
    <row r="183" spans="1:23" x14ac:dyDescent="0.25">
      <c r="A183" t="s">
        <v>296</v>
      </c>
      <c r="B183" s="5">
        <v>41973</v>
      </c>
      <c r="C183">
        <v>-25</v>
      </c>
      <c r="D183" t="s">
        <v>304</v>
      </c>
      <c r="E183" t="s">
        <v>1327</v>
      </c>
      <c r="F183" t="s">
        <v>1328</v>
      </c>
      <c r="G183" t="s">
        <v>410</v>
      </c>
      <c r="K183" t="s">
        <v>75</v>
      </c>
      <c r="L183" t="s">
        <v>1570</v>
      </c>
      <c r="O183" t="s">
        <v>1617</v>
      </c>
      <c r="Q183" t="str">
        <f t="shared" si="6"/>
        <v>Nov</v>
      </c>
      <c r="R183">
        <f t="shared" si="7"/>
        <v>2014</v>
      </c>
      <c r="S183" t="str">
        <f>VLOOKUP($W183,TBL_Categories,2,FALSE)</f>
        <v>Irregular</v>
      </c>
      <c r="T183">
        <f>VLOOKUP($W183,TBL_Categories,3,FALSE)</f>
        <v>0</v>
      </c>
      <c r="U183" t="str">
        <f>VLOOKUP($W183,TBL_Categories,4,FALSE)</f>
        <v>No</v>
      </c>
      <c r="V183" t="str">
        <f>VLOOKUP($W183,TBL_Categories,5,FALSE)</f>
        <v>None</v>
      </c>
      <c r="W183" t="str">
        <f t="shared" si="8"/>
        <v>Vacation|Transportation</v>
      </c>
    </row>
    <row r="184" spans="1:23" x14ac:dyDescent="0.25">
      <c r="A184" t="s">
        <v>296</v>
      </c>
      <c r="B184" s="5">
        <v>41973</v>
      </c>
      <c r="C184">
        <v>-34</v>
      </c>
      <c r="D184" t="s">
        <v>304</v>
      </c>
      <c r="E184" t="s">
        <v>665</v>
      </c>
      <c r="F184" t="s">
        <v>730</v>
      </c>
      <c r="G184" t="s">
        <v>398</v>
      </c>
      <c r="K184" t="s">
        <v>70</v>
      </c>
      <c r="L184" t="s">
        <v>1563</v>
      </c>
      <c r="Q184" t="str">
        <f t="shared" si="6"/>
        <v>Nov</v>
      </c>
      <c r="R184">
        <f t="shared" si="7"/>
        <v>2014</v>
      </c>
      <c r="S184" t="str">
        <f>VLOOKUP($W184,TBL_Categories,2,FALSE)</f>
        <v>Monthly</v>
      </c>
      <c r="T184">
        <f>VLOOKUP($W184,TBL_Categories,3,FALSE)</f>
        <v>0</v>
      </c>
      <c r="U184" t="str">
        <f>VLOOKUP($W184,TBL_Categories,4,FALSE)</f>
        <v>No</v>
      </c>
      <c r="V184" t="str">
        <f>VLOOKUP($W184,TBL_Categories,5,FALSE)</f>
        <v>None</v>
      </c>
      <c r="W184" t="str">
        <f t="shared" si="8"/>
        <v>Personal Care|Hair</v>
      </c>
    </row>
    <row r="185" spans="1:23" x14ac:dyDescent="0.25">
      <c r="A185" t="s">
        <v>296</v>
      </c>
      <c r="B185" s="5">
        <v>41973</v>
      </c>
      <c r="C185">
        <v>-45.28</v>
      </c>
      <c r="D185" t="s">
        <v>304</v>
      </c>
      <c r="E185" t="s">
        <v>434</v>
      </c>
      <c r="G185" t="s">
        <v>342</v>
      </c>
      <c r="K185" t="s">
        <v>61</v>
      </c>
      <c r="L185" t="s">
        <v>401</v>
      </c>
      <c r="Q185" t="str">
        <f t="shared" si="6"/>
        <v>Nov</v>
      </c>
      <c r="R185">
        <f t="shared" si="7"/>
        <v>2014</v>
      </c>
      <c r="S185" t="str">
        <f>VLOOKUP($W185,TBL_Categories,2,FALSE)</f>
        <v>Monthly</v>
      </c>
      <c r="T185">
        <f>VLOOKUP($W185,TBL_Categories,3,FALSE)</f>
        <v>0</v>
      </c>
      <c r="U185" t="str">
        <f>VLOOKUP($W185,TBL_Categories,4,FALSE)</f>
        <v>No</v>
      </c>
      <c r="V185" t="str">
        <f>VLOOKUP($W185,TBL_Categories,5,FALSE)</f>
        <v>None</v>
      </c>
      <c r="W185" t="str">
        <f t="shared" si="8"/>
        <v>Food &amp; Dining|Groceries</v>
      </c>
    </row>
    <row r="186" spans="1:23" x14ac:dyDescent="0.25">
      <c r="A186" t="s">
        <v>296</v>
      </c>
      <c r="B186" s="5">
        <v>41973</v>
      </c>
      <c r="C186">
        <v>-42.21</v>
      </c>
      <c r="D186" t="s">
        <v>304</v>
      </c>
      <c r="E186" t="s">
        <v>433</v>
      </c>
      <c r="G186" t="s">
        <v>887</v>
      </c>
      <c r="I186" t="s">
        <v>272</v>
      </c>
      <c r="J186" t="s">
        <v>1550</v>
      </c>
      <c r="K186" t="s">
        <v>61</v>
      </c>
      <c r="L186" t="s">
        <v>401</v>
      </c>
      <c r="Q186" t="str">
        <f t="shared" si="6"/>
        <v>Nov</v>
      </c>
      <c r="R186">
        <f t="shared" si="7"/>
        <v>2014</v>
      </c>
      <c r="S186" t="str">
        <f>VLOOKUP($W186,TBL_Categories,2,FALSE)</f>
        <v>Monthly</v>
      </c>
      <c r="T186">
        <f>VLOOKUP($W186,TBL_Categories,3,FALSE)</f>
        <v>0</v>
      </c>
      <c r="U186" t="str">
        <f>VLOOKUP($W186,TBL_Categories,4,FALSE)</f>
        <v>No</v>
      </c>
      <c r="V186" t="str">
        <f>VLOOKUP($W186,TBL_Categories,5,FALSE)</f>
        <v>None</v>
      </c>
      <c r="W186" t="str">
        <f t="shared" si="8"/>
        <v>Food &amp; Dining|Groceries</v>
      </c>
    </row>
    <row r="187" spans="1:23" x14ac:dyDescent="0.25">
      <c r="A187" t="s">
        <v>296</v>
      </c>
      <c r="B187" s="5">
        <v>41973</v>
      </c>
      <c r="C187">
        <v>-15</v>
      </c>
      <c r="D187" t="s">
        <v>304</v>
      </c>
      <c r="E187" t="s">
        <v>433</v>
      </c>
      <c r="F187" t="s">
        <v>1396</v>
      </c>
      <c r="G187" t="s">
        <v>1047</v>
      </c>
      <c r="I187" t="s">
        <v>272</v>
      </c>
      <c r="J187" t="s">
        <v>1550</v>
      </c>
      <c r="K187" t="s">
        <v>69</v>
      </c>
      <c r="Q187" t="str">
        <f t="shared" si="6"/>
        <v>Nov</v>
      </c>
      <c r="R187">
        <f t="shared" si="7"/>
        <v>2014</v>
      </c>
      <c r="S187" t="str">
        <f>VLOOKUP($W187,TBL_Categories,2,FALSE)</f>
        <v>Annual</v>
      </c>
      <c r="T187">
        <f>VLOOKUP($W187,TBL_Categories,3,FALSE)</f>
        <v>0</v>
      </c>
      <c r="U187" t="str">
        <f>VLOOKUP($W187,TBL_Categories,4,FALSE)</f>
        <v>No</v>
      </c>
      <c r="V187" t="str">
        <f>VLOOKUP($W187,TBL_Categories,5,FALSE)</f>
        <v>None</v>
      </c>
      <c r="W187" t="str">
        <f t="shared" si="8"/>
        <v>Parties</v>
      </c>
    </row>
    <row r="188" spans="1:23" x14ac:dyDescent="0.25">
      <c r="A188" t="s">
        <v>296</v>
      </c>
      <c r="B188" s="5">
        <v>41973</v>
      </c>
      <c r="C188">
        <v>-72</v>
      </c>
      <c r="D188" t="s">
        <v>304</v>
      </c>
      <c r="E188" t="s">
        <v>1026</v>
      </c>
      <c r="F188" t="s">
        <v>1397</v>
      </c>
      <c r="G188" t="s">
        <v>17</v>
      </c>
      <c r="K188" t="s">
        <v>17</v>
      </c>
      <c r="Q188" t="str">
        <f t="shared" si="6"/>
        <v>Nov</v>
      </c>
      <c r="R188">
        <f t="shared" si="7"/>
        <v>2014</v>
      </c>
      <c r="S188" t="str">
        <f>VLOOKUP($W188,TBL_Categories,2,FALSE)</f>
        <v>Monthly</v>
      </c>
      <c r="T188">
        <f>VLOOKUP($W188,TBL_Categories,3,FALSE)</f>
        <v>0</v>
      </c>
      <c r="U188" t="str">
        <f>VLOOKUP($W188,TBL_Categories,4,FALSE)</f>
        <v>No</v>
      </c>
      <c r="V188" t="str">
        <f>VLOOKUP($W188,TBL_Categories,5,FALSE)</f>
        <v>None</v>
      </c>
      <c r="W188" t="str">
        <f t="shared" si="8"/>
        <v>Entertainment</v>
      </c>
    </row>
    <row r="189" spans="1:23" x14ac:dyDescent="0.25">
      <c r="A189" t="s">
        <v>296</v>
      </c>
      <c r="B189" s="5">
        <v>41973</v>
      </c>
      <c r="C189">
        <v>-72</v>
      </c>
      <c r="D189" t="s">
        <v>304</v>
      </c>
      <c r="E189" t="s">
        <v>1026</v>
      </c>
      <c r="F189" t="s">
        <v>1397</v>
      </c>
      <c r="G189" t="s">
        <v>17</v>
      </c>
      <c r="K189" t="s">
        <v>17</v>
      </c>
      <c r="Q189" t="str">
        <f t="shared" si="6"/>
        <v>Nov</v>
      </c>
      <c r="R189">
        <f t="shared" si="7"/>
        <v>2014</v>
      </c>
      <c r="S189" t="str">
        <f>VLOOKUP($W189,TBL_Categories,2,FALSE)</f>
        <v>Monthly</v>
      </c>
      <c r="T189">
        <f>VLOOKUP($W189,TBL_Categories,3,FALSE)</f>
        <v>0</v>
      </c>
      <c r="U189" t="str">
        <f>VLOOKUP($W189,TBL_Categories,4,FALSE)</f>
        <v>No</v>
      </c>
      <c r="V189" t="str">
        <f>VLOOKUP($W189,TBL_Categories,5,FALSE)</f>
        <v>None</v>
      </c>
      <c r="W189" t="str">
        <f t="shared" si="8"/>
        <v>Entertainment</v>
      </c>
    </row>
    <row r="190" spans="1:23" x14ac:dyDescent="0.25">
      <c r="A190" t="s">
        <v>288</v>
      </c>
      <c r="B190" s="5">
        <v>41972</v>
      </c>
      <c r="C190" s="4">
        <v>2195</v>
      </c>
      <c r="D190" t="s">
        <v>306</v>
      </c>
      <c r="E190" t="s">
        <v>346</v>
      </c>
      <c r="F190" t="s">
        <v>394</v>
      </c>
      <c r="G190" t="s">
        <v>390</v>
      </c>
      <c r="J190">
        <v>9602</v>
      </c>
      <c r="K190" t="s">
        <v>33</v>
      </c>
      <c r="L190" t="s">
        <v>1519</v>
      </c>
      <c r="Q190" t="str">
        <f t="shared" si="6"/>
        <v>Nov</v>
      </c>
      <c r="R190">
        <f t="shared" si="7"/>
        <v>2014</v>
      </c>
      <c r="S190" t="str">
        <f>VLOOKUP($W190,TBL_Categories,2,FALSE)</f>
        <v>Monthly</v>
      </c>
      <c r="T190">
        <f>VLOOKUP($W190,TBL_Categories,3,FALSE)</f>
        <v>0</v>
      </c>
      <c r="U190" t="str">
        <f>VLOOKUP($W190,TBL_Categories,4,FALSE)</f>
        <v>No</v>
      </c>
      <c r="V190" t="str">
        <f>VLOOKUP($W190,TBL_Categories,5,FALSE)</f>
        <v>None</v>
      </c>
      <c r="W190" t="str">
        <f t="shared" si="8"/>
        <v>Business Income (Koolikai)|Rent</v>
      </c>
    </row>
    <row r="191" spans="1:23" x14ac:dyDescent="0.25">
      <c r="A191" t="s">
        <v>296</v>
      </c>
      <c r="B191" s="5">
        <v>41972</v>
      </c>
      <c r="C191">
        <v>-129.19999999999999</v>
      </c>
      <c r="D191" t="s">
        <v>304</v>
      </c>
      <c r="E191" t="s">
        <v>459</v>
      </c>
      <c r="G191" t="s">
        <v>333</v>
      </c>
      <c r="K191" t="s">
        <v>61</v>
      </c>
      <c r="L191" t="s">
        <v>1530</v>
      </c>
      <c r="Q191" t="str">
        <f t="shared" si="6"/>
        <v>Nov</v>
      </c>
      <c r="R191">
        <f t="shared" si="7"/>
        <v>2014</v>
      </c>
      <c r="S191" t="str">
        <f>VLOOKUP($W191,TBL_Categories,2,FALSE)</f>
        <v>Monthly</v>
      </c>
      <c r="T191">
        <f>VLOOKUP($W191,TBL_Categories,3,FALSE)</f>
        <v>0</v>
      </c>
      <c r="U191" t="str">
        <f>VLOOKUP($W191,TBL_Categories,4,FALSE)</f>
        <v>No</v>
      </c>
      <c r="V191" t="str">
        <f>VLOOKUP($W191,TBL_Categories,5,FALSE)</f>
        <v>None</v>
      </c>
      <c r="W191" t="str">
        <f t="shared" si="8"/>
        <v>Food &amp; Dining|Restaurants</v>
      </c>
    </row>
    <row r="192" spans="1:23" x14ac:dyDescent="0.25">
      <c r="A192" t="s">
        <v>296</v>
      </c>
      <c r="B192" s="5">
        <v>41972</v>
      </c>
      <c r="C192">
        <v>-970</v>
      </c>
      <c r="D192" t="s">
        <v>304</v>
      </c>
      <c r="E192" t="s">
        <v>1393</v>
      </c>
      <c r="F192" t="s">
        <v>1394</v>
      </c>
      <c r="G192" t="s">
        <v>607</v>
      </c>
      <c r="K192" t="s">
        <v>75</v>
      </c>
      <c r="L192" t="s">
        <v>1567</v>
      </c>
      <c r="O192" t="s">
        <v>1617</v>
      </c>
      <c r="Q192" t="str">
        <f t="shared" si="6"/>
        <v>Nov</v>
      </c>
      <c r="R192">
        <f t="shared" si="7"/>
        <v>2014</v>
      </c>
      <c r="S192" t="str">
        <f>VLOOKUP($W192,TBL_Categories,2,FALSE)</f>
        <v>Irregular</v>
      </c>
      <c r="T192">
        <f>VLOOKUP($W192,TBL_Categories,3,FALSE)</f>
        <v>0</v>
      </c>
      <c r="U192" t="str">
        <f>VLOOKUP($W192,TBL_Categories,4,FALSE)</f>
        <v>No</v>
      </c>
      <c r="V192" t="str">
        <f>VLOOKUP($W192,TBL_Categories,5,FALSE)</f>
        <v>None</v>
      </c>
      <c r="W192" t="str">
        <f t="shared" si="8"/>
        <v>Vacation|Activities</v>
      </c>
    </row>
    <row r="193" spans="1:23" x14ac:dyDescent="0.25">
      <c r="A193" t="s">
        <v>280</v>
      </c>
      <c r="B193" s="5">
        <v>41971</v>
      </c>
      <c r="C193">
        <v>19.420000000000002</v>
      </c>
      <c r="D193" t="s">
        <v>304</v>
      </c>
      <c r="E193" t="s">
        <v>309</v>
      </c>
      <c r="G193" t="s">
        <v>8</v>
      </c>
      <c r="K193" t="s">
        <v>8</v>
      </c>
      <c r="Q193" t="str">
        <f t="shared" si="6"/>
        <v>Nov</v>
      </c>
      <c r="R193">
        <f t="shared" si="7"/>
        <v>2014</v>
      </c>
      <c r="S193" t="str">
        <f>VLOOKUP($W193,TBL_Categories,2,FALSE)</f>
        <v>Monthly</v>
      </c>
      <c r="T193">
        <f>VLOOKUP($W193,TBL_Categories,3,FALSE)</f>
        <v>0</v>
      </c>
      <c r="U193" t="str">
        <f>VLOOKUP($W193,TBL_Categories,4,FALSE)</f>
        <v>No</v>
      </c>
      <c r="V193" t="str">
        <f>VLOOKUP($W193,TBL_Categories,5,FALSE)</f>
        <v>None</v>
      </c>
      <c r="W193" t="str">
        <f t="shared" si="8"/>
        <v>Interest Income</v>
      </c>
    </row>
    <row r="194" spans="1:23" x14ac:dyDescent="0.25">
      <c r="A194" t="s">
        <v>281</v>
      </c>
      <c r="B194" s="5">
        <v>41971</v>
      </c>
      <c r="C194">
        <v>48.77</v>
      </c>
      <c r="D194" t="s">
        <v>304</v>
      </c>
      <c r="E194" t="s">
        <v>309</v>
      </c>
      <c r="G194" t="s">
        <v>8</v>
      </c>
      <c r="K194" t="s">
        <v>8</v>
      </c>
      <c r="Q194" t="str">
        <f t="shared" ref="Q194:Q257" si="9">TEXT($B194,"MMM")</f>
        <v>Nov</v>
      </c>
      <c r="R194">
        <f t="shared" ref="R194:R257" si="10">YEAR($B194)</f>
        <v>2014</v>
      </c>
      <c r="S194" t="str">
        <f>VLOOKUP($W194,TBL_Categories,2,FALSE)</f>
        <v>Monthly</v>
      </c>
      <c r="T194">
        <f>VLOOKUP($W194,TBL_Categories,3,FALSE)</f>
        <v>0</v>
      </c>
      <c r="U194" t="str">
        <f>VLOOKUP($W194,TBL_Categories,4,FALSE)</f>
        <v>No</v>
      </c>
      <c r="V194" t="str">
        <f>VLOOKUP($W194,TBL_Categories,5,FALSE)</f>
        <v>None</v>
      </c>
      <c r="W194" t="str">
        <f t="shared" ref="W194:W257" si="11">IF(ISBLANK($L194),$K194,CONCATENATE($K194,"|",$L194))</f>
        <v>Interest Income</v>
      </c>
    </row>
    <row r="195" spans="1:23" x14ac:dyDescent="0.25">
      <c r="A195" t="s">
        <v>282</v>
      </c>
      <c r="B195" s="5">
        <v>41971</v>
      </c>
      <c r="C195">
        <v>0.02</v>
      </c>
      <c r="D195" t="s">
        <v>304</v>
      </c>
      <c r="E195" t="s">
        <v>309</v>
      </c>
      <c r="G195" t="s">
        <v>8</v>
      </c>
      <c r="K195" t="s">
        <v>8</v>
      </c>
      <c r="Q195" t="str">
        <f t="shared" si="9"/>
        <v>Nov</v>
      </c>
      <c r="R195">
        <f t="shared" si="10"/>
        <v>2014</v>
      </c>
      <c r="S195" t="str">
        <f>VLOOKUP($W195,TBL_Categories,2,FALSE)</f>
        <v>Monthly</v>
      </c>
      <c r="T195">
        <f>VLOOKUP($W195,TBL_Categories,3,FALSE)</f>
        <v>0</v>
      </c>
      <c r="U195" t="str">
        <f>VLOOKUP($W195,TBL_Categories,4,FALSE)</f>
        <v>No</v>
      </c>
      <c r="V195" t="str">
        <f>VLOOKUP($W195,TBL_Categories,5,FALSE)</f>
        <v>None</v>
      </c>
      <c r="W195" t="str">
        <f t="shared" si="11"/>
        <v>Interest Income</v>
      </c>
    </row>
    <row r="196" spans="1:23" x14ac:dyDescent="0.25">
      <c r="A196" t="s">
        <v>283</v>
      </c>
      <c r="B196" s="5">
        <v>41971</v>
      </c>
      <c r="C196">
        <v>14.81</v>
      </c>
      <c r="D196" t="s">
        <v>304</v>
      </c>
      <c r="E196" t="s">
        <v>309</v>
      </c>
      <c r="G196" t="s">
        <v>8</v>
      </c>
      <c r="K196" t="s">
        <v>8</v>
      </c>
      <c r="Q196" t="str">
        <f t="shared" si="9"/>
        <v>Nov</v>
      </c>
      <c r="R196">
        <f t="shared" si="10"/>
        <v>2014</v>
      </c>
      <c r="S196" t="str">
        <f>VLOOKUP($W196,TBL_Categories,2,FALSE)</f>
        <v>Monthly</v>
      </c>
      <c r="T196">
        <f>VLOOKUP($W196,TBL_Categories,3,FALSE)</f>
        <v>0</v>
      </c>
      <c r="U196" t="str">
        <f>VLOOKUP($W196,TBL_Categories,4,FALSE)</f>
        <v>No</v>
      </c>
      <c r="V196" t="str">
        <f>VLOOKUP($W196,TBL_Categories,5,FALSE)</f>
        <v>None</v>
      </c>
      <c r="W196" t="str">
        <f t="shared" si="11"/>
        <v>Interest Income</v>
      </c>
    </row>
    <row r="197" spans="1:23" x14ac:dyDescent="0.25">
      <c r="A197" t="s">
        <v>284</v>
      </c>
      <c r="B197" s="5">
        <v>41971</v>
      </c>
      <c r="C197">
        <v>-9.0500000000000007</v>
      </c>
      <c r="D197" t="s">
        <v>304</v>
      </c>
      <c r="E197" t="s">
        <v>847</v>
      </c>
      <c r="F197" t="s">
        <v>636</v>
      </c>
      <c r="G197" t="s">
        <v>657</v>
      </c>
      <c r="K197" t="s">
        <v>657</v>
      </c>
      <c r="Q197" t="str">
        <f t="shared" si="9"/>
        <v>Nov</v>
      </c>
      <c r="R197">
        <f t="shared" si="10"/>
        <v>2014</v>
      </c>
      <c r="S197" t="e">
        <f>VLOOKUP($W197,TBL_Categories,2,FALSE)</f>
        <v>#N/A</v>
      </c>
      <c r="T197" t="e">
        <f>VLOOKUP($W197,TBL_Categories,3,FALSE)</f>
        <v>#N/A</v>
      </c>
      <c r="U197" t="e">
        <f>VLOOKUP($W197,TBL_Categories,4,FALSE)</f>
        <v>#N/A</v>
      </c>
      <c r="V197" t="e">
        <f>VLOOKUP($W197,TBL_Categories,5,FALSE)</f>
        <v>#N/A</v>
      </c>
      <c r="W197" t="str">
        <f t="shared" si="11"/>
        <v>[Chase Freedom XX9381]</v>
      </c>
    </row>
    <row r="198" spans="1:23" x14ac:dyDescent="0.25">
      <c r="A198" t="s">
        <v>290</v>
      </c>
      <c r="B198" s="5">
        <v>41971</v>
      </c>
      <c r="C198">
        <v>0.03</v>
      </c>
      <c r="D198" t="s">
        <v>304</v>
      </c>
      <c r="E198" t="s">
        <v>399</v>
      </c>
      <c r="G198" t="s">
        <v>8</v>
      </c>
      <c r="K198" t="s">
        <v>8</v>
      </c>
      <c r="Q198" t="str">
        <f t="shared" si="9"/>
        <v>Nov</v>
      </c>
      <c r="R198">
        <f t="shared" si="10"/>
        <v>2014</v>
      </c>
      <c r="S198" t="str">
        <f>VLOOKUP($W198,TBL_Categories,2,FALSE)</f>
        <v>Monthly</v>
      </c>
      <c r="T198">
        <f>VLOOKUP($W198,TBL_Categories,3,FALSE)</f>
        <v>0</v>
      </c>
      <c r="U198" t="str">
        <f>VLOOKUP($W198,TBL_Categories,4,FALSE)</f>
        <v>No</v>
      </c>
      <c r="V198" t="str">
        <f>VLOOKUP($W198,TBL_Categories,5,FALSE)</f>
        <v>None</v>
      </c>
      <c r="W198" t="str">
        <f t="shared" si="11"/>
        <v>Interest Income</v>
      </c>
    </row>
    <row r="199" spans="1:23" x14ac:dyDescent="0.25">
      <c r="A199" t="s">
        <v>290</v>
      </c>
      <c r="B199" s="5">
        <v>41971</v>
      </c>
      <c r="C199">
        <v>3</v>
      </c>
      <c r="D199" t="s">
        <v>304</v>
      </c>
      <c r="E199" t="s">
        <v>403</v>
      </c>
      <c r="G199" t="s">
        <v>397</v>
      </c>
      <c r="K199" t="s">
        <v>53</v>
      </c>
      <c r="L199" t="s">
        <v>1562</v>
      </c>
      <c r="Q199" t="str">
        <f t="shared" si="9"/>
        <v>Nov</v>
      </c>
      <c r="R199">
        <f t="shared" si="10"/>
        <v>2014</v>
      </c>
      <c r="S199" t="str">
        <f>VLOOKUP($W199,TBL_Categories,2,FALSE)</f>
        <v>Monthly</v>
      </c>
      <c r="T199">
        <f>VLOOKUP($W199,TBL_Categories,3,FALSE)</f>
        <v>0</v>
      </c>
      <c r="U199" t="str">
        <f>VLOOKUP($W199,TBL_Categories,4,FALSE)</f>
        <v>No</v>
      </c>
      <c r="V199" t="str">
        <f>VLOOKUP($W199,TBL_Categories,5,FALSE)</f>
        <v>None</v>
      </c>
      <c r="W199" t="str">
        <f t="shared" si="11"/>
        <v>Bank Fees &amp; Charges|ATM Fee</v>
      </c>
    </row>
    <row r="200" spans="1:23" x14ac:dyDescent="0.25">
      <c r="A200" t="s">
        <v>296</v>
      </c>
      <c r="B200" s="5">
        <v>41971</v>
      </c>
      <c r="C200">
        <v>-39.74</v>
      </c>
      <c r="D200" t="s">
        <v>304</v>
      </c>
      <c r="E200" t="s">
        <v>423</v>
      </c>
      <c r="F200" t="s">
        <v>966</v>
      </c>
      <c r="G200" t="s">
        <v>1390</v>
      </c>
      <c r="J200" t="s">
        <v>1550</v>
      </c>
      <c r="K200" t="s">
        <v>90</v>
      </c>
      <c r="L200" t="s">
        <v>1552</v>
      </c>
      <c r="Q200" t="str">
        <f t="shared" si="9"/>
        <v>Nov</v>
      </c>
      <c r="R200">
        <f t="shared" si="10"/>
        <v>2014</v>
      </c>
      <c r="S200" t="str">
        <f>VLOOKUP($W200,TBL_Categories,2,FALSE)</f>
        <v>Unplanned</v>
      </c>
      <c r="T200">
        <f>VLOOKUP($W200,TBL_Categories,3,FALSE)</f>
        <v>0</v>
      </c>
      <c r="U200" t="str">
        <f>VLOOKUP($W200,TBL_Categories,4,FALSE)</f>
        <v>No</v>
      </c>
      <c r="V200" t="str">
        <f>VLOOKUP($W200,TBL_Categories,5,FALSE)</f>
        <v>None</v>
      </c>
      <c r="W200" t="str">
        <f t="shared" si="11"/>
        <v>Projects|Appliances</v>
      </c>
    </row>
    <row r="201" spans="1:23" x14ac:dyDescent="0.25">
      <c r="A201" t="s">
        <v>296</v>
      </c>
      <c r="B201" s="5">
        <v>41971</v>
      </c>
      <c r="C201">
        <v>-50</v>
      </c>
      <c r="D201" t="s">
        <v>304</v>
      </c>
      <c r="E201" t="s">
        <v>470</v>
      </c>
      <c r="F201" t="s">
        <v>509</v>
      </c>
      <c r="G201" t="s">
        <v>448</v>
      </c>
      <c r="K201" t="s">
        <v>52</v>
      </c>
      <c r="L201" t="s">
        <v>1585</v>
      </c>
      <c r="Q201" t="str">
        <f t="shared" si="9"/>
        <v>Nov</v>
      </c>
      <c r="R201">
        <f t="shared" si="10"/>
        <v>2014</v>
      </c>
      <c r="S201" t="str">
        <f>VLOOKUP($W201,TBL_Categories,2,FALSE)</f>
        <v>Irregular</v>
      </c>
      <c r="T201">
        <f>VLOOKUP($W201,TBL_Categories,3,FALSE)</f>
        <v>0</v>
      </c>
      <c r="U201" t="str">
        <f>VLOOKUP($W201,TBL_Categories,4,FALSE)</f>
        <v>No</v>
      </c>
      <c r="V201" t="str">
        <f>VLOOKUP($W201,TBL_Categories,5,FALSE)</f>
        <v>None</v>
      </c>
      <c r="W201" t="str">
        <f t="shared" si="11"/>
        <v>Auto &amp; Transport|Tolls</v>
      </c>
    </row>
    <row r="202" spans="1:23" x14ac:dyDescent="0.25">
      <c r="A202" t="s">
        <v>296</v>
      </c>
      <c r="B202" s="5">
        <v>41971</v>
      </c>
      <c r="C202">
        <v>-10.82</v>
      </c>
      <c r="D202" t="s">
        <v>304</v>
      </c>
      <c r="E202" t="s">
        <v>422</v>
      </c>
      <c r="F202" t="s">
        <v>1391</v>
      </c>
      <c r="G202" t="s">
        <v>1020</v>
      </c>
      <c r="I202" t="s">
        <v>272</v>
      </c>
      <c r="J202" t="s">
        <v>1550</v>
      </c>
      <c r="K202" t="s">
        <v>66</v>
      </c>
      <c r="L202" t="s">
        <v>1536</v>
      </c>
      <c r="Q202" t="str">
        <f t="shared" si="9"/>
        <v>Nov</v>
      </c>
      <c r="R202">
        <f t="shared" si="10"/>
        <v>2014</v>
      </c>
      <c r="S202" t="str">
        <f>VLOOKUP($W202,TBL_Categories,2,FALSE)</f>
        <v>Monthly</v>
      </c>
      <c r="T202">
        <f>VLOOKUP($W202,TBL_Categories,3,FALSE)</f>
        <v>0</v>
      </c>
      <c r="U202" t="str">
        <f>VLOOKUP($W202,TBL_Categories,4,FALSE)</f>
        <v>No</v>
      </c>
      <c r="V202" t="str">
        <f>VLOOKUP($W202,TBL_Categories,5,FALSE)</f>
        <v>None</v>
      </c>
      <c r="W202" t="str">
        <f t="shared" si="11"/>
        <v>Kids|Toys</v>
      </c>
    </row>
    <row r="203" spans="1:23" x14ac:dyDescent="0.25">
      <c r="A203" t="s">
        <v>296</v>
      </c>
      <c r="B203" s="5">
        <v>41971</v>
      </c>
      <c r="C203">
        <v>-3.97</v>
      </c>
      <c r="D203" t="s">
        <v>304</v>
      </c>
      <c r="E203" t="s">
        <v>422</v>
      </c>
      <c r="F203" t="s">
        <v>1392</v>
      </c>
      <c r="G203" t="s">
        <v>1390</v>
      </c>
      <c r="I203" t="s">
        <v>272</v>
      </c>
      <c r="J203" t="s">
        <v>1550</v>
      </c>
      <c r="K203" t="s">
        <v>90</v>
      </c>
      <c r="L203" t="s">
        <v>1552</v>
      </c>
      <c r="Q203" t="str">
        <f t="shared" si="9"/>
        <v>Nov</v>
      </c>
      <c r="R203">
        <f t="shared" si="10"/>
        <v>2014</v>
      </c>
      <c r="S203" t="str">
        <f>VLOOKUP($W203,TBL_Categories,2,FALSE)</f>
        <v>Unplanned</v>
      </c>
      <c r="T203">
        <f>VLOOKUP($W203,TBL_Categories,3,FALSE)</f>
        <v>0</v>
      </c>
      <c r="U203" t="str">
        <f>VLOOKUP($W203,TBL_Categories,4,FALSE)</f>
        <v>No</v>
      </c>
      <c r="V203" t="str">
        <f>VLOOKUP($W203,TBL_Categories,5,FALSE)</f>
        <v>None</v>
      </c>
      <c r="W203" t="str">
        <f t="shared" si="11"/>
        <v>Projects|Appliances</v>
      </c>
    </row>
    <row r="204" spans="1:23" x14ac:dyDescent="0.25">
      <c r="A204" t="s">
        <v>296</v>
      </c>
      <c r="B204" s="5">
        <v>41971</v>
      </c>
      <c r="C204">
        <v>-21.88</v>
      </c>
      <c r="D204" t="s">
        <v>304</v>
      </c>
      <c r="E204" t="s">
        <v>477</v>
      </c>
      <c r="F204" t="s">
        <v>460</v>
      </c>
      <c r="G204" t="s">
        <v>1020</v>
      </c>
      <c r="J204" t="s">
        <v>1550</v>
      </c>
      <c r="K204" t="s">
        <v>66</v>
      </c>
      <c r="L204" t="s">
        <v>1536</v>
      </c>
      <c r="Q204" t="str">
        <f t="shared" si="9"/>
        <v>Nov</v>
      </c>
      <c r="R204">
        <f t="shared" si="10"/>
        <v>2014</v>
      </c>
      <c r="S204" t="str">
        <f>VLOOKUP($W204,TBL_Categories,2,FALSE)</f>
        <v>Monthly</v>
      </c>
      <c r="T204">
        <f>VLOOKUP($W204,TBL_Categories,3,FALSE)</f>
        <v>0</v>
      </c>
      <c r="U204" t="str">
        <f>VLOOKUP($W204,TBL_Categories,4,FALSE)</f>
        <v>No</v>
      </c>
      <c r="V204" t="str">
        <f>VLOOKUP($W204,TBL_Categories,5,FALSE)</f>
        <v>None</v>
      </c>
      <c r="W204" t="str">
        <f t="shared" si="11"/>
        <v>Kids|Toys</v>
      </c>
    </row>
    <row r="205" spans="1:23" x14ac:dyDescent="0.25">
      <c r="A205" t="s">
        <v>284</v>
      </c>
      <c r="B205" s="5">
        <v>41970</v>
      </c>
      <c r="C205" s="4">
        <v>5496.28</v>
      </c>
      <c r="D205" t="s">
        <v>304</v>
      </c>
      <c r="E205" t="s">
        <v>361</v>
      </c>
      <c r="F205" t="s">
        <v>312</v>
      </c>
      <c r="G205" t="s">
        <v>12</v>
      </c>
      <c r="K205" t="s">
        <v>12</v>
      </c>
      <c r="Q205" t="str">
        <f t="shared" si="9"/>
        <v>Nov</v>
      </c>
      <c r="R205">
        <f t="shared" si="10"/>
        <v>2014</v>
      </c>
      <c r="S205" t="str">
        <f>VLOOKUP($W205,TBL_Categories,2,FALSE)</f>
        <v>Monthly</v>
      </c>
      <c r="T205">
        <f>VLOOKUP($W205,TBL_Categories,3,FALSE)</f>
        <v>0</v>
      </c>
      <c r="U205" t="str">
        <f>VLOOKUP($W205,TBL_Categories,4,FALSE)</f>
        <v>No</v>
      </c>
      <c r="V205" t="str">
        <f>VLOOKUP($W205,TBL_Categories,5,FALSE)</f>
        <v>None</v>
      </c>
      <c r="W205" t="str">
        <f t="shared" si="11"/>
        <v>Net Salary</v>
      </c>
    </row>
    <row r="206" spans="1:23" x14ac:dyDescent="0.25">
      <c r="A206" t="s">
        <v>296</v>
      </c>
      <c r="B206" s="5">
        <v>41970</v>
      </c>
      <c r="C206">
        <v>-96.84</v>
      </c>
      <c r="D206" t="s">
        <v>304</v>
      </c>
      <c r="E206" t="s">
        <v>433</v>
      </c>
      <c r="F206" t="s">
        <v>1389</v>
      </c>
      <c r="G206" t="s">
        <v>887</v>
      </c>
      <c r="J206" t="s">
        <v>1550</v>
      </c>
      <c r="K206" t="s">
        <v>61</v>
      </c>
      <c r="L206" t="s">
        <v>401</v>
      </c>
      <c r="Q206" t="str">
        <f t="shared" si="9"/>
        <v>Nov</v>
      </c>
      <c r="R206">
        <f t="shared" si="10"/>
        <v>2014</v>
      </c>
      <c r="S206" t="str">
        <f>VLOOKUP($W206,TBL_Categories,2,FALSE)</f>
        <v>Monthly</v>
      </c>
      <c r="T206">
        <f>VLOOKUP($W206,TBL_Categories,3,FALSE)</f>
        <v>0</v>
      </c>
      <c r="U206" t="str">
        <f>VLOOKUP($W206,TBL_Categories,4,FALSE)</f>
        <v>No</v>
      </c>
      <c r="V206" t="str">
        <f>VLOOKUP($W206,TBL_Categories,5,FALSE)</f>
        <v>None</v>
      </c>
      <c r="W206" t="str">
        <f t="shared" si="11"/>
        <v>Food &amp; Dining|Groceries</v>
      </c>
    </row>
    <row r="207" spans="1:23" x14ac:dyDescent="0.25">
      <c r="A207" t="s">
        <v>284</v>
      </c>
      <c r="B207" s="5">
        <v>41969</v>
      </c>
      <c r="C207">
        <v>-45</v>
      </c>
      <c r="D207" t="s">
        <v>304</v>
      </c>
      <c r="E207" t="s">
        <v>586</v>
      </c>
      <c r="G207" t="s">
        <v>322</v>
      </c>
      <c r="H207">
        <v>2142</v>
      </c>
      <c r="K207" t="s">
        <v>66</v>
      </c>
      <c r="L207" t="s">
        <v>1527</v>
      </c>
      <c r="Q207" t="str">
        <f t="shared" si="9"/>
        <v>Nov</v>
      </c>
      <c r="R207">
        <f t="shared" si="10"/>
        <v>2014</v>
      </c>
      <c r="S207" t="str">
        <f>VLOOKUP($W207,TBL_Categories,2,FALSE)</f>
        <v>Monthly</v>
      </c>
      <c r="T207">
        <f>VLOOKUP($W207,TBL_Categories,3,FALSE)</f>
        <v>0</v>
      </c>
      <c r="U207" t="str">
        <f>VLOOKUP($W207,TBL_Categories,4,FALSE)</f>
        <v>No</v>
      </c>
      <c r="V207" t="str">
        <f>VLOOKUP($W207,TBL_Categories,5,FALSE)</f>
        <v>None</v>
      </c>
      <c r="W207" t="str">
        <f t="shared" si="11"/>
        <v>Kids|Babysitter</v>
      </c>
    </row>
    <row r="208" spans="1:23" x14ac:dyDescent="0.25">
      <c r="A208" t="s">
        <v>633</v>
      </c>
      <c r="B208" s="5">
        <v>41969</v>
      </c>
      <c r="C208">
        <v>9.0500000000000007</v>
      </c>
      <c r="D208" t="s">
        <v>304</v>
      </c>
      <c r="E208" t="s">
        <v>1005</v>
      </c>
      <c r="G208" t="s">
        <v>9</v>
      </c>
      <c r="K208" t="s">
        <v>9</v>
      </c>
      <c r="Q208" t="str">
        <f t="shared" si="9"/>
        <v>Nov</v>
      </c>
      <c r="R208">
        <f t="shared" si="10"/>
        <v>2014</v>
      </c>
      <c r="S208" t="str">
        <f>VLOOKUP($W208,TBL_Categories,2,FALSE)</f>
        <v>Account</v>
      </c>
      <c r="T208">
        <f>VLOOKUP($W208,TBL_Categories,3,FALSE)</f>
        <v>0</v>
      </c>
      <c r="U208" t="str">
        <f>VLOOKUP($W208,TBL_Categories,4,FALSE)</f>
        <v>No</v>
      </c>
      <c r="V208" t="str">
        <f>VLOOKUP($W208,TBL_Categories,5,FALSE)</f>
        <v>None</v>
      </c>
      <c r="W208" t="str">
        <f t="shared" si="11"/>
        <v>[First Tech - Checking (5544)]</v>
      </c>
    </row>
    <row r="209" spans="1:23" x14ac:dyDescent="0.25">
      <c r="A209" t="s">
        <v>284</v>
      </c>
      <c r="B209" s="5">
        <v>41968</v>
      </c>
      <c r="C209" s="4">
        <v>6058.12</v>
      </c>
      <c r="D209" t="s">
        <v>304</v>
      </c>
      <c r="E209" t="s">
        <v>363</v>
      </c>
      <c r="F209" t="s">
        <v>359</v>
      </c>
      <c r="G209" t="s">
        <v>12</v>
      </c>
      <c r="K209" t="s">
        <v>12</v>
      </c>
      <c r="Q209" t="str">
        <f t="shared" si="9"/>
        <v>Nov</v>
      </c>
      <c r="R209">
        <f t="shared" si="10"/>
        <v>2014</v>
      </c>
      <c r="S209" t="str">
        <f>VLOOKUP($W209,TBL_Categories,2,FALSE)</f>
        <v>Monthly</v>
      </c>
      <c r="T209">
        <f>VLOOKUP($W209,TBL_Categories,3,FALSE)</f>
        <v>0</v>
      </c>
      <c r="U209" t="str">
        <f>VLOOKUP($W209,TBL_Categories,4,FALSE)</f>
        <v>No</v>
      </c>
      <c r="V209" t="str">
        <f>VLOOKUP($W209,TBL_Categories,5,FALSE)</f>
        <v>None</v>
      </c>
      <c r="W209" t="str">
        <f t="shared" si="11"/>
        <v>Net Salary</v>
      </c>
    </row>
    <row r="210" spans="1:23" x14ac:dyDescent="0.25">
      <c r="A210" t="s">
        <v>284</v>
      </c>
      <c r="B210" s="5">
        <v>41967</v>
      </c>
      <c r="C210">
        <v>-736.22</v>
      </c>
      <c r="D210" t="s">
        <v>304</v>
      </c>
      <c r="E210" t="s">
        <v>415</v>
      </c>
      <c r="F210" t="s">
        <v>337</v>
      </c>
      <c r="G210" t="s">
        <v>18</v>
      </c>
      <c r="K210" t="s">
        <v>18</v>
      </c>
      <c r="Q210" t="str">
        <f t="shared" si="9"/>
        <v>Nov</v>
      </c>
      <c r="R210">
        <f t="shared" si="10"/>
        <v>2014</v>
      </c>
      <c r="S210" t="str">
        <f>VLOOKUP($W210,TBL_Categories,2,FALSE)</f>
        <v>Account</v>
      </c>
      <c r="T210">
        <f>VLOOKUP($W210,TBL_Categories,3,FALSE)</f>
        <v>0</v>
      </c>
      <c r="U210" t="str">
        <f>VLOOKUP($W210,TBL_Categories,4,FALSE)</f>
        <v>No</v>
      </c>
      <c r="V210" t="str">
        <f>VLOOKUP($W210,TBL_Categories,5,FALSE)</f>
        <v>None</v>
      </c>
      <c r="W210" t="str">
        <f t="shared" si="11"/>
        <v>[Discover Card]</v>
      </c>
    </row>
    <row r="211" spans="1:23" x14ac:dyDescent="0.25">
      <c r="A211" t="s">
        <v>288</v>
      </c>
      <c r="B211" s="5">
        <v>41967</v>
      </c>
      <c r="C211">
        <v>-146.84</v>
      </c>
      <c r="D211" t="s">
        <v>306</v>
      </c>
      <c r="E211" t="s">
        <v>391</v>
      </c>
      <c r="F211" t="s">
        <v>382</v>
      </c>
      <c r="G211" t="s">
        <v>31</v>
      </c>
      <c r="K211" t="s">
        <v>31</v>
      </c>
      <c r="Q211" t="str">
        <f t="shared" si="9"/>
        <v>Nov</v>
      </c>
      <c r="R211">
        <f t="shared" si="10"/>
        <v>2014</v>
      </c>
      <c r="S211" t="str">
        <f>VLOOKUP($W211,TBL_Categories,2,FALSE)</f>
        <v>Account</v>
      </c>
      <c r="T211">
        <f>VLOOKUP($W211,TBL_Categories,3,FALSE)</f>
        <v>0</v>
      </c>
      <c r="U211" t="str">
        <f>VLOOKUP($W211,TBL_Categories,4,FALSE)</f>
        <v>No</v>
      </c>
      <c r="V211" t="str">
        <f>VLOOKUP($W211,TBL_Categories,5,FALSE)</f>
        <v>None</v>
      </c>
      <c r="W211" t="str">
        <f t="shared" si="11"/>
        <v>[Koolikai Credit Card]</v>
      </c>
    </row>
    <row r="212" spans="1:23" x14ac:dyDescent="0.25">
      <c r="A212" t="s">
        <v>633</v>
      </c>
      <c r="B212" s="5">
        <v>41967</v>
      </c>
      <c r="C212">
        <v>-5.32</v>
      </c>
      <c r="D212" t="s">
        <v>304</v>
      </c>
      <c r="E212" t="s">
        <v>451</v>
      </c>
      <c r="F212" t="s">
        <v>1004</v>
      </c>
      <c r="G212" t="s">
        <v>341</v>
      </c>
      <c r="K212" t="s">
        <v>72</v>
      </c>
      <c r="L212" t="s">
        <v>1534</v>
      </c>
      <c r="Q212" t="str">
        <f t="shared" si="9"/>
        <v>Nov</v>
      </c>
      <c r="R212">
        <f t="shared" si="10"/>
        <v>2014</v>
      </c>
      <c r="S212" t="str">
        <f>VLOOKUP($W212,TBL_Categories,2,FALSE)</f>
        <v>Annual</v>
      </c>
      <c r="T212">
        <f>VLOOKUP($W212,TBL_Categories,3,FALSE)</f>
        <v>0</v>
      </c>
      <c r="U212" t="str">
        <f>VLOOKUP($W212,TBL_Categories,4,FALSE)</f>
        <v>No</v>
      </c>
      <c r="V212" t="str">
        <f>VLOOKUP($W212,TBL_Categories,5,FALSE)</f>
        <v>None</v>
      </c>
      <c r="W212" t="str">
        <f t="shared" si="11"/>
        <v>Shopping|Electronics &amp; Software</v>
      </c>
    </row>
    <row r="213" spans="1:23" x14ac:dyDescent="0.25">
      <c r="A213" t="s">
        <v>296</v>
      </c>
      <c r="B213" s="5">
        <v>41967</v>
      </c>
      <c r="C213">
        <v>20.76</v>
      </c>
      <c r="D213" t="s">
        <v>304</v>
      </c>
      <c r="E213" t="s">
        <v>1329</v>
      </c>
      <c r="F213" t="s">
        <v>1387</v>
      </c>
      <c r="G213" t="s">
        <v>409</v>
      </c>
      <c r="K213" t="s">
        <v>52</v>
      </c>
      <c r="L213" t="s">
        <v>1568</v>
      </c>
      <c r="Q213" t="str">
        <f t="shared" si="9"/>
        <v>Nov</v>
      </c>
      <c r="R213">
        <f t="shared" si="10"/>
        <v>2014</v>
      </c>
      <c r="S213" t="str">
        <f>VLOOKUP($W213,TBL_Categories,2,FALSE)</f>
        <v>Monthly</v>
      </c>
      <c r="T213">
        <f>VLOOKUP($W213,TBL_Categories,3,FALSE)</f>
        <v>0</v>
      </c>
      <c r="U213" t="str">
        <f>VLOOKUP($W213,TBL_Categories,4,FALSE)</f>
        <v>No</v>
      </c>
      <c r="V213" t="str">
        <f>VLOOKUP($W213,TBL_Categories,5,FALSE)</f>
        <v>None</v>
      </c>
      <c r="W213" t="str">
        <f t="shared" si="11"/>
        <v>Auto &amp; Transport|Gas &amp; Fuel</v>
      </c>
    </row>
    <row r="214" spans="1:23" x14ac:dyDescent="0.25">
      <c r="A214" t="s">
        <v>296</v>
      </c>
      <c r="B214" s="5">
        <v>41967</v>
      </c>
      <c r="C214">
        <v>-12.72</v>
      </c>
      <c r="D214" t="s">
        <v>304</v>
      </c>
      <c r="E214" t="s">
        <v>1388</v>
      </c>
      <c r="G214" t="s">
        <v>69</v>
      </c>
      <c r="K214" t="s">
        <v>69</v>
      </c>
      <c r="Q214" t="str">
        <f t="shared" si="9"/>
        <v>Nov</v>
      </c>
      <c r="R214">
        <f t="shared" si="10"/>
        <v>2014</v>
      </c>
      <c r="S214" t="str">
        <f>VLOOKUP($W214,TBL_Categories,2,FALSE)</f>
        <v>Annual</v>
      </c>
      <c r="T214">
        <f>VLOOKUP($W214,TBL_Categories,3,FALSE)</f>
        <v>0</v>
      </c>
      <c r="U214" t="str">
        <f>VLOOKUP($W214,TBL_Categories,4,FALSE)</f>
        <v>No</v>
      </c>
      <c r="V214" t="str">
        <f>VLOOKUP($W214,TBL_Categories,5,FALSE)</f>
        <v>None</v>
      </c>
      <c r="W214" t="str">
        <f t="shared" si="11"/>
        <v>Parties</v>
      </c>
    </row>
    <row r="215" spans="1:23" x14ac:dyDescent="0.25">
      <c r="A215" t="s">
        <v>290</v>
      </c>
      <c r="B215" s="5">
        <v>41966</v>
      </c>
      <c r="C215">
        <v>-9</v>
      </c>
      <c r="D215" t="s">
        <v>304</v>
      </c>
      <c r="E215" t="s">
        <v>651</v>
      </c>
      <c r="F215" t="s">
        <v>916</v>
      </c>
      <c r="G215" t="s">
        <v>607</v>
      </c>
      <c r="I215" t="s">
        <v>272</v>
      </c>
      <c r="K215" t="s">
        <v>75</v>
      </c>
      <c r="L215" t="s">
        <v>1567</v>
      </c>
      <c r="Q215" t="str">
        <f t="shared" si="9"/>
        <v>Nov</v>
      </c>
      <c r="R215">
        <f t="shared" si="10"/>
        <v>2014</v>
      </c>
      <c r="S215" t="str">
        <f>VLOOKUP($W215,TBL_Categories,2,FALSE)</f>
        <v>Irregular</v>
      </c>
      <c r="T215">
        <f>VLOOKUP($W215,TBL_Categories,3,FALSE)</f>
        <v>0</v>
      </c>
      <c r="U215" t="str">
        <f>VLOOKUP($W215,TBL_Categories,4,FALSE)</f>
        <v>No</v>
      </c>
      <c r="V215" t="str">
        <f>VLOOKUP($W215,TBL_Categories,5,FALSE)</f>
        <v>None</v>
      </c>
      <c r="W215" t="str">
        <f t="shared" si="11"/>
        <v>Vacation|Activities</v>
      </c>
    </row>
    <row r="216" spans="1:23" x14ac:dyDescent="0.25">
      <c r="A216" t="s">
        <v>290</v>
      </c>
      <c r="B216" s="5">
        <v>41966</v>
      </c>
      <c r="C216">
        <v>-14</v>
      </c>
      <c r="D216" t="s">
        <v>304</v>
      </c>
      <c r="E216" t="s">
        <v>651</v>
      </c>
      <c r="G216" t="s">
        <v>333</v>
      </c>
      <c r="I216" t="s">
        <v>272</v>
      </c>
      <c r="K216" t="s">
        <v>61</v>
      </c>
      <c r="L216" t="s">
        <v>1530</v>
      </c>
      <c r="Q216" t="str">
        <f t="shared" si="9"/>
        <v>Nov</v>
      </c>
      <c r="R216">
        <f t="shared" si="10"/>
        <v>2014</v>
      </c>
      <c r="S216" t="str">
        <f>VLOOKUP($W216,TBL_Categories,2,FALSE)</f>
        <v>Monthly</v>
      </c>
      <c r="T216">
        <f>VLOOKUP($W216,TBL_Categories,3,FALSE)</f>
        <v>0</v>
      </c>
      <c r="U216" t="str">
        <f>VLOOKUP($W216,TBL_Categories,4,FALSE)</f>
        <v>No</v>
      </c>
      <c r="V216" t="str">
        <f>VLOOKUP($W216,TBL_Categories,5,FALSE)</f>
        <v>None</v>
      </c>
      <c r="W216" t="str">
        <f t="shared" si="11"/>
        <v>Food &amp; Dining|Restaurants</v>
      </c>
    </row>
    <row r="217" spans="1:23" x14ac:dyDescent="0.25">
      <c r="A217" t="s">
        <v>633</v>
      </c>
      <c r="B217" s="5">
        <v>41966</v>
      </c>
      <c r="C217">
        <v>-49.61</v>
      </c>
      <c r="D217" t="s">
        <v>304</v>
      </c>
      <c r="E217" t="s">
        <v>1003</v>
      </c>
      <c r="G217" t="s">
        <v>333</v>
      </c>
      <c r="K217" t="s">
        <v>61</v>
      </c>
      <c r="L217" t="s">
        <v>1530</v>
      </c>
      <c r="Q217" t="str">
        <f t="shared" si="9"/>
        <v>Nov</v>
      </c>
      <c r="R217">
        <f t="shared" si="10"/>
        <v>2014</v>
      </c>
      <c r="S217" t="str">
        <f>VLOOKUP($W217,TBL_Categories,2,FALSE)</f>
        <v>Monthly</v>
      </c>
      <c r="T217">
        <f>VLOOKUP($W217,TBL_Categories,3,FALSE)</f>
        <v>0</v>
      </c>
      <c r="U217" t="str">
        <f>VLOOKUP($W217,TBL_Categories,4,FALSE)</f>
        <v>No</v>
      </c>
      <c r="V217" t="str">
        <f>VLOOKUP($W217,TBL_Categories,5,FALSE)</f>
        <v>None</v>
      </c>
      <c r="W217" t="str">
        <f t="shared" si="11"/>
        <v>Food &amp; Dining|Restaurants</v>
      </c>
    </row>
    <row r="218" spans="1:23" x14ac:dyDescent="0.25">
      <c r="A218" t="s">
        <v>293</v>
      </c>
      <c r="B218" s="5">
        <v>41966</v>
      </c>
      <c r="C218">
        <v>736.22</v>
      </c>
      <c r="D218" t="s">
        <v>304</v>
      </c>
      <c r="E218" t="s">
        <v>415</v>
      </c>
      <c r="G218" t="s">
        <v>9</v>
      </c>
      <c r="K218" t="s">
        <v>9</v>
      </c>
      <c r="Q218" t="str">
        <f t="shared" si="9"/>
        <v>Nov</v>
      </c>
      <c r="R218">
        <f t="shared" si="10"/>
        <v>2014</v>
      </c>
      <c r="S218" t="str">
        <f>VLOOKUP($W218,TBL_Categories,2,FALSE)</f>
        <v>Account</v>
      </c>
      <c r="T218">
        <f>VLOOKUP($W218,TBL_Categories,3,FALSE)</f>
        <v>0</v>
      </c>
      <c r="U218" t="str">
        <f>VLOOKUP($W218,TBL_Categories,4,FALSE)</f>
        <v>No</v>
      </c>
      <c r="V218" t="str">
        <f>VLOOKUP($W218,TBL_Categories,5,FALSE)</f>
        <v>None</v>
      </c>
      <c r="W218" t="str">
        <f t="shared" si="11"/>
        <v>[First Tech - Checking (5544)]</v>
      </c>
    </row>
    <row r="219" spans="1:23" x14ac:dyDescent="0.25">
      <c r="A219" t="s">
        <v>294</v>
      </c>
      <c r="B219" s="5">
        <v>41966</v>
      </c>
      <c r="C219">
        <v>146.84</v>
      </c>
      <c r="D219" t="s">
        <v>306</v>
      </c>
      <c r="E219" t="s">
        <v>391</v>
      </c>
      <c r="G219" t="s">
        <v>24</v>
      </c>
      <c r="K219" t="s">
        <v>24</v>
      </c>
      <c r="Q219" t="str">
        <f t="shared" si="9"/>
        <v>Nov</v>
      </c>
      <c r="R219">
        <f t="shared" si="10"/>
        <v>2014</v>
      </c>
      <c r="S219" t="str">
        <f>VLOOKUP($W219,TBL_Categories,2,FALSE)</f>
        <v>Account</v>
      </c>
      <c r="T219">
        <f>VLOOKUP($W219,TBL_Categories,3,FALSE)</f>
        <v>0</v>
      </c>
      <c r="U219" t="str">
        <f>VLOOKUP($W219,TBL_Categories,4,FALSE)</f>
        <v>No</v>
      </c>
      <c r="V219" t="str">
        <f>VLOOKUP($W219,TBL_Categories,5,FALSE)</f>
        <v>None</v>
      </c>
      <c r="W219" t="str">
        <f t="shared" si="11"/>
        <v>[Koolikai - Checking XX2129]</v>
      </c>
    </row>
    <row r="220" spans="1:23" x14ac:dyDescent="0.25">
      <c r="A220" t="s">
        <v>296</v>
      </c>
      <c r="B220" s="5">
        <v>41966</v>
      </c>
      <c r="C220">
        <v>-36.78</v>
      </c>
      <c r="D220" t="s">
        <v>304</v>
      </c>
      <c r="E220" t="s">
        <v>705</v>
      </c>
      <c r="G220" t="s">
        <v>409</v>
      </c>
      <c r="K220" t="s">
        <v>52</v>
      </c>
      <c r="L220" t="s">
        <v>1568</v>
      </c>
      <c r="Q220" t="str">
        <f t="shared" si="9"/>
        <v>Nov</v>
      </c>
      <c r="R220">
        <f t="shared" si="10"/>
        <v>2014</v>
      </c>
      <c r="S220" t="str">
        <f>VLOOKUP($W220,TBL_Categories,2,FALSE)</f>
        <v>Monthly</v>
      </c>
      <c r="T220">
        <f>VLOOKUP($W220,TBL_Categories,3,FALSE)</f>
        <v>0</v>
      </c>
      <c r="U220" t="str">
        <f>VLOOKUP($W220,TBL_Categories,4,FALSE)</f>
        <v>No</v>
      </c>
      <c r="V220" t="str">
        <f>VLOOKUP($W220,TBL_Categories,5,FALSE)</f>
        <v>None</v>
      </c>
      <c r="W220" t="str">
        <f t="shared" si="11"/>
        <v>Auto &amp; Transport|Gas &amp; Fuel</v>
      </c>
    </row>
    <row r="221" spans="1:23" x14ac:dyDescent="0.25">
      <c r="A221" t="s">
        <v>284</v>
      </c>
      <c r="B221" s="5">
        <v>41965</v>
      </c>
      <c r="C221">
        <v>801.65</v>
      </c>
      <c r="D221" t="s">
        <v>304</v>
      </c>
      <c r="E221" t="s">
        <v>790</v>
      </c>
      <c r="F221" t="s">
        <v>846</v>
      </c>
      <c r="G221" t="s">
        <v>589</v>
      </c>
      <c r="K221" t="s">
        <v>29</v>
      </c>
      <c r="L221" t="s">
        <v>1539</v>
      </c>
      <c r="O221" t="s">
        <v>1602</v>
      </c>
      <c r="Q221" t="str">
        <f t="shared" si="9"/>
        <v>Nov</v>
      </c>
      <c r="R221">
        <f t="shared" si="10"/>
        <v>2014</v>
      </c>
      <c r="S221" t="str">
        <f>VLOOKUP($W221,TBL_Categories,2,FALSE)</f>
        <v>Irregular</v>
      </c>
      <c r="T221">
        <f>VLOOKUP($W221,TBL_Categories,3,FALSE)</f>
        <v>0</v>
      </c>
      <c r="U221" t="str">
        <f>VLOOKUP($W221,TBL_Categories,4,FALSE)</f>
        <v>No</v>
      </c>
      <c r="V221" t="str">
        <f>VLOOKUP($W221,TBL_Categories,5,FALSE)</f>
        <v>None</v>
      </c>
      <c r="W221" t="str">
        <f t="shared" si="11"/>
        <v>Work Expense|Reimbursement</v>
      </c>
    </row>
    <row r="222" spans="1:23" x14ac:dyDescent="0.25">
      <c r="A222" t="s">
        <v>296</v>
      </c>
      <c r="B222" s="5">
        <v>41965</v>
      </c>
      <c r="C222">
        <v>-4.22</v>
      </c>
      <c r="D222" t="s">
        <v>304</v>
      </c>
      <c r="E222" t="s">
        <v>994</v>
      </c>
      <c r="G222" t="s">
        <v>432</v>
      </c>
      <c r="K222" t="s">
        <v>52</v>
      </c>
      <c r="L222" t="s">
        <v>1577</v>
      </c>
      <c r="Q222" t="str">
        <f t="shared" si="9"/>
        <v>Nov</v>
      </c>
      <c r="R222">
        <f t="shared" si="10"/>
        <v>2014</v>
      </c>
      <c r="S222" t="str">
        <f>VLOOKUP($W222,TBL_Categories,2,FALSE)</f>
        <v>Monthly</v>
      </c>
      <c r="T222">
        <f>VLOOKUP($W222,TBL_Categories,3,FALSE)</f>
        <v>0</v>
      </c>
      <c r="U222" t="str">
        <f>VLOOKUP($W222,TBL_Categories,4,FALSE)</f>
        <v>No</v>
      </c>
      <c r="V222" t="str">
        <f>VLOOKUP($W222,TBL_Categories,5,FALSE)</f>
        <v>None</v>
      </c>
      <c r="W222" t="str">
        <f t="shared" si="11"/>
        <v>Auto &amp; Transport|Parking</v>
      </c>
    </row>
    <row r="223" spans="1:23" x14ac:dyDescent="0.25">
      <c r="A223" t="s">
        <v>296</v>
      </c>
      <c r="B223" s="5">
        <v>41965</v>
      </c>
      <c r="C223">
        <v>-4.37</v>
      </c>
      <c r="D223" t="s">
        <v>304</v>
      </c>
      <c r="E223" t="s">
        <v>1383</v>
      </c>
      <c r="G223" t="s">
        <v>345</v>
      </c>
      <c r="K223" t="s">
        <v>66</v>
      </c>
      <c r="L223" t="s">
        <v>1536</v>
      </c>
      <c r="Q223" t="str">
        <f t="shared" si="9"/>
        <v>Nov</v>
      </c>
      <c r="R223">
        <f t="shared" si="10"/>
        <v>2014</v>
      </c>
      <c r="S223" t="str">
        <f>VLOOKUP($W223,TBL_Categories,2,FALSE)</f>
        <v>Monthly</v>
      </c>
      <c r="T223">
        <f>VLOOKUP($W223,TBL_Categories,3,FALSE)</f>
        <v>0</v>
      </c>
      <c r="U223" t="str">
        <f>VLOOKUP($W223,TBL_Categories,4,FALSE)</f>
        <v>No</v>
      </c>
      <c r="V223" t="str">
        <f>VLOOKUP($W223,TBL_Categories,5,FALSE)</f>
        <v>None</v>
      </c>
      <c r="W223" t="str">
        <f t="shared" si="11"/>
        <v>Kids|Toys</v>
      </c>
    </row>
    <row r="224" spans="1:23" x14ac:dyDescent="0.25">
      <c r="A224" t="s">
        <v>296</v>
      </c>
      <c r="B224" s="5">
        <v>41965</v>
      </c>
      <c r="C224">
        <v>-15.31</v>
      </c>
      <c r="D224" t="s">
        <v>304</v>
      </c>
      <c r="E224" t="s">
        <v>1384</v>
      </c>
      <c r="F224" t="s">
        <v>1385</v>
      </c>
      <c r="G224" t="s">
        <v>333</v>
      </c>
      <c r="K224" t="s">
        <v>61</v>
      </c>
      <c r="L224" t="s">
        <v>1530</v>
      </c>
      <c r="Q224" t="str">
        <f t="shared" si="9"/>
        <v>Nov</v>
      </c>
      <c r="R224">
        <f t="shared" si="10"/>
        <v>2014</v>
      </c>
      <c r="S224" t="str">
        <f>VLOOKUP($W224,TBL_Categories,2,FALSE)</f>
        <v>Monthly</v>
      </c>
      <c r="T224">
        <f>VLOOKUP($W224,TBL_Categories,3,FALSE)</f>
        <v>0</v>
      </c>
      <c r="U224" t="str">
        <f>VLOOKUP($W224,TBL_Categories,4,FALSE)</f>
        <v>No</v>
      </c>
      <c r="V224" t="str">
        <f>VLOOKUP($W224,TBL_Categories,5,FALSE)</f>
        <v>None</v>
      </c>
      <c r="W224" t="str">
        <f t="shared" si="11"/>
        <v>Food &amp; Dining|Restaurants</v>
      </c>
    </row>
    <row r="225" spans="1:23" x14ac:dyDescent="0.25">
      <c r="A225" t="s">
        <v>296</v>
      </c>
      <c r="B225" s="5">
        <v>41965</v>
      </c>
      <c r="C225">
        <v>-24.91</v>
      </c>
      <c r="D225" t="s">
        <v>304</v>
      </c>
      <c r="E225" t="s">
        <v>1386</v>
      </c>
      <c r="G225" t="s">
        <v>333</v>
      </c>
      <c r="K225" t="s">
        <v>61</v>
      </c>
      <c r="L225" t="s">
        <v>1530</v>
      </c>
      <c r="Q225" t="str">
        <f t="shared" si="9"/>
        <v>Nov</v>
      </c>
      <c r="R225">
        <f t="shared" si="10"/>
        <v>2014</v>
      </c>
      <c r="S225" t="str">
        <f>VLOOKUP($W225,TBL_Categories,2,FALSE)</f>
        <v>Monthly</v>
      </c>
      <c r="T225">
        <f>VLOOKUP($W225,TBL_Categories,3,FALSE)</f>
        <v>0</v>
      </c>
      <c r="U225" t="str">
        <f>VLOOKUP($W225,TBL_Categories,4,FALSE)</f>
        <v>No</v>
      </c>
      <c r="V225" t="str">
        <f>VLOOKUP($W225,TBL_Categories,5,FALSE)</f>
        <v>None</v>
      </c>
      <c r="W225" t="str">
        <f t="shared" si="11"/>
        <v>Food &amp; Dining|Restaurants</v>
      </c>
    </row>
    <row r="226" spans="1:23" x14ac:dyDescent="0.25">
      <c r="A226" t="s">
        <v>296</v>
      </c>
      <c r="B226" s="5">
        <v>41965</v>
      </c>
      <c r="C226">
        <v>-111.81</v>
      </c>
      <c r="D226" t="s">
        <v>304</v>
      </c>
      <c r="E226" t="s">
        <v>433</v>
      </c>
      <c r="G226" t="s">
        <v>887</v>
      </c>
      <c r="J226" t="s">
        <v>1550</v>
      </c>
      <c r="K226" t="s">
        <v>61</v>
      </c>
      <c r="L226" t="s">
        <v>401</v>
      </c>
      <c r="Q226" t="str">
        <f t="shared" si="9"/>
        <v>Nov</v>
      </c>
      <c r="R226">
        <f t="shared" si="10"/>
        <v>2014</v>
      </c>
      <c r="S226" t="str">
        <f>VLOOKUP($W226,TBL_Categories,2,FALSE)</f>
        <v>Monthly</v>
      </c>
      <c r="T226">
        <f>VLOOKUP($W226,TBL_Categories,3,FALSE)</f>
        <v>0</v>
      </c>
      <c r="U226" t="str">
        <f>VLOOKUP($W226,TBL_Categories,4,FALSE)</f>
        <v>No</v>
      </c>
      <c r="V226" t="str">
        <f>VLOOKUP($W226,TBL_Categories,5,FALSE)</f>
        <v>None</v>
      </c>
      <c r="W226" t="str">
        <f t="shared" si="11"/>
        <v>Food &amp; Dining|Groceries</v>
      </c>
    </row>
    <row r="227" spans="1:23" x14ac:dyDescent="0.25">
      <c r="A227" t="s">
        <v>299</v>
      </c>
      <c r="B227" s="5">
        <v>41965</v>
      </c>
      <c r="C227">
        <v>-33.5</v>
      </c>
      <c r="D227" t="s">
        <v>306</v>
      </c>
      <c r="E227" t="s">
        <v>1493</v>
      </c>
      <c r="F227" t="s">
        <v>1494</v>
      </c>
      <c r="G227" t="s">
        <v>1345</v>
      </c>
      <c r="H227">
        <v>799999943261</v>
      </c>
      <c r="J227" t="s">
        <v>1550</v>
      </c>
      <c r="K227" t="s">
        <v>75</v>
      </c>
      <c r="L227" t="s">
        <v>1567</v>
      </c>
      <c r="O227" t="s">
        <v>1617</v>
      </c>
      <c r="Q227" t="str">
        <f t="shared" si="9"/>
        <v>Nov</v>
      </c>
      <c r="R227">
        <f t="shared" si="10"/>
        <v>2014</v>
      </c>
      <c r="S227" t="str">
        <f>VLOOKUP($W227,TBL_Categories,2,FALSE)</f>
        <v>Irregular</v>
      </c>
      <c r="T227">
        <f>VLOOKUP($W227,TBL_Categories,3,FALSE)</f>
        <v>0</v>
      </c>
      <c r="U227" t="str">
        <f>VLOOKUP($W227,TBL_Categories,4,FALSE)</f>
        <v>No</v>
      </c>
      <c r="V227" t="str">
        <f>VLOOKUP($W227,TBL_Categories,5,FALSE)</f>
        <v>None</v>
      </c>
      <c r="W227" t="str">
        <f t="shared" si="11"/>
        <v>Vacation|Activities</v>
      </c>
    </row>
    <row r="228" spans="1:23" x14ac:dyDescent="0.25">
      <c r="A228" t="s">
        <v>284</v>
      </c>
      <c r="B228" s="5">
        <v>41964</v>
      </c>
      <c r="C228">
        <v>-183.85</v>
      </c>
      <c r="D228" t="s">
        <v>304</v>
      </c>
      <c r="E228" t="s">
        <v>352</v>
      </c>
      <c r="F228" t="s">
        <v>353</v>
      </c>
      <c r="G228" t="s">
        <v>354</v>
      </c>
      <c r="K228" t="s">
        <v>52</v>
      </c>
      <c r="L228" t="s">
        <v>1544</v>
      </c>
      <c r="Q228" t="str">
        <f t="shared" si="9"/>
        <v>Nov</v>
      </c>
      <c r="R228">
        <f t="shared" si="10"/>
        <v>2014</v>
      </c>
      <c r="S228" t="str">
        <f>VLOOKUP($W228,TBL_Categories,2,FALSE)</f>
        <v>Monthly</v>
      </c>
      <c r="T228">
        <f>VLOOKUP($W228,TBL_Categories,3,FALSE)</f>
        <v>0</v>
      </c>
      <c r="U228" t="str">
        <f>VLOOKUP($W228,TBL_Categories,4,FALSE)</f>
        <v>No</v>
      </c>
      <c r="V228" t="str">
        <f>VLOOKUP($W228,TBL_Categories,5,FALSE)</f>
        <v>None</v>
      </c>
      <c r="W228" t="str">
        <f t="shared" si="11"/>
        <v>Auto &amp; Transport|Auto Lease Payment</v>
      </c>
    </row>
    <row r="229" spans="1:23" x14ac:dyDescent="0.25">
      <c r="A229" t="s">
        <v>284</v>
      </c>
      <c r="B229" s="5">
        <v>41964</v>
      </c>
      <c r="C229">
        <v>-70</v>
      </c>
      <c r="D229" t="s">
        <v>304</v>
      </c>
      <c r="E229" t="s">
        <v>827</v>
      </c>
      <c r="G229" t="s">
        <v>322</v>
      </c>
      <c r="H229">
        <v>2141</v>
      </c>
      <c r="K229" t="s">
        <v>66</v>
      </c>
      <c r="L229" t="s">
        <v>1527</v>
      </c>
      <c r="Q229" t="str">
        <f t="shared" si="9"/>
        <v>Nov</v>
      </c>
      <c r="R229">
        <f t="shared" si="10"/>
        <v>2014</v>
      </c>
      <c r="S229" t="str">
        <f>VLOOKUP($W229,TBL_Categories,2,FALSE)</f>
        <v>Monthly</v>
      </c>
      <c r="T229">
        <f>VLOOKUP($W229,TBL_Categories,3,FALSE)</f>
        <v>0</v>
      </c>
      <c r="U229" t="str">
        <f>VLOOKUP($W229,TBL_Categories,4,FALSE)</f>
        <v>No</v>
      </c>
      <c r="V229" t="str">
        <f>VLOOKUP($W229,TBL_Categories,5,FALSE)</f>
        <v>None</v>
      </c>
      <c r="W229" t="str">
        <f t="shared" si="11"/>
        <v>Kids|Babysitter</v>
      </c>
    </row>
    <row r="230" spans="1:23" x14ac:dyDescent="0.25">
      <c r="A230" t="s">
        <v>288</v>
      </c>
      <c r="B230" s="5">
        <v>41964</v>
      </c>
      <c r="C230">
        <v>-128.66</v>
      </c>
      <c r="D230" t="s">
        <v>306</v>
      </c>
      <c r="E230" t="s">
        <v>879</v>
      </c>
      <c r="F230" t="s">
        <v>880</v>
      </c>
      <c r="G230" t="s">
        <v>878</v>
      </c>
      <c r="H230">
        <v>1095</v>
      </c>
      <c r="J230" t="s">
        <v>1560</v>
      </c>
      <c r="K230" t="s">
        <v>55</v>
      </c>
      <c r="L230" t="s">
        <v>1559</v>
      </c>
      <c r="Q230" t="str">
        <f t="shared" si="9"/>
        <v>Nov</v>
      </c>
      <c r="R230">
        <f t="shared" si="10"/>
        <v>2014</v>
      </c>
      <c r="S230" t="str">
        <f>VLOOKUP($W230,TBL_Categories,2,FALSE)</f>
        <v>Irregular</v>
      </c>
      <c r="T230">
        <f>VLOOKUP($W230,TBL_Categories,3,FALSE)</f>
        <v>0</v>
      </c>
      <c r="U230" t="str">
        <f>VLOOKUP($W230,TBL_Categories,4,FALSE)</f>
        <v>No</v>
      </c>
      <c r="V230" t="str">
        <f>VLOOKUP($W230,TBL_Categories,5,FALSE)</f>
        <v>None</v>
      </c>
      <c r="W230" t="str">
        <f t="shared" si="11"/>
        <v>Business Expenses (Koolikai)|Repairs</v>
      </c>
    </row>
    <row r="231" spans="1:23" x14ac:dyDescent="0.25">
      <c r="A231" t="s">
        <v>290</v>
      </c>
      <c r="B231" s="5">
        <v>41964</v>
      </c>
      <c r="C231">
        <v>-5.79</v>
      </c>
      <c r="D231" t="s">
        <v>304</v>
      </c>
      <c r="E231" t="s">
        <v>400</v>
      </c>
      <c r="F231" t="s">
        <v>913</v>
      </c>
      <c r="G231" t="s">
        <v>906</v>
      </c>
      <c r="I231" t="s">
        <v>272</v>
      </c>
      <c r="J231" t="s">
        <v>1550</v>
      </c>
      <c r="K231" t="s">
        <v>62</v>
      </c>
      <c r="L231" t="s">
        <v>1557</v>
      </c>
      <c r="Q231" t="str">
        <f t="shared" si="9"/>
        <v>Nov</v>
      </c>
      <c r="R231">
        <f t="shared" si="10"/>
        <v>2014</v>
      </c>
      <c r="S231" t="str">
        <f>VLOOKUP($W231,TBL_Categories,2,FALSE)</f>
        <v>Irregular</v>
      </c>
      <c r="T231">
        <f>VLOOKUP($W231,TBL_Categories,3,FALSE)</f>
        <v>0</v>
      </c>
      <c r="U231" t="str">
        <f>VLOOKUP($W231,TBL_Categories,4,FALSE)</f>
        <v>No</v>
      </c>
      <c r="V231" t="str">
        <f>VLOOKUP($W231,TBL_Categories,5,FALSE)</f>
        <v>None</v>
      </c>
      <c r="W231" t="str">
        <f t="shared" si="11"/>
        <v>Health &amp; Fitness|Eyecare</v>
      </c>
    </row>
    <row r="232" spans="1:23" x14ac:dyDescent="0.25">
      <c r="A232" t="s">
        <v>290</v>
      </c>
      <c r="B232" s="5">
        <v>41964</v>
      </c>
      <c r="C232">
        <v>-6.55</v>
      </c>
      <c r="D232" t="s">
        <v>304</v>
      </c>
      <c r="E232" t="s">
        <v>400</v>
      </c>
      <c r="F232" t="s">
        <v>914</v>
      </c>
      <c r="G232" t="s">
        <v>915</v>
      </c>
      <c r="I232" t="s">
        <v>272</v>
      </c>
      <c r="J232" t="s">
        <v>1550</v>
      </c>
      <c r="K232" t="s">
        <v>20</v>
      </c>
      <c r="Q232" t="str">
        <f t="shared" si="9"/>
        <v>Nov</v>
      </c>
      <c r="R232">
        <f t="shared" si="10"/>
        <v>2014</v>
      </c>
      <c r="S232" t="str">
        <f>VLOOKUP($W232,TBL_Categories,2,FALSE)</f>
        <v>Monthly</v>
      </c>
      <c r="T232">
        <f>VLOOKUP($W232,TBL_Categories,3,FALSE)</f>
        <v>0</v>
      </c>
      <c r="U232" t="str">
        <f>VLOOKUP($W232,TBL_Categories,4,FALSE)</f>
        <v>No</v>
      </c>
      <c r="V232" t="str">
        <f>VLOOKUP($W232,TBL_Categories,5,FALSE)</f>
        <v>None</v>
      </c>
      <c r="W232" t="str">
        <f t="shared" si="11"/>
        <v>Gifts</v>
      </c>
    </row>
    <row r="233" spans="1:23" x14ac:dyDescent="0.25">
      <c r="A233" t="s">
        <v>296</v>
      </c>
      <c r="B233" s="5">
        <v>41964</v>
      </c>
      <c r="C233">
        <v>-20.05</v>
      </c>
      <c r="D233" t="s">
        <v>304</v>
      </c>
      <c r="E233" t="s">
        <v>666</v>
      </c>
      <c r="F233" t="s">
        <v>656</v>
      </c>
      <c r="G233" t="s">
        <v>915</v>
      </c>
      <c r="J233" t="s">
        <v>1550</v>
      </c>
      <c r="K233" t="s">
        <v>20</v>
      </c>
      <c r="Q233" t="str">
        <f t="shared" si="9"/>
        <v>Nov</v>
      </c>
      <c r="R233">
        <f t="shared" si="10"/>
        <v>2014</v>
      </c>
      <c r="S233" t="str">
        <f>VLOOKUP($W233,TBL_Categories,2,FALSE)</f>
        <v>Monthly</v>
      </c>
      <c r="T233">
        <f>VLOOKUP($W233,TBL_Categories,3,FALSE)</f>
        <v>0</v>
      </c>
      <c r="U233" t="str">
        <f>VLOOKUP($W233,TBL_Categories,4,FALSE)</f>
        <v>No</v>
      </c>
      <c r="V233" t="str">
        <f>VLOOKUP($W233,TBL_Categories,5,FALSE)</f>
        <v>None</v>
      </c>
      <c r="W233" t="str">
        <f t="shared" si="11"/>
        <v>Gifts</v>
      </c>
    </row>
    <row r="234" spans="1:23" x14ac:dyDescent="0.25">
      <c r="A234" t="s">
        <v>296</v>
      </c>
      <c r="B234" s="5">
        <v>41964</v>
      </c>
      <c r="C234">
        <v>-21.89</v>
      </c>
      <c r="D234" t="s">
        <v>304</v>
      </c>
      <c r="E234" t="s">
        <v>674</v>
      </c>
      <c r="F234" t="s">
        <v>1382</v>
      </c>
      <c r="G234" t="s">
        <v>915</v>
      </c>
      <c r="J234" t="s">
        <v>1550</v>
      </c>
      <c r="K234" t="s">
        <v>20</v>
      </c>
      <c r="Q234" t="str">
        <f t="shared" si="9"/>
        <v>Nov</v>
      </c>
      <c r="R234">
        <f t="shared" si="10"/>
        <v>2014</v>
      </c>
      <c r="S234" t="str">
        <f>VLOOKUP($W234,TBL_Categories,2,FALSE)</f>
        <v>Monthly</v>
      </c>
      <c r="T234">
        <f>VLOOKUP($W234,TBL_Categories,3,FALSE)</f>
        <v>0</v>
      </c>
      <c r="U234" t="str">
        <f>VLOOKUP($W234,TBL_Categories,4,FALSE)</f>
        <v>No</v>
      </c>
      <c r="V234" t="str">
        <f>VLOOKUP($W234,TBL_Categories,5,FALSE)</f>
        <v>None</v>
      </c>
      <c r="W234" t="str">
        <f t="shared" si="11"/>
        <v>Gifts</v>
      </c>
    </row>
    <row r="235" spans="1:23" x14ac:dyDescent="0.25">
      <c r="A235" t="s">
        <v>296</v>
      </c>
      <c r="B235" s="5">
        <v>41964</v>
      </c>
      <c r="C235">
        <v>-42.54</v>
      </c>
      <c r="D235" t="s">
        <v>304</v>
      </c>
      <c r="E235" t="s">
        <v>666</v>
      </c>
      <c r="F235" t="s">
        <v>656</v>
      </c>
      <c r="G235" t="s">
        <v>915</v>
      </c>
      <c r="J235" t="s">
        <v>1550</v>
      </c>
      <c r="K235" t="s">
        <v>20</v>
      </c>
      <c r="Q235" t="str">
        <f t="shared" si="9"/>
        <v>Nov</v>
      </c>
      <c r="R235">
        <f t="shared" si="10"/>
        <v>2014</v>
      </c>
      <c r="S235" t="str">
        <f>VLOOKUP($W235,TBL_Categories,2,FALSE)</f>
        <v>Monthly</v>
      </c>
      <c r="T235">
        <f>VLOOKUP($W235,TBL_Categories,3,FALSE)</f>
        <v>0</v>
      </c>
      <c r="U235" t="str">
        <f>VLOOKUP($W235,TBL_Categories,4,FALSE)</f>
        <v>No</v>
      </c>
      <c r="V235" t="str">
        <f>VLOOKUP($W235,TBL_Categories,5,FALSE)</f>
        <v>None</v>
      </c>
      <c r="W235" t="str">
        <f t="shared" si="11"/>
        <v>Gifts</v>
      </c>
    </row>
    <row r="236" spans="1:23" x14ac:dyDescent="0.25">
      <c r="A236" t="s">
        <v>296</v>
      </c>
      <c r="B236" s="5">
        <v>41964</v>
      </c>
      <c r="C236">
        <v>-70.77</v>
      </c>
      <c r="D236" t="s">
        <v>304</v>
      </c>
      <c r="E236" t="s">
        <v>710</v>
      </c>
      <c r="G236" t="s">
        <v>333</v>
      </c>
      <c r="K236" t="s">
        <v>61</v>
      </c>
      <c r="L236" t="s">
        <v>1530</v>
      </c>
      <c r="Q236" t="str">
        <f t="shared" si="9"/>
        <v>Nov</v>
      </c>
      <c r="R236">
        <f t="shared" si="10"/>
        <v>2014</v>
      </c>
      <c r="S236" t="str">
        <f>VLOOKUP($W236,TBL_Categories,2,FALSE)</f>
        <v>Monthly</v>
      </c>
      <c r="T236">
        <f>VLOOKUP($W236,TBL_Categories,3,FALSE)</f>
        <v>0</v>
      </c>
      <c r="U236" t="str">
        <f>VLOOKUP($W236,TBL_Categories,4,FALSE)</f>
        <v>No</v>
      </c>
      <c r="V236" t="str">
        <f>VLOOKUP($W236,TBL_Categories,5,FALSE)</f>
        <v>None</v>
      </c>
      <c r="W236" t="str">
        <f t="shared" si="11"/>
        <v>Food &amp; Dining|Restaurants</v>
      </c>
    </row>
    <row r="237" spans="1:23" x14ac:dyDescent="0.25">
      <c r="A237" t="s">
        <v>762</v>
      </c>
      <c r="B237" s="5">
        <v>41962</v>
      </c>
      <c r="C237">
        <v>-43.8</v>
      </c>
      <c r="D237" t="s">
        <v>306</v>
      </c>
      <c r="E237" t="s">
        <v>682</v>
      </c>
      <c r="F237" t="s">
        <v>678</v>
      </c>
      <c r="G237" t="s">
        <v>927</v>
      </c>
      <c r="J237" t="s">
        <v>1550</v>
      </c>
      <c r="K237" t="s">
        <v>72</v>
      </c>
      <c r="L237" t="s">
        <v>1537</v>
      </c>
      <c r="Q237" t="str">
        <f t="shared" si="9"/>
        <v>Nov</v>
      </c>
      <c r="R237">
        <f t="shared" si="10"/>
        <v>2014</v>
      </c>
      <c r="S237" t="str">
        <f>VLOOKUP($W237,TBL_Categories,2,FALSE)</f>
        <v>Annual</v>
      </c>
      <c r="T237">
        <f>VLOOKUP($W237,TBL_Categories,3,FALSE)</f>
        <v>0</v>
      </c>
      <c r="U237" t="str">
        <f>VLOOKUP($W237,TBL_Categories,4,FALSE)</f>
        <v>No</v>
      </c>
      <c r="V237" t="str">
        <f>VLOOKUP($W237,TBL_Categories,5,FALSE)</f>
        <v>None</v>
      </c>
      <c r="W237" t="str">
        <f t="shared" si="11"/>
        <v>Shopping|Clothing</v>
      </c>
    </row>
    <row r="238" spans="1:23" x14ac:dyDescent="0.25">
      <c r="A238" t="s">
        <v>284</v>
      </c>
      <c r="B238" s="5">
        <v>41961</v>
      </c>
      <c r="C238">
        <v>-74.77</v>
      </c>
      <c r="D238" t="s">
        <v>304</v>
      </c>
      <c r="E238" t="s">
        <v>323</v>
      </c>
      <c r="F238" t="s">
        <v>343</v>
      </c>
      <c r="G238" t="s">
        <v>313</v>
      </c>
      <c r="K238" t="s">
        <v>54</v>
      </c>
      <c r="L238" t="s">
        <v>1521</v>
      </c>
      <c r="Q238" t="str">
        <f t="shared" si="9"/>
        <v>Nov</v>
      </c>
      <c r="R238">
        <f t="shared" si="10"/>
        <v>2014</v>
      </c>
      <c r="S238" t="str">
        <f>VLOOKUP($W238,TBL_Categories,2,FALSE)</f>
        <v>Monthly</v>
      </c>
      <c r="T238">
        <f>VLOOKUP($W238,TBL_Categories,3,FALSE)</f>
        <v>0</v>
      </c>
      <c r="U238" t="str">
        <f>VLOOKUP($W238,TBL_Categories,4,FALSE)</f>
        <v>No</v>
      </c>
      <c r="V238" t="str">
        <f>VLOOKUP($W238,TBL_Categories,5,FALSE)</f>
        <v>None</v>
      </c>
      <c r="W238" t="str">
        <f t="shared" si="11"/>
        <v>Bills &amp; Utilities|Utilities</v>
      </c>
    </row>
    <row r="239" spans="1:23" x14ac:dyDescent="0.25">
      <c r="A239" t="s">
        <v>633</v>
      </c>
      <c r="B239" s="5">
        <v>41961</v>
      </c>
      <c r="C239">
        <v>-1.98</v>
      </c>
      <c r="D239" t="s">
        <v>304</v>
      </c>
      <c r="E239" t="s">
        <v>1001</v>
      </c>
      <c r="G239" t="s">
        <v>887</v>
      </c>
      <c r="J239" t="s">
        <v>1550</v>
      </c>
      <c r="K239" t="s">
        <v>61</v>
      </c>
      <c r="L239" t="s">
        <v>401</v>
      </c>
      <c r="Q239" t="str">
        <f t="shared" si="9"/>
        <v>Nov</v>
      </c>
      <c r="R239">
        <f t="shared" si="10"/>
        <v>2014</v>
      </c>
      <c r="S239" t="str">
        <f>VLOOKUP($W239,TBL_Categories,2,FALSE)</f>
        <v>Monthly</v>
      </c>
      <c r="T239">
        <f>VLOOKUP($W239,TBL_Categories,3,FALSE)</f>
        <v>0</v>
      </c>
      <c r="U239" t="str">
        <f>VLOOKUP($W239,TBL_Categories,4,FALSE)</f>
        <v>No</v>
      </c>
      <c r="V239" t="str">
        <f>VLOOKUP($W239,TBL_Categories,5,FALSE)</f>
        <v>None</v>
      </c>
      <c r="W239" t="str">
        <f t="shared" si="11"/>
        <v>Food &amp; Dining|Groceries</v>
      </c>
    </row>
    <row r="240" spans="1:23" x14ac:dyDescent="0.25">
      <c r="A240" t="s">
        <v>633</v>
      </c>
      <c r="B240" s="5">
        <v>41961</v>
      </c>
      <c r="C240">
        <v>-20</v>
      </c>
      <c r="D240" t="s">
        <v>304</v>
      </c>
      <c r="E240" t="s">
        <v>639</v>
      </c>
      <c r="F240" t="s">
        <v>1002</v>
      </c>
      <c r="G240" t="s">
        <v>588</v>
      </c>
      <c r="K240" t="s">
        <v>66</v>
      </c>
      <c r="L240" t="s">
        <v>1537</v>
      </c>
      <c r="Q240" t="str">
        <f t="shared" si="9"/>
        <v>Nov</v>
      </c>
      <c r="R240">
        <f t="shared" si="10"/>
        <v>2014</v>
      </c>
      <c r="S240" t="str">
        <f>VLOOKUP($W240,TBL_Categories,2,FALSE)</f>
        <v>Monthly</v>
      </c>
      <c r="T240">
        <f>VLOOKUP($W240,TBL_Categories,3,FALSE)</f>
        <v>0</v>
      </c>
      <c r="U240" t="str">
        <f>VLOOKUP($W240,TBL_Categories,4,FALSE)</f>
        <v>No</v>
      </c>
      <c r="V240" t="str">
        <f>VLOOKUP($W240,TBL_Categories,5,FALSE)</f>
        <v>None</v>
      </c>
      <c r="W240" t="str">
        <f t="shared" si="11"/>
        <v>Kids|Clothing</v>
      </c>
    </row>
    <row r="241" spans="1:23" x14ac:dyDescent="0.25">
      <c r="A241" t="s">
        <v>762</v>
      </c>
      <c r="B241" s="5">
        <v>41961</v>
      </c>
      <c r="C241">
        <v>0</v>
      </c>
      <c r="D241" t="s">
        <v>304</v>
      </c>
      <c r="E241" t="s">
        <v>634</v>
      </c>
      <c r="G241" t="s">
        <v>771</v>
      </c>
      <c r="K241" t="s">
        <v>771</v>
      </c>
      <c r="Q241" t="str">
        <f t="shared" si="9"/>
        <v>Nov</v>
      </c>
      <c r="R241">
        <f t="shared" si="10"/>
        <v>2014</v>
      </c>
      <c r="S241" t="e">
        <f>VLOOKUP($W241,TBL_Categories,2,FALSE)</f>
        <v>#N/A</v>
      </c>
      <c r="T241" t="e">
        <f>VLOOKUP($W241,TBL_Categories,3,FALSE)</f>
        <v>#N/A</v>
      </c>
      <c r="U241" t="e">
        <f>VLOOKUP($W241,TBL_Categories,4,FALSE)</f>
        <v>#N/A</v>
      </c>
      <c r="V241" t="e">
        <f>VLOOKUP($W241,TBL_Categories,5,FALSE)</f>
        <v>#N/A</v>
      </c>
      <c r="W241" t="str">
        <f t="shared" si="11"/>
        <v>[REI Mastercard (xx1787)]</v>
      </c>
    </row>
    <row r="242" spans="1:23" x14ac:dyDescent="0.25">
      <c r="A242" t="s">
        <v>296</v>
      </c>
      <c r="B242" s="5">
        <v>41959</v>
      </c>
      <c r="C242">
        <v>-9.17</v>
      </c>
      <c r="D242" t="s">
        <v>304</v>
      </c>
      <c r="E242" t="s">
        <v>461</v>
      </c>
      <c r="G242" t="s">
        <v>333</v>
      </c>
      <c r="K242" t="s">
        <v>61</v>
      </c>
      <c r="L242" t="s">
        <v>1530</v>
      </c>
      <c r="Q242" t="str">
        <f t="shared" si="9"/>
        <v>Nov</v>
      </c>
      <c r="R242">
        <f t="shared" si="10"/>
        <v>2014</v>
      </c>
      <c r="S242" t="str">
        <f>VLOOKUP($W242,TBL_Categories,2,FALSE)</f>
        <v>Monthly</v>
      </c>
      <c r="T242">
        <f>VLOOKUP($W242,TBL_Categories,3,FALSE)</f>
        <v>0</v>
      </c>
      <c r="U242" t="str">
        <f>VLOOKUP($W242,TBL_Categories,4,FALSE)</f>
        <v>No</v>
      </c>
      <c r="V242" t="str">
        <f>VLOOKUP($W242,TBL_Categories,5,FALSE)</f>
        <v>None</v>
      </c>
      <c r="W242" t="str">
        <f t="shared" si="11"/>
        <v>Food &amp; Dining|Restaurants</v>
      </c>
    </row>
    <row r="243" spans="1:23" x14ac:dyDescent="0.25">
      <c r="A243" t="s">
        <v>293</v>
      </c>
      <c r="B243" s="5">
        <v>41958</v>
      </c>
      <c r="C243">
        <v>-24.05</v>
      </c>
      <c r="D243" t="s">
        <v>304</v>
      </c>
      <c r="E243" t="s">
        <v>670</v>
      </c>
      <c r="G243" t="s">
        <v>888</v>
      </c>
      <c r="I243" t="s">
        <v>272</v>
      </c>
      <c r="J243" t="s">
        <v>1550</v>
      </c>
      <c r="K243" t="s">
        <v>63</v>
      </c>
      <c r="L243" t="s">
        <v>1546</v>
      </c>
      <c r="Q243" t="str">
        <f t="shared" si="9"/>
        <v>Nov</v>
      </c>
      <c r="R243">
        <f t="shared" si="10"/>
        <v>2014</v>
      </c>
      <c r="S243" t="str">
        <f>VLOOKUP($W243,TBL_Categories,2,FALSE)</f>
        <v>Monthly</v>
      </c>
      <c r="T243">
        <f>VLOOKUP($W243,TBL_Categories,3,FALSE)</f>
        <v>0</v>
      </c>
      <c r="U243" t="str">
        <f>VLOOKUP($W243,TBL_Categories,4,FALSE)</f>
        <v>No</v>
      </c>
      <c r="V243" t="str">
        <f>VLOOKUP($W243,TBL_Categories,5,FALSE)</f>
        <v>None</v>
      </c>
      <c r="W243" t="str">
        <f t="shared" si="11"/>
        <v>Home|Furnishings</v>
      </c>
    </row>
    <row r="244" spans="1:23" x14ac:dyDescent="0.25">
      <c r="A244" t="s">
        <v>293</v>
      </c>
      <c r="B244" s="5">
        <v>41958</v>
      </c>
      <c r="C244">
        <v>-27.33</v>
      </c>
      <c r="D244" t="s">
        <v>304</v>
      </c>
      <c r="E244" t="s">
        <v>670</v>
      </c>
      <c r="G244" t="s">
        <v>915</v>
      </c>
      <c r="I244" t="s">
        <v>272</v>
      </c>
      <c r="J244" t="s">
        <v>1550</v>
      </c>
      <c r="K244" t="s">
        <v>20</v>
      </c>
      <c r="Q244" t="str">
        <f t="shared" si="9"/>
        <v>Nov</v>
      </c>
      <c r="R244">
        <f t="shared" si="10"/>
        <v>2014</v>
      </c>
      <c r="S244" t="str">
        <f>VLOOKUP($W244,TBL_Categories,2,FALSE)</f>
        <v>Monthly</v>
      </c>
      <c r="T244">
        <f>VLOOKUP($W244,TBL_Categories,3,FALSE)</f>
        <v>0</v>
      </c>
      <c r="U244" t="str">
        <f>VLOOKUP($W244,TBL_Categories,4,FALSE)</f>
        <v>No</v>
      </c>
      <c r="V244" t="str">
        <f>VLOOKUP($W244,TBL_Categories,5,FALSE)</f>
        <v>None</v>
      </c>
      <c r="W244" t="str">
        <f t="shared" si="11"/>
        <v>Gifts</v>
      </c>
    </row>
    <row r="245" spans="1:23" x14ac:dyDescent="0.25">
      <c r="A245" t="s">
        <v>293</v>
      </c>
      <c r="B245" s="5">
        <v>41958</v>
      </c>
      <c r="C245">
        <v>-27.96</v>
      </c>
      <c r="D245" t="s">
        <v>304</v>
      </c>
      <c r="E245" t="s">
        <v>670</v>
      </c>
      <c r="G245" t="s">
        <v>1020</v>
      </c>
      <c r="I245" t="s">
        <v>272</v>
      </c>
      <c r="J245" t="s">
        <v>1550</v>
      </c>
      <c r="K245" t="s">
        <v>66</v>
      </c>
      <c r="L245" t="s">
        <v>1536</v>
      </c>
      <c r="Q245" t="str">
        <f t="shared" si="9"/>
        <v>Nov</v>
      </c>
      <c r="R245">
        <f t="shared" si="10"/>
        <v>2014</v>
      </c>
      <c r="S245" t="str">
        <f>VLOOKUP($W245,TBL_Categories,2,FALSE)</f>
        <v>Monthly</v>
      </c>
      <c r="T245">
        <f>VLOOKUP($W245,TBL_Categories,3,FALSE)</f>
        <v>0</v>
      </c>
      <c r="U245" t="str">
        <f>VLOOKUP($W245,TBL_Categories,4,FALSE)</f>
        <v>No</v>
      </c>
      <c r="V245" t="str">
        <f>VLOOKUP($W245,TBL_Categories,5,FALSE)</f>
        <v>None</v>
      </c>
      <c r="W245" t="str">
        <f t="shared" si="11"/>
        <v>Kids|Toys</v>
      </c>
    </row>
    <row r="246" spans="1:23" x14ac:dyDescent="0.25">
      <c r="A246" t="s">
        <v>296</v>
      </c>
      <c r="B246" s="5">
        <v>41958</v>
      </c>
      <c r="C246">
        <v>-4.21</v>
      </c>
      <c r="D246" t="s">
        <v>304</v>
      </c>
      <c r="E246" t="s">
        <v>630</v>
      </c>
      <c r="G246" t="s">
        <v>409</v>
      </c>
      <c r="K246" t="s">
        <v>52</v>
      </c>
      <c r="L246" t="s">
        <v>1568</v>
      </c>
      <c r="Q246" t="str">
        <f t="shared" si="9"/>
        <v>Nov</v>
      </c>
      <c r="R246">
        <f t="shared" si="10"/>
        <v>2014</v>
      </c>
      <c r="S246" t="str">
        <f>VLOOKUP($W246,TBL_Categories,2,FALSE)</f>
        <v>Monthly</v>
      </c>
      <c r="T246">
        <f>VLOOKUP($W246,TBL_Categories,3,FALSE)</f>
        <v>0</v>
      </c>
      <c r="U246" t="str">
        <f>VLOOKUP($W246,TBL_Categories,4,FALSE)</f>
        <v>No</v>
      </c>
      <c r="V246" t="str">
        <f>VLOOKUP($W246,TBL_Categories,5,FALSE)</f>
        <v>None</v>
      </c>
      <c r="W246" t="str">
        <f t="shared" si="11"/>
        <v>Auto &amp; Transport|Gas &amp; Fuel</v>
      </c>
    </row>
    <row r="247" spans="1:23" x14ac:dyDescent="0.25">
      <c r="A247" t="s">
        <v>296</v>
      </c>
      <c r="B247" s="5">
        <v>41958</v>
      </c>
      <c r="C247">
        <v>-25.12</v>
      </c>
      <c r="D247" t="s">
        <v>304</v>
      </c>
      <c r="E247" t="s">
        <v>670</v>
      </c>
      <c r="G247" t="s">
        <v>773</v>
      </c>
      <c r="J247" t="s">
        <v>1550</v>
      </c>
      <c r="K247" t="s">
        <v>61</v>
      </c>
      <c r="L247" t="s">
        <v>1530</v>
      </c>
      <c r="Q247" t="str">
        <f t="shared" si="9"/>
        <v>Nov</v>
      </c>
      <c r="R247">
        <f t="shared" si="10"/>
        <v>2014</v>
      </c>
      <c r="S247" t="str">
        <f>VLOOKUP($W247,TBL_Categories,2,FALSE)</f>
        <v>Monthly</v>
      </c>
      <c r="T247">
        <f>VLOOKUP($W247,TBL_Categories,3,FALSE)</f>
        <v>0</v>
      </c>
      <c r="U247" t="str">
        <f>VLOOKUP($W247,TBL_Categories,4,FALSE)</f>
        <v>No</v>
      </c>
      <c r="V247" t="str">
        <f>VLOOKUP($W247,TBL_Categories,5,FALSE)</f>
        <v>None</v>
      </c>
      <c r="W247" t="str">
        <f t="shared" si="11"/>
        <v>Food &amp; Dining|Restaurants</v>
      </c>
    </row>
    <row r="248" spans="1:23" x14ac:dyDescent="0.25">
      <c r="A248" t="s">
        <v>296</v>
      </c>
      <c r="B248" s="5">
        <v>41958</v>
      </c>
      <c r="C248">
        <v>-134.79</v>
      </c>
      <c r="D248" t="s">
        <v>304</v>
      </c>
      <c r="E248" t="s">
        <v>1381</v>
      </c>
      <c r="G248" t="s">
        <v>333</v>
      </c>
      <c r="K248" t="s">
        <v>61</v>
      </c>
      <c r="L248" t="s">
        <v>1530</v>
      </c>
      <c r="Q248" t="str">
        <f t="shared" si="9"/>
        <v>Nov</v>
      </c>
      <c r="R248">
        <f t="shared" si="10"/>
        <v>2014</v>
      </c>
      <c r="S248" t="str">
        <f>VLOOKUP($W248,TBL_Categories,2,FALSE)</f>
        <v>Monthly</v>
      </c>
      <c r="T248">
        <f>VLOOKUP($W248,TBL_Categories,3,FALSE)</f>
        <v>0</v>
      </c>
      <c r="U248" t="str">
        <f>VLOOKUP($W248,TBL_Categories,4,FALSE)</f>
        <v>No</v>
      </c>
      <c r="V248" t="str">
        <f>VLOOKUP($W248,TBL_Categories,5,FALSE)</f>
        <v>None</v>
      </c>
      <c r="W248" t="str">
        <f t="shared" si="11"/>
        <v>Food &amp; Dining|Restaurants</v>
      </c>
    </row>
    <row r="249" spans="1:23" x14ac:dyDescent="0.25">
      <c r="A249" t="s">
        <v>296</v>
      </c>
      <c r="B249" s="5">
        <v>41958</v>
      </c>
      <c r="C249">
        <v>-155.08000000000001</v>
      </c>
      <c r="D249" t="s">
        <v>304</v>
      </c>
      <c r="E249" t="s">
        <v>433</v>
      </c>
      <c r="G249" t="s">
        <v>887</v>
      </c>
      <c r="J249" t="s">
        <v>1550</v>
      </c>
      <c r="K249" t="s">
        <v>61</v>
      </c>
      <c r="L249" t="s">
        <v>401</v>
      </c>
      <c r="Q249" t="str">
        <f t="shared" si="9"/>
        <v>Nov</v>
      </c>
      <c r="R249">
        <f t="shared" si="10"/>
        <v>2014</v>
      </c>
      <c r="S249" t="str">
        <f>VLOOKUP($W249,TBL_Categories,2,FALSE)</f>
        <v>Monthly</v>
      </c>
      <c r="T249">
        <f>VLOOKUP($W249,TBL_Categories,3,FALSE)</f>
        <v>0</v>
      </c>
      <c r="U249" t="str">
        <f>VLOOKUP($W249,TBL_Categories,4,FALSE)</f>
        <v>No</v>
      </c>
      <c r="V249" t="str">
        <f>VLOOKUP($W249,TBL_Categories,5,FALSE)</f>
        <v>None</v>
      </c>
      <c r="W249" t="str">
        <f t="shared" si="11"/>
        <v>Food &amp; Dining|Groceries</v>
      </c>
    </row>
    <row r="250" spans="1:23" x14ac:dyDescent="0.25">
      <c r="A250" t="s">
        <v>284</v>
      </c>
      <c r="B250" s="5">
        <v>41957</v>
      </c>
      <c r="C250">
        <v>15</v>
      </c>
      <c r="D250" t="s">
        <v>304</v>
      </c>
      <c r="E250" t="s">
        <v>790</v>
      </c>
      <c r="F250" t="s">
        <v>845</v>
      </c>
      <c r="G250" t="s">
        <v>589</v>
      </c>
      <c r="K250" t="s">
        <v>29</v>
      </c>
      <c r="L250" t="s">
        <v>1539</v>
      </c>
      <c r="O250" t="s">
        <v>1601</v>
      </c>
      <c r="Q250" t="str">
        <f t="shared" si="9"/>
        <v>Nov</v>
      </c>
      <c r="R250">
        <f t="shared" si="10"/>
        <v>2014</v>
      </c>
      <c r="S250" t="str">
        <f>VLOOKUP($W250,TBL_Categories,2,FALSE)</f>
        <v>Irregular</v>
      </c>
      <c r="T250">
        <f>VLOOKUP($W250,TBL_Categories,3,FALSE)</f>
        <v>0</v>
      </c>
      <c r="U250" t="str">
        <f>VLOOKUP($W250,TBL_Categories,4,FALSE)</f>
        <v>No</v>
      </c>
      <c r="V250" t="str">
        <f>VLOOKUP($W250,TBL_Categories,5,FALSE)</f>
        <v>None</v>
      </c>
      <c r="W250" t="str">
        <f t="shared" si="11"/>
        <v>Work Expense|Reimbursement</v>
      </c>
    </row>
    <row r="251" spans="1:23" x14ac:dyDescent="0.25">
      <c r="A251" t="s">
        <v>284</v>
      </c>
      <c r="B251" s="5">
        <v>41957</v>
      </c>
      <c r="C251">
        <v>148.91</v>
      </c>
      <c r="D251" t="s">
        <v>304</v>
      </c>
      <c r="E251" t="s">
        <v>772</v>
      </c>
      <c r="F251" t="s">
        <v>811</v>
      </c>
      <c r="G251" t="s">
        <v>356</v>
      </c>
      <c r="K251" t="s">
        <v>62</v>
      </c>
      <c r="L251" t="s">
        <v>1545</v>
      </c>
      <c r="O251" t="s">
        <v>1600</v>
      </c>
      <c r="Q251" t="str">
        <f t="shared" si="9"/>
        <v>Nov</v>
      </c>
      <c r="R251">
        <f t="shared" si="10"/>
        <v>2014</v>
      </c>
      <c r="S251" t="str">
        <f>VLOOKUP($W251,TBL_Categories,2,FALSE)</f>
        <v>Irregular</v>
      </c>
      <c r="T251">
        <f>VLOOKUP($W251,TBL_Categories,3,FALSE)</f>
        <v>0</v>
      </c>
      <c r="U251" t="str">
        <f>VLOOKUP($W251,TBL_Categories,4,FALSE)</f>
        <v>No</v>
      </c>
      <c r="V251" t="str">
        <f>VLOOKUP($W251,TBL_Categories,5,FALSE)</f>
        <v>None</v>
      </c>
      <c r="W251" t="str">
        <f t="shared" si="11"/>
        <v>Health &amp; Fitness|Sports</v>
      </c>
    </row>
    <row r="252" spans="1:23" x14ac:dyDescent="0.25">
      <c r="A252" t="s">
        <v>293</v>
      </c>
      <c r="B252" s="5">
        <v>41957</v>
      </c>
      <c r="C252">
        <v>-4</v>
      </c>
      <c r="D252" t="s">
        <v>304</v>
      </c>
      <c r="E252" t="s">
        <v>495</v>
      </c>
      <c r="F252" t="s">
        <v>1019</v>
      </c>
      <c r="G252" t="s">
        <v>333</v>
      </c>
      <c r="K252" t="s">
        <v>61</v>
      </c>
      <c r="L252" t="s">
        <v>1530</v>
      </c>
      <c r="Q252" t="str">
        <f t="shared" si="9"/>
        <v>Nov</v>
      </c>
      <c r="R252">
        <f t="shared" si="10"/>
        <v>2014</v>
      </c>
      <c r="S252" t="str">
        <f>VLOOKUP($W252,TBL_Categories,2,FALSE)</f>
        <v>Monthly</v>
      </c>
      <c r="T252">
        <f>VLOOKUP($W252,TBL_Categories,3,FALSE)</f>
        <v>0</v>
      </c>
      <c r="U252" t="str">
        <f>VLOOKUP($W252,TBL_Categories,4,FALSE)</f>
        <v>No</v>
      </c>
      <c r="V252" t="str">
        <f>VLOOKUP($W252,TBL_Categories,5,FALSE)</f>
        <v>None</v>
      </c>
      <c r="W252" t="str">
        <f t="shared" si="11"/>
        <v>Food &amp; Dining|Restaurants</v>
      </c>
    </row>
    <row r="253" spans="1:23" x14ac:dyDescent="0.25">
      <c r="A253" t="s">
        <v>293</v>
      </c>
      <c r="B253" s="5">
        <v>41957</v>
      </c>
      <c r="C253">
        <v>-100</v>
      </c>
      <c r="D253" t="s">
        <v>304</v>
      </c>
      <c r="E253" t="s">
        <v>495</v>
      </c>
      <c r="G253" t="s">
        <v>333</v>
      </c>
      <c r="K253" t="s">
        <v>61</v>
      </c>
      <c r="L253" t="s">
        <v>1530</v>
      </c>
      <c r="Q253" t="str">
        <f t="shared" si="9"/>
        <v>Nov</v>
      </c>
      <c r="R253">
        <f t="shared" si="10"/>
        <v>2014</v>
      </c>
      <c r="S253" t="str">
        <f>VLOOKUP($W253,TBL_Categories,2,FALSE)</f>
        <v>Monthly</v>
      </c>
      <c r="T253">
        <f>VLOOKUP($W253,TBL_Categories,3,FALSE)</f>
        <v>0</v>
      </c>
      <c r="U253" t="str">
        <f>VLOOKUP($W253,TBL_Categories,4,FALSE)</f>
        <v>No</v>
      </c>
      <c r="V253" t="str">
        <f>VLOOKUP($W253,TBL_Categories,5,FALSE)</f>
        <v>None</v>
      </c>
      <c r="W253" t="str">
        <f t="shared" si="11"/>
        <v>Food &amp; Dining|Restaurants</v>
      </c>
    </row>
    <row r="254" spans="1:23" x14ac:dyDescent="0.25">
      <c r="A254" t="s">
        <v>284</v>
      </c>
      <c r="B254" s="5">
        <v>41956</v>
      </c>
      <c r="C254" s="4">
        <v>5507.73</v>
      </c>
      <c r="D254" t="s">
        <v>304</v>
      </c>
      <c r="E254" t="s">
        <v>361</v>
      </c>
      <c r="F254" t="s">
        <v>312</v>
      </c>
      <c r="G254" t="s">
        <v>12</v>
      </c>
      <c r="K254" t="s">
        <v>12</v>
      </c>
      <c r="Q254" t="str">
        <f t="shared" si="9"/>
        <v>Nov</v>
      </c>
      <c r="R254">
        <f t="shared" si="10"/>
        <v>2014</v>
      </c>
      <c r="S254" t="str">
        <f>VLOOKUP($W254,TBL_Categories,2,FALSE)</f>
        <v>Monthly</v>
      </c>
      <c r="T254">
        <f>VLOOKUP($W254,TBL_Categories,3,FALSE)</f>
        <v>0</v>
      </c>
      <c r="U254" t="str">
        <f>VLOOKUP($W254,TBL_Categories,4,FALSE)</f>
        <v>No</v>
      </c>
      <c r="V254" t="str">
        <f>VLOOKUP($W254,TBL_Categories,5,FALSE)</f>
        <v>None</v>
      </c>
      <c r="W254" t="str">
        <f t="shared" si="11"/>
        <v>Net Salary</v>
      </c>
    </row>
    <row r="255" spans="1:23" x14ac:dyDescent="0.25">
      <c r="A255" t="s">
        <v>284</v>
      </c>
      <c r="B255" s="5">
        <v>41956</v>
      </c>
      <c r="C255">
        <v>-48.63</v>
      </c>
      <c r="D255" t="s">
        <v>304</v>
      </c>
      <c r="E255" t="s">
        <v>324</v>
      </c>
      <c r="F255" t="s">
        <v>844</v>
      </c>
      <c r="G255" t="s">
        <v>313</v>
      </c>
      <c r="K255" t="s">
        <v>54</v>
      </c>
      <c r="L255" t="s">
        <v>1521</v>
      </c>
      <c r="Q255" t="str">
        <f t="shared" si="9"/>
        <v>Nov</v>
      </c>
      <c r="R255">
        <f t="shared" si="10"/>
        <v>2014</v>
      </c>
      <c r="S255" t="str">
        <f>VLOOKUP($W255,TBL_Categories,2,FALSE)</f>
        <v>Monthly</v>
      </c>
      <c r="T255">
        <f>VLOOKUP($W255,TBL_Categories,3,FALSE)</f>
        <v>0</v>
      </c>
      <c r="U255" t="str">
        <f>VLOOKUP($W255,TBL_Categories,4,FALSE)</f>
        <v>No</v>
      </c>
      <c r="V255" t="str">
        <f>VLOOKUP($W255,TBL_Categories,5,FALSE)</f>
        <v>None</v>
      </c>
      <c r="W255" t="str">
        <f t="shared" si="11"/>
        <v>Bills &amp; Utilities|Utilities</v>
      </c>
    </row>
    <row r="256" spans="1:23" x14ac:dyDescent="0.25">
      <c r="A256" t="s">
        <v>296</v>
      </c>
      <c r="B256" s="5">
        <v>41956</v>
      </c>
      <c r="C256">
        <v>-21.71</v>
      </c>
      <c r="D256" t="s">
        <v>304</v>
      </c>
      <c r="E256" t="s">
        <v>436</v>
      </c>
      <c r="G256" t="s">
        <v>333</v>
      </c>
      <c r="K256" t="s">
        <v>61</v>
      </c>
      <c r="L256" t="s">
        <v>1530</v>
      </c>
      <c r="Q256" t="str">
        <f t="shared" si="9"/>
        <v>Nov</v>
      </c>
      <c r="R256">
        <f t="shared" si="10"/>
        <v>2014</v>
      </c>
      <c r="S256" t="str">
        <f>VLOOKUP($W256,TBL_Categories,2,FALSE)</f>
        <v>Monthly</v>
      </c>
      <c r="T256">
        <f>VLOOKUP($W256,TBL_Categories,3,FALSE)</f>
        <v>0</v>
      </c>
      <c r="U256" t="str">
        <f>VLOOKUP($W256,TBL_Categories,4,FALSE)</f>
        <v>No</v>
      </c>
      <c r="V256" t="str">
        <f>VLOOKUP($W256,TBL_Categories,5,FALSE)</f>
        <v>None</v>
      </c>
      <c r="W256" t="str">
        <f t="shared" si="11"/>
        <v>Food &amp; Dining|Restaurants</v>
      </c>
    </row>
    <row r="257" spans="1:23" x14ac:dyDescent="0.25">
      <c r="A257" t="s">
        <v>288</v>
      </c>
      <c r="B257" s="5">
        <v>41955</v>
      </c>
      <c r="C257">
        <v>-67.81</v>
      </c>
      <c r="D257" t="s">
        <v>304</v>
      </c>
      <c r="E257" t="s">
        <v>875</v>
      </c>
      <c r="F257" t="s">
        <v>1655</v>
      </c>
      <c r="G257" t="s">
        <v>878</v>
      </c>
      <c r="H257">
        <v>1094</v>
      </c>
      <c r="J257" t="s">
        <v>1560</v>
      </c>
      <c r="K257" t="s">
        <v>55</v>
      </c>
      <c r="L257" t="s">
        <v>1559</v>
      </c>
      <c r="Q257" t="str">
        <f t="shared" si="9"/>
        <v>Nov</v>
      </c>
      <c r="R257">
        <f t="shared" si="10"/>
        <v>2014</v>
      </c>
      <c r="S257" t="str">
        <f>VLOOKUP($W257,TBL_Categories,2,FALSE)</f>
        <v>Irregular</v>
      </c>
      <c r="T257">
        <f>VLOOKUP($W257,TBL_Categories,3,FALSE)</f>
        <v>0</v>
      </c>
      <c r="U257" t="str">
        <f>VLOOKUP($W257,TBL_Categories,4,FALSE)</f>
        <v>No</v>
      </c>
      <c r="V257" t="str">
        <f>VLOOKUP($W257,TBL_Categories,5,FALSE)</f>
        <v>None</v>
      </c>
      <c r="W257" t="str">
        <f t="shared" si="11"/>
        <v>Business Expenses (Koolikai)|Repairs</v>
      </c>
    </row>
    <row r="258" spans="1:23" x14ac:dyDescent="0.25">
      <c r="A258" t="s">
        <v>289</v>
      </c>
      <c r="B258" s="5">
        <v>41955</v>
      </c>
      <c r="C258">
        <v>0</v>
      </c>
      <c r="D258" t="s">
        <v>304</v>
      </c>
      <c r="E258" t="s">
        <v>308</v>
      </c>
      <c r="G258" t="s">
        <v>25</v>
      </c>
      <c r="K258" t="s">
        <v>25</v>
      </c>
      <c r="Q258" t="str">
        <f t="shared" ref="Q258:Q321" si="12">TEXT($B258,"MMM")</f>
        <v>Nov</v>
      </c>
      <c r="R258">
        <f t="shared" ref="R258:R321" si="13">YEAR($B258)</f>
        <v>2014</v>
      </c>
      <c r="S258" t="str">
        <f>VLOOKUP($W258,TBL_Categories,2,FALSE)</f>
        <v>Account</v>
      </c>
      <c r="T258">
        <f>VLOOKUP($W258,TBL_Categories,3,FALSE)</f>
        <v>0</v>
      </c>
      <c r="U258" t="str">
        <f>VLOOKUP($W258,TBL_Categories,4,FALSE)</f>
        <v>No</v>
      </c>
      <c r="V258" t="str">
        <f>VLOOKUP($W258,TBL_Categories,5,FALSE)</f>
        <v>None</v>
      </c>
      <c r="W258" t="str">
        <f t="shared" ref="W258:W321" si="14">IF(ISBLANK($L258),$K258,CONCATENATE($K258,"|",$L258))</f>
        <v>[Koolikai - Sec Dep XX1200]</v>
      </c>
    </row>
    <row r="259" spans="1:23" x14ac:dyDescent="0.25">
      <c r="A259" t="s">
        <v>293</v>
      </c>
      <c r="B259" s="5">
        <v>41955</v>
      </c>
      <c r="C259">
        <v>-5.2</v>
      </c>
      <c r="D259" t="s">
        <v>304</v>
      </c>
      <c r="E259" t="s">
        <v>495</v>
      </c>
      <c r="G259" t="s">
        <v>333</v>
      </c>
      <c r="K259" t="s">
        <v>61</v>
      </c>
      <c r="L259" t="s">
        <v>1530</v>
      </c>
      <c r="Q259" t="str">
        <f t="shared" si="12"/>
        <v>Nov</v>
      </c>
      <c r="R259">
        <f t="shared" si="13"/>
        <v>2014</v>
      </c>
      <c r="S259" t="str">
        <f>VLOOKUP($W259,TBL_Categories,2,FALSE)</f>
        <v>Monthly</v>
      </c>
      <c r="T259">
        <f>VLOOKUP($W259,TBL_Categories,3,FALSE)</f>
        <v>0</v>
      </c>
      <c r="U259" t="str">
        <f>VLOOKUP($W259,TBL_Categories,4,FALSE)</f>
        <v>No</v>
      </c>
      <c r="V259" t="str">
        <f>VLOOKUP($W259,TBL_Categories,5,FALSE)</f>
        <v>None</v>
      </c>
      <c r="W259" t="str">
        <f t="shared" si="14"/>
        <v>Food &amp; Dining|Restaurants</v>
      </c>
    </row>
    <row r="260" spans="1:23" x14ac:dyDescent="0.25">
      <c r="A260" t="s">
        <v>294</v>
      </c>
      <c r="B260" s="5">
        <v>41955</v>
      </c>
      <c r="C260">
        <v>-146.88</v>
      </c>
      <c r="D260" t="s">
        <v>306</v>
      </c>
      <c r="E260" t="s">
        <v>335</v>
      </c>
      <c r="G260" t="s">
        <v>336</v>
      </c>
      <c r="K260" t="s">
        <v>55</v>
      </c>
      <c r="L260" t="s">
        <v>1532</v>
      </c>
      <c r="Q260" t="str">
        <f t="shared" si="12"/>
        <v>Nov</v>
      </c>
      <c r="R260">
        <f t="shared" si="13"/>
        <v>2014</v>
      </c>
      <c r="S260" t="str">
        <f>VLOOKUP($W260,TBL_Categories,2,FALSE)</f>
        <v>Monthly</v>
      </c>
      <c r="T260">
        <f>VLOOKUP($W260,TBL_Categories,3,FALSE)</f>
        <v>0</v>
      </c>
      <c r="U260" t="str">
        <f>VLOOKUP($W260,TBL_Categories,4,FALSE)</f>
        <v>No</v>
      </c>
      <c r="V260" t="str">
        <f>VLOOKUP($W260,TBL_Categories,5,FALSE)</f>
        <v>None</v>
      </c>
      <c r="W260" t="str">
        <f t="shared" si="14"/>
        <v>Business Expenses (Koolikai)|Cell Phone</v>
      </c>
    </row>
    <row r="261" spans="1:23" x14ac:dyDescent="0.25">
      <c r="A261" t="s">
        <v>296</v>
      </c>
      <c r="B261" s="5">
        <v>41955</v>
      </c>
      <c r="C261">
        <v>-36.11</v>
      </c>
      <c r="D261" t="s">
        <v>304</v>
      </c>
      <c r="E261" t="s">
        <v>531</v>
      </c>
      <c r="F261" t="s">
        <v>1380</v>
      </c>
      <c r="G261" t="s">
        <v>1046</v>
      </c>
      <c r="J261" t="s">
        <v>1550</v>
      </c>
      <c r="K261" t="s">
        <v>55</v>
      </c>
      <c r="L261" t="s">
        <v>1553</v>
      </c>
      <c r="Q261" t="str">
        <f t="shared" si="12"/>
        <v>Nov</v>
      </c>
      <c r="R261">
        <f t="shared" si="13"/>
        <v>2014</v>
      </c>
      <c r="S261" t="str">
        <f>VLOOKUP($W261,TBL_Categories,2,FALSE)</f>
        <v>Monthly</v>
      </c>
      <c r="T261">
        <f>VLOOKUP($W261,TBL_Categories,3,FALSE)</f>
        <v>0</v>
      </c>
      <c r="U261" t="str">
        <f>VLOOKUP($W261,TBL_Categories,4,FALSE)</f>
        <v>No</v>
      </c>
      <c r="V261" t="str">
        <f>VLOOKUP($W261,TBL_Categories,5,FALSE)</f>
        <v>None</v>
      </c>
      <c r="W261" t="str">
        <f t="shared" si="14"/>
        <v>Business Expenses (Koolikai)|Office Expenses (Business)</v>
      </c>
    </row>
    <row r="262" spans="1:23" x14ac:dyDescent="0.25">
      <c r="A262" t="s">
        <v>290</v>
      </c>
      <c r="B262" s="5">
        <v>41954</v>
      </c>
      <c r="C262">
        <v>-44.74</v>
      </c>
      <c r="D262" t="s">
        <v>304</v>
      </c>
      <c r="E262" t="s">
        <v>400</v>
      </c>
      <c r="F262" t="s">
        <v>912</v>
      </c>
      <c r="G262" t="s">
        <v>887</v>
      </c>
      <c r="J262" t="s">
        <v>1550</v>
      </c>
      <c r="K262" t="s">
        <v>61</v>
      </c>
      <c r="L262" t="s">
        <v>401</v>
      </c>
      <c r="Q262" t="str">
        <f t="shared" si="12"/>
        <v>Nov</v>
      </c>
      <c r="R262">
        <f t="shared" si="13"/>
        <v>2014</v>
      </c>
      <c r="S262" t="str">
        <f>VLOOKUP($W262,TBL_Categories,2,FALSE)</f>
        <v>Monthly</v>
      </c>
      <c r="T262">
        <f>VLOOKUP($W262,TBL_Categories,3,FALSE)</f>
        <v>0</v>
      </c>
      <c r="U262" t="str">
        <f>VLOOKUP($W262,TBL_Categories,4,FALSE)</f>
        <v>No</v>
      </c>
      <c r="V262" t="str">
        <f>VLOOKUP($W262,TBL_Categories,5,FALSE)</f>
        <v>None</v>
      </c>
      <c r="W262" t="str">
        <f t="shared" si="14"/>
        <v>Food &amp; Dining|Groceries</v>
      </c>
    </row>
    <row r="263" spans="1:23" x14ac:dyDescent="0.25">
      <c r="A263" t="s">
        <v>761</v>
      </c>
      <c r="B263" s="5">
        <v>41954</v>
      </c>
      <c r="C263">
        <v>0</v>
      </c>
      <c r="D263" t="s">
        <v>304</v>
      </c>
      <c r="E263" t="s">
        <v>308</v>
      </c>
      <c r="G263" t="s">
        <v>1007</v>
      </c>
      <c r="K263" t="s">
        <v>1007</v>
      </c>
      <c r="Q263" t="str">
        <f t="shared" si="12"/>
        <v>Nov</v>
      </c>
      <c r="R263">
        <f t="shared" si="13"/>
        <v>2014</v>
      </c>
      <c r="S263" t="e">
        <f>VLOOKUP($W263,TBL_Categories,2,FALSE)</f>
        <v>#N/A</v>
      </c>
      <c r="T263" t="e">
        <f>VLOOKUP($W263,TBL_Categories,3,FALSE)</f>
        <v>#N/A</v>
      </c>
      <c r="U263" t="e">
        <f>VLOOKUP($W263,TBL_Categories,4,FALSE)</f>
        <v>#N/A</v>
      </c>
      <c r="V263" t="e">
        <f>VLOOKUP($W263,TBL_Categories,5,FALSE)</f>
        <v>#N/A</v>
      </c>
      <c r="W263" t="str">
        <f t="shared" si="14"/>
        <v>[Chase Slate (XX1141)]</v>
      </c>
    </row>
    <row r="264" spans="1:23" x14ac:dyDescent="0.25">
      <c r="A264" t="s">
        <v>295</v>
      </c>
      <c r="B264" s="5">
        <v>41954</v>
      </c>
      <c r="C264">
        <v>0</v>
      </c>
      <c r="D264" t="s">
        <v>304</v>
      </c>
      <c r="E264" t="s">
        <v>308</v>
      </c>
      <c r="G264" t="s">
        <v>16</v>
      </c>
      <c r="K264" t="s">
        <v>16</v>
      </c>
      <c r="Q264" t="str">
        <f t="shared" si="12"/>
        <v>Nov</v>
      </c>
      <c r="R264">
        <f t="shared" si="13"/>
        <v>2014</v>
      </c>
      <c r="S264" t="str">
        <f>VLOOKUP($W264,TBL_Categories,2,FALSE)</f>
        <v>Account</v>
      </c>
      <c r="T264">
        <f>VLOOKUP($W264,TBL_Categories,3,FALSE)</f>
        <v>0</v>
      </c>
      <c r="U264" t="str">
        <f>VLOOKUP($W264,TBL_Categories,4,FALSE)</f>
        <v>No</v>
      </c>
      <c r="V264" t="str">
        <f>VLOOKUP($W264,TBL_Categories,5,FALSE)</f>
        <v>None</v>
      </c>
      <c r="W264" t="str">
        <f t="shared" si="14"/>
        <v>[Mastercard (Angela)]</v>
      </c>
    </row>
    <row r="265" spans="1:23" x14ac:dyDescent="0.25">
      <c r="A265" t="s">
        <v>296</v>
      </c>
      <c r="B265" s="5">
        <v>41954</v>
      </c>
      <c r="C265">
        <v>25</v>
      </c>
      <c r="D265" t="s">
        <v>304</v>
      </c>
      <c r="E265" t="s">
        <v>429</v>
      </c>
      <c r="G265" t="s">
        <v>14</v>
      </c>
      <c r="K265" t="s">
        <v>14</v>
      </c>
      <c r="Q265" t="str">
        <f t="shared" si="12"/>
        <v>Nov</v>
      </c>
      <c r="R265">
        <f t="shared" si="13"/>
        <v>2014</v>
      </c>
      <c r="S265" t="str">
        <f>VLOOKUP($W265,TBL_Categories,2,FALSE)</f>
        <v>Monthly</v>
      </c>
      <c r="T265">
        <f>VLOOKUP($W265,TBL_Categories,3,FALSE)</f>
        <v>0</v>
      </c>
      <c r="U265" t="str">
        <f>VLOOKUP($W265,TBL_Categories,4,FALSE)</f>
        <v>No</v>
      </c>
      <c r="V265" t="str">
        <f>VLOOKUP($W265,TBL_Categories,5,FALSE)</f>
        <v>None</v>
      </c>
      <c r="W265" t="str">
        <f t="shared" si="14"/>
        <v>Other Inc</v>
      </c>
    </row>
    <row r="266" spans="1:23" x14ac:dyDescent="0.25">
      <c r="A266" t="s">
        <v>296</v>
      </c>
      <c r="B266" s="5">
        <v>41954</v>
      </c>
      <c r="C266">
        <v>-23.89</v>
      </c>
      <c r="D266" t="s">
        <v>304</v>
      </c>
      <c r="E266" t="s">
        <v>703</v>
      </c>
      <c r="G266" t="s">
        <v>588</v>
      </c>
      <c r="K266" t="s">
        <v>66</v>
      </c>
      <c r="L266" t="s">
        <v>1537</v>
      </c>
      <c r="Q266" t="str">
        <f t="shared" si="12"/>
        <v>Nov</v>
      </c>
      <c r="R266">
        <f t="shared" si="13"/>
        <v>2014</v>
      </c>
      <c r="S266" t="str">
        <f>VLOOKUP($W266,TBL_Categories,2,FALSE)</f>
        <v>Monthly</v>
      </c>
      <c r="T266">
        <f>VLOOKUP($W266,TBL_Categories,3,FALSE)</f>
        <v>0</v>
      </c>
      <c r="U266" t="str">
        <f>VLOOKUP($W266,TBL_Categories,4,FALSE)</f>
        <v>No</v>
      </c>
      <c r="V266" t="str">
        <f>VLOOKUP($W266,TBL_Categories,5,FALSE)</f>
        <v>None</v>
      </c>
      <c r="W266" t="str">
        <f t="shared" si="14"/>
        <v>Kids|Clothing</v>
      </c>
    </row>
    <row r="267" spans="1:23" x14ac:dyDescent="0.25">
      <c r="A267" t="s">
        <v>296</v>
      </c>
      <c r="B267" s="5">
        <v>41954</v>
      </c>
      <c r="C267">
        <v>-519</v>
      </c>
      <c r="D267" t="s">
        <v>304</v>
      </c>
      <c r="E267" t="s">
        <v>1060</v>
      </c>
      <c r="G267" t="s">
        <v>449</v>
      </c>
      <c r="K267" t="s">
        <v>66</v>
      </c>
      <c r="L267" t="s">
        <v>1555</v>
      </c>
      <c r="Q267" t="str">
        <f t="shared" si="12"/>
        <v>Nov</v>
      </c>
      <c r="R267">
        <f t="shared" si="13"/>
        <v>2014</v>
      </c>
      <c r="S267" t="str">
        <f>VLOOKUP($W267,TBL_Categories,2,FALSE)</f>
        <v>Monthly</v>
      </c>
      <c r="T267">
        <f>VLOOKUP($W267,TBL_Categories,3,FALSE)</f>
        <v>0</v>
      </c>
      <c r="U267" t="str">
        <f>VLOOKUP($W267,TBL_Categories,4,FALSE)</f>
        <v>No</v>
      </c>
      <c r="V267" t="str">
        <f>VLOOKUP($W267,TBL_Categories,5,FALSE)</f>
        <v>None</v>
      </c>
      <c r="W267" t="str">
        <f t="shared" si="14"/>
        <v>Kids|Kids Activities</v>
      </c>
    </row>
    <row r="268" spans="1:23" x14ac:dyDescent="0.25">
      <c r="A268" t="s">
        <v>762</v>
      </c>
      <c r="B268" s="5">
        <v>41954</v>
      </c>
      <c r="C268">
        <v>0</v>
      </c>
      <c r="D268" t="s">
        <v>304</v>
      </c>
      <c r="E268" t="s">
        <v>308</v>
      </c>
      <c r="G268" t="s">
        <v>771</v>
      </c>
      <c r="K268" t="s">
        <v>771</v>
      </c>
      <c r="Q268" t="str">
        <f t="shared" si="12"/>
        <v>Nov</v>
      </c>
      <c r="R268">
        <f t="shared" si="13"/>
        <v>2014</v>
      </c>
      <c r="S268" t="e">
        <f>VLOOKUP($W268,TBL_Categories,2,FALSE)</f>
        <v>#N/A</v>
      </c>
      <c r="T268" t="e">
        <f>VLOOKUP($W268,TBL_Categories,3,FALSE)</f>
        <v>#N/A</v>
      </c>
      <c r="U268" t="e">
        <f>VLOOKUP($W268,TBL_Categories,4,FALSE)</f>
        <v>#N/A</v>
      </c>
      <c r="V268" t="e">
        <f>VLOOKUP($W268,TBL_Categories,5,FALSE)</f>
        <v>#N/A</v>
      </c>
      <c r="W268" t="str">
        <f t="shared" si="14"/>
        <v>[REI Mastercard (xx1787)]</v>
      </c>
    </row>
    <row r="269" spans="1:23" x14ac:dyDescent="0.25">
      <c r="A269" t="s">
        <v>287</v>
      </c>
      <c r="B269" s="5">
        <v>41952</v>
      </c>
      <c r="C269">
        <v>0</v>
      </c>
      <c r="D269" t="s">
        <v>304</v>
      </c>
      <c r="E269" t="s">
        <v>308</v>
      </c>
      <c r="G269" t="s">
        <v>30</v>
      </c>
      <c r="K269" t="s">
        <v>30</v>
      </c>
      <c r="Q269" t="str">
        <f t="shared" si="12"/>
        <v>Nov</v>
      </c>
      <c r="R269">
        <f t="shared" si="13"/>
        <v>2014</v>
      </c>
      <c r="S269" t="str">
        <f>VLOOKUP($W269,TBL_Categories,2,FALSE)</f>
        <v>Account</v>
      </c>
      <c r="T269">
        <f>VLOOKUP($W269,TBL_Categories,3,FALSE)</f>
        <v>0</v>
      </c>
      <c r="U269" t="str">
        <f>VLOOKUP($W269,TBL_Categories,4,FALSE)</f>
        <v>No</v>
      </c>
      <c r="V269" t="str">
        <f>VLOOKUP($W269,TBL_Categories,5,FALSE)</f>
        <v>None</v>
      </c>
      <c r="W269" t="str">
        <f t="shared" si="14"/>
        <v>[First Tech - Short Term Emergency (5400)]</v>
      </c>
    </row>
    <row r="270" spans="1:23" x14ac:dyDescent="0.25">
      <c r="A270" t="s">
        <v>296</v>
      </c>
      <c r="B270" s="5">
        <v>41952</v>
      </c>
      <c r="C270">
        <v>-6.57</v>
      </c>
      <c r="D270" t="s">
        <v>304</v>
      </c>
      <c r="E270" t="s">
        <v>714</v>
      </c>
      <c r="G270" t="s">
        <v>773</v>
      </c>
      <c r="J270" t="s">
        <v>1550</v>
      </c>
      <c r="K270" t="s">
        <v>61</v>
      </c>
      <c r="L270" t="s">
        <v>1530</v>
      </c>
      <c r="Q270" t="str">
        <f t="shared" si="12"/>
        <v>Nov</v>
      </c>
      <c r="R270">
        <f t="shared" si="13"/>
        <v>2014</v>
      </c>
      <c r="S270" t="str">
        <f>VLOOKUP($W270,TBL_Categories,2,FALSE)</f>
        <v>Monthly</v>
      </c>
      <c r="T270">
        <f>VLOOKUP($W270,TBL_Categories,3,FALSE)</f>
        <v>0</v>
      </c>
      <c r="U270" t="str">
        <f>VLOOKUP($W270,TBL_Categories,4,FALSE)</f>
        <v>No</v>
      </c>
      <c r="V270" t="str">
        <f>VLOOKUP($W270,TBL_Categories,5,FALSE)</f>
        <v>None</v>
      </c>
      <c r="W270" t="str">
        <f t="shared" si="14"/>
        <v>Food &amp; Dining|Restaurants</v>
      </c>
    </row>
    <row r="271" spans="1:23" x14ac:dyDescent="0.25">
      <c r="A271" t="s">
        <v>761</v>
      </c>
      <c r="B271" s="5">
        <v>41951</v>
      </c>
      <c r="C271">
        <v>0</v>
      </c>
      <c r="D271" t="s">
        <v>304</v>
      </c>
      <c r="E271" t="s">
        <v>634</v>
      </c>
      <c r="G271" t="s">
        <v>1007</v>
      </c>
      <c r="K271" t="s">
        <v>1007</v>
      </c>
      <c r="Q271" t="str">
        <f t="shared" si="12"/>
        <v>Nov</v>
      </c>
      <c r="R271">
        <f t="shared" si="13"/>
        <v>2014</v>
      </c>
      <c r="S271" t="e">
        <f>VLOOKUP($W271,TBL_Categories,2,FALSE)</f>
        <v>#N/A</v>
      </c>
      <c r="T271" t="e">
        <f>VLOOKUP($W271,TBL_Categories,3,FALSE)</f>
        <v>#N/A</v>
      </c>
      <c r="U271" t="e">
        <f>VLOOKUP($W271,TBL_Categories,4,FALSE)</f>
        <v>#N/A</v>
      </c>
      <c r="V271" t="e">
        <f>VLOOKUP($W271,TBL_Categories,5,FALSE)</f>
        <v>#N/A</v>
      </c>
      <c r="W271" t="str">
        <f t="shared" si="14"/>
        <v>[Chase Slate (XX1141)]</v>
      </c>
    </row>
    <row r="272" spans="1:23" x14ac:dyDescent="0.25">
      <c r="A272" t="s">
        <v>296</v>
      </c>
      <c r="B272" s="5">
        <v>41951</v>
      </c>
      <c r="C272">
        <v>-15.87</v>
      </c>
      <c r="D272" t="s">
        <v>304</v>
      </c>
      <c r="E272" t="s">
        <v>1379</v>
      </c>
      <c r="G272" t="s">
        <v>333</v>
      </c>
      <c r="K272" t="s">
        <v>61</v>
      </c>
      <c r="L272" t="s">
        <v>1530</v>
      </c>
      <c r="Q272" t="str">
        <f t="shared" si="12"/>
        <v>Nov</v>
      </c>
      <c r="R272">
        <f t="shared" si="13"/>
        <v>2014</v>
      </c>
      <c r="S272" t="str">
        <f>VLOOKUP($W272,TBL_Categories,2,FALSE)</f>
        <v>Monthly</v>
      </c>
      <c r="T272">
        <f>VLOOKUP($W272,TBL_Categories,3,FALSE)</f>
        <v>0</v>
      </c>
      <c r="U272" t="str">
        <f>VLOOKUP($W272,TBL_Categories,4,FALSE)</f>
        <v>No</v>
      </c>
      <c r="V272" t="str">
        <f>VLOOKUP($W272,TBL_Categories,5,FALSE)</f>
        <v>None</v>
      </c>
      <c r="W272" t="str">
        <f t="shared" si="14"/>
        <v>Food &amp; Dining|Restaurants</v>
      </c>
    </row>
    <row r="273" spans="1:23" x14ac:dyDescent="0.25">
      <c r="A273" t="s">
        <v>296</v>
      </c>
      <c r="B273" s="5">
        <v>41951</v>
      </c>
      <c r="C273">
        <v>-18.72</v>
      </c>
      <c r="D273" t="s">
        <v>304</v>
      </c>
      <c r="E273" t="s">
        <v>463</v>
      </c>
      <c r="G273" t="s">
        <v>333</v>
      </c>
      <c r="K273" t="s">
        <v>61</v>
      </c>
      <c r="L273" t="s">
        <v>1530</v>
      </c>
      <c r="Q273" t="str">
        <f t="shared" si="12"/>
        <v>Nov</v>
      </c>
      <c r="R273">
        <f t="shared" si="13"/>
        <v>2014</v>
      </c>
      <c r="S273" t="str">
        <f>VLOOKUP($W273,TBL_Categories,2,FALSE)</f>
        <v>Monthly</v>
      </c>
      <c r="T273">
        <f>VLOOKUP($W273,TBL_Categories,3,FALSE)</f>
        <v>0</v>
      </c>
      <c r="U273" t="str">
        <f>VLOOKUP($W273,TBL_Categories,4,FALSE)</f>
        <v>No</v>
      </c>
      <c r="V273" t="str">
        <f>VLOOKUP($W273,TBL_Categories,5,FALSE)</f>
        <v>None</v>
      </c>
      <c r="W273" t="str">
        <f t="shared" si="14"/>
        <v>Food &amp; Dining|Restaurants</v>
      </c>
    </row>
    <row r="274" spans="1:23" x14ac:dyDescent="0.25">
      <c r="A274" t="s">
        <v>296</v>
      </c>
      <c r="B274" s="5">
        <v>41951</v>
      </c>
      <c r="C274">
        <v>-21.53</v>
      </c>
      <c r="D274" t="s">
        <v>304</v>
      </c>
      <c r="E274" t="s">
        <v>434</v>
      </c>
      <c r="G274" t="s">
        <v>887</v>
      </c>
      <c r="I274" t="s">
        <v>272</v>
      </c>
      <c r="J274" t="s">
        <v>1550</v>
      </c>
      <c r="K274" t="s">
        <v>61</v>
      </c>
      <c r="L274" t="s">
        <v>401</v>
      </c>
      <c r="Q274" t="str">
        <f t="shared" si="12"/>
        <v>Nov</v>
      </c>
      <c r="R274">
        <f t="shared" si="13"/>
        <v>2014</v>
      </c>
      <c r="S274" t="str">
        <f>VLOOKUP($W274,TBL_Categories,2,FALSE)</f>
        <v>Monthly</v>
      </c>
      <c r="T274">
        <f>VLOOKUP($W274,TBL_Categories,3,FALSE)</f>
        <v>0</v>
      </c>
      <c r="U274" t="str">
        <f>VLOOKUP($W274,TBL_Categories,4,FALSE)</f>
        <v>No</v>
      </c>
      <c r="V274" t="str">
        <f>VLOOKUP($W274,TBL_Categories,5,FALSE)</f>
        <v>None</v>
      </c>
      <c r="W274" t="str">
        <f t="shared" si="14"/>
        <v>Food &amp; Dining|Groceries</v>
      </c>
    </row>
    <row r="275" spans="1:23" x14ac:dyDescent="0.25">
      <c r="A275" t="s">
        <v>296</v>
      </c>
      <c r="B275" s="5">
        <v>41951</v>
      </c>
      <c r="C275">
        <v>-15</v>
      </c>
      <c r="D275" t="s">
        <v>304</v>
      </c>
      <c r="E275" t="s">
        <v>434</v>
      </c>
      <c r="F275" t="s">
        <v>1328</v>
      </c>
      <c r="G275" t="s">
        <v>972</v>
      </c>
      <c r="I275" t="s">
        <v>272</v>
      </c>
      <c r="J275" t="s">
        <v>1550</v>
      </c>
      <c r="K275" t="s">
        <v>75</v>
      </c>
      <c r="L275" t="s">
        <v>1564</v>
      </c>
      <c r="O275" t="s">
        <v>1617</v>
      </c>
      <c r="Q275" t="str">
        <f t="shared" si="12"/>
        <v>Nov</v>
      </c>
      <c r="R275">
        <f t="shared" si="13"/>
        <v>2014</v>
      </c>
      <c r="S275" t="str">
        <f>VLOOKUP($W275,TBL_Categories,2,FALSE)</f>
        <v>Irregular</v>
      </c>
      <c r="T275">
        <f>VLOOKUP($W275,TBL_Categories,3,FALSE)</f>
        <v>0</v>
      </c>
      <c r="U275" t="str">
        <f>VLOOKUP($W275,TBL_Categories,4,FALSE)</f>
        <v>No</v>
      </c>
      <c r="V275" t="str">
        <f>VLOOKUP($W275,TBL_Categories,5,FALSE)</f>
        <v>None</v>
      </c>
      <c r="W275" t="str">
        <f t="shared" si="14"/>
        <v>Vacation|Food</v>
      </c>
    </row>
    <row r="276" spans="1:23" x14ac:dyDescent="0.25">
      <c r="A276" t="s">
        <v>296</v>
      </c>
      <c r="B276" s="5">
        <v>41951</v>
      </c>
      <c r="C276">
        <v>-116.55</v>
      </c>
      <c r="D276" t="s">
        <v>304</v>
      </c>
      <c r="E276" t="s">
        <v>433</v>
      </c>
      <c r="G276" t="s">
        <v>887</v>
      </c>
      <c r="J276" t="s">
        <v>1550</v>
      </c>
      <c r="K276" t="s">
        <v>61</v>
      </c>
      <c r="L276" t="s">
        <v>401</v>
      </c>
      <c r="Q276" t="str">
        <f t="shared" si="12"/>
        <v>Nov</v>
      </c>
      <c r="R276">
        <f t="shared" si="13"/>
        <v>2014</v>
      </c>
      <c r="S276" t="str">
        <f>VLOOKUP($W276,TBL_Categories,2,FALSE)</f>
        <v>Monthly</v>
      </c>
      <c r="T276">
        <f>VLOOKUP($W276,TBL_Categories,3,FALSE)</f>
        <v>0</v>
      </c>
      <c r="U276" t="str">
        <f>VLOOKUP($W276,TBL_Categories,4,FALSE)</f>
        <v>No</v>
      </c>
      <c r="V276" t="str">
        <f>VLOOKUP($W276,TBL_Categories,5,FALSE)</f>
        <v>None</v>
      </c>
      <c r="W276" t="str">
        <f t="shared" si="14"/>
        <v>Food &amp; Dining|Groceries</v>
      </c>
    </row>
    <row r="277" spans="1:23" x14ac:dyDescent="0.25">
      <c r="A277" t="s">
        <v>284</v>
      </c>
      <c r="B277" s="5">
        <v>41950</v>
      </c>
      <c r="C277">
        <v>-30</v>
      </c>
      <c r="D277" t="s">
        <v>304</v>
      </c>
      <c r="E277" t="s">
        <v>842</v>
      </c>
      <c r="F277" t="s">
        <v>1656</v>
      </c>
      <c r="G277" t="s">
        <v>843</v>
      </c>
      <c r="H277">
        <v>2139</v>
      </c>
      <c r="J277" t="s">
        <v>1554</v>
      </c>
      <c r="K277" t="s">
        <v>66</v>
      </c>
      <c r="L277" t="s">
        <v>1555</v>
      </c>
      <c r="Q277" t="str">
        <f t="shared" si="12"/>
        <v>Nov</v>
      </c>
      <c r="R277">
        <f t="shared" si="13"/>
        <v>2014</v>
      </c>
      <c r="S277" t="str">
        <f>VLOOKUP($W277,TBL_Categories,2,FALSE)</f>
        <v>Monthly</v>
      </c>
      <c r="T277">
        <f>VLOOKUP($W277,TBL_Categories,3,FALSE)</f>
        <v>0</v>
      </c>
      <c r="U277" t="str">
        <f>VLOOKUP($W277,TBL_Categories,4,FALSE)</f>
        <v>No</v>
      </c>
      <c r="V277" t="str">
        <f>VLOOKUP($W277,TBL_Categories,5,FALSE)</f>
        <v>None</v>
      </c>
      <c r="W277" t="str">
        <f t="shared" si="14"/>
        <v>Kids|Kids Activities</v>
      </c>
    </row>
    <row r="278" spans="1:23" x14ac:dyDescent="0.25">
      <c r="A278" t="s">
        <v>296</v>
      </c>
      <c r="B278" s="5">
        <v>41950</v>
      </c>
      <c r="C278">
        <v>-96</v>
      </c>
      <c r="D278" t="s">
        <v>304</v>
      </c>
      <c r="E278" t="s">
        <v>1378</v>
      </c>
      <c r="F278" t="s">
        <v>1328</v>
      </c>
      <c r="G278" t="s">
        <v>410</v>
      </c>
      <c r="K278" t="s">
        <v>75</v>
      </c>
      <c r="L278" t="s">
        <v>1570</v>
      </c>
      <c r="O278" t="s">
        <v>1617</v>
      </c>
      <c r="Q278" t="str">
        <f t="shared" si="12"/>
        <v>Nov</v>
      </c>
      <c r="R278">
        <f t="shared" si="13"/>
        <v>2014</v>
      </c>
      <c r="S278" t="str">
        <f>VLOOKUP($W278,TBL_Categories,2,FALSE)</f>
        <v>Irregular</v>
      </c>
      <c r="T278">
        <f>VLOOKUP($W278,TBL_Categories,3,FALSE)</f>
        <v>0</v>
      </c>
      <c r="U278" t="str">
        <f>VLOOKUP($W278,TBL_Categories,4,FALSE)</f>
        <v>No</v>
      </c>
      <c r="V278" t="str">
        <f>VLOOKUP($W278,TBL_Categories,5,FALSE)</f>
        <v>None</v>
      </c>
      <c r="W278" t="str">
        <f t="shared" si="14"/>
        <v>Vacation|Transportation</v>
      </c>
    </row>
    <row r="279" spans="1:23" x14ac:dyDescent="0.25">
      <c r="A279" t="s">
        <v>284</v>
      </c>
      <c r="B279" s="5">
        <v>41949</v>
      </c>
      <c r="C279">
        <v>116.5</v>
      </c>
      <c r="D279" t="s">
        <v>304</v>
      </c>
      <c r="E279" t="s">
        <v>772</v>
      </c>
      <c r="F279" t="s">
        <v>839</v>
      </c>
      <c r="G279" t="s">
        <v>356</v>
      </c>
      <c r="K279" t="s">
        <v>62</v>
      </c>
      <c r="L279" t="s">
        <v>1545</v>
      </c>
      <c r="O279" t="s">
        <v>1600</v>
      </c>
      <c r="Q279" t="str">
        <f t="shared" si="12"/>
        <v>Nov</v>
      </c>
      <c r="R279">
        <f t="shared" si="13"/>
        <v>2014</v>
      </c>
      <c r="S279" t="str">
        <f>VLOOKUP($W279,TBL_Categories,2,FALSE)</f>
        <v>Irregular</v>
      </c>
      <c r="T279">
        <f>VLOOKUP($W279,TBL_Categories,3,FALSE)</f>
        <v>0</v>
      </c>
      <c r="U279" t="str">
        <f>VLOOKUP($W279,TBL_Categories,4,FALSE)</f>
        <v>No</v>
      </c>
      <c r="V279" t="str">
        <f>VLOOKUP($W279,TBL_Categories,5,FALSE)</f>
        <v>None</v>
      </c>
      <c r="W279" t="str">
        <f t="shared" si="14"/>
        <v>Health &amp; Fitness|Sports</v>
      </c>
    </row>
    <row r="280" spans="1:23" x14ac:dyDescent="0.25">
      <c r="A280" t="s">
        <v>284</v>
      </c>
      <c r="B280" s="5">
        <v>41949</v>
      </c>
      <c r="C280">
        <v>-54.49</v>
      </c>
      <c r="D280" t="s">
        <v>304</v>
      </c>
      <c r="E280" t="s">
        <v>366</v>
      </c>
      <c r="F280" t="s">
        <v>350</v>
      </c>
      <c r="G280" t="s">
        <v>23</v>
      </c>
      <c r="K280" t="s">
        <v>23</v>
      </c>
      <c r="Q280" t="str">
        <f t="shared" si="12"/>
        <v>Nov</v>
      </c>
      <c r="R280">
        <f t="shared" si="13"/>
        <v>2014</v>
      </c>
      <c r="S280" t="str">
        <f>VLOOKUP($W280,TBL_Categories,2,FALSE)</f>
        <v>Account</v>
      </c>
      <c r="T280">
        <f>VLOOKUP($W280,TBL_Categories,3,FALSE)</f>
        <v>0</v>
      </c>
      <c r="U280" t="str">
        <f>VLOOKUP($W280,TBL_Categories,4,FALSE)</f>
        <v>No</v>
      </c>
      <c r="V280" t="str">
        <f>VLOOKUP($W280,TBL_Categories,5,FALSE)</f>
        <v>None</v>
      </c>
      <c r="W280" t="str">
        <f t="shared" si="14"/>
        <v>[Target Red Card]</v>
      </c>
    </row>
    <row r="281" spans="1:23" x14ac:dyDescent="0.25">
      <c r="A281" t="s">
        <v>284</v>
      </c>
      <c r="B281" s="5">
        <v>41949</v>
      </c>
      <c r="C281">
        <v>-30</v>
      </c>
      <c r="D281" t="s">
        <v>304</v>
      </c>
      <c r="E281" t="s">
        <v>840</v>
      </c>
      <c r="F281" t="s">
        <v>841</v>
      </c>
      <c r="G281" t="s">
        <v>20</v>
      </c>
      <c r="H281">
        <v>2135</v>
      </c>
      <c r="K281" t="s">
        <v>20</v>
      </c>
      <c r="Q281" t="str">
        <f t="shared" si="12"/>
        <v>Nov</v>
      </c>
      <c r="R281">
        <f t="shared" si="13"/>
        <v>2014</v>
      </c>
      <c r="S281" t="str">
        <f>VLOOKUP($W281,TBL_Categories,2,FALSE)</f>
        <v>Monthly</v>
      </c>
      <c r="T281">
        <f>VLOOKUP($W281,TBL_Categories,3,FALSE)</f>
        <v>0</v>
      </c>
      <c r="U281" t="str">
        <f>VLOOKUP($W281,TBL_Categories,4,FALSE)</f>
        <v>No</v>
      </c>
      <c r="V281" t="str">
        <f>VLOOKUP($W281,TBL_Categories,5,FALSE)</f>
        <v>None</v>
      </c>
      <c r="W281" t="str">
        <f t="shared" si="14"/>
        <v>Gifts</v>
      </c>
    </row>
    <row r="282" spans="1:23" x14ac:dyDescent="0.25">
      <c r="A282" t="s">
        <v>296</v>
      </c>
      <c r="B282" s="5">
        <v>41949</v>
      </c>
      <c r="C282">
        <v>-1.65</v>
      </c>
      <c r="D282" t="s">
        <v>304</v>
      </c>
      <c r="E282" t="s">
        <v>1001</v>
      </c>
      <c r="G282" t="s">
        <v>342</v>
      </c>
      <c r="K282" t="s">
        <v>61</v>
      </c>
      <c r="L282" t="s">
        <v>401</v>
      </c>
      <c r="Q282" t="str">
        <f t="shared" si="12"/>
        <v>Nov</v>
      </c>
      <c r="R282">
        <f t="shared" si="13"/>
        <v>2014</v>
      </c>
      <c r="S282" t="str">
        <f>VLOOKUP($W282,TBL_Categories,2,FALSE)</f>
        <v>Monthly</v>
      </c>
      <c r="T282">
        <f>VLOOKUP($W282,TBL_Categories,3,FALSE)</f>
        <v>0</v>
      </c>
      <c r="U282" t="str">
        <f>VLOOKUP($W282,TBL_Categories,4,FALSE)</f>
        <v>No</v>
      </c>
      <c r="V282" t="str">
        <f>VLOOKUP($W282,TBL_Categories,5,FALSE)</f>
        <v>None</v>
      </c>
      <c r="W282" t="str">
        <f t="shared" si="14"/>
        <v>Food &amp; Dining|Groceries</v>
      </c>
    </row>
    <row r="283" spans="1:23" x14ac:dyDescent="0.25">
      <c r="A283" t="s">
        <v>299</v>
      </c>
      <c r="B283" s="5">
        <v>41949</v>
      </c>
      <c r="C283">
        <v>54.49</v>
      </c>
      <c r="D283" t="s">
        <v>304</v>
      </c>
      <c r="E283" t="s">
        <v>366</v>
      </c>
      <c r="G283" t="s">
        <v>9</v>
      </c>
      <c r="K283" t="s">
        <v>9</v>
      </c>
      <c r="Q283" t="str">
        <f t="shared" si="12"/>
        <v>Nov</v>
      </c>
      <c r="R283">
        <f t="shared" si="13"/>
        <v>2014</v>
      </c>
      <c r="S283" t="str">
        <f>VLOOKUP($W283,TBL_Categories,2,FALSE)</f>
        <v>Account</v>
      </c>
      <c r="T283">
        <f>VLOOKUP($W283,TBL_Categories,3,FALSE)</f>
        <v>0</v>
      </c>
      <c r="U283" t="str">
        <f>VLOOKUP($W283,TBL_Categories,4,FALSE)</f>
        <v>No</v>
      </c>
      <c r="V283" t="str">
        <f>VLOOKUP($W283,TBL_Categories,5,FALSE)</f>
        <v>None</v>
      </c>
      <c r="W283" t="str">
        <f t="shared" si="14"/>
        <v>[First Tech - Checking (5544)]</v>
      </c>
    </row>
    <row r="284" spans="1:23" x14ac:dyDescent="0.25">
      <c r="A284" t="s">
        <v>284</v>
      </c>
      <c r="B284" s="5">
        <v>41948</v>
      </c>
      <c r="C284" s="4">
        <v>-3864.19</v>
      </c>
      <c r="D284" t="s">
        <v>304</v>
      </c>
      <c r="E284" t="s">
        <v>344</v>
      </c>
      <c r="F284" t="s">
        <v>349</v>
      </c>
      <c r="G284" t="s">
        <v>320</v>
      </c>
      <c r="K284" t="s">
        <v>63</v>
      </c>
      <c r="L284" t="s">
        <v>1526</v>
      </c>
      <c r="Q284" t="str">
        <f t="shared" si="12"/>
        <v>Nov</v>
      </c>
      <c r="R284">
        <f t="shared" si="13"/>
        <v>2014</v>
      </c>
      <c r="S284" t="str">
        <f>VLOOKUP($W284,TBL_Categories,2,FALSE)</f>
        <v>Monthly</v>
      </c>
      <c r="T284">
        <f>VLOOKUP($W284,TBL_Categories,3,FALSE)</f>
        <v>0</v>
      </c>
      <c r="U284" t="str">
        <f>VLOOKUP($W284,TBL_Categories,4,FALSE)</f>
        <v>No</v>
      </c>
      <c r="V284" t="str">
        <f>VLOOKUP($W284,TBL_Categories,5,FALSE)</f>
        <v>None</v>
      </c>
      <c r="W284" t="str">
        <f t="shared" si="14"/>
        <v>Home|Mortgage</v>
      </c>
    </row>
    <row r="285" spans="1:23" x14ac:dyDescent="0.25">
      <c r="A285" t="s">
        <v>288</v>
      </c>
      <c r="B285" s="5">
        <v>41948</v>
      </c>
      <c r="C285" s="4">
        <v>2295</v>
      </c>
      <c r="D285" t="s">
        <v>304</v>
      </c>
      <c r="E285" t="s">
        <v>383</v>
      </c>
      <c r="F285" t="s">
        <v>394</v>
      </c>
      <c r="G285" t="s">
        <v>386</v>
      </c>
      <c r="J285">
        <v>7231</v>
      </c>
      <c r="K285" t="s">
        <v>33</v>
      </c>
      <c r="L285" t="s">
        <v>1519</v>
      </c>
      <c r="Q285" t="str">
        <f t="shared" si="12"/>
        <v>Nov</v>
      </c>
      <c r="R285">
        <f t="shared" si="13"/>
        <v>2014</v>
      </c>
      <c r="S285" t="str">
        <f>VLOOKUP($W285,TBL_Categories,2,FALSE)</f>
        <v>Monthly</v>
      </c>
      <c r="T285">
        <f>VLOOKUP($W285,TBL_Categories,3,FALSE)</f>
        <v>0</v>
      </c>
      <c r="U285" t="str">
        <f>VLOOKUP($W285,TBL_Categories,4,FALSE)</f>
        <v>No</v>
      </c>
      <c r="V285" t="str">
        <f>VLOOKUP($W285,TBL_Categories,5,FALSE)</f>
        <v>None</v>
      </c>
      <c r="W285" t="str">
        <f t="shared" si="14"/>
        <v>Business Income (Koolikai)|Rent</v>
      </c>
    </row>
    <row r="286" spans="1:23" x14ac:dyDescent="0.25">
      <c r="A286" t="s">
        <v>293</v>
      </c>
      <c r="B286" s="5">
        <v>41948</v>
      </c>
      <c r="C286">
        <v>-148.91</v>
      </c>
      <c r="D286" t="s">
        <v>304</v>
      </c>
      <c r="E286" t="s">
        <v>1018</v>
      </c>
      <c r="F286" t="s">
        <v>1657</v>
      </c>
      <c r="G286" t="s">
        <v>356</v>
      </c>
      <c r="K286" t="s">
        <v>62</v>
      </c>
      <c r="L286" t="s">
        <v>1545</v>
      </c>
      <c r="O286" t="s">
        <v>1600</v>
      </c>
      <c r="Q286" t="str">
        <f t="shared" si="12"/>
        <v>Nov</v>
      </c>
      <c r="R286">
        <f t="shared" si="13"/>
        <v>2014</v>
      </c>
      <c r="S286" t="str">
        <f>VLOOKUP($W286,TBL_Categories,2,FALSE)</f>
        <v>Irregular</v>
      </c>
      <c r="T286">
        <f>VLOOKUP($W286,TBL_Categories,3,FALSE)</f>
        <v>0</v>
      </c>
      <c r="U286" t="str">
        <f>VLOOKUP($W286,TBL_Categories,4,FALSE)</f>
        <v>No</v>
      </c>
      <c r="V286" t="str">
        <f>VLOOKUP($W286,TBL_Categories,5,FALSE)</f>
        <v>None</v>
      </c>
      <c r="W286" t="str">
        <f t="shared" si="14"/>
        <v>Health &amp; Fitness|Sports</v>
      </c>
    </row>
    <row r="287" spans="1:23" x14ac:dyDescent="0.25">
      <c r="A287" t="s">
        <v>284</v>
      </c>
      <c r="B287" s="5">
        <v>41947</v>
      </c>
      <c r="C287">
        <v>-500</v>
      </c>
      <c r="D287" t="s">
        <v>304</v>
      </c>
      <c r="E287" t="s">
        <v>338</v>
      </c>
      <c r="F287" t="s">
        <v>339</v>
      </c>
      <c r="G287" t="s">
        <v>340</v>
      </c>
      <c r="K287" t="s">
        <v>66</v>
      </c>
      <c r="L287" t="s">
        <v>1533</v>
      </c>
      <c r="Q287" t="str">
        <f t="shared" si="12"/>
        <v>Nov</v>
      </c>
      <c r="R287">
        <f t="shared" si="13"/>
        <v>2014</v>
      </c>
      <c r="S287" t="str">
        <f>VLOOKUP($W287,TBL_Categories,2,FALSE)</f>
        <v>Monthly</v>
      </c>
      <c r="T287">
        <f>VLOOKUP($W287,TBL_Categories,3,FALSE)</f>
        <v>0</v>
      </c>
      <c r="U287" t="str">
        <f>VLOOKUP($W287,TBL_Categories,4,FALSE)</f>
        <v>No</v>
      </c>
      <c r="V287" t="str">
        <f>VLOOKUP($W287,TBL_Categories,5,FALSE)</f>
        <v>None</v>
      </c>
      <c r="W287" t="str">
        <f t="shared" si="14"/>
        <v>Kids|American Funds 529A</v>
      </c>
    </row>
    <row r="288" spans="1:23" x14ac:dyDescent="0.25">
      <c r="A288" t="s">
        <v>293</v>
      </c>
      <c r="B288" s="5">
        <v>41947</v>
      </c>
      <c r="C288">
        <v>-10</v>
      </c>
      <c r="D288" t="s">
        <v>304</v>
      </c>
      <c r="E288" t="s">
        <v>1017</v>
      </c>
      <c r="G288" t="s">
        <v>333</v>
      </c>
      <c r="K288" t="s">
        <v>61</v>
      </c>
      <c r="L288" t="s">
        <v>1530</v>
      </c>
      <c r="Q288" t="str">
        <f t="shared" si="12"/>
        <v>Nov</v>
      </c>
      <c r="R288">
        <f t="shared" si="13"/>
        <v>2014</v>
      </c>
      <c r="S288" t="str">
        <f>VLOOKUP($W288,TBL_Categories,2,FALSE)</f>
        <v>Monthly</v>
      </c>
      <c r="T288">
        <f>VLOOKUP($W288,TBL_Categories,3,FALSE)</f>
        <v>0</v>
      </c>
      <c r="U288" t="str">
        <f>VLOOKUP($W288,TBL_Categories,4,FALSE)</f>
        <v>No</v>
      </c>
      <c r="V288" t="str">
        <f>VLOOKUP($W288,TBL_Categories,5,FALSE)</f>
        <v>None</v>
      </c>
      <c r="W288" t="str">
        <f t="shared" si="14"/>
        <v>Food &amp; Dining|Restaurants</v>
      </c>
    </row>
    <row r="289" spans="1:23" x14ac:dyDescent="0.25">
      <c r="A289" t="s">
        <v>296</v>
      </c>
      <c r="B289" s="5">
        <v>41947</v>
      </c>
      <c r="C289">
        <v>-4.25</v>
      </c>
      <c r="D289" t="s">
        <v>304</v>
      </c>
      <c r="E289" t="s">
        <v>529</v>
      </c>
      <c r="F289" t="s">
        <v>1375</v>
      </c>
      <c r="G289" t="s">
        <v>449</v>
      </c>
      <c r="K289" t="s">
        <v>66</v>
      </c>
      <c r="L289" t="s">
        <v>1555</v>
      </c>
      <c r="Q289" t="str">
        <f t="shared" si="12"/>
        <v>Nov</v>
      </c>
      <c r="R289">
        <f t="shared" si="13"/>
        <v>2014</v>
      </c>
      <c r="S289" t="str">
        <f>VLOOKUP($W289,TBL_Categories,2,FALSE)</f>
        <v>Monthly</v>
      </c>
      <c r="T289">
        <f>VLOOKUP($W289,TBL_Categories,3,FALSE)</f>
        <v>0</v>
      </c>
      <c r="U289" t="str">
        <f>VLOOKUP($W289,TBL_Categories,4,FALSE)</f>
        <v>No</v>
      </c>
      <c r="V289" t="str">
        <f>VLOOKUP($W289,TBL_Categories,5,FALSE)</f>
        <v>None</v>
      </c>
      <c r="W289" t="str">
        <f t="shared" si="14"/>
        <v>Kids|Kids Activities</v>
      </c>
    </row>
    <row r="290" spans="1:23" x14ac:dyDescent="0.25">
      <c r="A290" t="s">
        <v>296</v>
      </c>
      <c r="B290" s="5">
        <v>41947</v>
      </c>
      <c r="C290">
        <v>-12.04</v>
      </c>
      <c r="D290" t="s">
        <v>304</v>
      </c>
      <c r="E290" t="s">
        <v>679</v>
      </c>
      <c r="G290" t="s">
        <v>333</v>
      </c>
      <c r="K290" t="s">
        <v>61</v>
      </c>
      <c r="L290" t="s">
        <v>1530</v>
      </c>
      <c r="Q290" t="str">
        <f t="shared" si="12"/>
        <v>Nov</v>
      </c>
      <c r="R290">
        <f t="shared" si="13"/>
        <v>2014</v>
      </c>
      <c r="S290" t="str">
        <f>VLOOKUP($W290,TBL_Categories,2,FALSE)</f>
        <v>Monthly</v>
      </c>
      <c r="T290">
        <f>VLOOKUP($W290,TBL_Categories,3,FALSE)</f>
        <v>0</v>
      </c>
      <c r="U290" t="str">
        <f>VLOOKUP($W290,TBL_Categories,4,FALSE)</f>
        <v>No</v>
      </c>
      <c r="V290" t="str">
        <f>VLOOKUP($W290,TBL_Categories,5,FALSE)</f>
        <v>None</v>
      </c>
      <c r="W290" t="str">
        <f t="shared" si="14"/>
        <v>Food &amp; Dining|Restaurants</v>
      </c>
    </row>
    <row r="291" spans="1:23" x14ac:dyDescent="0.25">
      <c r="A291" t="s">
        <v>296</v>
      </c>
      <c r="B291" s="5">
        <v>41947</v>
      </c>
      <c r="C291">
        <v>-21.19</v>
      </c>
      <c r="D291" t="s">
        <v>304</v>
      </c>
      <c r="E291" t="s">
        <v>443</v>
      </c>
      <c r="F291" t="s">
        <v>1376</v>
      </c>
      <c r="G291" t="s">
        <v>444</v>
      </c>
      <c r="I291" t="s">
        <v>272</v>
      </c>
      <c r="K291" t="s">
        <v>54</v>
      </c>
      <c r="L291" t="s">
        <v>1581</v>
      </c>
      <c r="Q291" t="str">
        <f t="shared" si="12"/>
        <v>Nov</v>
      </c>
      <c r="R291">
        <f t="shared" si="13"/>
        <v>2014</v>
      </c>
      <c r="S291" t="str">
        <f>VLOOKUP($W291,TBL_Categories,2,FALSE)</f>
        <v>Monthly</v>
      </c>
      <c r="T291">
        <f>VLOOKUP($W291,TBL_Categories,3,FALSE)</f>
        <v>0</v>
      </c>
      <c r="U291" t="str">
        <f>VLOOKUP($W291,TBL_Categories,4,FALSE)</f>
        <v>No</v>
      </c>
      <c r="V291" t="str">
        <f>VLOOKUP($W291,TBL_Categories,5,FALSE)</f>
        <v>None</v>
      </c>
      <c r="W291" t="str">
        <f t="shared" si="14"/>
        <v>Bills &amp; Utilities|Television</v>
      </c>
    </row>
    <row r="292" spans="1:23" x14ac:dyDescent="0.25">
      <c r="A292" t="s">
        <v>296</v>
      </c>
      <c r="B292" s="5">
        <v>41947</v>
      </c>
      <c r="C292">
        <v>-66.739999999999995</v>
      </c>
      <c r="D292" t="s">
        <v>304</v>
      </c>
      <c r="E292" t="s">
        <v>443</v>
      </c>
      <c r="F292" t="s">
        <v>1376</v>
      </c>
      <c r="G292" t="s">
        <v>445</v>
      </c>
      <c r="I292" t="s">
        <v>272</v>
      </c>
      <c r="K292" t="s">
        <v>55</v>
      </c>
      <c r="L292" t="s">
        <v>1582</v>
      </c>
      <c r="Q292" t="str">
        <f t="shared" si="12"/>
        <v>Nov</v>
      </c>
      <c r="R292">
        <f t="shared" si="13"/>
        <v>2014</v>
      </c>
      <c r="S292" t="str">
        <f>VLOOKUP($W292,TBL_Categories,2,FALSE)</f>
        <v>Monthly</v>
      </c>
      <c r="T292">
        <f>VLOOKUP($W292,TBL_Categories,3,FALSE)</f>
        <v>0</v>
      </c>
      <c r="U292" t="str">
        <f>VLOOKUP($W292,TBL_Categories,4,FALSE)</f>
        <v>No</v>
      </c>
      <c r="V292" t="str">
        <f>VLOOKUP($W292,TBL_Categories,5,FALSE)</f>
        <v>None</v>
      </c>
      <c r="W292" t="str">
        <f t="shared" si="14"/>
        <v>Business Expenses (Koolikai)|Internet</v>
      </c>
    </row>
    <row r="293" spans="1:23" x14ac:dyDescent="0.25">
      <c r="A293" t="s">
        <v>296</v>
      </c>
      <c r="B293" s="5">
        <v>41947</v>
      </c>
      <c r="C293">
        <v>-44.74</v>
      </c>
      <c r="D293" t="s">
        <v>304</v>
      </c>
      <c r="E293" t="s">
        <v>443</v>
      </c>
      <c r="F293" t="s">
        <v>1376</v>
      </c>
      <c r="G293" t="s">
        <v>446</v>
      </c>
      <c r="I293" t="s">
        <v>272</v>
      </c>
      <c r="K293" t="s">
        <v>54</v>
      </c>
      <c r="L293" t="s">
        <v>1583</v>
      </c>
      <c r="Q293" t="str">
        <f t="shared" si="12"/>
        <v>Nov</v>
      </c>
      <c r="R293">
        <f t="shared" si="13"/>
        <v>2014</v>
      </c>
      <c r="S293" t="str">
        <f>VLOOKUP($W293,TBL_Categories,2,FALSE)</f>
        <v>Monthly</v>
      </c>
      <c r="T293">
        <f>VLOOKUP($W293,TBL_Categories,3,FALSE)</f>
        <v>0</v>
      </c>
      <c r="U293" t="str">
        <f>VLOOKUP($W293,TBL_Categories,4,FALSE)</f>
        <v>No</v>
      </c>
      <c r="V293" t="str">
        <f>VLOOKUP($W293,TBL_Categories,5,FALSE)</f>
        <v>None</v>
      </c>
      <c r="W293" t="str">
        <f t="shared" si="14"/>
        <v>Bills &amp; Utilities|Home Phone</v>
      </c>
    </row>
    <row r="294" spans="1:23" x14ac:dyDescent="0.25">
      <c r="A294" t="s">
        <v>296</v>
      </c>
      <c r="B294" s="5">
        <v>41947</v>
      </c>
      <c r="C294">
        <v>-21.36</v>
      </c>
      <c r="D294" t="s">
        <v>304</v>
      </c>
      <c r="E294" t="s">
        <v>443</v>
      </c>
      <c r="G294" t="s">
        <v>444</v>
      </c>
      <c r="I294" t="s">
        <v>272</v>
      </c>
      <c r="K294" t="s">
        <v>54</v>
      </c>
      <c r="L294" t="s">
        <v>1581</v>
      </c>
      <c r="Q294" t="str">
        <f t="shared" si="12"/>
        <v>Nov</v>
      </c>
      <c r="R294">
        <f t="shared" si="13"/>
        <v>2014</v>
      </c>
      <c r="S294" t="str">
        <f>VLOOKUP($W294,TBL_Categories,2,FALSE)</f>
        <v>Monthly</v>
      </c>
      <c r="T294">
        <f>VLOOKUP($W294,TBL_Categories,3,FALSE)</f>
        <v>0</v>
      </c>
      <c r="U294" t="str">
        <f>VLOOKUP($W294,TBL_Categories,4,FALSE)</f>
        <v>No</v>
      </c>
      <c r="V294" t="str">
        <f>VLOOKUP($W294,TBL_Categories,5,FALSE)</f>
        <v>None</v>
      </c>
      <c r="W294" t="str">
        <f t="shared" si="14"/>
        <v>Bills &amp; Utilities|Television</v>
      </c>
    </row>
    <row r="295" spans="1:23" x14ac:dyDescent="0.25">
      <c r="A295" t="s">
        <v>296</v>
      </c>
      <c r="B295" s="5">
        <v>41947</v>
      </c>
      <c r="C295">
        <v>-66.91</v>
      </c>
      <c r="D295" t="s">
        <v>304</v>
      </c>
      <c r="E295" t="s">
        <v>443</v>
      </c>
      <c r="G295" t="s">
        <v>445</v>
      </c>
      <c r="I295" t="s">
        <v>272</v>
      </c>
      <c r="K295" t="s">
        <v>55</v>
      </c>
      <c r="L295" t="s">
        <v>1582</v>
      </c>
      <c r="Q295" t="str">
        <f t="shared" si="12"/>
        <v>Nov</v>
      </c>
      <c r="R295">
        <f t="shared" si="13"/>
        <v>2014</v>
      </c>
      <c r="S295" t="str">
        <f>VLOOKUP($W295,TBL_Categories,2,FALSE)</f>
        <v>Monthly</v>
      </c>
      <c r="T295">
        <f>VLOOKUP($W295,TBL_Categories,3,FALSE)</f>
        <v>0</v>
      </c>
      <c r="U295" t="str">
        <f>VLOOKUP($W295,TBL_Categories,4,FALSE)</f>
        <v>No</v>
      </c>
      <c r="V295" t="str">
        <f>VLOOKUP($W295,TBL_Categories,5,FALSE)</f>
        <v>None</v>
      </c>
      <c r="W295" t="str">
        <f t="shared" si="14"/>
        <v>Business Expenses (Koolikai)|Internet</v>
      </c>
    </row>
    <row r="296" spans="1:23" x14ac:dyDescent="0.25">
      <c r="A296" t="s">
        <v>296</v>
      </c>
      <c r="B296" s="5">
        <v>41947</v>
      </c>
      <c r="C296">
        <v>-44.91</v>
      </c>
      <c r="D296" t="s">
        <v>304</v>
      </c>
      <c r="E296" t="s">
        <v>443</v>
      </c>
      <c r="G296" t="s">
        <v>446</v>
      </c>
      <c r="I296" t="s">
        <v>272</v>
      </c>
      <c r="K296" t="s">
        <v>54</v>
      </c>
      <c r="L296" t="s">
        <v>1583</v>
      </c>
      <c r="Q296" t="str">
        <f t="shared" si="12"/>
        <v>Nov</v>
      </c>
      <c r="R296">
        <f t="shared" si="13"/>
        <v>2014</v>
      </c>
      <c r="S296" t="str">
        <f>VLOOKUP($W296,TBL_Categories,2,FALSE)</f>
        <v>Monthly</v>
      </c>
      <c r="T296">
        <f>VLOOKUP($W296,TBL_Categories,3,FALSE)</f>
        <v>0</v>
      </c>
      <c r="U296" t="str">
        <f>VLOOKUP($W296,TBL_Categories,4,FALSE)</f>
        <v>No</v>
      </c>
      <c r="V296" t="str">
        <f>VLOOKUP($W296,TBL_Categories,5,FALSE)</f>
        <v>None</v>
      </c>
      <c r="W296" t="str">
        <f t="shared" si="14"/>
        <v>Bills &amp; Utilities|Home Phone</v>
      </c>
    </row>
    <row r="297" spans="1:23" x14ac:dyDescent="0.25">
      <c r="A297" t="s">
        <v>296</v>
      </c>
      <c r="B297" s="5">
        <v>41947</v>
      </c>
      <c r="C297">
        <v>-8.86</v>
      </c>
      <c r="D297" t="s">
        <v>304</v>
      </c>
      <c r="E297" t="s">
        <v>443</v>
      </c>
      <c r="F297" t="s">
        <v>1377</v>
      </c>
      <c r="G297" t="s">
        <v>591</v>
      </c>
      <c r="I297" t="s">
        <v>272</v>
      </c>
      <c r="K297" t="s">
        <v>53</v>
      </c>
      <c r="L297" t="s">
        <v>1542</v>
      </c>
      <c r="Q297" t="str">
        <f t="shared" si="12"/>
        <v>Nov</v>
      </c>
      <c r="R297">
        <f t="shared" si="13"/>
        <v>2014</v>
      </c>
      <c r="S297" t="str">
        <f>VLOOKUP($W297,TBL_Categories,2,FALSE)</f>
        <v>Irregular</v>
      </c>
      <c r="T297">
        <f>VLOOKUP($W297,TBL_Categories,3,FALSE)</f>
        <v>0</v>
      </c>
      <c r="U297" t="str">
        <f>VLOOKUP($W297,TBL_Categories,4,FALSE)</f>
        <v>No</v>
      </c>
      <c r="V297" t="str">
        <f>VLOOKUP($W297,TBL_Categories,5,FALSE)</f>
        <v>None</v>
      </c>
      <c r="W297" t="str">
        <f t="shared" si="14"/>
        <v>Bank Fees &amp; Charges|Bank Fee</v>
      </c>
    </row>
    <row r="298" spans="1:23" x14ac:dyDescent="0.25">
      <c r="A298" t="s">
        <v>284</v>
      </c>
      <c r="B298" s="5">
        <v>41946</v>
      </c>
      <c r="C298" s="4">
        <v>-2033.91</v>
      </c>
      <c r="D298" t="s">
        <v>304</v>
      </c>
      <c r="E298" t="s">
        <v>318</v>
      </c>
      <c r="F298" t="s">
        <v>378</v>
      </c>
      <c r="G298" t="s">
        <v>379</v>
      </c>
      <c r="J298">
        <v>9602</v>
      </c>
      <c r="K298" t="s">
        <v>55</v>
      </c>
      <c r="L298" t="s">
        <v>1525</v>
      </c>
      <c r="Q298" t="str">
        <f t="shared" si="12"/>
        <v>Nov</v>
      </c>
      <c r="R298">
        <f t="shared" si="13"/>
        <v>2014</v>
      </c>
      <c r="S298" t="str">
        <f>VLOOKUP($W298,TBL_Categories,2,FALSE)</f>
        <v>Monthly</v>
      </c>
      <c r="T298">
        <f>VLOOKUP($W298,TBL_Categories,3,FALSE)</f>
        <v>0</v>
      </c>
      <c r="U298" t="str">
        <f>VLOOKUP($W298,TBL_Categories,4,FALSE)</f>
        <v>No</v>
      </c>
      <c r="V298" t="str">
        <f>VLOOKUP($W298,TBL_Categories,5,FALSE)</f>
        <v>None</v>
      </c>
      <c r="W298" t="str">
        <f t="shared" si="14"/>
        <v>Business Expenses (Koolikai)|Mortgage (Business)</v>
      </c>
    </row>
    <row r="299" spans="1:23" x14ac:dyDescent="0.25">
      <c r="A299" t="s">
        <v>284</v>
      </c>
      <c r="B299" s="5">
        <v>41946</v>
      </c>
      <c r="C299" s="4">
        <v>-2052</v>
      </c>
      <c r="D299" t="s">
        <v>304</v>
      </c>
      <c r="E299" t="s">
        <v>314</v>
      </c>
      <c r="F299" t="s">
        <v>315</v>
      </c>
      <c r="G299" t="s">
        <v>316</v>
      </c>
      <c r="K299" t="s">
        <v>66</v>
      </c>
      <c r="L299" t="s">
        <v>1522</v>
      </c>
      <c r="Q299" t="str">
        <f t="shared" si="12"/>
        <v>Nov</v>
      </c>
      <c r="R299">
        <f t="shared" si="13"/>
        <v>2014</v>
      </c>
      <c r="S299" t="str">
        <f>VLOOKUP($W299,TBL_Categories,2,FALSE)</f>
        <v>Monthly</v>
      </c>
      <c r="T299">
        <f>VLOOKUP($W299,TBL_Categories,3,FALSE)</f>
        <v>0</v>
      </c>
      <c r="U299" t="str">
        <f>VLOOKUP($W299,TBL_Categories,4,FALSE)</f>
        <v>No</v>
      </c>
      <c r="V299" t="str">
        <f>VLOOKUP($W299,TBL_Categories,5,FALSE)</f>
        <v>None</v>
      </c>
      <c r="W299" t="str">
        <f t="shared" si="14"/>
        <v>Kids|Daycare</v>
      </c>
    </row>
    <row r="300" spans="1:23" x14ac:dyDescent="0.25">
      <c r="A300" t="s">
        <v>284</v>
      </c>
      <c r="B300" s="5">
        <v>41946</v>
      </c>
      <c r="C300" s="4">
        <v>-2386.54</v>
      </c>
      <c r="D300" t="s">
        <v>304</v>
      </c>
      <c r="E300" t="s">
        <v>321</v>
      </c>
      <c r="F300" t="s">
        <v>365</v>
      </c>
      <c r="G300" t="s">
        <v>13</v>
      </c>
      <c r="K300" t="s">
        <v>13</v>
      </c>
      <c r="Q300" t="str">
        <f t="shared" si="12"/>
        <v>Nov</v>
      </c>
      <c r="R300">
        <f t="shared" si="13"/>
        <v>2014</v>
      </c>
      <c r="S300" t="str">
        <f>VLOOKUP($W300,TBL_Categories,2,FALSE)</f>
        <v>Account</v>
      </c>
      <c r="T300">
        <f>VLOOKUP($W300,TBL_Categories,3,FALSE)</f>
        <v>0</v>
      </c>
      <c r="U300" t="str">
        <f>VLOOKUP($W300,TBL_Categories,4,FALSE)</f>
        <v>No</v>
      </c>
      <c r="V300" t="str">
        <f>VLOOKUP($W300,TBL_Categories,5,FALSE)</f>
        <v>None</v>
      </c>
      <c r="W300" t="str">
        <f t="shared" si="14"/>
        <v>[MasterCard (Capital One)]</v>
      </c>
    </row>
    <row r="301" spans="1:23" x14ac:dyDescent="0.25">
      <c r="A301" t="s">
        <v>284</v>
      </c>
      <c r="B301" s="5">
        <v>41946</v>
      </c>
      <c r="C301" s="4">
        <v>-3517.65</v>
      </c>
      <c r="D301" t="s">
        <v>304</v>
      </c>
      <c r="E301" t="s">
        <v>318</v>
      </c>
      <c r="F301" t="s">
        <v>378</v>
      </c>
      <c r="G301" t="s">
        <v>380</v>
      </c>
      <c r="J301">
        <v>7231</v>
      </c>
      <c r="K301" t="s">
        <v>55</v>
      </c>
      <c r="L301" t="s">
        <v>1525</v>
      </c>
      <c r="Q301" t="str">
        <f t="shared" si="12"/>
        <v>Nov</v>
      </c>
      <c r="R301">
        <f t="shared" si="13"/>
        <v>2014</v>
      </c>
      <c r="S301" t="str">
        <f>VLOOKUP($W301,TBL_Categories,2,FALSE)</f>
        <v>Monthly</v>
      </c>
      <c r="T301">
        <f>VLOOKUP($W301,TBL_Categories,3,FALSE)</f>
        <v>0</v>
      </c>
      <c r="U301" t="str">
        <f>VLOOKUP($W301,TBL_Categories,4,FALSE)</f>
        <v>No</v>
      </c>
      <c r="V301" t="str">
        <f>VLOOKUP($W301,TBL_Categories,5,FALSE)</f>
        <v>None</v>
      </c>
      <c r="W301" t="str">
        <f t="shared" si="14"/>
        <v>Business Expenses (Koolikai)|Mortgage (Business)</v>
      </c>
    </row>
    <row r="302" spans="1:23" x14ac:dyDescent="0.25">
      <c r="A302" t="s">
        <v>296</v>
      </c>
      <c r="B302" s="5">
        <v>41946</v>
      </c>
      <c r="C302" s="4">
        <v>2386.54</v>
      </c>
      <c r="D302" t="s">
        <v>304</v>
      </c>
      <c r="E302" t="s">
        <v>321</v>
      </c>
      <c r="F302" t="s">
        <v>365</v>
      </c>
      <c r="G302" t="s">
        <v>9</v>
      </c>
      <c r="K302" t="s">
        <v>9</v>
      </c>
      <c r="Q302" t="str">
        <f t="shared" si="12"/>
        <v>Nov</v>
      </c>
      <c r="R302">
        <f t="shared" si="13"/>
        <v>2014</v>
      </c>
      <c r="S302" t="str">
        <f>VLOOKUP($W302,TBL_Categories,2,FALSE)</f>
        <v>Account</v>
      </c>
      <c r="T302">
        <f>VLOOKUP($W302,TBL_Categories,3,FALSE)</f>
        <v>0</v>
      </c>
      <c r="U302" t="str">
        <f>VLOOKUP($W302,TBL_Categories,4,FALSE)</f>
        <v>No</v>
      </c>
      <c r="V302" t="str">
        <f>VLOOKUP($W302,TBL_Categories,5,FALSE)</f>
        <v>None</v>
      </c>
      <c r="W302" t="str">
        <f t="shared" si="14"/>
        <v>[First Tech - Checking (5544)]</v>
      </c>
    </row>
    <row r="303" spans="1:23" x14ac:dyDescent="0.25">
      <c r="A303" t="s">
        <v>296</v>
      </c>
      <c r="B303" s="5">
        <v>41946</v>
      </c>
      <c r="C303">
        <v>-8.75</v>
      </c>
      <c r="D303" t="s">
        <v>304</v>
      </c>
      <c r="E303" t="s">
        <v>667</v>
      </c>
      <c r="G303" t="s">
        <v>416</v>
      </c>
      <c r="K303" t="s">
        <v>17</v>
      </c>
      <c r="L303" t="s">
        <v>1576</v>
      </c>
      <c r="Q303" t="str">
        <f t="shared" si="12"/>
        <v>Nov</v>
      </c>
      <c r="R303">
        <f t="shared" si="13"/>
        <v>2014</v>
      </c>
      <c r="S303" t="str">
        <f>VLOOKUP($W303,TBL_Categories,2,FALSE)</f>
        <v>Unplanned</v>
      </c>
      <c r="T303">
        <f>VLOOKUP($W303,TBL_Categories,3,FALSE)</f>
        <v>0</v>
      </c>
      <c r="U303" t="str">
        <f>VLOOKUP($W303,TBL_Categories,4,FALSE)</f>
        <v>No</v>
      </c>
      <c r="V303" t="str">
        <f>VLOOKUP($W303,TBL_Categories,5,FALSE)</f>
        <v>None</v>
      </c>
      <c r="W303" t="str">
        <f t="shared" si="14"/>
        <v>Entertainment|Movies &amp; DVDs</v>
      </c>
    </row>
    <row r="304" spans="1:23" x14ac:dyDescent="0.25">
      <c r="A304" t="s">
        <v>296</v>
      </c>
      <c r="B304" s="5">
        <v>41946</v>
      </c>
      <c r="C304">
        <v>-20.76</v>
      </c>
      <c r="D304" t="s">
        <v>304</v>
      </c>
      <c r="E304" t="s">
        <v>1329</v>
      </c>
      <c r="G304" t="s">
        <v>409</v>
      </c>
      <c r="K304" t="s">
        <v>52</v>
      </c>
      <c r="L304" t="s">
        <v>1568</v>
      </c>
      <c r="Q304" t="str">
        <f t="shared" si="12"/>
        <v>Nov</v>
      </c>
      <c r="R304">
        <f t="shared" si="13"/>
        <v>2014</v>
      </c>
      <c r="S304" t="str">
        <f>VLOOKUP($W304,TBL_Categories,2,FALSE)</f>
        <v>Monthly</v>
      </c>
      <c r="T304">
        <f>VLOOKUP($W304,TBL_Categories,3,FALSE)</f>
        <v>0</v>
      </c>
      <c r="U304" t="str">
        <f>VLOOKUP($W304,TBL_Categories,4,FALSE)</f>
        <v>No</v>
      </c>
      <c r="V304" t="str">
        <f>VLOOKUP($W304,TBL_Categories,5,FALSE)</f>
        <v>None</v>
      </c>
      <c r="W304" t="str">
        <f t="shared" si="14"/>
        <v>Auto &amp; Transport|Gas &amp; Fuel</v>
      </c>
    </row>
    <row r="305" spans="1:23" x14ac:dyDescent="0.25">
      <c r="A305" t="s">
        <v>296</v>
      </c>
      <c r="B305" s="5">
        <v>41946</v>
      </c>
      <c r="C305">
        <v>-65</v>
      </c>
      <c r="D305" t="s">
        <v>304</v>
      </c>
      <c r="E305" t="s">
        <v>1373</v>
      </c>
      <c r="G305" t="s">
        <v>1374</v>
      </c>
      <c r="K305" t="s">
        <v>66</v>
      </c>
      <c r="L305" t="s">
        <v>1597</v>
      </c>
      <c r="Q305" t="str">
        <f t="shared" si="12"/>
        <v>Nov</v>
      </c>
      <c r="R305">
        <f t="shared" si="13"/>
        <v>2014</v>
      </c>
      <c r="S305" t="str">
        <f>VLOOKUP($W305,TBL_Categories,2,FALSE)</f>
        <v>Monthly</v>
      </c>
      <c r="T305">
        <f>VLOOKUP($W305,TBL_Categories,3,FALSE)</f>
        <v>0</v>
      </c>
      <c r="U305" t="str">
        <f>VLOOKUP($W305,TBL_Categories,4,FALSE)</f>
        <v>No</v>
      </c>
      <c r="V305" t="str">
        <f>VLOOKUP($W305,TBL_Categories,5,FALSE)</f>
        <v>None</v>
      </c>
      <c r="W305" t="str">
        <f t="shared" si="14"/>
        <v>Kids|School Fees</v>
      </c>
    </row>
    <row r="306" spans="1:23" x14ac:dyDescent="0.25">
      <c r="A306" t="s">
        <v>296</v>
      </c>
      <c r="B306" s="5">
        <v>41946</v>
      </c>
      <c r="C306">
        <v>-65</v>
      </c>
      <c r="D306" t="s">
        <v>304</v>
      </c>
      <c r="E306" t="s">
        <v>1373</v>
      </c>
      <c r="G306" t="s">
        <v>1374</v>
      </c>
      <c r="K306" t="s">
        <v>66</v>
      </c>
      <c r="L306" t="s">
        <v>1597</v>
      </c>
      <c r="Q306" t="str">
        <f t="shared" si="12"/>
        <v>Nov</v>
      </c>
      <c r="R306">
        <f t="shared" si="13"/>
        <v>2014</v>
      </c>
      <c r="S306" t="str">
        <f>VLOOKUP($W306,TBL_Categories,2,FALSE)</f>
        <v>Monthly</v>
      </c>
      <c r="T306">
        <f>VLOOKUP($W306,TBL_Categories,3,FALSE)</f>
        <v>0</v>
      </c>
      <c r="U306" t="str">
        <f>VLOOKUP($W306,TBL_Categories,4,FALSE)</f>
        <v>No</v>
      </c>
      <c r="V306" t="str">
        <f>VLOOKUP($W306,TBL_Categories,5,FALSE)</f>
        <v>None</v>
      </c>
      <c r="W306" t="str">
        <f t="shared" si="14"/>
        <v>Kids|School Fees</v>
      </c>
    </row>
    <row r="307" spans="1:23" x14ac:dyDescent="0.25">
      <c r="A307" t="s">
        <v>296</v>
      </c>
      <c r="B307" s="5">
        <v>41945</v>
      </c>
      <c r="C307">
        <v>-4.93</v>
      </c>
      <c r="D307" t="s">
        <v>304</v>
      </c>
      <c r="E307" t="s">
        <v>613</v>
      </c>
      <c r="G307" t="s">
        <v>1044</v>
      </c>
      <c r="J307" t="s">
        <v>1550</v>
      </c>
      <c r="K307" t="s">
        <v>66</v>
      </c>
      <c r="L307" t="s">
        <v>1555</v>
      </c>
      <c r="Q307" t="str">
        <f t="shared" si="12"/>
        <v>Nov</v>
      </c>
      <c r="R307">
        <f t="shared" si="13"/>
        <v>2014</v>
      </c>
      <c r="S307" t="str">
        <f>VLOOKUP($W307,TBL_Categories,2,FALSE)</f>
        <v>Monthly</v>
      </c>
      <c r="T307">
        <f>VLOOKUP($W307,TBL_Categories,3,FALSE)</f>
        <v>0</v>
      </c>
      <c r="U307" t="str">
        <f>VLOOKUP($W307,TBL_Categories,4,FALSE)</f>
        <v>No</v>
      </c>
      <c r="V307" t="str">
        <f>VLOOKUP($W307,TBL_Categories,5,FALSE)</f>
        <v>None</v>
      </c>
      <c r="W307" t="str">
        <f t="shared" si="14"/>
        <v>Kids|Kids Activities</v>
      </c>
    </row>
    <row r="308" spans="1:23" x14ac:dyDescent="0.25">
      <c r="A308" t="s">
        <v>296</v>
      </c>
      <c r="B308" s="5">
        <v>41945</v>
      </c>
      <c r="C308">
        <v>-5.2</v>
      </c>
      <c r="D308" t="s">
        <v>304</v>
      </c>
      <c r="E308" t="s">
        <v>613</v>
      </c>
      <c r="G308" t="s">
        <v>333</v>
      </c>
      <c r="K308" t="s">
        <v>61</v>
      </c>
      <c r="L308" t="s">
        <v>1530</v>
      </c>
      <c r="Q308" t="str">
        <f t="shared" si="12"/>
        <v>Nov</v>
      </c>
      <c r="R308">
        <f t="shared" si="13"/>
        <v>2014</v>
      </c>
      <c r="S308" t="str">
        <f>VLOOKUP($W308,TBL_Categories,2,FALSE)</f>
        <v>Monthly</v>
      </c>
      <c r="T308">
        <f>VLOOKUP($W308,TBL_Categories,3,FALSE)</f>
        <v>0</v>
      </c>
      <c r="U308" t="str">
        <f>VLOOKUP($W308,TBL_Categories,4,FALSE)</f>
        <v>No</v>
      </c>
      <c r="V308" t="str">
        <f>VLOOKUP($W308,TBL_Categories,5,FALSE)</f>
        <v>None</v>
      </c>
      <c r="W308" t="str">
        <f t="shared" si="14"/>
        <v>Food &amp; Dining|Restaurants</v>
      </c>
    </row>
    <row r="309" spans="1:23" x14ac:dyDescent="0.25">
      <c r="A309" t="s">
        <v>296</v>
      </c>
      <c r="B309" s="5">
        <v>41945</v>
      </c>
      <c r="C309">
        <v>-8.76</v>
      </c>
      <c r="D309" t="s">
        <v>304</v>
      </c>
      <c r="E309" t="s">
        <v>613</v>
      </c>
      <c r="G309" t="s">
        <v>333</v>
      </c>
      <c r="K309" t="s">
        <v>61</v>
      </c>
      <c r="L309" t="s">
        <v>1530</v>
      </c>
      <c r="Q309" t="str">
        <f t="shared" si="12"/>
        <v>Nov</v>
      </c>
      <c r="R309">
        <f t="shared" si="13"/>
        <v>2014</v>
      </c>
      <c r="S309" t="str">
        <f>VLOOKUP($W309,TBL_Categories,2,FALSE)</f>
        <v>Monthly</v>
      </c>
      <c r="T309">
        <f>VLOOKUP($W309,TBL_Categories,3,FALSE)</f>
        <v>0</v>
      </c>
      <c r="U309" t="str">
        <f>VLOOKUP($W309,TBL_Categories,4,FALSE)</f>
        <v>No</v>
      </c>
      <c r="V309" t="str">
        <f>VLOOKUP($W309,TBL_Categories,5,FALSE)</f>
        <v>None</v>
      </c>
      <c r="W309" t="str">
        <f t="shared" si="14"/>
        <v>Food &amp; Dining|Restaurants</v>
      </c>
    </row>
    <row r="310" spans="1:23" x14ac:dyDescent="0.25">
      <c r="A310" t="s">
        <v>296</v>
      </c>
      <c r="B310" s="5">
        <v>41945</v>
      </c>
      <c r="C310">
        <v>-9.76</v>
      </c>
      <c r="D310" t="s">
        <v>304</v>
      </c>
      <c r="E310" t="s">
        <v>613</v>
      </c>
      <c r="G310" t="s">
        <v>449</v>
      </c>
      <c r="K310" t="s">
        <v>66</v>
      </c>
      <c r="L310" t="s">
        <v>1555</v>
      </c>
      <c r="Q310" t="str">
        <f t="shared" si="12"/>
        <v>Nov</v>
      </c>
      <c r="R310">
        <f t="shared" si="13"/>
        <v>2014</v>
      </c>
      <c r="S310" t="str">
        <f>VLOOKUP($W310,TBL_Categories,2,FALSE)</f>
        <v>Monthly</v>
      </c>
      <c r="T310">
        <f>VLOOKUP($W310,TBL_Categories,3,FALSE)</f>
        <v>0</v>
      </c>
      <c r="U310" t="str">
        <f>VLOOKUP($W310,TBL_Categories,4,FALSE)</f>
        <v>No</v>
      </c>
      <c r="V310" t="str">
        <f>VLOOKUP($W310,TBL_Categories,5,FALSE)</f>
        <v>None</v>
      </c>
      <c r="W310" t="str">
        <f t="shared" si="14"/>
        <v>Kids|Kids Activities</v>
      </c>
    </row>
    <row r="311" spans="1:23" x14ac:dyDescent="0.25">
      <c r="A311" t="s">
        <v>296</v>
      </c>
      <c r="B311" s="5">
        <v>41945</v>
      </c>
      <c r="C311">
        <v>-142.59</v>
      </c>
      <c r="D311" t="s">
        <v>304</v>
      </c>
      <c r="E311" t="s">
        <v>433</v>
      </c>
      <c r="G311" t="s">
        <v>887</v>
      </c>
      <c r="J311" t="s">
        <v>1550</v>
      </c>
      <c r="K311" t="s">
        <v>61</v>
      </c>
      <c r="L311" t="s">
        <v>401</v>
      </c>
      <c r="Q311" t="str">
        <f t="shared" si="12"/>
        <v>Nov</v>
      </c>
      <c r="R311">
        <f t="shared" si="13"/>
        <v>2014</v>
      </c>
      <c r="S311" t="str">
        <f>VLOOKUP($W311,TBL_Categories,2,FALSE)</f>
        <v>Monthly</v>
      </c>
      <c r="T311">
        <f>VLOOKUP($W311,TBL_Categories,3,FALSE)</f>
        <v>0</v>
      </c>
      <c r="U311" t="str">
        <f>VLOOKUP($W311,TBL_Categories,4,FALSE)</f>
        <v>No</v>
      </c>
      <c r="V311" t="str">
        <f>VLOOKUP($W311,TBL_Categories,5,FALSE)</f>
        <v>None</v>
      </c>
      <c r="W311" t="str">
        <f t="shared" si="14"/>
        <v>Food &amp; Dining|Groceries</v>
      </c>
    </row>
    <row r="312" spans="1:23" x14ac:dyDescent="0.25">
      <c r="A312" t="s">
        <v>289</v>
      </c>
      <c r="B312" s="5">
        <v>41944</v>
      </c>
      <c r="C312">
        <v>0.19</v>
      </c>
      <c r="D312" t="s">
        <v>304</v>
      </c>
      <c r="E312" t="s">
        <v>396</v>
      </c>
      <c r="F312" t="s">
        <v>595</v>
      </c>
      <c r="G312" t="s">
        <v>8</v>
      </c>
      <c r="K312" t="s">
        <v>8</v>
      </c>
      <c r="Q312" t="str">
        <f t="shared" si="12"/>
        <v>Nov</v>
      </c>
      <c r="R312">
        <f t="shared" si="13"/>
        <v>2014</v>
      </c>
      <c r="S312" t="str">
        <f>VLOOKUP($W312,TBL_Categories,2,FALSE)</f>
        <v>Monthly</v>
      </c>
      <c r="T312">
        <f>VLOOKUP($W312,TBL_Categories,3,FALSE)</f>
        <v>0</v>
      </c>
      <c r="U312" t="str">
        <f>VLOOKUP($W312,TBL_Categories,4,FALSE)</f>
        <v>No</v>
      </c>
      <c r="V312" t="str">
        <f>VLOOKUP($W312,TBL_Categories,5,FALSE)</f>
        <v>None</v>
      </c>
      <c r="W312" t="str">
        <f t="shared" si="14"/>
        <v>Interest Income</v>
      </c>
    </row>
    <row r="313" spans="1:23" x14ac:dyDescent="0.25">
      <c r="A313" t="s">
        <v>290</v>
      </c>
      <c r="B313" s="5">
        <v>41944</v>
      </c>
      <c r="C313">
        <v>-9.84</v>
      </c>
      <c r="D313" t="s">
        <v>304</v>
      </c>
      <c r="E313" t="s">
        <v>400</v>
      </c>
      <c r="F313" t="s">
        <v>910</v>
      </c>
      <c r="G313" t="s">
        <v>20</v>
      </c>
      <c r="I313" t="s">
        <v>272</v>
      </c>
      <c r="K313" t="s">
        <v>20</v>
      </c>
      <c r="Q313" t="str">
        <f t="shared" si="12"/>
        <v>Nov</v>
      </c>
      <c r="R313">
        <f t="shared" si="13"/>
        <v>2014</v>
      </c>
      <c r="S313" t="str">
        <f>VLOOKUP($W313,TBL_Categories,2,FALSE)</f>
        <v>Monthly</v>
      </c>
      <c r="T313">
        <f>VLOOKUP($W313,TBL_Categories,3,FALSE)</f>
        <v>0</v>
      </c>
      <c r="U313" t="str">
        <f>VLOOKUP($W313,TBL_Categories,4,FALSE)</f>
        <v>No</v>
      </c>
      <c r="V313" t="str">
        <f>VLOOKUP($W313,TBL_Categories,5,FALSE)</f>
        <v>None</v>
      </c>
      <c r="W313" t="str">
        <f t="shared" si="14"/>
        <v>Gifts</v>
      </c>
    </row>
    <row r="314" spans="1:23" x14ac:dyDescent="0.25">
      <c r="A314" t="s">
        <v>290</v>
      </c>
      <c r="B314" s="5">
        <v>41944</v>
      </c>
      <c r="C314">
        <v>-8.75</v>
      </c>
      <c r="D314" t="s">
        <v>304</v>
      </c>
      <c r="E314" t="s">
        <v>400</v>
      </c>
      <c r="F314" t="s">
        <v>911</v>
      </c>
      <c r="G314" t="s">
        <v>345</v>
      </c>
      <c r="I314" t="s">
        <v>272</v>
      </c>
      <c r="K314" t="s">
        <v>66</v>
      </c>
      <c r="L314" t="s">
        <v>1536</v>
      </c>
      <c r="Q314" t="str">
        <f t="shared" si="12"/>
        <v>Nov</v>
      </c>
      <c r="R314">
        <f t="shared" si="13"/>
        <v>2014</v>
      </c>
      <c r="S314" t="str">
        <f>VLOOKUP($W314,TBL_Categories,2,FALSE)</f>
        <v>Monthly</v>
      </c>
      <c r="T314">
        <f>VLOOKUP($W314,TBL_Categories,3,FALSE)</f>
        <v>0</v>
      </c>
      <c r="U314" t="str">
        <f>VLOOKUP($W314,TBL_Categories,4,FALSE)</f>
        <v>No</v>
      </c>
      <c r="V314" t="str">
        <f>VLOOKUP($W314,TBL_Categories,5,FALSE)</f>
        <v>None</v>
      </c>
      <c r="W314" t="str">
        <f t="shared" si="14"/>
        <v>Kids|Toys</v>
      </c>
    </row>
    <row r="315" spans="1:23" x14ac:dyDescent="0.25">
      <c r="A315" t="s">
        <v>290</v>
      </c>
      <c r="B315" s="5">
        <v>41944</v>
      </c>
      <c r="C315">
        <v>-13.89</v>
      </c>
      <c r="D315" t="s">
        <v>304</v>
      </c>
      <c r="E315" t="s">
        <v>400</v>
      </c>
      <c r="G315" t="s">
        <v>342</v>
      </c>
      <c r="I315" t="s">
        <v>272</v>
      </c>
      <c r="K315" t="s">
        <v>61</v>
      </c>
      <c r="L315" t="s">
        <v>401</v>
      </c>
      <c r="Q315" t="str">
        <f t="shared" si="12"/>
        <v>Nov</v>
      </c>
      <c r="R315">
        <f t="shared" si="13"/>
        <v>2014</v>
      </c>
      <c r="S315" t="str">
        <f>VLOOKUP($W315,TBL_Categories,2,FALSE)</f>
        <v>Monthly</v>
      </c>
      <c r="T315">
        <f>VLOOKUP($W315,TBL_Categories,3,FALSE)</f>
        <v>0</v>
      </c>
      <c r="U315" t="str">
        <f>VLOOKUP($W315,TBL_Categories,4,FALSE)</f>
        <v>No</v>
      </c>
      <c r="V315" t="str">
        <f>VLOOKUP($W315,TBL_Categories,5,FALSE)</f>
        <v>None</v>
      </c>
      <c r="W315" t="str">
        <f t="shared" si="14"/>
        <v>Food &amp; Dining|Groceries</v>
      </c>
    </row>
    <row r="316" spans="1:23" x14ac:dyDescent="0.25">
      <c r="A316" t="s">
        <v>296</v>
      </c>
      <c r="B316" s="5">
        <v>41944</v>
      </c>
      <c r="C316">
        <v>-15.34</v>
      </c>
      <c r="D316" t="s">
        <v>304</v>
      </c>
      <c r="E316" t="s">
        <v>1371</v>
      </c>
      <c r="F316" t="s">
        <v>1372</v>
      </c>
      <c r="G316" t="s">
        <v>333</v>
      </c>
      <c r="K316" t="s">
        <v>61</v>
      </c>
      <c r="L316" t="s">
        <v>1530</v>
      </c>
      <c r="Q316" t="str">
        <f t="shared" si="12"/>
        <v>Nov</v>
      </c>
      <c r="R316">
        <f t="shared" si="13"/>
        <v>2014</v>
      </c>
      <c r="S316" t="str">
        <f>VLOOKUP($W316,TBL_Categories,2,FALSE)</f>
        <v>Monthly</v>
      </c>
      <c r="T316">
        <f>VLOOKUP($W316,TBL_Categories,3,FALSE)</f>
        <v>0</v>
      </c>
      <c r="U316" t="str">
        <f>VLOOKUP($W316,TBL_Categories,4,FALSE)</f>
        <v>No</v>
      </c>
      <c r="V316" t="str">
        <f>VLOOKUP($W316,TBL_Categories,5,FALSE)</f>
        <v>None</v>
      </c>
      <c r="W316" t="str">
        <f t="shared" si="14"/>
        <v>Food &amp; Dining|Restaurants</v>
      </c>
    </row>
    <row r="317" spans="1:23" x14ac:dyDescent="0.25">
      <c r="A317" t="s">
        <v>296</v>
      </c>
      <c r="B317" s="5">
        <v>41944</v>
      </c>
      <c r="C317">
        <v>-68.58</v>
      </c>
      <c r="D317" t="s">
        <v>304</v>
      </c>
      <c r="E317" t="s">
        <v>995</v>
      </c>
      <c r="G317" t="s">
        <v>333</v>
      </c>
      <c r="K317" t="s">
        <v>61</v>
      </c>
      <c r="L317" t="s">
        <v>1530</v>
      </c>
      <c r="Q317" t="str">
        <f t="shared" si="12"/>
        <v>Nov</v>
      </c>
      <c r="R317">
        <f t="shared" si="13"/>
        <v>2014</v>
      </c>
      <c r="S317" t="str">
        <f>VLOOKUP($W317,TBL_Categories,2,FALSE)</f>
        <v>Monthly</v>
      </c>
      <c r="T317">
        <f>VLOOKUP($W317,TBL_Categories,3,FALSE)</f>
        <v>0</v>
      </c>
      <c r="U317" t="str">
        <f>VLOOKUP($W317,TBL_Categories,4,FALSE)</f>
        <v>No</v>
      </c>
      <c r="V317" t="str">
        <f>VLOOKUP($W317,TBL_Categories,5,FALSE)</f>
        <v>None</v>
      </c>
      <c r="W317" t="str">
        <f t="shared" si="14"/>
        <v>Food &amp; Dining|Restaurants</v>
      </c>
    </row>
    <row r="318" spans="1:23" x14ac:dyDescent="0.25">
      <c r="A318" t="s">
        <v>280</v>
      </c>
      <c r="B318" s="5">
        <v>41943</v>
      </c>
      <c r="C318">
        <v>20.059999999999999</v>
      </c>
      <c r="D318" t="s">
        <v>304</v>
      </c>
      <c r="E318" t="s">
        <v>309</v>
      </c>
      <c r="G318" t="s">
        <v>8</v>
      </c>
      <c r="K318" t="s">
        <v>8</v>
      </c>
      <c r="Q318" t="str">
        <f t="shared" si="12"/>
        <v>Oct</v>
      </c>
      <c r="R318">
        <f t="shared" si="13"/>
        <v>2014</v>
      </c>
      <c r="S318" t="str">
        <f>VLOOKUP($W318,TBL_Categories,2,FALSE)</f>
        <v>Monthly</v>
      </c>
      <c r="T318">
        <f>VLOOKUP($W318,TBL_Categories,3,FALSE)</f>
        <v>0</v>
      </c>
      <c r="U318" t="str">
        <f>VLOOKUP($W318,TBL_Categories,4,FALSE)</f>
        <v>No</v>
      </c>
      <c r="V318" t="str">
        <f>VLOOKUP($W318,TBL_Categories,5,FALSE)</f>
        <v>None</v>
      </c>
      <c r="W318" t="str">
        <f t="shared" si="14"/>
        <v>Interest Income</v>
      </c>
    </row>
    <row r="319" spans="1:23" x14ac:dyDescent="0.25">
      <c r="A319" t="s">
        <v>281</v>
      </c>
      <c r="B319" s="5">
        <v>41943</v>
      </c>
      <c r="C319">
        <v>50.37</v>
      </c>
      <c r="D319" t="s">
        <v>304</v>
      </c>
      <c r="E319" t="s">
        <v>309</v>
      </c>
      <c r="G319" t="s">
        <v>8</v>
      </c>
      <c r="K319" t="s">
        <v>8</v>
      </c>
      <c r="Q319" t="str">
        <f t="shared" si="12"/>
        <v>Oct</v>
      </c>
      <c r="R319">
        <f t="shared" si="13"/>
        <v>2014</v>
      </c>
      <c r="S319" t="str">
        <f>VLOOKUP($W319,TBL_Categories,2,FALSE)</f>
        <v>Monthly</v>
      </c>
      <c r="T319">
        <f>VLOOKUP($W319,TBL_Categories,3,FALSE)</f>
        <v>0</v>
      </c>
      <c r="U319" t="str">
        <f>VLOOKUP($W319,TBL_Categories,4,FALSE)</f>
        <v>No</v>
      </c>
      <c r="V319" t="str">
        <f>VLOOKUP($W319,TBL_Categories,5,FALSE)</f>
        <v>None</v>
      </c>
      <c r="W319" t="str">
        <f t="shared" si="14"/>
        <v>Interest Income</v>
      </c>
    </row>
    <row r="320" spans="1:23" x14ac:dyDescent="0.25">
      <c r="A320" t="s">
        <v>282</v>
      </c>
      <c r="B320" s="5">
        <v>41943</v>
      </c>
      <c r="C320">
        <v>0.02</v>
      </c>
      <c r="D320" t="s">
        <v>304</v>
      </c>
      <c r="E320" t="s">
        <v>309</v>
      </c>
      <c r="G320" t="s">
        <v>8</v>
      </c>
      <c r="K320" t="s">
        <v>8</v>
      </c>
      <c r="Q320" t="str">
        <f t="shared" si="12"/>
        <v>Oct</v>
      </c>
      <c r="R320">
        <f t="shared" si="13"/>
        <v>2014</v>
      </c>
      <c r="S320" t="str">
        <f>VLOOKUP($W320,TBL_Categories,2,FALSE)</f>
        <v>Monthly</v>
      </c>
      <c r="T320">
        <f>VLOOKUP($W320,TBL_Categories,3,FALSE)</f>
        <v>0</v>
      </c>
      <c r="U320" t="str">
        <f>VLOOKUP($W320,TBL_Categories,4,FALSE)</f>
        <v>No</v>
      </c>
      <c r="V320" t="str">
        <f>VLOOKUP($W320,TBL_Categories,5,FALSE)</f>
        <v>None</v>
      </c>
      <c r="W320" t="str">
        <f t="shared" si="14"/>
        <v>Interest Income</v>
      </c>
    </row>
    <row r="321" spans="1:23" x14ac:dyDescent="0.25">
      <c r="A321" t="s">
        <v>283</v>
      </c>
      <c r="B321" s="5">
        <v>41943</v>
      </c>
      <c r="C321">
        <v>5.96</v>
      </c>
      <c r="D321" t="s">
        <v>304</v>
      </c>
      <c r="E321" t="s">
        <v>309</v>
      </c>
      <c r="G321" t="s">
        <v>8</v>
      </c>
      <c r="K321" t="s">
        <v>8</v>
      </c>
      <c r="Q321" t="str">
        <f t="shared" si="12"/>
        <v>Oct</v>
      </c>
      <c r="R321">
        <f t="shared" si="13"/>
        <v>2014</v>
      </c>
      <c r="S321" t="str">
        <f>VLOOKUP($W321,TBL_Categories,2,FALSE)</f>
        <v>Monthly</v>
      </c>
      <c r="T321">
        <f>VLOOKUP($W321,TBL_Categories,3,FALSE)</f>
        <v>0</v>
      </c>
      <c r="U321" t="str">
        <f>VLOOKUP($W321,TBL_Categories,4,FALSE)</f>
        <v>No</v>
      </c>
      <c r="V321" t="str">
        <f>VLOOKUP($W321,TBL_Categories,5,FALSE)</f>
        <v>None</v>
      </c>
      <c r="W321" t="str">
        <f t="shared" si="14"/>
        <v>Interest Income</v>
      </c>
    </row>
    <row r="322" spans="1:23" x14ac:dyDescent="0.25">
      <c r="A322" t="s">
        <v>284</v>
      </c>
      <c r="B322" s="5">
        <v>41943</v>
      </c>
      <c r="C322" s="4">
        <v>5492.31</v>
      </c>
      <c r="D322" t="s">
        <v>304</v>
      </c>
      <c r="E322" t="s">
        <v>361</v>
      </c>
      <c r="F322" t="s">
        <v>312</v>
      </c>
      <c r="G322" t="s">
        <v>12</v>
      </c>
      <c r="K322" t="s">
        <v>12</v>
      </c>
      <c r="Q322" t="str">
        <f t="shared" ref="Q322:Q385" si="15">TEXT($B322,"MMM")</f>
        <v>Oct</v>
      </c>
      <c r="R322">
        <f t="shared" ref="R322:R385" si="16">YEAR($B322)</f>
        <v>2014</v>
      </c>
      <c r="S322" t="str">
        <f>VLOOKUP($W322,TBL_Categories,2,FALSE)</f>
        <v>Monthly</v>
      </c>
      <c r="T322">
        <f>VLOOKUP($W322,TBL_Categories,3,FALSE)</f>
        <v>0</v>
      </c>
      <c r="U322" t="str">
        <f>VLOOKUP($W322,TBL_Categories,4,FALSE)</f>
        <v>No</v>
      </c>
      <c r="V322" t="str">
        <f>VLOOKUP($W322,TBL_Categories,5,FALSE)</f>
        <v>None</v>
      </c>
      <c r="W322" t="str">
        <f t="shared" ref="W322:W385" si="17">IF(ISBLANK($L322),$K322,CONCATENATE($K322,"|",$L322))</f>
        <v>Net Salary</v>
      </c>
    </row>
    <row r="323" spans="1:23" x14ac:dyDescent="0.25">
      <c r="A323" t="s">
        <v>284</v>
      </c>
      <c r="B323" s="5">
        <v>41943</v>
      </c>
      <c r="C323" s="4">
        <v>6058.12</v>
      </c>
      <c r="D323" t="s">
        <v>304</v>
      </c>
      <c r="E323" t="s">
        <v>363</v>
      </c>
      <c r="F323" t="s">
        <v>359</v>
      </c>
      <c r="G323" t="s">
        <v>12</v>
      </c>
      <c r="K323" t="s">
        <v>12</v>
      </c>
      <c r="Q323" t="str">
        <f t="shared" si="15"/>
        <v>Oct</v>
      </c>
      <c r="R323">
        <f t="shared" si="16"/>
        <v>2014</v>
      </c>
      <c r="S323" t="str">
        <f>VLOOKUP($W323,TBL_Categories,2,FALSE)</f>
        <v>Monthly</v>
      </c>
      <c r="T323">
        <f>VLOOKUP($W323,TBL_Categories,3,FALSE)</f>
        <v>0</v>
      </c>
      <c r="U323" t="str">
        <f>VLOOKUP($W323,TBL_Categories,4,FALSE)</f>
        <v>No</v>
      </c>
      <c r="V323" t="str">
        <f>VLOOKUP($W323,TBL_Categories,5,FALSE)</f>
        <v>None</v>
      </c>
      <c r="W323" t="str">
        <f t="shared" si="17"/>
        <v>Net Salary</v>
      </c>
    </row>
    <row r="324" spans="1:23" x14ac:dyDescent="0.25">
      <c r="A324" t="s">
        <v>284</v>
      </c>
      <c r="B324" s="5">
        <v>41943</v>
      </c>
      <c r="C324">
        <v>-70</v>
      </c>
      <c r="D324" t="s">
        <v>304</v>
      </c>
      <c r="E324" t="s">
        <v>827</v>
      </c>
      <c r="G324" t="s">
        <v>322</v>
      </c>
      <c r="H324">
        <v>2138</v>
      </c>
      <c r="K324" t="s">
        <v>66</v>
      </c>
      <c r="L324" t="s">
        <v>1527</v>
      </c>
      <c r="Q324" t="str">
        <f t="shared" si="15"/>
        <v>Oct</v>
      </c>
      <c r="R324">
        <f t="shared" si="16"/>
        <v>2014</v>
      </c>
      <c r="S324" t="str">
        <f>VLOOKUP($W324,TBL_Categories,2,FALSE)</f>
        <v>Monthly</v>
      </c>
      <c r="T324">
        <f>VLOOKUP($W324,TBL_Categories,3,FALSE)</f>
        <v>0</v>
      </c>
      <c r="U324" t="str">
        <f>VLOOKUP($W324,TBL_Categories,4,FALSE)</f>
        <v>No</v>
      </c>
      <c r="V324" t="str">
        <f>VLOOKUP($W324,TBL_Categories,5,FALSE)</f>
        <v>None</v>
      </c>
      <c r="W324" t="str">
        <f t="shared" si="17"/>
        <v>Kids|Babysitter</v>
      </c>
    </row>
    <row r="325" spans="1:23" x14ac:dyDescent="0.25">
      <c r="A325" t="s">
        <v>288</v>
      </c>
      <c r="B325" s="5">
        <v>41943</v>
      </c>
      <c r="C325" s="4">
        <v>2195</v>
      </c>
      <c r="D325" t="s">
        <v>304</v>
      </c>
      <c r="E325" t="s">
        <v>875</v>
      </c>
      <c r="F325" t="s">
        <v>394</v>
      </c>
      <c r="G325" t="s">
        <v>390</v>
      </c>
      <c r="J325">
        <v>9602</v>
      </c>
      <c r="K325" t="s">
        <v>33</v>
      </c>
      <c r="L325" t="s">
        <v>1519</v>
      </c>
      <c r="Q325" t="str">
        <f t="shared" si="15"/>
        <v>Oct</v>
      </c>
      <c r="R325">
        <f t="shared" si="16"/>
        <v>2014</v>
      </c>
      <c r="S325" t="str">
        <f>VLOOKUP($W325,TBL_Categories,2,FALSE)</f>
        <v>Monthly</v>
      </c>
      <c r="T325">
        <f>VLOOKUP($W325,TBL_Categories,3,FALSE)</f>
        <v>0</v>
      </c>
      <c r="U325" t="str">
        <f>VLOOKUP($W325,TBL_Categories,4,FALSE)</f>
        <v>No</v>
      </c>
      <c r="V325" t="str">
        <f>VLOOKUP($W325,TBL_Categories,5,FALSE)</f>
        <v>None</v>
      </c>
      <c r="W325" t="str">
        <f t="shared" si="17"/>
        <v>Business Income (Koolikai)|Rent</v>
      </c>
    </row>
    <row r="326" spans="1:23" x14ac:dyDescent="0.25">
      <c r="A326" t="s">
        <v>290</v>
      </c>
      <c r="B326" s="5">
        <v>41943</v>
      </c>
      <c r="C326">
        <v>0.05</v>
      </c>
      <c r="D326" t="s">
        <v>304</v>
      </c>
      <c r="E326" t="s">
        <v>399</v>
      </c>
      <c r="G326" t="s">
        <v>8</v>
      </c>
      <c r="K326" t="s">
        <v>8</v>
      </c>
      <c r="Q326" t="str">
        <f t="shared" si="15"/>
        <v>Oct</v>
      </c>
      <c r="R326">
        <f t="shared" si="16"/>
        <v>2014</v>
      </c>
      <c r="S326" t="str">
        <f>VLOOKUP($W326,TBL_Categories,2,FALSE)</f>
        <v>Monthly</v>
      </c>
      <c r="T326">
        <f>VLOOKUP($W326,TBL_Categories,3,FALSE)</f>
        <v>0</v>
      </c>
      <c r="U326" t="str">
        <f>VLOOKUP($W326,TBL_Categories,4,FALSE)</f>
        <v>No</v>
      </c>
      <c r="V326" t="str">
        <f>VLOOKUP($W326,TBL_Categories,5,FALSE)</f>
        <v>None</v>
      </c>
      <c r="W326" t="str">
        <f t="shared" si="17"/>
        <v>Interest Income</v>
      </c>
    </row>
    <row r="327" spans="1:23" x14ac:dyDescent="0.25">
      <c r="A327" t="s">
        <v>293</v>
      </c>
      <c r="B327" s="5">
        <v>41943</v>
      </c>
      <c r="C327">
        <v>-500</v>
      </c>
      <c r="D327" t="s">
        <v>304</v>
      </c>
      <c r="E327" t="s">
        <v>1015</v>
      </c>
      <c r="F327" t="s">
        <v>1016</v>
      </c>
      <c r="G327" t="s">
        <v>593</v>
      </c>
      <c r="K327" t="s">
        <v>56</v>
      </c>
      <c r="L327" t="s">
        <v>1547</v>
      </c>
      <c r="Q327" t="str">
        <f t="shared" si="15"/>
        <v>Oct</v>
      </c>
      <c r="R327">
        <f t="shared" si="16"/>
        <v>2014</v>
      </c>
      <c r="S327" t="str">
        <f>VLOOKUP($W327,TBL_Categories,2,FALSE)</f>
        <v>Annual</v>
      </c>
      <c r="T327">
        <f>VLOOKUP($W327,TBL_Categories,3,FALSE)</f>
        <v>0</v>
      </c>
      <c r="U327" t="str">
        <f>VLOOKUP($W327,TBL_Categories,4,FALSE)</f>
        <v>No</v>
      </c>
      <c r="V327" t="str">
        <f>VLOOKUP($W327,TBL_Categories,5,FALSE)</f>
        <v>None</v>
      </c>
      <c r="W327" t="str">
        <f t="shared" si="17"/>
        <v>Charity|Charity (Cash)</v>
      </c>
    </row>
    <row r="328" spans="1:23" x14ac:dyDescent="0.25">
      <c r="A328" t="s">
        <v>296</v>
      </c>
      <c r="B328" s="5">
        <v>41943</v>
      </c>
      <c r="C328">
        <v>-111.5</v>
      </c>
      <c r="D328" t="s">
        <v>304</v>
      </c>
      <c r="E328" t="s">
        <v>1369</v>
      </c>
      <c r="F328" t="s">
        <v>1370</v>
      </c>
      <c r="G328" t="s">
        <v>347</v>
      </c>
      <c r="K328" t="s">
        <v>75</v>
      </c>
      <c r="L328" t="s">
        <v>1540</v>
      </c>
      <c r="O328" t="s">
        <v>1618</v>
      </c>
      <c r="Q328" t="str">
        <f t="shared" si="15"/>
        <v>Oct</v>
      </c>
      <c r="R328">
        <f t="shared" si="16"/>
        <v>2014</v>
      </c>
      <c r="S328" t="str">
        <f>VLOOKUP($W328,TBL_Categories,2,FALSE)</f>
        <v>Irregular</v>
      </c>
      <c r="T328">
        <f>VLOOKUP($W328,TBL_Categories,3,FALSE)</f>
        <v>0</v>
      </c>
      <c r="U328" t="str">
        <f>VLOOKUP($W328,TBL_Categories,4,FALSE)</f>
        <v>No</v>
      </c>
      <c r="V328" t="str">
        <f>VLOOKUP($W328,TBL_Categories,5,FALSE)</f>
        <v>None</v>
      </c>
      <c r="W328" t="str">
        <f t="shared" si="17"/>
        <v>Vacation|Lodging</v>
      </c>
    </row>
    <row r="329" spans="1:23" x14ac:dyDescent="0.25">
      <c r="A329" t="s">
        <v>284</v>
      </c>
      <c r="B329" s="5">
        <v>41942</v>
      </c>
      <c r="C329">
        <v>-250.13</v>
      </c>
      <c r="D329" t="s">
        <v>304</v>
      </c>
      <c r="E329" t="s">
        <v>838</v>
      </c>
      <c r="F329" t="s">
        <v>583</v>
      </c>
      <c r="G329" t="s">
        <v>313</v>
      </c>
      <c r="K329" t="s">
        <v>54</v>
      </c>
      <c r="L329" t="s">
        <v>1521</v>
      </c>
      <c r="Q329" t="str">
        <f t="shared" si="15"/>
        <v>Oct</v>
      </c>
      <c r="R329">
        <f t="shared" si="16"/>
        <v>2014</v>
      </c>
      <c r="S329" t="str">
        <f>VLOOKUP($W329,TBL_Categories,2,FALSE)</f>
        <v>Monthly</v>
      </c>
      <c r="T329">
        <f>VLOOKUP($W329,TBL_Categories,3,FALSE)</f>
        <v>0</v>
      </c>
      <c r="U329" t="str">
        <f>VLOOKUP($W329,TBL_Categories,4,FALSE)</f>
        <v>No</v>
      </c>
      <c r="V329" t="str">
        <f>VLOOKUP($W329,TBL_Categories,5,FALSE)</f>
        <v>None</v>
      </c>
      <c r="W329" t="str">
        <f t="shared" si="17"/>
        <v>Bills &amp; Utilities|Utilities</v>
      </c>
    </row>
    <row r="330" spans="1:23" x14ac:dyDescent="0.25">
      <c r="A330" t="s">
        <v>296</v>
      </c>
      <c r="B330" s="5">
        <v>41942</v>
      </c>
      <c r="C330">
        <v>-15.86</v>
      </c>
      <c r="D330" t="s">
        <v>304</v>
      </c>
      <c r="E330" t="s">
        <v>431</v>
      </c>
      <c r="G330" t="s">
        <v>432</v>
      </c>
      <c r="K330" t="s">
        <v>52</v>
      </c>
      <c r="L330" t="s">
        <v>1577</v>
      </c>
      <c r="Q330" t="str">
        <f t="shared" si="15"/>
        <v>Oct</v>
      </c>
      <c r="R330">
        <f t="shared" si="16"/>
        <v>2014</v>
      </c>
      <c r="S330" t="str">
        <f>VLOOKUP($W330,TBL_Categories,2,FALSE)</f>
        <v>Monthly</v>
      </c>
      <c r="T330">
        <f>VLOOKUP($W330,TBL_Categories,3,FALSE)</f>
        <v>0</v>
      </c>
      <c r="U330" t="str">
        <f>VLOOKUP($W330,TBL_Categories,4,FALSE)</f>
        <v>No</v>
      </c>
      <c r="V330" t="str">
        <f>VLOOKUP($W330,TBL_Categories,5,FALSE)</f>
        <v>None</v>
      </c>
      <c r="W330" t="str">
        <f t="shared" si="17"/>
        <v>Auto &amp; Transport|Parking</v>
      </c>
    </row>
    <row r="331" spans="1:23" x14ac:dyDescent="0.25">
      <c r="A331" t="s">
        <v>296</v>
      </c>
      <c r="B331" s="5">
        <v>41941</v>
      </c>
      <c r="C331">
        <v>-15.86</v>
      </c>
      <c r="D331" t="s">
        <v>304</v>
      </c>
      <c r="E331" t="s">
        <v>431</v>
      </c>
      <c r="G331" t="s">
        <v>432</v>
      </c>
      <c r="K331" t="s">
        <v>52</v>
      </c>
      <c r="L331" t="s">
        <v>1577</v>
      </c>
      <c r="Q331" t="str">
        <f t="shared" si="15"/>
        <v>Oct</v>
      </c>
      <c r="R331">
        <f t="shared" si="16"/>
        <v>2014</v>
      </c>
      <c r="S331" t="str">
        <f>VLOOKUP($W331,TBL_Categories,2,FALSE)</f>
        <v>Monthly</v>
      </c>
      <c r="T331">
        <f>VLOOKUP($W331,TBL_Categories,3,FALSE)</f>
        <v>0</v>
      </c>
      <c r="U331" t="str">
        <f>VLOOKUP($W331,TBL_Categories,4,FALSE)</f>
        <v>No</v>
      </c>
      <c r="V331" t="str">
        <f>VLOOKUP($W331,TBL_Categories,5,FALSE)</f>
        <v>None</v>
      </c>
      <c r="W331" t="str">
        <f t="shared" si="17"/>
        <v>Auto &amp; Transport|Parking</v>
      </c>
    </row>
    <row r="332" spans="1:23" x14ac:dyDescent="0.25">
      <c r="A332" t="s">
        <v>284</v>
      </c>
      <c r="B332" s="5">
        <v>41940</v>
      </c>
      <c r="C332">
        <v>263.08</v>
      </c>
      <c r="D332" t="s">
        <v>304</v>
      </c>
      <c r="E332" t="s">
        <v>346</v>
      </c>
      <c r="F332" t="s">
        <v>394</v>
      </c>
      <c r="G332" t="s">
        <v>14</v>
      </c>
      <c r="K332" t="s">
        <v>14</v>
      </c>
      <c r="Q332" t="str">
        <f t="shared" si="15"/>
        <v>Oct</v>
      </c>
      <c r="R332">
        <f t="shared" si="16"/>
        <v>2014</v>
      </c>
      <c r="S332" t="str">
        <f>VLOOKUP($W332,TBL_Categories,2,FALSE)</f>
        <v>Monthly</v>
      </c>
      <c r="T332">
        <f>VLOOKUP($W332,TBL_Categories,3,FALSE)</f>
        <v>0</v>
      </c>
      <c r="U332" t="str">
        <f>VLOOKUP($W332,TBL_Categories,4,FALSE)</f>
        <v>No</v>
      </c>
      <c r="V332" t="str">
        <f>VLOOKUP($W332,TBL_Categories,5,FALSE)</f>
        <v>None</v>
      </c>
      <c r="W332" t="str">
        <f t="shared" si="17"/>
        <v>Other Inc</v>
      </c>
    </row>
    <row r="333" spans="1:23" x14ac:dyDescent="0.25">
      <c r="A333" t="s">
        <v>296</v>
      </c>
      <c r="B333" s="5">
        <v>41940</v>
      </c>
      <c r="C333">
        <v>25</v>
      </c>
      <c r="D333" t="s">
        <v>304</v>
      </c>
      <c r="E333" t="s">
        <v>429</v>
      </c>
      <c r="G333" t="s">
        <v>14</v>
      </c>
      <c r="K333" t="s">
        <v>14</v>
      </c>
      <c r="Q333" t="str">
        <f t="shared" si="15"/>
        <v>Oct</v>
      </c>
      <c r="R333">
        <f t="shared" si="16"/>
        <v>2014</v>
      </c>
      <c r="S333" t="str">
        <f>VLOOKUP($W333,TBL_Categories,2,FALSE)</f>
        <v>Monthly</v>
      </c>
      <c r="T333">
        <f>VLOOKUP($W333,TBL_Categories,3,FALSE)</f>
        <v>0</v>
      </c>
      <c r="U333" t="str">
        <f>VLOOKUP($W333,TBL_Categories,4,FALSE)</f>
        <v>No</v>
      </c>
      <c r="V333" t="str">
        <f>VLOOKUP($W333,TBL_Categories,5,FALSE)</f>
        <v>None</v>
      </c>
      <c r="W333" t="str">
        <f t="shared" si="17"/>
        <v>Other Inc</v>
      </c>
    </row>
    <row r="334" spans="1:23" x14ac:dyDescent="0.25">
      <c r="A334" t="s">
        <v>296</v>
      </c>
      <c r="B334" s="5">
        <v>41940</v>
      </c>
      <c r="C334">
        <v>-8.7899999999999991</v>
      </c>
      <c r="D334" t="s">
        <v>304</v>
      </c>
      <c r="E334" t="s">
        <v>1001</v>
      </c>
      <c r="G334" t="s">
        <v>342</v>
      </c>
      <c r="K334" t="s">
        <v>61</v>
      </c>
      <c r="L334" t="s">
        <v>401</v>
      </c>
      <c r="Q334" t="str">
        <f t="shared" si="15"/>
        <v>Oct</v>
      </c>
      <c r="R334">
        <f t="shared" si="16"/>
        <v>2014</v>
      </c>
      <c r="S334" t="str">
        <f>VLOOKUP($W334,TBL_Categories,2,FALSE)</f>
        <v>Monthly</v>
      </c>
      <c r="T334">
        <f>VLOOKUP($W334,TBL_Categories,3,FALSE)</f>
        <v>0</v>
      </c>
      <c r="U334" t="str">
        <f>VLOOKUP($W334,TBL_Categories,4,FALSE)</f>
        <v>No</v>
      </c>
      <c r="V334" t="str">
        <f>VLOOKUP($W334,TBL_Categories,5,FALSE)</f>
        <v>None</v>
      </c>
      <c r="W334" t="str">
        <f t="shared" si="17"/>
        <v>Food &amp; Dining|Groceries</v>
      </c>
    </row>
    <row r="335" spans="1:23" x14ac:dyDescent="0.25">
      <c r="A335" t="s">
        <v>284</v>
      </c>
      <c r="B335" s="5">
        <v>41939</v>
      </c>
      <c r="C335">
        <v>-860.28</v>
      </c>
      <c r="D335" t="s">
        <v>304</v>
      </c>
      <c r="E335" t="s">
        <v>837</v>
      </c>
      <c r="G335" t="s">
        <v>657</v>
      </c>
      <c r="K335" t="s">
        <v>657</v>
      </c>
      <c r="Q335" t="str">
        <f t="shared" si="15"/>
        <v>Oct</v>
      </c>
      <c r="R335">
        <f t="shared" si="16"/>
        <v>2014</v>
      </c>
      <c r="S335" t="e">
        <f>VLOOKUP($W335,TBL_Categories,2,FALSE)</f>
        <v>#N/A</v>
      </c>
      <c r="T335" t="e">
        <f>VLOOKUP($W335,TBL_Categories,3,FALSE)</f>
        <v>#N/A</v>
      </c>
      <c r="U335" t="e">
        <f>VLOOKUP($W335,TBL_Categories,4,FALSE)</f>
        <v>#N/A</v>
      </c>
      <c r="V335" t="e">
        <f>VLOOKUP($W335,TBL_Categories,5,FALSE)</f>
        <v>#N/A</v>
      </c>
      <c r="W335" t="str">
        <f t="shared" si="17"/>
        <v>[Chase Freedom XX9381]</v>
      </c>
    </row>
    <row r="336" spans="1:23" x14ac:dyDescent="0.25">
      <c r="A336" t="s">
        <v>633</v>
      </c>
      <c r="B336" s="5">
        <v>41939</v>
      </c>
      <c r="C336">
        <v>860.28</v>
      </c>
      <c r="D336" t="s">
        <v>304</v>
      </c>
      <c r="E336" t="s">
        <v>837</v>
      </c>
      <c r="G336" t="s">
        <v>9</v>
      </c>
      <c r="K336" t="s">
        <v>9</v>
      </c>
      <c r="Q336" t="str">
        <f t="shared" si="15"/>
        <v>Oct</v>
      </c>
      <c r="R336">
        <f t="shared" si="16"/>
        <v>2014</v>
      </c>
      <c r="S336" t="str">
        <f>VLOOKUP($W336,TBL_Categories,2,FALSE)</f>
        <v>Account</v>
      </c>
      <c r="T336">
        <f>VLOOKUP($W336,TBL_Categories,3,FALSE)</f>
        <v>0</v>
      </c>
      <c r="U336" t="str">
        <f>VLOOKUP($W336,TBL_Categories,4,FALSE)</f>
        <v>No</v>
      </c>
      <c r="V336" t="str">
        <f>VLOOKUP($W336,TBL_Categories,5,FALSE)</f>
        <v>None</v>
      </c>
      <c r="W336" t="str">
        <f t="shared" si="17"/>
        <v>[First Tech - Checking (5544)]</v>
      </c>
    </row>
    <row r="337" spans="1:23" x14ac:dyDescent="0.25">
      <c r="A337" t="s">
        <v>296</v>
      </c>
      <c r="B337" s="5">
        <v>41939</v>
      </c>
      <c r="C337">
        <v>-50</v>
      </c>
      <c r="D337" t="s">
        <v>304</v>
      </c>
      <c r="E337" t="s">
        <v>430</v>
      </c>
      <c r="G337" t="s">
        <v>773</v>
      </c>
      <c r="J337" t="s">
        <v>1550</v>
      </c>
      <c r="K337" t="s">
        <v>61</v>
      </c>
      <c r="L337" t="s">
        <v>1530</v>
      </c>
      <c r="Q337" t="str">
        <f t="shared" si="15"/>
        <v>Oct</v>
      </c>
      <c r="R337">
        <f t="shared" si="16"/>
        <v>2014</v>
      </c>
      <c r="S337" t="str">
        <f>VLOOKUP($W337,TBL_Categories,2,FALSE)</f>
        <v>Monthly</v>
      </c>
      <c r="T337">
        <f>VLOOKUP($W337,TBL_Categories,3,FALSE)</f>
        <v>0</v>
      </c>
      <c r="U337" t="str">
        <f>VLOOKUP($W337,TBL_Categories,4,FALSE)</f>
        <v>No</v>
      </c>
      <c r="V337" t="str">
        <f>VLOOKUP($W337,TBL_Categories,5,FALSE)</f>
        <v>None</v>
      </c>
      <c r="W337" t="str">
        <f t="shared" si="17"/>
        <v>Food &amp; Dining|Restaurants</v>
      </c>
    </row>
    <row r="338" spans="1:23" x14ac:dyDescent="0.25">
      <c r="A338" t="s">
        <v>293</v>
      </c>
      <c r="B338" s="5">
        <v>41937</v>
      </c>
      <c r="C338">
        <v>-8.68</v>
      </c>
      <c r="D338" t="s">
        <v>304</v>
      </c>
      <c r="E338" t="s">
        <v>1013</v>
      </c>
      <c r="F338" t="s">
        <v>1014</v>
      </c>
      <c r="G338" t="s">
        <v>588</v>
      </c>
      <c r="K338" t="s">
        <v>66</v>
      </c>
      <c r="L338" t="s">
        <v>1537</v>
      </c>
      <c r="Q338" t="str">
        <f t="shared" si="15"/>
        <v>Oct</v>
      </c>
      <c r="R338">
        <f t="shared" si="16"/>
        <v>2014</v>
      </c>
      <c r="S338" t="str">
        <f>VLOOKUP($W338,TBL_Categories,2,FALSE)</f>
        <v>Monthly</v>
      </c>
      <c r="T338">
        <f>VLOOKUP($W338,TBL_Categories,3,FALSE)</f>
        <v>0</v>
      </c>
      <c r="U338" t="str">
        <f>VLOOKUP($W338,TBL_Categories,4,FALSE)</f>
        <v>No</v>
      </c>
      <c r="V338" t="str">
        <f>VLOOKUP($W338,TBL_Categories,5,FALSE)</f>
        <v>None</v>
      </c>
      <c r="W338" t="str">
        <f t="shared" si="17"/>
        <v>Kids|Clothing</v>
      </c>
    </row>
    <row r="339" spans="1:23" x14ac:dyDescent="0.25">
      <c r="A339" t="s">
        <v>296</v>
      </c>
      <c r="B339" s="5">
        <v>41937</v>
      </c>
      <c r="C339">
        <v>-3.01</v>
      </c>
      <c r="D339" t="s">
        <v>304</v>
      </c>
      <c r="E339" t="s">
        <v>994</v>
      </c>
      <c r="G339" t="s">
        <v>432</v>
      </c>
      <c r="K339" t="s">
        <v>52</v>
      </c>
      <c r="L339" t="s">
        <v>1577</v>
      </c>
      <c r="Q339" t="str">
        <f t="shared" si="15"/>
        <v>Oct</v>
      </c>
      <c r="R339">
        <f t="shared" si="16"/>
        <v>2014</v>
      </c>
      <c r="S339" t="str">
        <f>VLOOKUP($W339,TBL_Categories,2,FALSE)</f>
        <v>Monthly</v>
      </c>
      <c r="T339">
        <f>VLOOKUP($W339,TBL_Categories,3,FALSE)</f>
        <v>0</v>
      </c>
      <c r="U339" t="str">
        <f>VLOOKUP($W339,TBL_Categories,4,FALSE)</f>
        <v>No</v>
      </c>
      <c r="V339" t="str">
        <f>VLOOKUP($W339,TBL_Categories,5,FALSE)</f>
        <v>None</v>
      </c>
      <c r="W339" t="str">
        <f t="shared" si="17"/>
        <v>Auto &amp; Transport|Parking</v>
      </c>
    </row>
    <row r="340" spans="1:23" x14ac:dyDescent="0.25">
      <c r="A340" t="s">
        <v>296</v>
      </c>
      <c r="B340" s="5">
        <v>41937</v>
      </c>
      <c r="C340">
        <v>-68</v>
      </c>
      <c r="D340" t="s">
        <v>304</v>
      </c>
      <c r="E340" t="s">
        <v>529</v>
      </c>
      <c r="F340" t="s">
        <v>1367</v>
      </c>
      <c r="G340" t="s">
        <v>449</v>
      </c>
      <c r="K340" t="s">
        <v>66</v>
      </c>
      <c r="L340" t="s">
        <v>1555</v>
      </c>
      <c r="Q340" t="str">
        <f t="shared" si="15"/>
        <v>Oct</v>
      </c>
      <c r="R340">
        <f t="shared" si="16"/>
        <v>2014</v>
      </c>
      <c r="S340" t="str">
        <f>VLOOKUP($W340,TBL_Categories,2,FALSE)</f>
        <v>Monthly</v>
      </c>
      <c r="T340">
        <f>VLOOKUP($W340,TBL_Categories,3,FALSE)</f>
        <v>0</v>
      </c>
      <c r="U340" t="str">
        <f>VLOOKUP($W340,TBL_Categories,4,FALSE)</f>
        <v>No</v>
      </c>
      <c r="V340" t="str">
        <f>VLOOKUP($W340,TBL_Categories,5,FALSE)</f>
        <v>None</v>
      </c>
      <c r="W340" t="str">
        <f t="shared" si="17"/>
        <v>Kids|Kids Activities</v>
      </c>
    </row>
    <row r="341" spans="1:23" x14ac:dyDescent="0.25">
      <c r="A341" t="s">
        <v>296</v>
      </c>
      <c r="B341" s="5">
        <v>41937</v>
      </c>
      <c r="C341">
        <v>-68.23</v>
      </c>
      <c r="D341" t="s">
        <v>304</v>
      </c>
      <c r="E341" t="s">
        <v>716</v>
      </c>
      <c r="G341" t="s">
        <v>333</v>
      </c>
      <c r="K341" t="s">
        <v>61</v>
      </c>
      <c r="L341" t="s">
        <v>1530</v>
      </c>
      <c r="Q341" t="str">
        <f t="shared" si="15"/>
        <v>Oct</v>
      </c>
      <c r="R341">
        <f t="shared" si="16"/>
        <v>2014</v>
      </c>
      <c r="S341" t="str">
        <f>VLOOKUP($W341,TBL_Categories,2,FALSE)</f>
        <v>Monthly</v>
      </c>
      <c r="T341">
        <f>VLOOKUP($W341,TBL_Categories,3,FALSE)</f>
        <v>0</v>
      </c>
      <c r="U341" t="str">
        <f>VLOOKUP($W341,TBL_Categories,4,FALSE)</f>
        <v>No</v>
      </c>
      <c r="V341" t="str">
        <f>VLOOKUP($W341,TBL_Categories,5,FALSE)</f>
        <v>None</v>
      </c>
      <c r="W341" t="str">
        <f t="shared" si="17"/>
        <v>Food &amp; Dining|Restaurants</v>
      </c>
    </row>
    <row r="342" spans="1:23" x14ac:dyDescent="0.25">
      <c r="A342" t="s">
        <v>296</v>
      </c>
      <c r="B342" s="5">
        <v>41937</v>
      </c>
      <c r="C342">
        <v>-17.510000000000002</v>
      </c>
      <c r="D342" t="s">
        <v>304</v>
      </c>
      <c r="E342" t="s">
        <v>433</v>
      </c>
      <c r="F342" t="s">
        <v>1368</v>
      </c>
      <c r="G342" t="s">
        <v>962</v>
      </c>
      <c r="I342" t="s">
        <v>272</v>
      </c>
      <c r="J342" t="s">
        <v>1550</v>
      </c>
      <c r="K342" t="s">
        <v>72</v>
      </c>
      <c r="L342" t="s">
        <v>1537</v>
      </c>
      <c r="M342" t="s">
        <v>1575</v>
      </c>
      <c r="Q342" t="str">
        <f t="shared" si="15"/>
        <v>Oct</v>
      </c>
      <c r="R342">
        <f t="shared" si="16"/>
        <v>2014</v>
      </c>
      <c r="S342" t="str">
        <f>VLOOKUP($W342,TBL_Categories,2,FALSE)</f>
        <v>Annual</v>
      </c>
      <c r="T342">
        <f>VLOOKUP($W342,TBL_Categories,3,FALSE)</f>
        <v>0</v>
      </c>
      <c r="U342" t="str">
        <f>VLOOKUP($W342,TBL_Categories,4,FALSE)</f>
        <v>No</v>
      </c>
      <c r="V342" t="str">
        <f>VLOOKUP($W342,TBL_Categories,5,FALSE)</f>
        <v>None</v>
      </c>
      <c r="W342" t="str">
        <f t="shared" si="17"/>
        <v>Shopping|Clothing</v>
      </c>
    </row>
    <row r="343" spans="1:23" x14ac:dyDescent="0.25">
      <c r="A343" t="s">
        <v>296</v>
      </c>
      <c r="B343" s="5">
        <v>41937</v>
      </c>
      <c r="C343">
        <v>-110.47</v>
      </c>
      <c r="D343" t="s">
        <v>304</v>
      </c>
      <c r="E343" t="s">
        <v>433</v>
      </c>
      <c r="G343" t="s">
        <v>887</v>
      </c>
      <c r="I343" t="s">
        <v>272</v>
      </c>
      <c r="J343" t="s">
        <v>1550</v>
      </c>
      <c r="K343" t="s">
        <v>61</v>
      </c>
      <c r="L343" t="s">
        <v>401</v>
      </c>
      <c r="Q343" t="str">
        <f t="shared" si="15"/>
        <v>Oct</v>
      </c>
      <c r="R343">
        <f t="shared" si="16"/>
        <v>2014</v>
      </c>
      <c r="S343" t="str">
        <f>VLOOKUP($W343,TBL_Categories,2,FALSE)</f>
        <v>Monthly</v>
      </c>
      <c r="T343">
        <f>VLOOKUP($W343,TBL_Categories,3,FALSE)</f>
        <v>0</v>
      </c>
      <c r="U343" t="str">
        <f>VLOOKUP($W343,TBL_Categories,4,FALSE)</f>
        <v>No</v>
      </c>
      <c r="V343" t="str">
        <f>VLOOKUP($W343,TBL_Categories,5,FALSE)</f>
        <v>None</v>
      </c>
      <c r="W343" t="str">
        <f t="shared" si="17"/>
        <v>Food &amp; Dining|Groceries</v>
      </c>
    </row>
    <row r="344" spans="1:23" x14ac:dyDescent="0.25">
      <c r="A344" t="s">
        <v>284</v>
      </c>
      <c r="B344" s="5">
        <v>41936</v>
      </c>
      <c r="C344">
        <v>-101.01</v>
      </c>
      <c r="D344" t="s">
        <v>304</v>
      </c>
      <c r="E344" t="s">
        <v>643</v>
      </c>
      <c r="F344" t="s">
        <v>330</v>
      </c>
      <c r="G344" t="s">
        <v>15</v>
      </c>
      <c r="K344" t="s">
        <v>15</v>
      </c>
      <c r="Q344" t="str">
        <f t="shared" si="15"/>
        <v>Oct</v>
      </c>
      <c r="R344">
        <f t="shared" si="16"/>
        <v>2014</v>
      </c>
      <c r="S344" t="str">
        <f>VLOOKUP($W344,TBL_Categories,2,FALSE)</f>
        <v>Account</v>
      </c>
      <c r="T344">
        <f>VLOOKUP($W344,TBL_Categories,3,FALSE)</f>
        <v>0</v>
      </c>
      <c r="U344" t="str">
        <f>VLOOKUP($W344,TBL_Categories,4,FALSE)</f>
        <v>No</v>
      </c>
      <c r="V344" t="str">
        <f>VLOOKUP($W344,TBL_Categories,5,FALSE)</f>
        <v>None</v>
      </c>
      <c r="W344" t="str">
        <f t="shared" si="17"/>
        <v>[American Express (Costco)]</v>
      </c>
    </row>
    <row r="345" spans="1:23" x14ac:dyDescent="0.25">
      <c r="A345" t="s">
        <v>288</v>
      </c>
      <c r="B345" s="5">
        <v>41936</v>
      </c>
      <c r="C345">
        <v>-148.16</v>
      </c>
      <c r="D345" t="s">
        <v>304</v>
      </c>
      <c r="E345" t="s">
        <v>391</v>
      </c>
      <c r="F345" t="s">
        <v>382</v>
      </c>
      <c r="G345" t="s">
        <v>31</v>
      </c>
      <c r="K345" t="s">
        <v>31</v>
      </c>
      <c r="Q345" t="str">
        <f t="shared" si="15"/>
        <v>Oct</v>
      </c>
      <c r="R345">
        <f t="shared" si="16"/>
        <v>2014</v>
      </c>
      <c r="S345" t="str">
        <f>VLOOKUP($W345,TBL_Categories,2,FALSE)</f>
        <v>Account</v>
      </c>
      <c r="T345">
        <f>VLOOKUP($W345,TBL_Categories,3,FALSE)</f>
        <v>0</v>
      </c>
      <c r="U345" t="str">
        <f>VLOOKUP($W345,TBL_Categories,4,FALSE)</f>
        <v>No</v>
      </c>
      <c r="V345" t="str">
        <f>VLOOKUP($W345,TBL_Categories,5,FALSE)</f>
        <v>None</v>
      </c>
      <c r="W345" t="str">
        <f t="shared" si="17"/>
        <v>[Koolikai Credit Card]</v>
      </c>
    </row>
    <row r="346" spans="1:23" x14ac:dyDescent="0.25">
      <c r="A346" t="s">
        <v>291</v>
      </c>
      <c r="B346" s="5">
        <v>41936</v>
      </c>
      <c r="C346">
        <v>101.01</v>
      </c>
      <c r="D346" t="s">
        <v>306</v>
      </c>
      <c r="E346" t="s">
        <v>362</v>
      </c>
      <c r="G346" t="s">
        <v>9</v>
      </c>
      <c r="K346" t="s">
        <v>9</v>
      </c>
      <c r="Q346" t="str">
        <f t="shared" si="15"/>
        <v>Oct</v>
      </c>
      <c r="R346">
        <f t="shared" si="16"/>
        <v>2014</v>
      </c>
      <c r="S346" t="str">
        <f>VLOOKUP($W346,TBL_Categories,2,FALSE)</f>
        <v>Account</v>
      </c>
      <c r="T346">
        <f>VLOOKUP($W346,TBL_Categories,3,FALSE)</f>
        <v>0</v>
      </c>
      <c r="U346" t="str">
        <f>VLOOKUP($W346,TBL_Categories,4,FALSE)</f>
        <v>No</v>
      </c>
      <c r="V346" t="str">
        <f>VLOOKUP($W346,TBL_Categories,5,FALSE)</f>
        <v>None</v>
      </c>
      <c r="W346" t="str">
        <f t="shared" si="17"/>
        <v>[First Tech - Checking (5544)]</v>
      </c>
    </row>
    <row r="347" spans="1:23" x14ac:dyDescent="0.25">
      <c r="A347" t="s">
        <v>294</v>
      </c>
      <c r="B347" s="5">
        <v>41936</v>
      </c>
      <c r="C347">
        <v>148.16</v>
      </c>
      <c r="D347" t="s">
        <v>304</v>
      </c>
      <c r="E347" t="s">
        <v>391</v>
      </c>
      <c r="G347" t="s">
        <v>24</v>
      </c>
      <c r="K347" t="s">
        <v>24</v>
      </c>
      <c r="Q347" t="str">
        <f t="shared" si="15"/>
        <v>Oct</v>
      </c>
      <c r="R347">
        <f t="shared" si="16"/>
        <v>2014</v>
      </c>
      <c r="S347" t="str">
        <f>VLOOKUP($W347,TBL_Categories,2,FALSE)</f>
        <v>Account</v>
      </c>
      <c r="T347">
        <f>VLOOKUP($W347,TBL_Categories,3,FALSE)</f>
        <v>0</v>
      </c>
      <c r="U347" t="str">
        <f>VLOOKUP($W347,TBL_Categories,4,FALSE)</f>
        <v>No</v>
      </c>
      <c r="V347" t="str">
        <f>VLOOKUP($W347,TBL_Categories,5,FALSE)</f>
        <v>None</v>
      </c>
      <c r="W347" t="str">
        <f t="shared" si="17"/>
        <v>[Koolikai - Checking XX2129]</v>
      </c>
    </row>
    <row r="348" spans="1:23" x14ac:dyDescent="0.25">
      <c r="A348" t="s">
        <v>296</v>
      </c>
      <c r="B348" s="5">
        <v>41936</v>
      </c>
      <c r="C348">
        <v>-2.0699999999999998</v>
      </c>
      <c r="D348" t="s">
        <v>304</v>
      </c>
      <c r="E348" t="s">
        <v>433</v>
      </c>
      <c r="F348" t="s">
        <v>1364</v>
      </c>
      <c r="G348" t="s">
        <v>1020</v>
      </c>
      <c r="I348" t="s">
        <v>272</v>
      </c>
      <c r="J348" t="s">
        <v>1550</v>
      </c>
      <c r="K348" t="s">
        <v>66</v>
      </c>
      <c r="L348" t="s">
        <v>1536</v>
      </c>
      <c r="Q348" t="str">
        <f t="shared" si="15"/>
        <v>Oct</v>
      </c>
      <c r="R348">
        <f t="shared" si="16"/>
        <v>2014</v>
      </c>
      <c r="S348" t="str">
        <f>VLOOKUP($W348,TBL_Categories,2,FALSE)</f>
        <v>Monthly</v>
      </c>
      <c r="T348">
        <f>VLOOKUP($W348,TBL_Categories,3,FALSE)</f>
        <v>0</v>
      </c>
      <c r="U348" t="str">
        <f>VLOOKUP($W348,TBL_Categories,4,FALSE)</f>
        <v>No</v>
      </c>
      <c r="V348" t="str">
        <f>VLOOKUP($W348,TBL_Categories,5,FALSE)</f>
        <v>None</v>
      </c>
      <c r="W348" t="str">
        <f t="shared" si="17"/>
        <v>Kids|Toys</v>
      </c>
    </row>
    <row r="349" spans="1:23" x14ac:dyDescent="0.25">
      <c r="A349" t="s">
        <v>296</v>
      </c>
      <c r="B349" s="5">
        <v>41936</v>
      </c>
      <c r="C349">
        <v>-7.64</v>
      </c>
      <c r="D349" t="s">
        <v>304</v>
      </c>
      <c r="E349" t="s">
        <v>433</v>
      </c>
      <c r="F349" t="s">
        <v>1365</v>
      </c>
      <c r="G349" t="s">
        <v>1020</v>
      </c>
      <c r="I349" t="s">
        <v>272</v>
      </c>
      <c r="J349" t="s">
        <v>1550</v>
      </c>
      <c r="K349" t="s">
        <v>66</v>
      </c>
      <c r="L349" t="s">
        <v>1536</v>
      </c>
      <c r="Q349" t="str">
        <f t="shared" si="15"/>
        <v>Oct</v>
      </c>
      <c r="R349">
        <f t="shared" si="16"/>
        <v>2014</v>
      </c>
      <c r="S349" t="str">
        <f>VLOOKUP($W349,TBL_Categories,2,FALSE)</f>
        <v>Monthly</v>
      </c>
      <c r="T349">
        <f>VLOOKUP($W349,TBL_Categories,3,FALSE)</f>
        <v>0</v>
      </c>
      <c r="U349" t="str">
        <f>VLOOKUP($W349,TBL_Categories,4,FALSE)</f>
        <v>No</v>
      </c>
      <c r="V349" t="str">
        <f>VLOOKUP($W349,TBL_Categories,5,FALSE)</f>
        <v>None</v>
      </c>
      <c r="W349" t="str">
        <f t="shared" si="17"/>
        <v>Kids|Toys</v>
      </c>
    </row>
    <row r="350" spans="1:23" x14ac:dyDescent="0.25">
      <c r="A350" t="s">
        <v>296</v>
      </c>
      <c r="B350" s="5">
        <v>41936</v>
      </c>
      <c r="C350">
        <v>-38.31</v>
      </c>
      <c r="D350" t="s">
        <v>304</v>
      </c>
      <c r="E350" t="s">
        <v>433</v>
      </c>
      <c r="F350" t="s">
        <v>1366</v>
      </c>
      <c r="G350" t="s">
        <v>927</v>
      </c>
      <c r="I350" t="s">
        <v>272</v>
      </c>
      <c r="J350" t="s">
        <v>1550</v>
      </c>
      <c r="K350" t="s">
        <v>72</v>
      </c>
      <c r="L350" t="s">
        <v>1537</v>
      </c>
      <c r="Q350" t="str">
        <f t="shared" si="15"/>
        <v>Oct</v>
      </c>
      <c r="R350">
        <f t="shared" si="16"/>
        <v>2014</v>
      </c>
      <c r="S350" t="str">
        <f>VLOOKUP($W350,TBL_Categories,2,FALSE)</f>
        <v>Annual</v>
      </c>
      <c r="T350">
        <f>VLOOKUP($W350,TBL_Categories,3,FALSE)</f>
        <v>0</v>
      </c>
      <c r="U350" t="str">
        <f>VLOOKUP($W350,TBL_Categories,4,FALSE)</f>
        <v>No</v>
      </c>
      <c r="V350" t="str">
        <f>VLOOKUP($W350,TBL_Categories,5,FALSE)</f>
        <v>None</v>
      </c>
      <c r="W350" t="str">
        <f t="shared" si="17"/>
        <v>Shopping|Clothing</v>
      </c>
    </row>
    <row r="351" spans="1:23" x14ac:dyDescent="0.25">
      <c r="A351" t="s">
        <v>296</v>
      </c>
      <c r="B351" s="5">
        <v>41936</v>
      </c>
      <c r="C351">
        <v>-3</v>
      </c>
      <c r="D351" t="s">
        <v>304</v>
      </c>
      <c r="E351" t="s">
        <v>433</v>
      </c>
      <c r="F351" t="s">
        <v>1676</v>
      </c>
      <c r="G351" t="s">
        <v>887</v>
      </c>
      <c r="I351" t="s">
        <v>272</v>
      </c>
      <c r="J351" t="s">
        <v>1550</v>
      </c>
      <c r="K351" t="s">
        <v>61</v>
      </c>
      <c r="L351" t="s">
        <v>401</v>
      </c>
      <c r="Q351" t="str">
        <f t="shared" si="15"/>
        <v>Oct</v>
      </c>
      <c r="R351">
        <f t="shared" si="16"/>
        <v>2014</v>
      </c>
      <c r="S351" t="str">
        <f>VLOOKUP($W351,TBL_Categories,2,FALSE)</f>
        <v>Monthly</v>
      </c>
      <c r="T351">
        <f>VLOOKUP($W351,TBL_Categories,3,FALSE)</f>
        <v>0</v>
      </c>
      <c r="U351" t="str">
        <f>VLOOKUP($W351,TBL_Categories,4,FALSE)</f>
        <v>No</v>
      </c>
      <c r="V351" t="str">
        <f>VLOOKUP($W351,TBL_Categories,5,FALSE)</f>
        <v>None</v>
      </c>
      <c r="W351" t="str">
        <f t="shared" si="17"/>
        <v>Food &amp; Dining|Groceries</v>
      </c>
    </row>
    <row r="352" spans="1:23" x14ac:dyDescent="0.25">
      <c r="A352" t="s">
        <v>296</v>
      </c>
      <c r="B352" s="5">
        <v>41936</v>
      </c>
      <c r="C352">
        <v>-598.24</v>
      </c>
      <c r="D352" t="s">
        <v>304</v>
      </c>
      <c r="E352" t="s">
        <v>692</v>
      </c>
      <c r="F352" t="s">
        <v>846</v>
      </c>
      <c r="G352" t="s">
        <v>940</v>
      </c>
      <c r="K352" t="s">
        <v>29</v>
      </c>
      <c r="L352" t="s">
        <v>1573</v>
      </c>
      <c r="O352" t="s">
        <v>1602</v>
      </c>
      <c r="Q352" t="str">
        <f t="shared" si="15"/>
        <v>Oct</v>
      </c>
      <c r="R352">
        <f t="shared" si="16"/>
        <v>2014</v>
      </c>
      <c r="S352" t="str">
        <f>VLOOKUP($W352,TBL_Categories,2,FALSE)</f>
        <v>Irregular</v>
      </c>
      <c r="T352">
        <f>VLOOKUP($W352,TBL_Categories,3,FALSE)</f>
        <v>0</v>
      </c>
      <c r="U352" t="str">
        <f>VLOOKUP($W352,TBL_Categories,4,FALSE)</f>
        <v>No</v>
      </c>
      <c r="V352" t="str">
        <f>VLOOKUP($W352,TBL_Categories,5,FALSE)</f>
        <v>None</v>
      </c>
      <c r="W352" t="str">
        <f t="shared" si="17"/>
        <v>Work Expense|Reimbursable expense</v>
      </c>
    </row>
    <row r="353" spans="1:23" x14ac:dyDescent="0.25">
      <c r="A353" t="s">
        <v>283</v>
      </c>
      <c r="B353" s="5">
        <v>41935</v>
      </c>
      <c r="C353" s="4">
        <v>31000</v>
      </c>
      <c r="D353" t="s">
        <v>304</v>
      </c>
      <c r="E353" t="s">
        <v>768</v>
      </c>
      <c r="F353" t="s">
        <v>769</v>
      </c>
      <c r="G353" t="s">
        <v>9</v>
      </c>
      <c r="K353" t="s">
        <v>9</v>
      </c>
      <c r="Q353" t="str">
        <f t="shared" si="15"/>
        <v>Oct</v>
      </c>
      <c r="R353">
        <f t="shared" si="16"/>
        <v>2014</v>
      </c>
      <c r="S353" t="str">
        <f>VLOOKUP($W353,TBL_Categories,2,FALSE)</f>
        <v>Account</v>
      </c>
      <c r="T353">
        <f>VLOOKUP($W353,TBL_Categories,3,FALSE)</f>
        <v>0</v>
      </c>
      <c r="U353" t="str">
        <f>VLOOKUP($W353,TBL_Categories,4,FALSE)</f>
        <v>No</v>
      </c>
      <c r="V353" t="str">
        <f>VLOOKUP($W353,TBL_Categories,5,FALSE)</f>
        <v>None</v>
      </c>
      <c r="W353" t="str">
        <f t="shared" si="17"/>
        <v>[First Tech - Checking (5544)]</v>
      </c>
    </row>
    <row r="354" spans="1:23" x14ac:dyDescent="0.25">
      <c r="A354" t="s">
        <v>284</v>
      </c>
      <c r="B354" s="5">
        <v>41935</v>
      </c>
      <c r="C354">
        <v>-183.85</v>
      </c>
      <c r="D354" t="s">
        <v>304</v>
      </c>
      <c r="E354" t="s">
        <v>352</v>
      </c>
      <c r="F354" t="s">
        <v>353</v>
      </c>
      <c r="G354" t="s">
        <v>354</v>
      </c>
      <c r="K354" t="s">
        <v>52</v>
      </c>
      <c r="L354" t="s">
        <v>1544</v>
      </c>
      <c r="Q354" t="str">
        <f t="shared" si="15"/>
        <v>Oct</v>
      </c>
      <c r="R354">
        <f t="shared" si="16"/>
        <v>2014</v>
      </c>
      <c r="S354" t="str">
        <f>VLOOKUP($W354,TBL_Categories,2,FALSE)</f>
        <v>Monthly</v>
      </c>
      <c r="T354">
        <f>VLOOKUP($W354,TBL_Categories,3,FALSE)</f>
        <v>0</v>
      </c>
      <c r="U354" t="str">
        <f>VLOOKUP($W354,TBL_Categories,4,FALSE)</f>
        <v>No</v>
      </c>
      <c r="V354" t="str">
        <f>VLOOKUP($W354,TBL_Categories,5,FALSE)</f>
        <v>None</v>
      </c>
      <c r="W354" t="str">
        <f t="shared" si="17"/>
        <v>Auto &amp; Transport|Auto Lease Payment</v>
      </c>
    </row>
    <row r="355" spans="1:23" x14ac:dyDescent="0.25">
      <c r="A355" t="s">
        <v>284</v>
      </c>
      <c r="B355" s="5">
        <v>41935</v>
      </c>
      <c r="C355" s="4">
        <v>-31000</v>
      </c>
      <c r="D355" t="s">
        <v>304</v>
      </c>
      <c r="E355" t="s">
        <v>768</v>
      </c>
      <c r="F355" t="s">
        <v>836</v>
      </c>
      <c r="G355" t="s">
        <v>10</v>
      </c>
      <c r="K355" t="s">
        <v>10</v>
      </c>
      <c r="Q355" t="str">
        <f t="shared" si="15"/>
        <v>Oct</v>
      </c>
      <c r="R355">
        <f t="shared" si="16"/>
        <v>2014</v>
      </c>
      <c r="S355" t="str">
        <f>VLOOKUP($W355,TBL_Categories,2,FALSE)</f>
        <v>Account</v>
      </c>
      <c r="T355">
        <f>VLOOKUP($W355,TBL_Categories,3,FALSE)</f>
        <v>0</v>
      </c>
      <c r="U355" t="str">
        <f>VLOOKUP($W355,TBL_Categories,4,FALSE)</f>
        <v>No</v>
      </c>
      <c r="V355" t="str">
        <f>VLOOKUP($W355,TBL_Categories,5,FALSE)</f>
        <v>None</v>
      </c>
      <c r="W355" t="str">
        <f t="shared" si="17"/>
        <v>[Capital One - Vacation (4959)]</v>
      </c>
    </row>
    <row r="356" spans="1:23" x14ac:dyDescent="0.25">
      <c r="A356" t="s">
        <v>293</v>
      </c>
      <c r="B356" s="5">
        <v>41935</v>
      </c>
      <c r="C356">
        <v>-5</v>
      </c>
      <c r="D356" t="s">
        <v>304</v>
      </c>
      <c r="E356" t="s">
        <v>1012</v>
      </c>
      <c r="G356" t="s">
        <v>409</v>
      </c>
      <c r="K356" t="s">
        <v>52</v>
      </c>
      <c r="L356" t="s">
        <v>1568</v>
      </c>
      <c r="Q356" t="str">
        <f t="shared" si="15"/>
        <v>Oct</v>
      </c>
      <c r="R356">
        <f t="shared" si="16"/>
        <v>2014</v>
      </c>
      <c r="S356" t="str">
        <f>VLOOKUP($W356,TBL_Categories,2,FALSE)</f>
        <v>Monthly</v>
      </c>
      <c r="T356">
        <f>VLOOKUP($W356,TBL_Categories,3,FALSE)</f>
        <v>0</v>
      </c>
      <c r="U356" t="str">
        <f>VLOOKUP($W356,TBL_Categories,4,FALSE)</f>
        <v>No</v>
      </c>
      <c r="V356" t="str">
        <f>VLOOKUP($W356,TBL_Categories,5,FALSE)</f>
        <v>None</v>
      </c>
      <c r="W356" t="str">
        <f t="shared" si="17"/>
        <v>Auto &amp; Transport|Gas &amp; Fuel</v>
      </c>
    </row>
    <row r="357" spans="1:23" x14ac:dyDescent="0.25">
      <c r="A357" t="s">
        <v>296</v>
      </c>
      <c r="B357" s="5">
        <v>41935</v>
      </c>
      <c r="C357">
        <v>-3</v>
      </c>
      <c r="D357" t="s">
        <v>304</v>
      </c>
      <c r="E357" t="s">
        <v>1361</v>
      </c>
      <c r="F357" t="s">
        <v>846</v>
      </c>
      <c r="G357" t="s">
        <v>940</v>
      </c>
      <c r="K357" t="s">
        <v>29</v>
      </c>
      <c r="L357" t="s">
        <v>1573</v>
      </c>
      <c r="O357" t="s">
        <v>1602</v>
      </c>
      <c r="Q357" t="str">
        <f t="shared" si="15"/>
        <v>Oct</v>
      </c>
      <c r="R357">
        <f t="shared" si="16"/>
        <v>2014</v>
      </c>
      <c r="S357" t="str">
        <f>VLOOKUP($W357,TBL_Categories,2,FALSE)</f>
        <v>Irregular</v>
      </c>
      <c r="T357">
        <f>VLOOKUP($W357,TBL_Categories,3,FALSE)</f>
        <v>0</v>
      </c>
      <c r="U357" t="str">
        <f>VLOOKUP($W357,TBL_Categories,4,FALSE)</f>
        <v>No</v>
      </c>
      <c r="V357" t="str">
        <f>VLOOKUP($W357,TBL_Categories,5,FALSE)</f>
        <v>None</v>
      </c>
      <c r="W357" t="str">
        <f t="shared" si="17"/>
        <v>Work Expense|Reimbursable expense</v>
      </c>
    </row>
    <row r="358" spans="1:23" x14ac:dyDescent="0.25">
      <c r="A358" t="s">
        <v>296</v>
      </c>
      <c r="B358" s="5">
        <v>41935</v>
      </c>
      <c r="C358">
        <v>-11.03</v>
      </c>
      <c r="D358" t="s">
        <v>304</v>
      </c>
      <c r="E358" t="s">
        <v>1362</v>
      </c>
      <c r="F358" t="s">
        <v>846</v>
      </c>
      <c r="G358" t="s">
        <v>940</v>
      </c>
      <c r="K358" t="s">
        <v>29</v>
      </c>
      <c r="L358" t="s">
        <v>1573</v>
      </c>
      <c r="O358" t="s">
        <v>1602</v>
      </c>
      <c r="Q358" t="str">
        <f t="shared" si="15"/>
        <v>Oct</v>
      </c>
      <c r="R358">
        <f t="shared" si="16"/>
        <v>2014</v>
      </c>
      <c r="S358" t="str">
        <f>VLOOKUP($W358,TBL_Categories,2,FALSE)</f>
        <v>Irregular</v>
      </c>
      <c r="T358">
        <f>VLOOKUP($W358,TBL_Categories,3,FALSE)</f>
        <v>0</v>
      </c>
      <c r="U358" t="str">
        <f>VLOOKUP($W358,TBL_Categories,4,FALSE)</f>
        <v>No</v>
      </c>
      <c r="V358" t="str">
        <f>VLOOKUP($W358,TBL_Categories,5,FALSE)</f>
        <v>None</v>
      </c>
      <c r="W358" t="str">
        <f t="shared" si="17"/>
        <v>Work Expense|Reimbursable expense</v>
      </c>
    </row>
    <row r="359" spans="1:23" x14ac:dyDescent="0.25">
      <c r="A359" t="s">
        <v>296</v>
      </c>
      <c r="B359" s="5">
        <v>41935</v>
      </c>
      <c r="C359">
        <v>-19.11</v>
      </c>
      <c r="D359" t="s">
        <v>304</v>
      </c>
      <c r="E359" t="s">
        <v>1363</v>
      </c>
      <c r="F359" t="s">
        <v>846</v>
      </c>
      <c r="G359" t="s">
        <v>938</v>
      </c>
      <c r="J359" t="s">
        <v>1550</v>
      </c>
      <c r="K359" t="s">
        <v>29</v>
      </c>
      <c r="L359" t="s">
        <v>1573</v>
      </c>
      <c r="O359" t="s">
        <v>1602</v>
      </c>
      <c r="Q359" t="str">
        <f t="shared" si="15"/>
        <v>Oct</v>
      </c>
      <c r="R359">
        <f t="shared" si="16"/>
        <v>2014</v>
      </c>
      <c r="S359" t="str">
        <f>VLOOKUP($W359,TBL_Categories,2,FALSE)</f>
        <v>Irregular</v>
      </c>
      <c r="T359">
        <f>VLOOKUP($W359,TBL_Categories,3,FALSE)</f>
        <v>0</v>
      </c>
      <c r="U359" t="str">
        <f>VLOOKUP($W359,TBL_Categories,4,FALSE)</f>
        <v>No</v>
      </c>
      <c r="V359" t="str">
        <f>VLOOKUP($W359,TBL_Categories,5,FALSE)</f>
        <v>None</v>
      </c>
      <c r="W359" t="str">
        <f t="shared" si="17"/>
        <v>Work Expense|Reimbursable expense</v>
      </c>
    </row>
    <row r="360" spans="1:23" x14ac:dyDescent="0.25">
      <c r="A360" t="s">
        <v>296</v>
      </c>
      <c r="B360" s="5">
        <v>41935</v>
      </c>
      <c r="C360">
        <v>-30.89</v>
      </c>
      <c r="D360" t="s">
        <v>304</v>
      </c>
      <c r="E360" t="s">
        <v>1351</v>
      </c>
      <c r="F360" t="s">
        <v>846</v>
      </c>
      <c r="G360" t="s">
        <v>940</v>
      </c>
      <c r="K360" t="s">
        <v>29</v>
      </c>
      <c r="L360" t="s">
        <v>1573</v>
      </c>
      <c r="O360" t="s">
        <v>1602</v>
      </c>
      <c r="Q360" t="str">
        <f t="shared" si="15"/>
        <v>Oct</v>
      </c>
      <c r="R360">
        <f t="shared" si="16"/>
        <v>2014</v>
      </c>
      <c r="S360" t="str">
        <f>VLOOKUP($W360,TBL_Categories,2,FALSE)</f>
        <v>Irregular</v>
      </c>
      <c r="T360">
        <f>VLOOKUP($W360,TBL_Categories,3,FALSE)</f>
        <v>0</v>
      </c>
      <c r="U360" t="str">
        <f>VLOOKUP($W360,TBL_Categories,4,FALSE)</f>
        <v>No</v>
      </c>
      <c r="V360" t="str">
        <f>VLOOKUP($W360,TBL_Categories,5,FALSE)</f>
        <v>None</v>
      </c>
      <c r="W360" t="str">
        <f t="shared" si="17"/>
        <v>Work Expense|Reimbursable expense</v>
      </c>
    </row>
    <row r="361" spans="1:23" x14ac:dyDescent="0.25">
      <c r="A361" t="s">
        <v>284</v>
      </c>
      <c r="B361" s="5">
        <v>41934</v>
      </c>
      <c r="C361" s="4">
        <v>31007.51</v>
      </c>
      <c r="D361" t="s">
        <v>304</v>
      </c>
      <c r="E361" t="s">
        <v>768</v>
      </c>
      <c r="F361" t="s">
        <v>836</v>
      </c>
      <c r="G361" t="s">
        <v>30</v>
      </c>
      <c r="K361" t="s">
        <v>30</v>
      </c>
      <c r="Q361" t="str">
        <f t="shared" si="15"/>
        <v>Oct</v>
      </c>
      <c r="R361">
        <f t="shared" si="16"/>
        <v>2014</v>
      </c>
      <c r="S361" t="str">
        <f>VLOOKUP($W361,TBL_Categories,2,FALSE)</f>
        <v>Account</v>
      </c>
      <c r="T361">
        <f>VLOOKUP($W361,TBL_Categories,3,FALSE)</f>
        <v>0</v>
      </c>
      <c r="U361" t="str">
        <f>VLOOKUP($W361,TBL_Categories,4,FALSE)</f>
        <v>No</v>
      </c>
      <c r="V361" t="str">
        <f>VLOOKUP($W361,TBL_Categories,5,FALSE)</f>
        <v>None</v>
      </c>
      <c r="W361" t="str">
        <f t="shared" si="17"/>
        <v>[First Tech - Short Term Emergency (5400)]</v>
      </c>
    </row>
    <row r="362" spans="1:23" x14ac:dyDescent="0.25">
      <c r="A362" t="s">
        <v>284</v>
      </c>
      <c r="B362" s="5">
        <v>41934</v>
      </c>
      <c r="C362" s="4">
        <v>-31000</v>
      </c>
      <c r="D362" t="s">
        <v>304</v>
      </c>
      <c r="E362" t="s">
        <v>768</v>
      </c>
      <c r="F362" t="s">
        <v>836</v>
      </c>
      <c r="G362" t="s">
        <v>30</v>
      </c>
      <c r="K362" t="s">
        <v>30</v>
      </c>
      <c r="Q362" t="str">
        <f t="shared" si="15"/>
        <v>Oct</v>
      </c>
      <c r="R362">
        <f t="shared" si="16"/>
        <v>2014</v>
      </c>
      <c r="S362" t="str">
        <f>VLOOKUP($W362,TBL_Categories,2,FALSE)</f>
        <v>Account</v>
      </c>
      <c r="T362">
        <f>VLOOKUP($W362,TBL_Categories,3,FALSE)</f>
        <v>0</v>
      </c>
      <c r="U362" t="str">
        <f>VLOOKUP($W362,TBL_Categories,4,FALSE)</f>
        <v>No</v>
      </c>
      <c r="V362" t="str">
        <f>VLOOKUP($W362,TBL_Categories,5,FALSE)</f>
        <v>None</v>
      </c>
      <c r="W362" t="str">
        <f t="shared" si="17"/>
        <v>[First Tech - Short Term Emergency (5400)]</v>
      </c>
    </row>
    <row r="363" spans="1:23" x14ac:dyDescent="0.25">
      <c r="A363" t="s">
        <v>287</v>
      </c>
      <c r="B363" s="5">
        <v>41934</v>
      </c>
      <c r="C363" s="4">
        <v>31000</v>
      </c>
      <c r="D363" t="s">
        <v>304</v>
      </c>
      <c r="E363" t="s">
        <v>768</v>
      </c>
      <c r="F363" t="s">
        <v>836</v>
      </c>
      <c r="G363" t="s">
        <v>9</v>
      </c>
      <c r="K363" t="s">
        <v>9</v>
      </c>
      <c r="Q363" t="str">
        <f t="shared" si="15"/>
        <v>Oct</v>
      </c>
      <c r="R363">
        <f t="shared" si="16"/>
        <v>2014</v>
      </c>
      <c r="S363" t="str">
        <f>VLOOKUP($W363,TBL_Categories,2,FALSE)</f>
        <v>Account</v>
      </c>
      <c r="T363">
        <f>VLOOKUP($W363,TBL_Categories,3,FALSE)</f>
        <v>0</v>
      </c>
      <c r="U363" t="str">
        <f>VLOOKUP($W363,TBL_Categories,4,FALSE)</f>
        <v>No</v>
      </c>
      <c r="V363" t="str">
        <f>VLOOKUP($W363,TBL_Categories,5,FALSE)</f>
        <v>None</v>
      </c>
      <c r="W363" t="str">
        <f t="shared" si="17"/>
        <v>[First Tech - Checking (5544)]</v>
      </c>
    </row>
    <row r="364" spans="1:23" x14ac:dyDescent="0.25">
      <c r="A364" t="s">
        <v>287</v>
      </c>
      <c r="B364" s="5">
        <v>41934</v>
      </c>
      <c r="C364" s="4">
        <v>-31007.51</v>
      </c>
      <c r="D364" t="s">
        <v>304</v>
      </c>
      <c r="E364" t="s">
        <v>768</v>
      </c>
      <c r="F364" t="s">
        <v>870</v>
      </c>
      <c r="G364" t="s">
        <v>9</v>
      </c>
      <c r="K364" t="s">
        <v>9</v>
      </c>
      <c r="Q364" t="str">
        <f t="shared" si="15"/>
        <v>Oct</v>
      </c>
      <c r="R364">
        <f t="shared" si="16"/>
        <v>2014</v>
      </c>
      <c r="S364" t="str">
        <f>VLOOKUP($W364,TBL_Categories,2,FALSE)</f>
        <v>Account</v>
      </c>
      <c r="T364">
        <f>VLOOKUP($W364,TBL_Categories,3,FALSE)</f>
        <v>0</v>
      </c>
      <c r="U364" t="str">
        <f>VLOOKUP($W364,TBL_Categories,4,FALSE)</f>
        <v>No</v>
      </c>
      <c r="V364" t="str">
        <f>VLOOKUP($W364,TBL_Categories,5,FALSE)</f>
        <v>None</v>
      </c>
      <c r="W364" t="str">
        <f t="shared" si="17"/>
        <v>[First Tech - Checking (5544)]</v>
      </c>
    </row>
    <row r="365" spans="1:23" x14ac:dyDescent="0.25">
      <c r="A365" t="s">
        <v>296</v>
      </c>
      <c r="B365" s="5">
        <v>41934</v>
      </c>
      <c r="C365">
        <v>-2.19</v>
      </c>
      <c r="D365" t="s">
        <v>304</v>
      </c>
      <c r="E365" t="s">
        <v>426</v>
      </c>
      <c r="G365" t="s">
        <v>887</v>
      </c>
      <c r="J365" t="s">
        <v>1550</v>
      </c>
      <c r="K365" t="s">
        <v>61</v>
      </c>
      <c r="L365" t="s">
        <v>401</v>
      </c>
      <c r="Q365" t="str">
        <f t="shared" si="15"/>
        <v>Oct</v>
      </c>
      <c r="R365">
        <f t="shared" si="16"/>
        <v>2014</v>
      </c>
      <c r="S365" t="str">
        <f>VLOOKUP($W365,TBL_Categories,2,FALSE)</f>
        <v>Monthly</v>
      </c>
      <c r="T365">
        <f>VLOOKUP($W365,TBL_Categories,3,FALSE)</f>
        <v>0</v>
      </c>
      <c r="U365" t="str">
        <f>VLOOKUP($W365,TBL_Categories,4,FALSE)</f>
        <v>No</v>
      </c>
      <c r="V365" t="str">
        <f>VLOOKUP($W365,TBL_Categories,5,FALSE)</f>
        <v>None</v>
      </c>
      <c r="W365" t="str">
        <f t="shared" si="17"/>
        <v>Food &amp; Dining|Groceries</v>
      </c>
    </row>
    <row r="366" spans="1:23" x14ac:dyDescent="0.25">
      <c r="A366" t="s">
        <v>296</v>
      </c>
      <c r="B366" s="5">
        <v>41934</v>
      </c>
      <c r="C366">
        <v>-4.42</v>
      </c>
      <c r="D366" t="s">
        <v>304</v>
      </c>
      <c r="E366" t="s">
        <v>692</v>
      </c>
      <c r="F366" t="s">
        <v>846</v>
      </c>
      <c r="G366" t="s">
        <v>940</v>
      </c>
      <c r="K366" t="s">
        <v>29</v>
      </c>
      <c r="L366" t="s">
        <v>1573</v>
      </c>
      <c r="O366" t="s">
        <v>1602</v>
      </c>
      <c r="Q366" t="str">
        <f t="shared" si="15"/>
        <v>Oct</v>
      </c>
      <c r="R366">
        <f t="shared" si="16"/>
        <v>2014</v>
      </c>
      <c r="S366" t="str">
        <f>VLOOKUP($W366,TBL_Categories,2,FALSE)</f>
        <v>Irregular</v>
      </c>
      <c r="T366">
        <f>VLOOKUP($W366,TBL_Categories,3,FALSE)</f>
        <v>0</v>
      </c>
      <c r="U366" t="str">
        <f>VLOOKUP($W366,TBL_Categories,4,FALSE)</f>
        <v>No</v>
      </c>
      <c r="V366" t="str">
        <f>VLOOKUP($W366,TBL_Categories,5,FALSE)</f>
        <v>None</v>
      </c>
      <c r="W366" t="str">
        <f t="shared" si="17"/>
        <v>Work Expense|Reimbursable expense</v>
      </c>
    </row>
    <row r="367" spans="1:23" x14ac:dyDescent="0.25">
      <c r="A367" t="s">
        <v>296</v>
      </c>
      <c r="B367" s="5">
        <v>41934</v>
      </c>
      <c r="C367">
        <v>-43.02</v>
      </c>
      <c r="D367" t="s">
        <v>304</v>
      </c>
      <c r="E367" t="s">
        <v>718</v>
      </c>
      <c r="F367" t="s">
        <v>846</v>
      </c>
      <c r="G367" t="s">
        <v>940</v>
      </c>
      <c r="K367" t="s">
        <v>29</v>
      </c>
      <c r="L367" t="s">
        <v>1573</v>
      </c>
      <c r="O367" t="s">
        <v>1602</v>
      </c>
      <c r="Q367" t="str">
        <f t="shared" si="15"/>
        <v>Oct</v>
      </c>
      <c r="R367">
        <f t="shared" si="16"/>
        <v>2014</v>
      </c>
      <c r="S367" t="str">
        <f>VLOOKUP($W367,TBL_Categories,2,FALSE)</f>
        <v>Irregular</v>
      </c>
      <c r="T367">
        <f>VLOOKUP($W367,TBL_Categories,3,FALSE)</f>
        <v>0</v>
      </c>
      <c r="U367" t="str">
        <f>VLOOKUP($W367,TBL_Categories,4,FALSE)</f>
        <v>No</v>
      </c>
      <c r="V367" t="str">
        <f>VLOOKUP($W367,TBL_Categories,5,FALSE)</f>
        <v>None</v>
      </c>
      <c r="W367" t="str">
        <f t="shared" si="17"/>
        <v>Work Expense|Reimbursable expense</v>
      </c>
    </row>
    <row r="368" spans="1:23" x14ac:dyDescent="0.25">
      <c r="A368" t="s">
        <v>281</v>
      </c>
      <c r="B368" s="5">
        <v>41933</v>
      </c>
      <c r="C368">
        <v>14.93</v>
      </c>
      <c r="D368" t="s">
        <v>304</v>
      </c>
      <c r="E368" t="s">
        <v>767</v>
      </c>
      <c r="G368" t="s">
        <v>8</v>
      </c>
      <c r="K368" t="s">
        <v>8</v>
      </c>
      <c r="Q368" t="str">
        <f t="shared" si="15"/>
        <v>Oct</v>
      </c>
      <c r="R368">
        <f t="shared" si="16"/>
        <v>2014</v>
      </c>
      <c r="S368" t="str">
        <f>VLOOKUP($W368,TBL_Categories,2,FALSE)</f>
        <v>Monthly</v>
      </c>
      <c r="T368">
        <f>VLOOKUP($W368,TBL_Categories,3,FALSE)</f>
        <v>0</v>
      </c>
      <c r="U368" t="str">
        <f>VLOOKUP($W368,TBL_Categories,4,FALSE)</f>
        <v>No</v>
      </c>
      <c r="V368" t="str">
        <f>VLOOKUP($W368,TBL_Categories,5,FALSE)</f>
        <v>None</v>
      </c>
      <c r="W368" t="str">
        <f t="shared" si="17"/>
        <v>Interest Income</v>
      </c>
    </row>
    <row r="369" spans="1:23" x14ac:dyDescent="0.25">
      <c r="A369" t="s">
        <v>290</v>
      </c>
      <c r="B369" s="5">
        <v>41933</v>
      </c>
      <c r="C369">
        <v>-20</v>
      </c>
      <c r="D369" t="s">
        <v>304</v>
      </c>
      <c r="E369" t="s">
        <v>889</v>
      </c>
      <c r="F369" t="s">
        <v>909</v>
      </c>
      <c r="G369" t="s">
        <v>773</v>
      </c>
      <c r="J369" t="s">
        <v>1550</v>
      </c>
      <c r="K369" t="s">
        <v>61</v>
      </c>
      <c r="L369" t="s">
        <v>1530</v>
      </c>
      <c r="Q369" t="str">
        <f t="shared" si="15"/>
        <v>Oct</v>
      </c>
      <c r="R369">
        <f t="shared" si="16"/>
        <v>2014</v>
      </c>
      <c r="S369" t="str">
        <f>VLOOKUP($W369,TBL_Categories,2,FALSE)</f>
        <v>Monthly</v>
      </c>
      <c r="T369">
        <f>VLOOKUP($W369,TBL_Categories,3,FALSE)</f>
        <v>0</v>
      </c>
      <c r="U369" t="str">
        <f>VLOOKUP($W369,TBL_Categories,4,FALSE)</f>
        <v>No</v>
      </c>
      <c r="V369" t="str">
        <f>VLOOKUP($W369,TBL_Categories,5,FALSE)</f>
        <v>None</v>
      </c>
      <c r="W369" t="str">
        <f t="shared" si="17"/>
        <v>Food &amp; Dining|Restaurants</v>
      </c>
    </row>
    <row r="370" spans="1:23" x14ac:dyDescent="0.25">
      <c r="A370" t="s">
        <v>293</v>
      </c>
      <c r="B370" s="5">
        <v>41933</v>
      </c>
      <c r="C370">
        <v>-6.3</v>
      </c>
      <c r="D370" t="s">
        <v>304</v>
      </c>
      <c r="E370" t="s">
        <v>495</v>
      </c>
      <c r="G370" t="s">
        <v>333</v>
      </c>
      <c r="K370" t="s">
        <v>61</v>
      </c>
      <c r="L370" t="s">
        <v>1530</v>
      </c>
      <c r="Q370" t="str">
        <f t="shared" si="15"/>
        <v>Oct</v>
      </c>
      <c r="R370">
        <f t="shared" si="16"/>
        <v>2014</v>
      </c>
      <c r="S370" t="str">
        <f>VLOOKUP($W370,TBL_Categories,2,FALSE)</f>
        <v>Monthly</v>
      </c>
      <c r="T370">
        <f>VLOOKUP($W370,TBL_Categories,3,FALSE)</f>
        <v>0</v>
      </c>
      <c r="U370" t="str">
        <f>VLOOKUP($W370,TBL_Categories,4,FALSE)</f>
        <v>No</v>
      </c>
      <c r="V370" t="str">
        <f>VLOOKUP($W370,TBL_Categories,5,FALSE)</f>
        <v>None</v>
      </c>
      <c r="W370" t="str">
        <f t="shared" si="17"/>
        <v>Food &amp; Dining|Restaurants</v>
      </c>
    </row>
    <row r="371" spans="1:23" x14ac:dyDescent="0.25">
      <c r="A371" t="s">
        <v>293</v>
      </c>
      <c r="B371" s="5">
        <v>41933</v>
      </c>
      <c r="C371">
        <v>-8.56</v>
      </c>
      <c r="D371" t="s">
        <v>304</v>
      </c>
      <c r="E371" t="s">
        <v>679</v>
      </c>
      <c r="G371" t="s">
        <v>333</v>
      </c>
      <c r="K371" t="s">
        <v>61</v>
      </c>
      <c r="L371" t="s">
        <v>1530</v>
      </c>
      <c r="Q371" t="str">
        <f t="shared" si="15"/>
        <v>Oct</v>
      </c>
      <c r="R371">
        <f t="shared" si="16"/>
        <v>2014</v>
      </c>
      <c r="S371" t="str">
        <f>VLOOKUP($W371,TBL_Categories,2,FALSE)</f>
        <v>Monthly</v>
      </c>
      <c r="T371">
        <f>VLOOKUP($W371,TBL_Categories,3,FALSE)</f>
        <v>0</v>
      </c>
      <c r="U371" t="str">
        <f>VLOOKUP($W371,TBL_Categories,4,FALSE)</f>
        <v>No</v>
      </c>
      <c r="V371" t="str">
        <f>VLOOKUP($W371,TBL_Categories,5,FALSE)</f>
        <v>None</v>
      </c>
      <c r="W371" t="str">
        <f t="shared" si="17"/>
        <v>Food &amp; Dining|Restaurants</v>
      </c>
    </row>
    <row r="372" spans="1:23" x14ac:dyDescent="0.25">
      <c r="A372" t="s">
        <v>296</v>
      </c>
      <c r="B372" s="5">
        <v>41933</v>
      </c>
      <c r="C372">
        <v>-6</v>
      </c>
      <c r="D372" t="s">
        <v>304</v>
      </c>
      <c r="E372" t="s">
        <v>600</v>
      </c>
      <c r="F372" t="s">
        <v>846</v>
      </c>
      <c r="G372" t="s">
        <v>940</v>
      </c>
      <c r="K372" t="s">
        <v>29</v>
      </c>
      <c r="L372" t="s">
        <v>1573</v>
      </c>
      <c r="O372" t="s">
        <v>1602</v>
      </c>
      <c r="Q372" t="str">
        <f t="shared" si="15"/>
        <v>Oct</v>
      </c>
      <c r="R372">
        <f t="shared" si="16"/>
        <v>2014</v>
      </c>
      <c r="S372" t="str">
        <f>VLOOKUP($W372,TBL_Categories,2,FALSE)</f>
        <v>Irregular</v>
      </c>
      <c r="T372">
        <f>VLOOKUP($W372,TBL_Categories,3,FALSE)</f>
        <v>0</v>
      </c>
      <c r="U372" t="str">
        <f>VLOOKUP($W372,TBL_Categories,4,FALSE)</f>
        <v>No</v>
      </c>
      <c r="V372" t="str">
        <f>VLOOKUP($W372,TBL_Categories,5,FALSE)</f>
        <v>None</v>
      </c>
      <c r="W372" t="str">
        <f t="shared" si="17"/>
        <v>Work Expense|Reimbursable expense</v>
      </c>
    </row>
    <row r="373" spans="1:23" x14ac:dyDescent="0.25">
      <c r="A373" t="s">
        <v>296</v>
      </c>
      <c r="B373" s="5">
        <v>41933</v>
      </c>
      <c r="C373">
        <v>-30.44</v>
      </c>
      <c r="D373" t="s">
        <v>304</v>
      </c>
      <c r="E373" t="s">
        <v>426</v>
      </c>
      <c r="G373" t="s">
        <v>1360</v>
      </c>
      <c r="J373" t="s">
        <v>1550</v>
      </c>
      <c r="K373" t="s">
        <v>70</v>
      </c>
      <c r="L373" t="s">
        <v>1569</v>
      </c>
      <c r="Q373" t="str">
        <f t="shared" si="15"/>
        <v>Oct</v>
      </c>
      <c r="R373">
        <f t="shared" si="16"/>
        <v>2014</v>
      </c>
      <c r="S373" t="str">
        <f>VLOOKUP($W373,TBL_Categories,2,FALSE)</f>
        <v>Monthly</v>
      </c>
      <c r="T373">
        <f>VLOOKUP($W373,TBL_Categories,3,FALSE)</f>
        <v>0</v>
      </c>
      <c r="U373" t="str">
        <f>VLOOKUP($W373,TBL_Categories,4,FALSE)</f>
        <v>No</v>
      </c>
      <c r="V373" t="str">
        <f>VLOOKUP($W373,TBL_Categories,5,FALSE)</f>
        <v>None</v>
      </c>
      <c r="W373" t="str">
        <f t="shared" si="17"/>
        <v>Personal Care|Beauty &amp; Makeup</v>
      </c>
    </row>
    <row r="374" spans="1:23" x14ac:dyDescent="0.25">
      <c r="A374" t="s">
        <v>296</v>
      </c>
      <c r="B374" s="5">
        <v>41933</v>
      </c>
      <c r="C374">
        <v>-54.68</v>
      </c>
      <c r="D374" t="s">
        <v>304</v>
      </c>
      <c r="E374" t="s">
        <v>719</v>
      </c>
      <c r="F374" t="s">
        <v>846</v>
      </c>
      <c r="G374" t="s">
        <v>940</v>
      </c>
      <c r="K374" t="s">
        <v>29</v>
      </c>
      <c r="L374" t="s">
        <v>1573</v>
      </c>
      <c r="O374" t="s">
        <v>1602</v>
      </c>
      <c r="Q374" t="str">
        <f t="shared" si="15"/>
        <v>Oct</v>
      </c>
      <c r="R374">
        <f t="shared" si="16"/>
        <v>2014</v>
      </c>
      <c r="S374" t="str">
        <f>VLOOKUP($W374,TBL_Categories,2,FALSE)</f>
        <v>Irregular</v>
      </c>
      <c r="T374">
        <f>VLOOKUP($W374,TBL_Categories,3,FALSE)</f>
        <v>0</v>
      </c>
      <c r="U374" t="str">
        <f>VLOOKUP($W374,TBL_Categories,4,FALSE)</f>
        <v>No</v>
      </c>
      <c r="V374" t="str">
        <f>VLOOKUP($W374,TBL_Categories,5,FALSE)</f>
        <v>None</v>
      </c>
      <c r="W374" t="str">
        <f t="shared" si="17"/>
        <v>Work Expense|Reimbursable expense</v>
      </c>
    </row>
    <row r="375" spans="1:23" x14ac:dyDescent="0.25">
      <c r="A375" t="s">
        <v>296</v>
      </c>
      <c r="B375" s="5">
        <v>41933</v>
      </c>
      <c r="C375">
        <v>-59.54</v>
      </c>
      <c r="D375" t="s">
        <v>304</v>
      </c>
      <c r="E375" t="s">
        <v>663</v>
      </c>
      <c r="F375" t="s">
        <v>690</v>
      </c>
      <c r="G375" t="s">
        <v>1360</v>
      </c>
      <c r="J375" t="s">
        <v>1550</v>
      </c>
      <c r="K375" t="s">
        <v>70</v>
      </c>
      <c r="L375" t="s">
        <v>1569</v>
      </c>
      <c r="Q375" t="str">
        <f t="shared" si="15"/>
        <v>Oct</v>
      </c>
      <c r="R375">
        <f t="shared" si="16"/>
        <v>2014</v>
      </c>
      <c r="S375" t="str">
        <f>VLOOKUP($W375,TBL_Categories,2,FALSE)</f>
        <v>Monthly</v>
      </c>
      <c r="T375">
        <f>VLOOKUP($W375,TBL_Categories,3,FALSE)</f>
        <v>0</v>
      </c>
      <c r="U375" t="str">
        <f>VLOOKUP($W375,TBL_Categories,4,FALSE)</f>
        <v>No</v>
      </c>
      <c r="V375" t="str">
        <f>VLOOKUP($W375,TBL_Categories,5,FALSE)</f>
        <v>None</v>
      </c>
      <c r="W375" t="str">
        <f t="shared" si="17"/>
        <v>Personal Care|Beauty &amp; Makeup</v>
      </c>
    </row>
    <row r="376" spans="1:23" x14ac:dyDescent="0.25">
      <c r="A376" t="s">
        <v>296</v>
      </c>
      <c r="B376" s="5">
        <v>41932</v>
      </c>
      <c r="C376">
        <v>-24.75</v>
      </c>
      <c r="D376" t="s">
        <v>304</v>
      </c>
      <c r="E376" t="s">
        <v>715</v>
      </c>
      <c r="G376" t="s">
        <v>333</v>
      </c>
      <c r="K376" t="s">
        <v>61</v>
      </c>
      <c r="L376" t="s">
        <v>1530</v>
      </c>
      <c r="Q376" t="str">
        <f t="shared" si="15"/>
        <v>Oct</v>
      </c>
      <c r="R376">
        <f t="shared" si="16"/>
        <v>2014</v>
      </c>
      <c r="S376" t="str">
        <f>VLOOKUP($W376,TBL_Categories,2,FALSE)</f>
        <v>Monthly</v>
      </c>
      <c r="T376">
        <f>VLOOKUP($W376,TBL_Categories,3,FALSE)</f>
        <v>0</v>
      </c>
      <c r="U376" t="str">
        <f>VLOOKUP($W376,TBL_Categories,4,FALSE)</f>
        <v>No</v>
      </c>
      <c r="V376" t="str">
        <f>VLOOKUP($W376,TBL_Categories,5,FALSE)</f>
        <v>None</v>
      </c>
      <c r="W376" t="str">
        <f t="shared" si="17"/>
        <v>Food &amp; Dining|Restaurants</v>
      </c>
    </row>
    <row r="377" spans="1:23" x14ac:dyDescent="0.25">
      <c r="A377" t="s">
        <v>290</v>
      </c>
      <c r="B377" s="5">
        <v>41931</v>
      </c>
      <c r="C377">
        <v>-8.75</v>
      </c>
      <c r="D377" t="s">
        <v>304</v>
      </c>
      <c r="E377" t="s">
        <v>400</v>
      </c>
      <c r="F377" t="s">
        <v>907</v>
      </c>
      <c r="G377" t="s">
        <v>20</v>
      </c>
      <c r="I377" t="s">
        <v>272</v>
      </c>
      <c r="K377" t="s">
        <v>20</v>
      </c>
      <c r="Q377" t="str">
        <f t="shared" si="15"/>
        <v>Oct</v>
      </c>
      <c r="R377">
        <f t="shared" si="16"/>
        <v>2014</v>
      </c>
      <c r="S377" t="str">
        <f>VLOOKUP($W377,TBL_Categories,2,FALSE)</f>
        <v>Monthly</v>
      </c>
      <c r="T377">
        <f>VLOOKUP($W377,TBL_Categories,3,FALSE)</f>
        <v>0</v>
      </c>
      <c r="U377" t="str">
        <f>VLOOKUP($W377,TBL_Categories,4,FALSE)</f>
        <v>No</v>
      </c>
      <c r="V377" t="str">
        <f>VLOOKUP($W377,TBL_Categories,5,FALSE)</f>
        <v>None</v>
      </c>
      <c r="W377" t="str">
        <f t="shared" si="17"/>
        <v>Gifts</v>
      </c>
    </row>
    <row r="378" spans="1:23" x14ac:dyDescent="0.25">
      <c r="A378" t="s">
        <v>290</v>
      </c>
      <c r="B378" s="5">
        <v>41931</v>
      </c>
      <c r="C378">
        <v>-16.399999999999999</v>
      </c>
      <c r="D378" t="s">
        <v>304</v>
      </c>
      <c r="E378" t="s">
        <v>400</v>
      </c>
      <c r="F378" t="s">
        <v>908</v>
      </c>
      <c r="G378" t="s">
        <v>588</v>
      </c>
      <c r="I378" t="s">
        <v>272</v>
      </c>
      <c r="K378" t="s">
        <v>66</v>
      </c>
      <c r="L378" t="s">
        <v>1537</v>
      </c>
      <c r="Q378" t="str">
        <f t="shared" si="15"/>
        <v>Oct</v>
      </c>
      <c r="R378">
        <f t="shared" si="16"/>
        <v>2014</v>
      </c>
      <c r="S378" t="str">
        <f>VLOOKUP($W378,TBL_Categories,2,FALSE)</f>
        <v>Monthly</v>
      </c>
      <c r="T378">
        <f>VLOOKUP($W378,TBL_Categories,3,FALSE)</f>
        <v>0</v>
      </c>
      <c r="U378" t="str">
        <f>VLOOKUP($W378,TBL_Categories,4,FALSE)</f>
        <v>No</v>
      </c>
      <c r="V378" t="str">
        <f>VLOOKUP($W378,TBL_Categories,5,FALSE)</f>
        <v>None</v>
      </c>
      <c r="W378" t="str">
        <f t="shared" si="17"/>
        <v>Kids|Clothing</v>
      </c>
    </row>
    <row r="379" spans="1:23" x14ac:dyDescent="0.25">
      <c r="A379" t="s">
        <v>290</v>
      </c>
      <c r="B379" s="5">
        <v>41931</v>
      </c>
      <c r="C379">
        <v>-51.78</v>
      </c>
      <c r="D379" t="s">
        <v>304</v>
      </c>
      <c r="E379" t="s">
        <v>400</v>
      </c>
      <c r="G379" t="s">
        <v>342</v>
      </c>
      <c r="I379" t="s">
        <v>272</v>
      </c>
      <c r="K379" t="s">
        <v>61</v>
      </c>
      <c r="L379" t="s">
        <v>401</v>
      </c>
      <c r="Q379" t="str">
        <f t="shared" si="15"/>
        <v>Oct</v>
      </c>
      <c r="R379">
        <f t="shared" si="16"/>
        <v>2014</v>
      </c>
      <c r="S379" t="str">
        <f>VLOOKUP($W379,TBL_Categories,2,FALSE)</f>
        <v>Monthly</v>
      </c>
      <c r="T379">
        <f>VLOOKUP($W379,TBL_Categories,3,FALSE)</f>
        <v>0</v>
      </c>
      <c r="U379" t="str">
        <f>VLOOKUP($W379,TBL_Categories,4,FALSE)</f>
        <v>No</v>
      </c>
      <c r="V379" t="str">
        <f>VLOOKUP($W379,TBL_Categories,5,FALSE)</f>
        <v>None</v>
      </c>
      <c r="W379" t="str">
        <f t="shared" si="17"/>
        <v>Food &amp; Dining|Groceries</v>
      </c>
    </row>
    <row r="380" spans="1:23" x14ac:dyDescent="0.25">
      <c r="A380" t="s">
        <v>633</v>
      </c>
      <c r="B380" s="5">
        <v>41931</v>
      </c>
      <c r="C380">
        <v>216.36</v>
      </c>
      <c r="D380" t="s">
        <v>304</v>
      </c>
      <c r="E380" t="s">
        <v>658</v>
      </c>
      <c r="G380" t="s">
        <v>14</v>
      </c>
      <c r="K380" t="s">
        <v>14</v>
      </c>
      <c r="Q380" t="str">
        <f t="shared" si="15"/>
        <v>Oct</v>
      </c>
      <c r="R380">
        <f t="shared" si="16"/>
        <v>2014</v>
      </c>
      <c r="S380" t="str">
        <f>VLOOKUP($W380,TBL_Categories,2,FALSE)</f>
        <v>Monthly</v>
      </c>
      <c r="T380">
        <f>VLOOKUP($W380,TBL_Categories,3,FALSE)</f>
        <v>0</v>
      </c>
      <c r="U380" t="str">
        <f>VLOOKUP($W380,TBL_Categories,4,FALSE)</f>
        <v>No</v>
      </c>
      <c r="V380" t="str">
        <f>VLOOKUP($W380,TBL_Categories,5,FALSE)</f>
        <v>None</v>
      </c>
      <c r="W380" t="str">
        <f t="shared" si="17"/>
        <v>Other Inc</v>
      </c>
    </row>
    <row r="381" spans="1:23" x14ac:dyDescent="0.25">
      <c r="A381" t="s">
        <v>296</v>
      </c>
      <c r="B381" s="5">
        <v>41931</v>
      </c>
      <c r="C381">
        <v>-10.37</v>
      </c>
      <c r="D381" t="s">
        <v>304</v>
      </c>
      <c r="E381" t="s">
        <v>679</v>
      </c>
      <c r="G381" t="s">
        <v>773</v>
      </c>
      <c r="J381" t="s">
        <v>1550</v>
      </c>
      <c r="K381" t="s">
        <v>61</v>
      </c>
      <c r="L381" t="s">
        <v>1530</v>
      </c>
      <c r="Q381" t="str">
        <f t="shared" si="15"/>
        <v>Oct</v>
      </c>
      <c r="R381">
        <f t="shared" si="16"/>
        <v>2014</v>
      </c>
      <c r="S381" t="str">
        <f>VLOOKUP($W381,TBL_Categories,2,FALSE)</f>
        <v>Monthly</v>
      </c>
      <c r="T381">
        <f>VLOOKUP($W381,TBL_Categories,3,FALSE)</f>
        <v>0</v>
      </c>
      <c r="U381" t="str">
        <f>VLOOKUP($W381,TBL_Categories,4,FALSE)</f>
        <v>No</v>
      </c>
      <c r="V381" t="str">
        <f>VLOOKUP($W381,TBL_Categories,5,FALSE)</f>
        <v>None</v>
      </c>
      <c r="W381" t="str">
        <f t="shared" si="17"/>
        <v>Food &amp; Dining|Restaurants</v>
      </c>
    </row>
    <row r="382" spans="1:23" x14ac:dyDescent="0.25">
      <c r="A382" t="s">
        <v>296</v>
      </c>
      <c r="B382" s="5">
        <v>41931</v>
      </c>
      <c r="C382">
        <v>-10.5</v>
      </c>
      <c r="D382" t="s">
        <v>304</v>
      </c>
      <c r="E382" t="s">
        <v>1359</v>
      </c>
      <c r="G382" t="s">
        <v>333</v>
      </c>
      <c r="K382" t="s">
        <v>61</v>
      </c>
      <c r="L382" t="s">
        <v>1530</v>
      </c>
      <c r="Q382" t="str">
        <f t="shared" si="15"/>
        <v>Oct</v>
      </c>
      <c r="R382">
        <f t="shared" si="16"/>
        <v>2014</v>
      </c>
      <c r="S382" t="str">
        <f>VLOOKUP($W382,TBL_Categories,2,FALSE)</f>
        <v>Monthly</v>
      </c>
      <c r="T382">
        <f>VLOOKUP($W382,TBL_Categories,3,FALSE)</f>
        <v>0</v>
      </c>
      <c r="U382" t="str">
        <f>VLOOKUP($W382,TBL_Categories,4,FALSE)</f>
        <v>No</v>
      </c>
      <c r="V382" t="str">
        <f>VLOOKUP($W382,TBL_Categories,5,FALSE)</f>
        <v>None</v>
      </c>
      <c r="W382" t="str">
        <f t="shared" si="17"/>
        <v>Food &amp; Dining|Restaurants</v>
      </c>
    </row>
    <row r="383" spans="1:23" x14ac:dyDescent="0.25">
      <c r="A383" t="s">
        <v>296</v>
      </c>
      <c r="B383" s="5">
        <v>41931</v>
      </c>
      <c r="C383">
        <v>-15</v>
      </c>
      <c r="D383" t="s">
        <v>304</v>
      </c>
      <c r="E383" t="s">
        <v>1359</v>
      </c>
      <c r="G383" t="s">
        <v>333</v>
      </c>
      <c r="K383" t="s">
        <v>61</v>
      </c>
      <c r="L383" t="s">
        <v>1530</v>
      </c>
      <c r="Q383" t="str">
        <f t="shared" si="15"/>
        <v>Oct</v>
      </c>
      <c r="R383">
        <f t="shared" si="16"/>
        <v>2014</v>
      </c>
      <c r="S383" t="str">
        <f>VLOOKUP($W383,TBL_Categories,2,FALSE)</f>
        <v>Monthly</v>
      </c>
      <c r="T383">
        <f>VLOOKUP($W383,TBL_Categories,3,FALSE)</f>
        <v>0</v>
      </c>
      <c r="U383" t="str">
        <f>VLOOKUP($W383,TBL_Categories,4,FALSE)</f>
        <v>No</v>
      </c>
      <c r="V383" t="str">
        <f>VLOOKUP($W383,TBL_Categories,5,FALSE)</f>
        <v>None</v>
      </c>
      <c r="W383" t="str">
        <f t="shared" si="17"/>
        <v>Food &amp; Dining|Restaurants</v>
      </c>
    </row>
    <row r="384" spans="1:23" x14ac:dyDescent="0.25">
      <c r="A384" t="s">
        <v>290</v>
      </c>
      <c r="B384" s="5">
        <v>41930</v>
      </c>
      <c r="C384">
        <v>-98.99</v>
      </c>
      <c r="D384" t="s">
        <v>304</v>
      </c>
      <c r="E384" t="s">
        <v>400</v>
      </c>
      <c r="F384" t="s">
        <v>905</v>
      </c>
      <c r="G384" t="s">
        <v>906</v>
      </c>
      <c r="J384" t="s">
        <v>1550</v>
      </c>
      <c r="K384" t="s">
        <v>62</v>
      </c>
      <c r="L384" t="s">
        <v>1557</v>
      </c>
      <c r="Q384" t="str">
        <f t="shared" si="15"/>
        <v>Oct</v>
      </c>
      <c r="R384">
        <f t="shared" si="16"/>
        <v>2014</v>
      </c>
      <c r="S384" t="str">
        <f>VLOOKUP($W384,TBL_Categories,2,FALSE)</f>
        <v>Irregular</v>
      </c>
      <c r="T384">
        <f>VLOOKUP($W384,TBL_Categories,3,FALSE)</f>
        <v>0</v>
      </c>
      <c r="U384" t="str">
        <f>VLOOKUP($W384,TBL_Categories,4,FALSE)</f>
        <v>No</v>
      </c>
      <c r="V384" t="str">
        <f>VLOOKUP($W384,TBL_Categories,5,FALSE)</f>
        <v>None</v>
      </c>
      <c r="W384" t="str">
        <f t="shared" si="17"/>
        <v>Health &amp; Fitness|Eyecare</v>
      </c>
    </row>
    <row r="385" spans="1:23" x14ac:dyDescent="0.25">
      <c r="A385" t="s">
        <v>296</v>
      </c>
      <c r="B385" s="5">
        <v>41930</v>
      </c>
      <c r="C385">
        <v>-7.95</v>
      </c>
      <c r="D385" t="s">
        <v>304</v>
      </c>
      <c r="E385" t="s">
        <v>461</v>
      </c>
      <c r="G385" t="s">
        <v>333</v>
      </c>
      <c r="K385" t="s">
        <v>61</v>
      </c>
      <c r="L385" t="s">
        <v>1530</v>
      </c>
      <c r="Q385" t="str">
        <f t="shared" si="15"/>
        <v>Oct</v>
      </c>
      <c r="R385">
        <f t="shared" si="16"/>
        <v>2014</v>
      </c>
      <c r="S385" t="str">
        <f>VLOOKUP($W385,TBL_Categories,2,FALSE)</f>
        <v>Monthly</v>
      </c>
      <c r="T385">
        <f>VLOOKUP($W385,TBL_Categories,3,FALSE)</f>
        <v>0</v>
      </c>
      <c r="U385" t="str">
        <f>VLOOKUP($W385,TBL_Categories,4,FALSE)</f>
        <v>No</v>
      </c>
      <c r="V385" t="str">
        <f>VLOOKUP($W385,TBL_Categories,5,FALSE)</f>
        <v>None</v>
      </c>
      <c r="W385" t="str">
        <f t="shared" si="17"/>
        <v>Food &amp; Dining|Restaurants</v>
      </c>
    </row>
    <row r="386" spans="1:23" x14ac:dyDescent="0.25">
      <c r="A386" t="s">
        <v>296</v>
      </c>
      <c r="B386" s="5">
        <v>41930</v>
      </c>
      <c r="C386">
        <v>-10.039999999999999</v>
      </c>
      <c r="D386" t="s">
        <v>304</v>
      </c>
      <c r="E386" t="s">
        <v>461</v>
      </c>
      <c r="G386" t="s">
        <v>333</v>
      </c>
      <c r="K386" t="s">
        <v>61</v>
      </c>
      <c r="L386" t="s">
        <v>1530</v>
      </c>
      <c r="Q386" t="str">
        <f t="shared" ref="Q386:Q449" si="18">TEXT($B386,"MMM")</f>
        <v>Oct</v>
      </c>
      <c r="R386">
        <f t="shared" ref="R386:R449" si="19">YEAR($B386)</f>
        <v>2014</v>
      </c>
      <c r="S386" t="str">
        <f>VLOOKUP($W386,TBL_Categories,2,FALSE)</f>
        <v>Monthly</v>
      </c>
      <c r="T386">
        <f>VLOOKUP($W386,TBL_Categories,3,FALSE)</f>
        <v>0</v>
      </c>
      <c r="U386" t="str">
        <f>VLOOKUP($W386,TBL_Categories,4,FALSE)</f>
        <v>No</v>
      </c>
      <c r="V386" t="str">
        <f>VLOOKUP($W386,TBL_Categories,5,FALSE)</f>
        <v>None</v>
      </c>
      <c r="W386" t="str">
        <f t="shared" ref="W386:W449" si="20">IF(ISBLANK($L386),$K386,CONCATENATE($K386,"|",$L386))</f>
        <v>Food &amp; Dining|Restaurants</v>
      </c>
    </row>
    <row r="387" spans="1:23" x14ac:dyDescent="0.25">
      <c r="A387" t="s">
        <v>296</v>
      </c>
      <c r="B387" s="5">
        <v>41930</v>
      </c>
      <c r="C387">
        <v>-16.399999999999999</v>
      </c>
      <c r="D387" t="s">
        <v>304</v>
      </c>
      <c r="E387" t="s">
        <v>1356</v>
      </c>
      <c r="F387" t="s">
        <v>1357</v>
      </c>
      <c r="G387" t="s">
        <v>1042</v>
      </c>
      <c r="J387" t="s">
        <v>1550</v>
      </c>
      <c r="K387" t="s">
        <v>66</v>
      </c>
      <c r="L387" t="s">
        <v>1537</v>
      </c>
      <c r="Q387" t="str">
        <f t="shared" si="18"/>
        <v>Oct</v>
      </c>
      <c r="R387">
        <f t="shared" si="19"/>
        <v>2014</v>
      </c>
      <c r="S387" t="str">
        <f>VLOOKUP($W387,TBL_Categories,2,FALSE)</f>
        <v>Monthly</v>
      </c>
      <c r="T387">
        <f>VLOOKUP($W387,TBL_Categories,3,FALSE)</f>
        <v>0</v>
      </c>
      <c r="U387" t="str">
        <f>VLOOKUP($W387,TBL_Categories,4,FALSE)</f>
        <v>No</v>
      </c>
      <c r="V387" t="str">
        <f>VLOOKUP($W387,TBL_Categories,5,FALSE)</f>
        <v>None</v>
      </c>
      <c r="W387" t="str">
        <f t="shared" si="20"/>
        <v>Kids|Clothing</v>
      </c>
    </row>
    <row r="388" spans="1:23" x14ac:dyDescent="0.25">
      <c r="A388" t="s">
        <v>296</v>
      </c>
      <c r="B388" s="5">
        <v>41930</v>
      </c>
      <c r="C388">
        <v>-25.98</v>
      </c>
      <c r="D388" t="s">
        <v>304</v>
      </c>
      <c r="E388" t="s">
        <v>687</v>
      </c>
      <c r="G388" t="s">
        <v>333</v>
      </c>
      <c r="K388" t="s">
        <v>61</v>
      </c>
      <c r="L388" t="s">
        <v>1530</v>
      </c>
      <c r="Q388" t="str">
        <f t="shared" si="18"/>
        <v>Oct</v>
      </c>
      <c r="R388">
        <f t="shared" si="19"/>
        <v>2014</v>
      </c>
      <c r="S388" t="str">
        <f>VLOOKUP($W388,TBL_Categories,2,FALSE)</f>
        <v>Monthly</v>
      </c>
      <c r="T388">
        <f>VLOOKUP($W388,TBL_Categories,3,FALSE)</f>
        <v>0</v>
      </c>
      <c r="U388" t="str">
        <f>VLOOKUP($W388,TBL_Categories,4,FALSE)</f>
        <v>No</v>
      </c>
      <c r="V388" t="str">
        <f>VLOOKUP($W388,TBL_Categories,5,FALSE)</f>
        <v>None</v>
      </c>
      <c r="W388" t="str">
        <f t="shared" si="20"/>
        <v>Food &amp; Dining|Restaurants</v>
      </c>
    </row>
    <row r="389" spans="1:23" x14ac:dyDescent="0.25">
      <c r="A389" t="s">
        <v>296</v>
      </c>
      <c r="B389" s="5">
        <v>41930</v>
      </c>
      <c r="C389">
        <v>-54.33</v>
      </c>
      <c r="D389" t="s">
        <v>304</v>
      </c>
      <c r="E389" t="s">
        <v>434</v>
      </c>
      <c r="G389" t="s">
        <v>887</v>
      </c>
      <c r="J389" t="s">
        <v>1550</v>
      </c>
      <c r="K389" t="s">
        <v>61</v>
      </c>
      <c r="L389" t="s">
        <v>401</v>
      </c>
      <c r="Q389" t="str">
        <f t="shared" si="18"/>
        <v>Oct</v>
      </c>
      <c r="R389">
        <f t="shared" si="19"/>
        <v>2014</v>
      </c>
      <c r="S389" t="str">
        <f>VLOOKUP($W389,TBL_Categories,2,FALSE)</f>
        <v>Monthly</v>
      </c>
      <c r="T389">
        <f>VLOOKUP($W389,TBL_Categories,3,FALSE)</f>
        <v>0</v>
      </c>
      <c r="U389" t="str">
        <f>VLOOKUP($W389,TBL_Categories,4,FALSE)</f>
        <v>No</v>
      </c>
      <c r="V389" t="str">
        <f>VLOOKUP($W389,TBL_Categories,5,FALSE)</f>
        <v>None</v>
      </c>
      <c r="W389" t="str">
        <f t="shared" si="20"/>
        <v>Food &amp; Dining|Groceries</v>
      </c>
    </row>
    <row r="390" spans="1:23" x14ac:dyDescent="0.25">
      <c r="A390" t="s">
        <v>296</v>
      </c>
      <c r="B390" s="5">
        <v>41930</v>
      </c>
      <c r="C390">
        <v>-3.82</v>
      </c>
      <c r="D390" t="s">
        <v>304</v>
      </c>
      <c r="E390" t="s">
        <v>433</v>
      </c>
      <c r="F390" t="s">
        <v>1358</v>
      </c>
      <c r="G390" t="s">
        <v>1020</v>
      </c>
      <c r="I390" t="s">
        <v>272</v>
      </c>
      <c r="J390" t="s">
        <v>1550</v>
      </c>
      <c r="K390" t="s">
        <v>66</v>
      </c>
      <c r="L390" t="s">
        <v>1536</v>
      </c>
      <c r="Q390" t="str">
        <f t="shared" si="18"/>
        <v>Oct</v>
      </c>
      <c r="R390">
        <f t="shared" si="19"/>
        <v>2014</v>
      </c>
      <c r="S390" t="str">
        <f>VLOOKUP($W390,TBL_Categories,2,FALSE)</f>
        <v>Monthly</v>
      </c>
      <c r="T390">
        <f>VLOOKUP($W390,TBL_Categories,3,FALSE)</f>
        <v>0</v>
      </c>
      <c r="U390" t="str">
        <f>VLOOKUP($W390,TBL_Categories,4,FALSE)</f>
        <v>No</v>
      </c>
      <c r="V390" t="str">
        <f>VLOOKUP($W390,TBL_Categories,5,FALSE)</f>
        <v>None</v>
      </c>
      <c r="W390" t="str">
        <f t="shared" si="20"/>
        <v>Kids|Toys</v>
      </c>
    </row>
    <row r="391" spans="1:23" x14ac:dyDescent="0.25">
      <c r="A391" t="s">
        <v>296</v>
      </c>
      <c r="B391" s="5">
        <v>41930</v>
      </c>
      <c r="C391">
        <v>-95.77</v>
      </c>
      <c r="D391" t="s">
        <v>304</v>
      </c>
      <c r="E391" t="s">
        <v>433</v>
      </c>
      <c r="G391" t="s">
        <v>887</v>
      </c>
      <c r="I391" t="s">
        <v>272</v>
      </c>
      <c r="J391" t="s">
        <v>1550</v>
      </c>
      <c r="K391" t="s">
        <v>61</v>
      </c>
      <c r="L391" t="s">
        <v>401</v>
      </c>
      <c r="Q391" t="str">
        <f t="shared" si="18"/>
        <v>Oct</v>
      </c>
      <c r="R391">
        <f t="shared" si="19"/>
        <v>2014</v>
      </c>
      <c r="S391" t="str">
        <f>VLOOKUP($W391,TBL_Categories,2,FALSE)</f>
        <v>Monthly</v>
      </c>
      <c r="T391">
        <f>VLOOKUP($W391,TBL_Categories,3,FALSE)</f>
        <v>0</v>
      </c>
      <c r="U391" t="str">
        <f>VLOOKUP($W391,TBL_Categories,4,FALSE)</f>
        <v>No</v>
      </c>
      <c r="V391" t="str">
        <f>VLOOKUP($W391,TBL_Categories,5,FALSE)</f>
        <v>None</v>
      </c>
      <c r="W391" t="str">
        <f t="shared" si="20"/>
        <v>Food &amp; Dining|Groceries</v>
      </c>
    </row>
    <row r="392" spans="1:23" x14ac:dyDescent="0.25">
      <c r="A392" t="s">
        <v>284</v>
      </c>
      <c r="B392" s="5">
        <v>41929</v>
      </c>
      <c r="C392" s="4">
        <v>5000</v>
      </c>
      <c r="D392" t="s">
        <v>304</v>
      </c>
      <c r="E392" t="s">
        <v>646</v>
      </c>
      <c r="F392" t="s">
        <v>835</v>
      </c>
      <c r="G392" t="s">
        <v>22</v>
      </c>
      <c r="K392" t="s">
        <v>22</v>
      </c>
      <c r="Q392" t="str">
        <f t="shared" si="18"/>
        <v>Oct</v>
      </c>
      <c r="R392">
        <f t="shared" si="19"/>
        <v>2014</v>
      </c>
      <c r="S392" t="str">
        <f>VLOOKUP($W392,TBL_Categories,2,FALSE)</f>
        <v>Account</v>
      </c>
      <c r="T392">
        <f>VLOOKUP($W392,TBL_Categories,3,FALSE)</f>
        <v>0</v>
      </c>
      <c r="U392" t="str">
        <f>VLOOKUP($W392,TBL_Categories,4,FALSE)</f>
        <v>No</v>
      </c>
      <c r="V392" t="str">
        <f>VLOOKUP($W392,TBL_Categories,5,FALSE)</f>
        <v>None</v>
      </c>
      <c r="W392" t="str">
        <f t="shared" si="20"/>
        <v>[Premera Health Care Payment]</v>
      </c>
    </row>
    <row r="393" spans="1:23" x14ac:dyDescent="0.25">
      <c r="A393" t="s">
        <v>284</v>
      </c>
      <c r="B393" s="5">
        <v>41929</v>
      </c>
      <c r="C393">
        <v>-117</v>
      </c>
      <c r="D393" t="s">
        <v>304</v>
      </c>
      <c r="E393" t="s">
        <v>325</v>
      </c>
      <c r="F393" t="s">
        <v>351</v>
      </c>
      <c r="G393" t="s">
        <v>326</v>
      </c>
      <c r="K393" t="s">
        <v>63</v>
      </c>
      <c r="L393" t="s">
        <v>1528</v>
      </c>
      <c r="Q393" t="str">
        <f t="shared" si="18"/>
        <v>Oct</v>
      </c>
      <c r="R393">
        <f t="shared" si="19"/>
        <v>2014</v>
      </c>
      <c r="S393" t="str">
        <f>VLOOKUP($W393,TBL_Categories,2,FALSE)</f>
        <v>Monthly</v>
      </c>
      <c r="T393">
        <f>VLOOKUP($W393,TBL_Categories,3,FALSE)</f>
        <v>0</v>
      </c>
      <c r="U393" t="str">
        <f>VLOOKUP($W393,TBL_Categories,4,FALSE)</f>
        <v>No</v>
      </c>
      <c r="V393" t="str">
        <f>VLOOKUP($W393,TBL_Categories,5,FALSE)</f>
        <v>None</v>
      </c>
      <c r="W393" t="str">
        <f t="shared" si="20"/>
        <v>Home|Home Services</v>
      </c>
    </row>
    <row r="394" spans="1:23" x14ac:dyDescent="0.25">
      <c r="A394" t="s">
        <v>298</v>
      </c>
      <c r="B394" s="5">
        <v>41929</v>
      </c>
      <c r="C394" s="4">
        <v>-5000</v>
      </c>
      <c r="E394" t="s">
        <v>646</v>
      </c>
      <c r="F394" t="s">
        <v>835</v>
      </c>
      <c r="G394" t="s">
        <v>9</v>
      </c>
      <c r="K394" t="s">
        <v>9</v>
      </c>
      <c r="Q394" t="str">
        <f t="shared" si="18"/>
        <v>Oct</v>
      </c>
      <c r="R394">
        <f t="shared" si="19"/>
        <v>2014</v>
      </c>
      <c r="S394" t="str">
        <f>VLOOKUP($W394,TBL_Categories,2,FALSE)</f>
        <v>Account</v>
      </c>
      <c r="T394">
        <f>VLOOKUP($W394,TBL_Categories,3,FALSE)</f>
        <v>0</v>
      </c>
      <c r="U394" t="str">
        <f>VLOOKUP($W394,TBL_Categories,4,FALSE)</f>
        <v>No</v>
      </c>
      <c r="V394" t="str">
        <f>VLOOKUP($W394,TBL_Categories,5,FALSE)</f>
        <v>None</v>
      </c>
      <c r="W394" t="str">
        <f t="shared" si="20"/>
        <v>[First Tech - Checking (5544)]</v>
      </c>
    </row>
    <row r="395" spans="1:23" x14ac:dyDescent="0.25">
      <c r="A395" t="s">
        <v>284</v>
      </c>
      <c r="B395" s="5">
        <v>41928</v>
      </c>
      <c r="C395">
        <v>-13.5</v>
      </c>
      <c r="D395" t="s">
        <v>304</v>
      </c>
      <c r="E395" t="s">
        <v>639</v>
      </c>
      <c r="F395" t="s">
        <v>834</v>
      </c>
      <c r="G395" t="s">
        <v>345</v>
      </c>
      <c r="H395">
        <v>2137</v>
      </c>
      <c r="I395" t="s">
        <v>272</v>
      </c>
      <c r="K395" t="s">
        <v>66</v>
      </c>
      <c r="L395" t="s">
        <v>1536</v>
      </c>
      <c r="Q395" t="str">
        <f t="shared" si="18"/>
        <v>Oct</v>
      </c>
      <c r="R395">
        <f t="shared" si="19"/>
        <v>2014</v>
      </c>
      <c r="S395" t="str">
        <f>VLOOKUP($W395,TBL_Categories,2,FALSE)</f>
        <v>Monthly</v>
      </c>
      <c r="T395">
        <f>VLOOKUP($W395,TBL_Categories,3,FALSE)</f>
        <v>0</v>
      </c>
      <c r="U395" t="str">
        <f>VLOOKUP($W395,TBL_Categories,4,FALSE)</f>
        <v>No</v>
      </c>
      <c r="V395" t="str">
        <f>VLOOKUP($W395,TBL_Categories,5,FALSE)</f>
        <v>None</v>
      </c>
      <c r="W395" t="str">
        <f t="shared" si="20"/>
        <v>Kids|Toys</v>
      </c>
    </row>
    <row r="396" spans="1:23" x14ac:dyDescent="0.25">
      <c r="A396" t="s">
        <v>284</v>
      </c>
      <c r="B396" s="5">
        <v>41928</v>
      </c>
      <c r="C396">
        <v>-13.5</v>
      </c>
      <c r="D396" t="s">
        <v>304</v>
      </c>
      <c r="E396" t="s">
        <v>639</v>
      </c>
      <c r="G396" t="s">
        <v>588</v>
      </c>
      <c r="H396">
        <v>2137</v>
      </c>
      <c r="I396" t="s">
        <v>272</v>
      </c>
      <c r="K396" t="s">
        <v>66</v>
      </c>
      <c r="L396" t="s">
        <v>1537</v>
      </c>
      <c r="Q396" t="str">
        <f t="shared" si="18"/>
        <v>Oct</v>
      </c>
      <c r="R396">
        <f t="shared" si="19"/>
        <v>2014</v>
      </c>
      <c r="S396" t="str">
        <f>VLOOKUP($W396,TBL_Categories,2,FALSE)</f>
        <v>Monthly</v>
      </c>
      <c r="T396">
        <f>VLOOKUP($W396,TBL_Categories,3,FALSE)</f>
        <v>0</v>
      </c>
      <c r="U396" t="str">
        <f>VLOOKUP($W396,TBL_Categories,4,FALSE)</f>
        <v>No</v>
      </c>
      <c r="V396" t="str">
        <f>VLOOKUP($W396,TBL_Categories,5,FALSE)</f>
        <v>None</v>
      </c>
      <c r="W396" t="str">
        <f t="shared" si="20"/>
        <v>Kids|Clothing</v>
      </c>
    </row>
    <row r="397" spans="1:23" x14ac:dyDescent="0.25">
      <c r="A397" t="s">
        <v>296</v>
      </c>
      <c r="B397" s="5">
        <v>41928</v>
      </c>
      <c r="C397">
        <v>-7.11</v>
      </c>
      <c r="D397" t="s">
        <v>304</v>
      </c>
      <c r="E397" t="s">
        <v>958</v>
      </c>
      <c r="G397" t="s">
        <v>333</v>
      </c>
      <c r="K397" t="s">
        <v>61</v>
      </c>
      <c r="L397" t="s">
        <v>1530</v>
      </c>
      <c r="Q397" t="str">
        <f t="shared" si="18"/>
        <v>Oct</v>
      </c>
      <c r="R397">
        <f t="shared" si="19"/>
        <v>2014</v>
      </c>
      <c r="S397" t="str">
        <f>VLOOKUP($W397,TBL_Categories,2,FALSE)</f>
        <v>Monthly</v>
      </c>
      <c r="T397">
        <f>VLOOKUP($W397,TBL_Categories,3,FALSE)</f>
        <v>0</v>
      </c>
      <c r="U397" t="str">
        <f>VLOOKUP($W397,TBL_Categories,4,FALSE)</f>
        <v>No</v>
      </c>
      <c r="V397" t="str">
        <f>VLOOKUP($W397,TBL_Categories,5,FALSE)</f>
        <v>None</v>
      </c>
      <c r="W397" t="str">
        <f t="shared" si="20"/>
        <v>Food &amp; Dining|Restaurants</v>
      </c>
    </row>
    <row r="398" spans="1:23" x14ac:dyDescent="0.25">
      <c r="A398" t="s">
        <v>284</v>
      </c>
      <c r="B398" s="5">
        <v>41927</v>
      </c>
      <c r="C398">
        <v>-47.41</v>
      </c>
      <c r="D398" t="s">
        <v>304</v>
      </c>
      <c r="E398" t="s">
        <v>324</v>
      </c>
      <c r="F398" t="s">
        <v>833</v>
      </c>
      <c r="G398" t="s">
        <v>313</v>
      </c>
      <c r="K398" t="s">
        <v>54</v>
      </c>
      <c r="L398" t="s">
        <v>1521</v>
      </c>
      <c r="Q398" t="str">
        <f t="shared" si="18"/>
        <v>Oct</v>
      </c>
      <c r="R398">
        <f t="shared" si="19"/>
        <v>2014</v>
      </c>
      <c r="S398" t="str">
        <f>VLOOKUP($W398,TBL_Categories,2,FALSE)</f>
        <v>Monthly</v>
      </c>
      <c r="T398">
        <f>VLOOKUP($W398,TBL_Categories,3,FALSE)</f>
        <v>0</v>
      </c>
      <c r="U398" t="str">
        <f>VLOOKUP($W398,TBL_Categories,4,FALSE)</f>
        <v>No</v>
      </c>
      <c r="V398" t="str">
        <f>VLOOKUP($W398,TBL_Categories,5,FALSE)</f>
        <v>None</v>
      </c>
      <c r="W398" t="str">
        <f t="shared" si="20"/>
        <v>Bills &amp; Utilities|Utilities</v>
      </c>
    </row>
    <row r="399" spans="1:23" x14ac:dyDescent="0.25">
      <c r="A399" t="s">
        <v>284</v>
      </c>
      <c r="B399" s="5">
        <v>41927</v>
      </c>
      <c r="C399">
        <v>-58</v>
      </c>
      <c r="D399" t="s">
        <v>304</v>
      </c>
      <c r="E399" t="s">
        <v>639</v>
      </c>
      <c r="F399" t="s">
        <v>834</v>
      </c>
      <c r="G399" t="s">
        <v>345</v>
      </c>
      <c r="H399">
        <v>2136</v>
      </c>
      <c r="I399" t="s">
        <v>272</v>
      </c>
      <c r="K399" t="s">
        <v>66</v>
      </c>
      <c r="L399" t="s">
        <v>1536</v>
      </c>
      <c r="Q399" t="str">
        <f t="shared" si="18"/>
        <v>Oct</v>
      </c>
      <c r="R399">
        <f t="shared" si="19"/>
        <v>2014</v>
      </c>
      <c r="S399" t="str">
        <f>VLOOKUP($W399,TBL_Categories,2,FALSE)</f>
        <v>Monthly</v>
      </c>
      <c r="T399">
        <f>VLOOKUP($W399,TBL_Categories,3,FALSE)</f>
        <v>0</v>
      </c>
      <c r="U399" t="str">
        <f>VLOOKUP($W399,TBL_Categories,4,FALSE)</f>
        <v>No</v>
      </c>
      <c r="V399" t="str">
        <f>VLOOKUP($W399,TBL_Categories,5,FALSE)</f>
        <v>None</v>
      </c>
      <c r="W399" t="str">
        <f t="shared" si="20"/>
        <v>Kids|Toys</v>
      </c>
    </row>
    <row r="400" spans="1:23" x14ac:dyDescent="0.25">
      <c r="A400" t="s">
        <v>284</v>
      </c>
      <c r="B400" s="5">
        <v>41927</v>
      </c>
      <c r="C400">
        <v>-80</v>
      </c>
      <c r="D400" t="s">
        <v>304</v>
      </c>
      <c r="E400" t="s">
        <v>639</v>
      </c>
      <c r="G400" t="s">
        <v>588</v>
      </c>
      <c r="H400">
        <v>2136</v>
      </c>
      <c r="I400" t="s">
        <v>272</v>
      </c>
      <c r="K400" t="s">
        <v>66</v>
      </c>
      <c r="L400" t="s">
        <v>1537</v>
      </c>
      <c r="Q400" t="str">
        <f t="shared" si="18"/>
        <v>Oct</v>
      </c>
      <c r="R400">
        <f t="shared" si="19"/>
        <v>2014</v>
      </c>
      <c r="S400" t="str">
        <f>VLOOKUP($W400,TBL_Categories,2,FALSE)</f>
        <v>Monthly</v>
      </c>
      <c r="T400">
        <f>VLOOKUP($W400,TBL_Categories,3,FALSE)</f>
        <v>0</v>
      </c>
      <c r="U400" t="str">
        <f>VLOOKUP($W400,TBL_Categories,4,FALSE)</f>
        <v>No</v>
      </c>
      <c r="V400" t="str">
        <f>VLOOKUP($W400,TBL_Categories,5,FALSE)</f>
        <v>None</v>
      </c>
      <c r="W400" t="str">
        <f t="shared" si="20"/>
        <v>Kids|Clothing</v>
      </c>
    </row>
    <row r="401" spans="1:23" x14ac:dyDescent="0.25">
      <c r="A401" t="s">
        <v>296</v>
      </c>
      <c r="B401" s="5">
        <v>41927</v>
      </c>
      <c r="C401">
        <v>-15.08</v>
      </c>
      <c r="D401" t="s">
        <v>304</v>
      </c>
      <c r="E401" t="s">
        <v>426</v>
      </c>
      <c r="G401" t="s">
        <v>887</v>
      </c>
      <c r="J401" t="s">
        <v>1550</v>
      </c>
      <c r="K401" t="s">
        <v>61</v>
      </c>
      <c r="L401" t="s">
        <v>401</v>
      </c>
      <c r="Q401" t="str">
        <f t="shared" si="18"/>
        <v>Oct</v>
      </c>
      <c r="R401">
        <f t="shared" si="19"/>
        <v>2014</v>
      </c>
      <c r="S401" t="str">
        <f>VLOOKUP($W401,TBL_Categories,2,FALSE)</f>
        <v>Monthly</v>
      </c>
      <c r="T401">
        <f>VLOOKUP($W401,TBL_Categories,3,FALSE)</f>
        <v>0</v>
      </c>
      <c r="U401" t="str">
        <f>VLOOKUP($W401,TBL_Categories,4,FALSE)</f>
        <v>No</v>
      </c>
      <c r="V401" t="str">
        <f>VLOOKUP($W401,TBL_Categories,5,FALSE)</f>
        <v>None</v>
      </c>
      <c r="W401" t="str">
        <f t="shared" si="20"/>
        <v>Food &amp; Dining|Groceries</v>
      </c>
    </row>
    <row r="402" spans="1:23" x14ac:dyDescent="0.25">
      <c r="A402" t="s">
        <v>284</v>
      </c>
      <c r="B402" s="5">
        <v>41926</v>
      </c>
      <c r="C402" s="4">
        <v>13905.58</v>
      </c>
      <c r="D402" t="s">
        <v>304</v>
      </c>
      <c r="E402" t="s">
        <v>361</v>
      </c>
      <c r="F402" t="s">
        <v>312</v>
      </c>
      <c r="G402" t="s">
        <v>12</v>
      </c>
      <c r="K402" t="s">
        <v>12</v>
      </c>
      <c r="Q402" t="str">
        <f t="shared" si="18"/>
        <v>Oct</v>
      </c>
      <c r="R402">
        <f t="shared" si="19"/>
        <v>2014</v>
      </c>
      <c r="S402" t="str">
        <f>VLOOKUP($W402,TBL_Categories,2,FALSE)</f>
        <v>Monthly</v>
      </c>
      <c r="T402">
        <f>VLOOKUP($W402,TBL_Categories,3,FALSE)</f>
        <v>0</v>
      </c>
      <c r="U402" t="str">
        <f>VLOOKUP($W402,TBL_Categories,4,FALSE)</f>
        <v>No</v>
      </c>
      <c r="V402" t="str">
        <f>VLOOKUP($W402,TBL_Categories,5,FALSE)</f>
        <v>None</v>
      </c>
      <c r="W402" t="str">
        <f t="shared" si="20"/>
        <v>Net Salary</v>
      </c>
    </row>
    <row r="403" spans="1:23" x14ac:dyDescent="0.25">
      <c r="A403" t="s">
        <v>296</v>
      </c>
      <c r="B403" s="5">
        <v>41926</v>
      </c>
      <c r="C403">
        <v>-7.63</v>
      </c>
      <c r="D403" t="s">
        <v>304</v>
      </c>
      <c r="E403" t="s">
        <v>1001</v>
      </c>
      <c r="G403" t="s">
        <v>887</v>
      </c>
      <c r="J403" t="s">
        <v>1550</v>
      </c>
      <c r="K403" t="s">
        <v>61</v>
      </c>
      <c r="L403" t="s">
        <v>401</v>
      </c>
      <c r="Q403" t="str">
        <f t="shared" si="18"/>
        <v>Oct</v>
      </c>
      <c r="R403">
        <f t="shared" si="19"/>
        <v>2014</v>
      </c>
      <c r="S403" t="str">
        <f>VLOOKUP($W403,TBL_Categories,2,FALSE)</f>
        <v>Monthly</v>
      </c>
      <c r="T403">
        <f>VLOOKUP($W403,TBL_Categories,3,FALSE)</f>
        <v>0</v>
      </c>
      <c r="U403" t="str">
        <f>VLOOKUP($W403,TBL_Categories,4,FALSE)</f>
        <v>No</v>
      </c>
      <c r="V403" t="str">
        <f>VLOOKUP($W403,TBL_Categories,5,FALSE)</f>
        <v>None</v>
      </c>
      <c r="W403" t="str">
        <f t="shared" si="20"/>
        <v>Food &amp; Dining|Groceries</v>
      </c>
    </row>
    <row r="404" spans="1:23" x14ac:dyDescent="0.25">
      <c r="A404" t="s">
        <v>288</v>
      </c>
      <c r="B404" s="5">
        <v>41925</v>
      </c>
      <c r="C404" s="4">
        <v>2195</v>
      </c>
      <c r="D404" t="s">
        <v>304</v>
      </c>
      <c r="E404" t="s">
        <v>875</v>
      </c>
      <c r="F404" t="s">
        <v>394</v>
      </c>
      <c r="G404" t="s">
        <v>390</v>
      </c>
      <c r="J404">
        <v>9602</v>
      </c>
      <c r="K404" t="s">
        <v>33</v>
      </c>
      <c r="L404" t="s">
        <v>1519</v>
      </c>
      <c r="Q404" t="str">
        <f t="shared" si="18"/>
        <v>Oct</v>
      </c>
      <c r="R404">
        <f t="shared" si="19"/>
        <v>2014</v>
      </c>
      <c r="S404" t="str">
        <f>VLOOKUP($W404,TBL_Categories,2,FALSE)</f>
        <v>Monthly</v>
      </c>
      <c r="T404">
        <f>VLOOKUP($W404,TBL_Categories,3,FALSE)</f>
        <v>0</v>
      </c>
      <c r="U404" t="str">
        <f>VLOOKUP($W404,TBL_Categories,4,FALSE)</f>
        <v>No</v>
      </c>
      <c r="V404" t="str">
        <f>VLOOKUP($W404,TBL_Categories,5,FALSE)</f>
        <v>None</v>
      </c>
      <c r="W404" t="str">
        <f t="shared" si="20"/>
        <v>Business Income (Koolikai)|Rent</v>
      </c>
    </row>
    <row r="405" spans="1:23" x14ac:dyDescent="0.25">
      <c r="A405" t="s">
        <v>293</v>
      </c>
      <c r="B405" s="5">
        <v>41925</v>
      </c>
      <c r="C405">
        <v>-129.97999999999999</v>
      </c>
      <c r="D405" t="s">
        <v>304</v>
      </c>
      <c r="E405" t="s">
        <v>1010</v>
      </c>
      <c r="F405" t="s">
        <v>1011</v>
      </c>
      <c r="G405" t="s">
        <v>341</v>
      </c>
      <c r="K405" t="s">
        <v>72</v>
      </c>
      <c r="L405" t="s">
        <v>1534</v>
      </c>
      <c r="Q405" t="str">
        <f t="shared" si="18"/>
        <v>Oct</v>
      </c>
      <c r="R405">
        <f t="shared" si="19"/>
        <v>2014</v>
      </c>
      <c r="S405" t="str">
        <f>VLOOKUP($W405,TBL_Categories,2,FALSE)</f>
        <v>Annual</v>
      </c>
      <c r="T405">
        <f>VLOOKUP($W405,TBL_Categories,3,FALSE)</f>
        <v>0</v>
      </c>
      <c r="U405" t="str">
        <f>VLOOKUP($W405,TBL_Categories,4,FALSE)</f>
        <v>No</v>
      </c>
      <c r="V405" t="str">
        <f>VLOOKUP($W405,TBL_Categories,5,FALSE)</f>
        <v>None</v>
      </c>
      <c r="W405" t="str">
        <f t="shared" si="20"/>
        <v>Shopping|Electronics &amp; Software</v>
      </c>
    </row>
    <row r="406" spans="1:23" x14ac:dyDescent="0.25">
      <c r="A406" t="s">
        <v>633</v>
      </c>
      <c r="B406" s="5">
        <v>41924</v>
      </c>
      <c r="C406">
        <v>-0.01</v>
      </c>
      <c r="D406" t="s">
        <v>304</v>
      </c>
      <c r="E406" t="s">
        <v>985</v>
      </c>
      <c r="F406" t="s">
        <v>1021</v>
      </c>
      <c r="G406" t="s">
        <v>940</v>
      </c>
      <c r="K406" t="s">
        <v>29</v>
      </c>
      <c r="L406" t="s">
        <v>1573</v>
      </c>
      <c r="O406" t="s">
        <v>1607</v>
      </c>
      <c r="Q406" t="str">
        <f t="shared" si="18"/>
        <v>Oct</v>
      </c>
      <c r="R406">
        <f t="shared" si="19"/>
        <v>2014</v>
      </c>
      <c r="S406" t="str">
        <f>VLOOKUP($W406,TBL_Categories,2,FALSE)</f>
        <v>Irregular</v>
      </c>
      <c r="T406">
        <f>VLOOKUP($W406,TBL_Categories,3,FALSE)</f>
        <v>0</v>
      </c>
      <c r="U406" t="str">
        <f>VLOOKUP($W406,TBL_Categories,4,FALSE)</f>
        <v>No</v>
      </c>
      <c r="V406" t="str">
        <f>VLOOKUP($W406,TBL_Categories,5,FALSE)</f>
        <v>None</v>
      </c>
      <c r="W406" t="str">
        <f t="shared" si="20"/>
        <v>Work Expense|Reimbursable expense</v>
      </c>
    </row>
    <row r="407" spans="1:23" x14ac:dyDescent="0.25">
      <c r="A407" t="s">
        <v>633</v>
      </c>
      <c r="B407" s="5">
        <v>41924</v>
      </c>
      <c r="C407">
        <v>-0.01</v>
      </c>
      <c r="D407" t="s">
        <v>304</v>
      </c>
      <c r="E407" t="s">
        <v>985</v>
      </c>
      <c r="F407" t="s">
        <v>1021</v>
      </c>
      <c r="G407" t="s">
        <v>940</v>
      </c>
      <c r="K407" t="s">
        <v>29</v>
      </c>
      <c r="L407" t="s">
        <v>1573</v>
      </c>
      <c r="O407" t="s">
        <v>1607</v>
      </c>
      <c r="Q407" t="str">
        <f t="shared" si="18"/>
        <v>Oct</v>
      </c>
      <c r="R407">
        <f t="shared" si="19"/>
        <v>2014</v>
      </c>
      <c r="S407" t="str">
        <f>VLOOKUP($W407,TBL_Categories,2,FALSE)</f>
        <v>Irregular</v>
      </c>
      <c r="T407">
        <f>VLOOKUP($W407,TBL_Categories,3,FALSE)</f>
        <v>0</v>
      </c>
      <c r="U407" t="str">
        <f>VLOOKUP($W407,TBL_Categories,4,FALSE)</f>
        <v>No</v>
      </c>
      <c r="V407" t="str">
        <f>VLOOKUP($W407,TBL_Categories,5,FALSE)</f>
        <v>None</v>
      </c>
      <c r="W407" t="str">
        <f t="shared" si="20"/>
        <v>Work Expense|Reimbursable expense</v>
      </c>
    </row>
    <row r="408" spans="1:23" x14ac:dyDescent="0.25">
      <c r="A408" t="s">
        <v>294</v>
      </c>
      <c r="B408" s="5">
        <v>41924</v>
      </c>
      <c r="C408">
        <v>-146.84</v>
      </c>
      <c r="D408" t="s">
        <v>304</v>
      </c>
      <c r="E408" t="s">
        <v>335</v>
      </c>
      <c r="G408" t="s">
        <v>336</v>
      </c>
      <c r="K408" t="s">
        <v>55</v>
      </c>
      <c r="L408" t="s">
        <v>1532</v>
      </c>
      <c r="Q408" t="str">
        <f t="shared" si="18"/>
        <v>Oct</v>
      </c>
      <c r="R408">
        <f t="shared" si="19"/>
        <v>2014</v>
      </c>
      <c r="S408" t="str">
        <f>VLOOKUP($W408,TBL_Categories,2,FALSE)</f>
        <v>Monthly</v>
      </c>
      <c r="T408">
        <f>VLOOKUP($W408,TBL_Categories,3,FALSE)</f>
        <v>0</v>
      </c>
      <c r="U408" t="str">
        <f>VLOOKUP($W408,TBL_Categories,4,FALSE)</f>
        <v>No</v>
      </c>
      <c r="V408" t="str">
        <f>VLOOKUP($W408,TBL_Categories,5,FALSE)</f>
        <v>None</v>
      </c>
      <c r="W408" t="str">
        <f t="shared" si="20"/>
        <v>Business Expenses (Koolikai)|Cell Phone</v>
      </c>
    </row>
    <row r="409" spans="1:23" x14ac:dyDescent="0.25">
      <c r="A409" t="s">
        <v>296</v>
      </c>
      <c r="B409" s="5">
        <v>41924</v>
      </c>
      <c r="C409">
        <v>25</v>
      </c>
      <c r="D409" t="s">
        <v>304</v>
      </c>
      <c r="E409" t="s">
        <v>429</v>
      </c>
      <c r="G409" t="s">
        <v>14</v>
      </c>
      <c r="K409" t="s">
        <v>14</v>
      </c>
      <c r="Q409" t="str">
        <f t="shared" si="18"/>
        <v>Oct</v>
      </c>
      <c r="R409">
        <f t="shared" si="19"/>
        <v>2014</v>
      </c>
      <c r="S409" t="str">
        <f>VLOOKUP($W409,TBL_Categories,2,FALSE)</f>
        <v>Monthly</v>
      </c>
      <c r="T409">
        <f>VLOOKUP($W409,TBL_Categories,3,FALSE)</f>
        <v>0</v>
      </c>
      <c r="U409" t="str">
        <f>VLOOKUP($W409,TBL_Categories,4,FALSE)</f>
        <v>No</v>
      </c>
      <c r="V409" t="str">
        <f>VLOOKUP($W409,TBL_Categories,5,FALSE)</f>
        <v>None</v>
      </c>
      <c r="W409" t="str">
        <f t="shared" si="20"/>
        <v>Other Inc</v>
      </c>
    </row>
    <row r="410" spans="1:23" x14ac:dyDescent="0.25">
      <c r="A410" t="s">
        <v>296</v>
      </c>
      <c r="B410" s="5">
        <v>41924</v>
      </c>
      <c r="C410">
        <v>-6.11</v>
      </c>
      <c r="D410" t="s">
        <v>304</v>
      </c>
      <c r="E410" t="s">
        <v>433</v>
      </c>
      <c r="G410" t="s">
        <v>342</v>
      </c>
      <c r="K410" t="s">
        <v>61</v>
      </c>
      <c r="L410" t="s">
        <v>401</v>
      </c>
      <c r="Q410" t="str">
        <f t="shared" si="18"/>
        <v>Oct</v>
      </c>
      <c r="R410">
        <f t="shared" si="19"/>
        <v>2014</v>
      </c>
      <c r="S410" t="str">
        <f>VLOOKUP($W410,TBL_Categories,2,FALSE)</f>
        <v>Monthly</v>
      </c>
      <c r="T410">
        <f>VLOOKUP($W410,TBL_Categories,3,FALSE)</f>
        <v>0</v>
      </c>
      <c r="U410" t="str">
        <f>VLOOKUP($W410,TBL_Categories,4,FALSE)</f>
        <v>No</v>
      </c>
      <c r="V410" t="str">
        <f>VLOOKUP($W410,TBL_Categories,5,FALSE)</f>
        <v>None</v>
      </c>
      <c r="W410" t="str">
        <f t="shared" si="20"/>
        <v>Food &amp; Dining|Groceries</v>
      </c>
    </row>
    <row r="411" spans="1:23" x14ac:dyDescent="0.25">
      <c r="A411" t="s">
        <v>296</v>
      </c>
      <c r="B411" s="5">
        <v>41924</v>
      </c>
      <c r="C411">
        <v>-34</v>
      </c>
      <c r="D411" t="s">
        <v>304</v>
      </c>
      <c r="E411" t="s">
        <v>665</v>
      </c>
      <c r="G411" t="s">
        <v>398</v>
      </c>
      <c r="K411" t="s">
        <v>70</v>
      </c>
      <c r="L411" t="s">
        <v>1563</v>
      </c>
      <c r="Q411" t="str">
        <f t="shared" si="18"/>
        <v>Oct</v>
      </c>
      <c r="R411">
        <f t="shared" si="19"/>
        <v>2014</v>
      </c>
      <c r="S411" t="str">
        <f>VLOOKUP($W411,TBL_Categories,2,FALSE)</f>
        <v>Monthly</v>
      </c>
      <c r="T411">
        <f>VLOOKUP($W411,TBL_Categories,3,FALSE)</f>
        <v>0</v>
      </c>
      <c r="U411" t="str">
        <f>VLOOKUP($W411,TBL_Categories,4,FALSE)</f>
        <v>No</v>
      </c>
      <c r="V411" t="str">
        <f>VLOOKUP($W411,TBL_Categories,5,FALSE)</f>
        <v>None</v>
      </c>
      <c r="W411" t="str">
        <f t="shared" si="20"/>
        <v>Personal Care|Hair</v>
      </c>
    </row>
    <row r="412" spans="1:23" x14ac:dyDescent="0.25">
      <c r="A412" t="s">
        <v>296</v>
      </c>
      <c r="B412" s="5">
        <v>41924</v>
      </c>
      <c r="C412">
        <v>-69.13</v>
      </c>
      <c r="D412" t="s">
        <v>304</v>
      </c>
      <c r="E412" t="s">
        <v>433</v>
      </c>
      <c r="G412" t="s">
        <v>887</v>
      </c>
      <c r="J412" t="s">
        <v>1550</v>
      </c>
      <c r="K412" t="s">
        <v>61</v>
      </c>
      <c r="L412" t="s">
        <v>401</v>
      </c>
      <c r="Q412" t="str">
        <f t="shared" si="18"/>
        <v>Oct</v>
      </c>
      <c r="R412">
        <f t="shared" si="19"/>
        <v>2014</v>
      </c>
      <c r="S412" t="str">
        <f>VLOOKUP($W412,TBL_Categories,2,FALSE)</f>
        <v>Monthly</v>
      </c>
      <c r="T412">
        <f>VLOOKUP($W412,TBL_Categories,3,FALSE)</f>
        <v>0</v>
      </c>
      <c r="U412" t="str">
        <f>VLOOKUP($W412,TBL_Categories,4,FALSE)</f>
        <v>No</v>
      </c>
      <c r="V412" t="str">
        <f>VLOOKUP($W412,TBL_Categories,5,FALSE)</f>
        <v>None</v>
      </c>
      <c r="W412" t="str">
        <f t="shared" si="20"/>
        <v>Food &amp; Dining|Groceries</v>
      </c>
    </row>
    <row r="413" spans="1:23" x14ac:dyDescent="0.25">
      <c r="A413" t="s">
        <v>765</v>
      </c>
      <c r="B413" s="5">
        <v>41924</v>
      </c>
      <c r="G413" t="s">
        <v>802</v>
      </c>
      <c r="H413" t="s">
        <v>301</v>
      </c>
      <c r="K413" t="s">
        <v>802</v>
      </c>
      <c r="Q413" t="str">
        <f t="shared" si="18"/>
        <v>Oct</v>
      </c>
      <c r="R413">
        <f t="shared" si="19"/>
        <v>2014</v>
      </c>
      <c r="S413" t="e">
        <f>VLOOKUP($W413,TBL_Categories,2,FALSE)</f>
        <v>#N/A</v>
      </c>
      <c r="T413" t="e">
        <f>VLOOKUP($W413,TBL_Categories,3,FALSE)</f>
        <v>#N/A</v>
      </c>
      <c r="U413" t="e">
        <f>VLOOKUP($W413,TBL_Categories,4,FALSE)</f>
        <v>#N/A</v>
      </c>
      <c r="V413" t="e">
        <f>VLOOKUP($W413,TBL_Categories,5,FALSE)</f>
        <v>#N/A</v>
      </c>
      <c r="W413" t="str">
        <f t="shared" si="20"/>
        <v>[Fideity ESPP and Stock Awards]</v>
      </c>
    </row>
    <row r="414" spans="1:23" x14ac:dyDescent="0.25">
      <c r="A414" t="s">
        <v>766</v>
      </c>
      <c r="B414" s="5">
        <v>41924</v>
      </c>
      <c r="G414" t="s">
        <v>805</v>
      </c>
      <c r="H414" t="s">
        <v>301</v>
      </c>
      <c r="K414" t="s">
        <v>805</v>
      </c>
      <c r="Q414" t="str">
        <f t="shared" si="18"/>
        <v>Oct</v>
      </c>
      <c r="R414">
        <f t="shared" si="19"/>
        <v>2014</v>
      </c>
      <c r="S414" t="e">
        <f>VLOOKUP($W414,TBL_Categories,2,FALSE)</f>
        <v>#N/A</v>
      </c>
      <c r="T414" t="e">
        <f>VLOOKUP($W414,TBL_Categories,3,FALSE)</f>
        <v>#N/A</v>
      </c>
      <c r="U414" t="e">
        <f>VLOOKUP($W414,TBL_Categories,4,FALSE)</f>
        <v>#N/A</v>
      </c>
      <c r="V414" t="e">
        <f>VLOOKUP($W414,TBL_Categories,5,FALSE)</f>
        <v>#N/A</v>
      </c>
      <c r="W414" t="str">
        <f t="shared" si="20"/>
        <v>[LPL Financial]</v>
      </c>
    </row>
    <row r="415" spans="1:23" x14ac:dyDescent="0.25">
      <c r="A415" t="s">
        <v>293</v>
      </c>
      <c r="B415" s="5">
        <v>41923</v>
      </c>
      <c r="C415">
        <v>-77.7</v>
      </c>
      <c r="D415" t="s">
        <v>304</v>
      </c>
      <c r="E415" t="s">
        <v>1008</v>
      </c>
      <c r="F415" t="s">
        <v>1009</v>
      </c>
      <c r="G415" t="s">
        <v>333</v>
      </c>
      <c r="K415" t="s">
        <v>61</v>
      </c>
      <c r="L415" t="s">
        <v>1530</v>
      </c>
      <c r="Q415" t="str">
        <f t="shared" si="18"/>
        <v>Oct</v>
      </c>
      <c r="R415">
        <f t="shared" si="19"/>
        <v>2014</v>
      </c>
      <c r="S415" t="str">
        <f>VLOOKUP($W415,TBL_Categories,2,FALSE)</f>
        <v>Monthly</v>
      </c>
      <c r="T415">
        <f>VLOOKUP($W415,TBL_Categories,3,FALSE)</f>
        <v>0</v>
      </c>
      <c r="U415" t="str">
        <f>VLOOKUP($W415,TBL_Categories,4,FALSE)</f>
        <v>No</v>
      </c>
      <c r="V415" t="str">
        <f>VLOOKUP($W415,TBL_Categories,5,FALSE)</f>
        <v>None</v>
      </c>
      <c r="W415" t="str">
        <f t="shared" si="20"/>
        <v>Food &amp; Dining|Restaurants</v>
      </c>
    </row>
    <row r="416" spans="1:23" x14ac:dyDescent="0.25">
      <c r="A416" t="s">
        <v>296</v>
      </c>
      <c r="B416" s="5">
        <v>41923</v>
      </c>
      <c r="C416">
        <v>-12.34</v>
      </c>
      <c r="D416" t="s">
        <v>304</v>
      </c>
      <c r="E416" t="s">
        <v>683</v>
      </c>
      <c r="G416" t="s">
        <v>333</v>
      </c>
      <c r="K416" t="s">
        <v>61</v>
      </c>
      <c r="L416" t="s">
        <v>1530</v>
      </c>
      <c r="Q416" t="str">
        <f t="shared" si="18"/>
        <v>Oct</v>
      </c>
      <c r="R416">
        <f t="shared" si="19"/>
        <v>2014</v>
      </c>
      <c r="S416" t="str">
        <f>VLOOKUP($W416,TBL_Categories,2,FALSE)</f>
        <v>Monthly</v>
      </c>
      <c r="T416">
        <f>VLOOKUP($W416,TBL_Categories,3,FALSE)</f>
        <v>0</v>
      </c>
      <c r="U416" t="str">
        <f>VLOOKUP($W416,TBL_Categories,4,FALSE)</f>
        <v>No</v>
      </c>
      <c r="V416" t="str">
        <f>VLOOKUP($W416,TBL_Categories,5,FALSE)</f>
        <v>None</v>
      </c>
      <c r="W416" t="str">
        <f t="shared" si="20"/>
        <v>Food &amp; Dining|Restaurants</v>
      </c>
    </row>
    <row r="417" spans="1:23" x14ac:dyDescent="0.25">
      <c r="A417" t="s">
        <v>284</v>
      </c>
      <c r="B417" s="5">
        <v>41922</v>
      </c>
      <c r="C417" s="4">
        <v>-5651.04</v>
      </c>
      <c r="D417" t="s">
        <v>304</v>
      </c>
      <c r="E417" t="s">
        <v>644</v>
      </c>
      <c r="F417" t="s">
        <v>647</v>
      </c>
      <c r="G417" t="s">
        <v>592</v>
      </c>
      <c r="K417" t="s">
        <v>90</v>
      </c>
      <c r="L417" t="s">
        <v>1543</v>
      </c>
      <c r="Q417" t="str">
        <f t="shared" si="18"/>
        <v>Oct</v>
      </c>
      <c r="R417">
        <f t="shared" si="19"/>
        <v>2014</v>
      </c>
      <c r="S417" t="str">
        <f>VLOOKUP($W417,TBL_Categories,2,FALSE)</f>
        <v>Unplanned</v>
      </c>
      <c r="T417">
        <f>VLOOKUP($W417,TBL_Categories,3,FALSE)</f>
        <v>0</v>
      </c>
      <c r="U417" t="str">
        <f>VLOOKUP($W417,TBL_Categories,4,FALSE)</f>
        <v>No</v>
      </c>
      <c r="V417" t="str">
        <f>VLOOKUP($W417,TBL_Categories,5,FALSE)</f>
        <v>None</v>
      </c>
      <c r="W417" t="str">
        <f t="shared" si="20"/>
        <v>Projects|Landscaping</v>
      </c>
    </row>
    <row r="418" spans="1:23" x14ac:dyDescent="0.25">
      <c r="A418" t="s">
        <v>288</v>
      </c>
      <c r="B418" s="5">
        <v>41922</v>
      </c>
      <c r="C418" s="4">
        <v>2295</v>
      </c>
      <c r="D418" t="s">
        <v>304</v>
      </c>
      <c r="E418" t="s">
        <v>383</v>
      </c>
      <c r="F418" t="s">
        <v>394</v>
      </c>
      <c r="G418" t="s">
        <v>386</v>
      </c>
      <c r="J418">
        <v>7231</v>
      </c>
      <c r="K418" t="s">
        <v>33</v>
      </c>
      <c r="L418" t="s">
        <v>1519</v>
      </c>
      <c r="Q418" t="str">
        <f t="shared" si="18"/>
        <v>Oct</v>
      </c>
      <c r="R418">
        <f t="shared" si="19"/>
        <v>2014</v>
      </c>
      <c r="S418" t="str">
        <f>VLOOKUP($W418,TBL_Categories,2,FALSE)</f>
        <v>Monthly</v>
      </c>
      <c r="T418">
        <f>VLOOKUP($W418,TBL_Categories,3,FALSE)</f>
        <v>0</v>
      </c>
      <c r="U418" t="str">
        <f>VLOOKUP($W418,TBL_Categories,4,FALSE)</f>
        <v>No</v>
      </c>
      <c r="V418" t="str">
        <f>VLOOKUP($W418,TBL_Categories,5,FALSE)</f>
        <v>None</v>
      </c>
      <c r="W418" t="str">
        <f t="shared" si="20"/>
        <v>Business Income (Koolikai)|Rent</v>
      </c>
    </row>
    <row r="419" spans="1:23" x14ac:dyDescent="0.25">
      <c r="A419" t="s">
        <v>633</v>
      </c>
      <c r="B419" s="5">
        <v>41922</v>
      </c>
      <c r="C419">
        <v>-0.01</v>
      </c>
      <c r="D419" t="s">
        <v>304</v>
      </c>
      <c r="E419" t="s">
        <v>985</v>
      </c>
      <c r="F419" t="s">
        <v>1021</v>
      </c>
      <c r="G419" t="s">
        <v>940</v>
      </c>
      <c r="K419" t="s">
        <v>29</v>
      </c>
      <c r="L419" t="s">
        <v>1573</v>
      </c>
      <c r="O419" t="s">
        <v>1607</v>
      </c>
      <c r="Q419" t="str">
        <f t="shared" si="18"/>
        <v>Oct</v>
      </c>
      <c r="R419">
        <f t="shared" si="19"/>
        <v>2014</v>
      </c>
      <c r="S419" t="str">
        <f>VLOOKUP($W419,TBL_Categories,2,FALSE)</f>
        <v>Irregular</v>
      </c>
      <c r="T419">
        <f>VLOOKUP($W419,TBL_Categories,3,FALSE)</f>
        <v>0</v>
      </c>
      <c r="U419" t="str">
        <f>VLOOKUP($W419,TBL_Categories,4,FALSE)</f>
        <v>No</v>
      </c>
      <c r="V419" t="str">
        <f>VLOOKUP($W419,TBL_Categories,5,FALSE)</f>
        <v>None</v>
      </c>
      <c r="W419" t="str">
        <f t="shared" si="20"/>
        <v>Work Expense|Reimbursable expense</v>
      </c>
    </row>
    <row r="420" spans="1:23" x14ac:dyDescent="0.25">
      <c r="A420" t="s">
        <v>633</v>
      </c>
      <c r="B420" s="5">
        <v>41922</v>
      </c>
      <c r="C420">
        <v>-0.01</v>
      </c>
      <c r="D420" t="s">
        <v>304</v>
      </c>
      <c r="E420" t="s">
        <v>985</v>
      </c>
      <c r="F420" t="s">
        <v>1021</v>
      </c>
      <c r="G420" t="s">
        <v>940</v>
      </c>
      <c r="K420" t="s">
        <v>29</v>
      </c>
      <c r="L420" t="s">
        <v>1573</v>
      </c>
      <c r="O420" t="s">
        <v>1607</v>
      </c>
      <c r="Q420" t="str">
        <f t="shared" si="18"/>
        <v>Oct</v>
      </c>
      <c r="R420">
        <f t="shared" si="19"/>
        <v>2014</v>
      </c>
      <c r="S420" t="str">
        <f>VLOOKUP($W420,TBL_Categories,2,FALSE)</f>
        <v>Irregular</v>
      </c>
      <c r="T420">
        <f>VLOOKUP($W420,TBL_Categories,3,FALSE)</f>
        <v>0</v>
      </c>
      <c r="U420" t="str">
        <f>VLOOKUP($W420,TBL_Categories,4,FALSE)</f>
        <v>No</v>
      </c>
      <c r="V420" t="str">
        <f>VLOOKUP($W420,TBL_Categories,5,FALSE)</f>
        <v>None</v>
      </c>
      <c r="W420" t="str">
        <f t="shared" si="20"/>
        <v>Work Expense|Reimbursable expense</v>
      </c>
    </row>
    <row r="421" spans="1:23" x14ac:dyDescent="0.25">
      <c r="A421" t="s">
        <v>296</v>
      </c>
      <c r="B421" s="5">
        <v>41922</v>
      </c>
      <c r="C421">
        <v>-3.91</v>
      </c>
      <c r="D421" t="s">
        <v>304</v>
      </c>
      <c r="E421" t="s">
        <v>661</v>
      </c>
      <c r="F421" t="s">
        <v>1352</v>
      </c>
      <c r="G421" t="s">
        <v>333</v>
      </c>
      <c r="K421" t="s">
        <v>61</v>
      </c>
      <c r="L421" t="s">
        <v>1530</v>
      </c>
      <c r="Q421" t="str">
        <f t="shared" si="18"/>
        <v>Oct</v>
      </c>
      <c r="R421">
        <f t="shared" si="19"/>
        <v>2014</v>
      </c>
      <c r="S421" t="str">
        <f>VLOOKUP($W421,TBL_Categories,2,FALSE)</f>
        <v>Monthly</v>
      </c>
      <c r="T421">
        <f>VLOOKUP($W421,TBL_Categories,3,FALSE)</f>
        <v>0</v>
      </c>
      <c r="U421" t="str">
        <f>VLOOKUP($W421,TBL_Categories,4,FALSE)</f>
        <v>No</v>
      </c>
      <c r="V421" t="str">
        <f>VLOOKUP($W421,TBL_Categories,5,FALSE)</f>
        <v>None</v>
      </c>
      <c r="W421" t="str">
        <f t="shared" si="20"/>
        <v>Food &amp; Dining|Restaurants</v>
      </c>
    </row>
    <row r="422" spans="1:23" x14ac:dyDescent="0.25">
      <c r="A422" t="s">
        <v>296</v>
      </c>
      <c r="B422" s="5">
        <v>41922</v>
      </c>
      <c r="C422">
        <v>-7.59</v>
      </c>
      <c r="D422" t="s">
        <v>304</v>
      </c>
      <c r="E422" t="s">
        <v>1353</v>
      </c>
      <c r="G422" t="s">
        <v>773</v>
      </c>
      <c r="J422" t="s">
        <v>1550</v>
      </c>
      <c r="K422" t="s">
        <v>61</v>
      </c>
      <c r="L422" t="s">
        <v>1530</v>
      </c>
      <c r="Q422" t="str">
        <f t="shared" si="18"/>
        <v>Oct</v>
      </c>
      <c r="R422">
        <f t="shared" si="19"/>
        <v>2014</v>
      </c>
      <c r="S422" t="str">
        <f>VLOOKUP($W422,TBL_Categories,2,FALSE)</f>
        <v>Monthly</v>
      </c>
      <c r="T422">
        <f>VLOOKUP($W422,TBL_Categories,3,FALSE)</f>
        <v>0</v>
      </c>
      <c r="U422" t="str">
        <f>VLOOKUP($W422,TBL_Categories,4,FALSE)</f>
        <v>No</v>
      </c>
      <c r="V422" t="str">
        <f>VLOOKUP($W422,TBL_Categories,5,FALSE)</f>
        <v>None</v>
      </c>
      <c r="W422" t="str">
        <f t="shared" si="20"/>
        <v>Food &amp; Dining|Restaurants</v>
      </c>
    </row>
    <row r="423" spans="1:23" x14ac:dyDescent="0.25">
      <c r="A423" t="s">
        <v>296</v>
      </c>
      <c r="B423" s="5">
        <v>41922</v>
      </c>
      <c r="C423">
        <v>-32.630000000000003</v>
      </c>
      <c r="D423" t="s">
        <v>304</v>
      </c>
      <c r="E423" t="s">
        <v>704</v>
      </c>
      <c r="G423" t="s">
        <v>927</v>
      </c>
      <c r="J423" t="s">
        <v>1550</v>
      </c>
      <c r="K423" t="s">
        <v>72</v>
      </c>
      <c r="L423" t="s">
        <v>1537</v>
      </c>
      <c r="Q423" t="str">
        <f t="shared" si="18"/>
        <v>Oct</v>
      </c>
      <c r="R423">
        <f t="shared" si="19"/>
        <v>2014</v>
      </c>
      <c r="S423" t="str">
        <f>VLOOKUP($W423,TBL_Categories,2,FALSE)</f>
        <v>Annual</v>
      </c>
      <c r="T423">
        <f>VLOOKUP($W423,TBL_Categories,3,FALSE)</f>
        <v>0</v>
      </c>
      <c r="U423" t="str">
        <f>VLOOKUP($W423,TBL_Categories,4,FALSE)</f>
        <v>No</v>
      </c>
      <c r="V423" t="str">
        <f>VLOOKUP($W423,TBL_Categories,5,FALSE)</f>
        <v>None</v>
      </c>
      <c r="W423" t="str">
        <f t="shared" si="20"/>
        <v>Shopping|Clothing</v>
      </c>
    </row>
    <row r="424" spans="1:23" x14ac:dyDescent="0.25">
      <c r="A424" t="s">
        <v>296</v>
      </c>
      <c r="B424" s="5">
        <v>41922</v>
      </c>
      <c r="C424">
        <v>-38</v>
      </c>
      <c r="D424" t="s">
        <v>304</v>
      </c>
      <c r="E424" t="s">
        <v>709</v>
      </c>
      <c r="G424" t="s">
        <v>435</v>
      </c>
      <c r="K424" t="s">
        <v>72</v>
      </c>
      <c r="L424" t="s">
        <v>1537</v>
      </c>
      <c r="Q424" t="str">
        <f t="shared" si="18"/>
        <v>Oct</v>
      </c>
      <c r="R424">
        <f t="shared" si="19"/>
        <v>2014</v>
      </c>
      <c r="S424" t="str">
        <f>VLOOKUP($W424,TBL_Categories,2,FALSE)</f>
        <v>Annual</v>
      </c>
      <c r="T424">
        <f>VLOOKUP($W424,TBL_Categories,3,FALSE)</f>
        <v>0</v>
      </c>
      <c r="U424" t="str">
        <f>VLOOKUP($W424,TBL_Categories,4,FALSE)</f>
        <v>No</v>
      </c>
      <c r="V424" t="str">
        <f>VLOOKUP($W424,TBL_Categories,5,FALSE)</f>
        <v>None</v>
      </c>
      <c r="W424" t="str">
        <f t="shared" si="20"/>
        <v>Shopping|Clothing</v>
      </c>
    </row>
    <row r="425" spans="1:23" x14ac:dyDescent="0.25">
      <c r="A425" t="s">
        <v>296</v>
      </c>
      <c r="B425" s="5">
        <v>41922</v>
      </c>
      <c r="C425">
        <v>-64.569999999999993</v>
      </c>
      <c r="D425" t="s">
        <v>304</v>
      </c>
      <c r="E425" t="s">
        <v>708</v>
      </c>
      <c r="G425" t="s">
        <v>927</v>
      </c>
      <c r="J425" t="s">
        <v>1550</v>
      </c>
      <c r="K425" t="s">
        <v>72</v>
      </c>
      <c r="L425" t="s">
        <v>1537</v>
      </c>
      <c r="Q425" t="str">
        <f t="shared" si="18"/>
        <v>Oct</v>
      </c>
      <c r="R425">
        <f t="shared" si="19"/>
        <v>2014</v>
      </c>
      <c r="S425" t="str">
        <f>VLOOKUP($W425,TBL_Categories,2,FALSE)</f>
        <v>Annual</v>
      </c>
      <c r="T425">
        <f>VLOOKUP($W425,TBL_Categories,3,FALSE)</f>
        <v>0</v>
      </c>
      <c r="U425" t="str">
        <f>VLOOKUP($W425,TBL_Categories,4,FALSE)</f>
        <v>No</v>
      </c>
      <c r="V425" t="str">
        <f>VLOOKUP($W425,TBL_Categories,5,FALSE)</f>
        <v>None</v>
      </c>
      <c r="W425" t="str">
        <f t="shared" si="20"/>
        <v>Shopping|Clothing</v>
      </c>
    </row>
    <row r="426" spans="1:23" x14ac:dyDescent="0.25">
      <c r="A426" t="s">
        <v>296</v>
      </c>
      <c r="B426" s="5">
        <v>41922</v>
      </c>
      <c r="C426">
        <v>-65.099999999999994</v>
      </c>
      <c r="D426" t="s">
        <v>304</v>
      </c>
      <c r="E426" t="s">
        <v>1354</v>
      </c>
      <c r="F426" t="s">
        <v>1355</v>
      </c>
      <c r="G426" t="s">
        <v>1042</v>
      </c>
      <c r="J426" t="s">
        <v>1550</v>
      </c>
      <c r="K426" t="s">
        <v>66</v>
      </c>
      <c r="L426" t="s">
        <v>1537</v>
      </c>
      <c r="Q426" t="str">
        <f t="shared" si="18"/>
        <v>Oct</v>
      </c>
      <c r="R426">
        <f t="shared" si="19"/>
        <v>2014</v>
      </c>
      <c r="S426" t="str">
        <f>VLOOKUP($W426,TBL_Categories,2,FALSE)</f>
        <v>Monthly</v>
      </c>
      <c r="T426">
        <f>VLOOKUP($W426,TBL_Categories,3,FALSE)</f>
        <v>0</v>
      </c>
      <c r="U426" t="str">
        <f>VLOOKUP($W426,TBL_Categories,4,FALSE)</f>
        <v>No</v>
      </c>
      <c r="V426" t="str">
        <f>VLOOKUP($W426,TBL_Categories,5,FALSE)</f>
        <v>None</v>
      </c>
      <c r="W426" t="str">
        <f t="shared" si="20"/>
        <v>Kids|Clothing</v>
      </c>
    </row>
    <row r="427" spans="1:23" x14ac:dyDescent="0.25">
      <c r="A427" t="s">
        <v>296</v>
      </c>
      <c r="B427" s="5">
        <v>41922</v>
      </c>
      <c r="C427">
        <v>-73.849999999999994</v>
      </c>
      <c r="D427" t="s">
        <v>304</v>
      </c>
      <c r="E427" t="s">
        <v>701</v>
      </c>
      <c r="G427" t="s">
        <v>927</v>
      </c>
      <c r="J427" t="s">
        <v>1550</v>
      </c>
      <c r="K427" t="s">
        <v>72</v>
      </c>
      <c r="L427" t="s">
        <v>1537</v>
      </c>
      <c r="Q427" t="str">
        <f t="shared" si="18"/>
        <v>Oct</v>
      </c>
      <c r="R427">
        <f t="shared" si="19"/>
        <v>2014</v>
      </c>
      <c r="S427" t="str">
        <f>VLOOKUP($W427,TBL_Categories,2,FALSE)</f>
        <v>Annual</v>
      </c>
      <c r="T427">
        <f>VLOOKUP($W427,TBL_Categories,3,FALSE)</f>
        <v>0</v>
      </c>
      <c r="U427" t="str">
        <f>VLOOKUP($W427,TBL_Categories,4,FALSE)</f>
        <v>No</v>
      </c>
      <c r="V427" t="str">
        <f>VLOOKUP($W427,TBL_Categories,5,FALSE)</f>
        <v>None</v>
      </c>
      <c r="W427" t="str">
        <f t="shared" si="20"/>
        <v>Shopping|Clothing</v>
      </c>
    </row>
    <row r="428" spans="1:23" x14ac:dyDescent="0.25">
      <c r="A428" t="s">
        <v>296</v>
      </c>
      <c r="B428" s="5">
        <v>41922</v>
      </c>
      <c r="C428">
        <v>-138.43</v>
      </c>
      <c r="D428" t="s">
        <v>304</v>
      </c>
      <c r="E428" t="s">
        <v>701</v>
      </c>
      <c r="G428" t="s">
        <v>927</v>
      </c>
      <c r="J428" t="s">
        <v>1550</v>
      </c>
      <c r="K428" t="s">
        <v>72</v>
      </c>
      <c r="L428" t="s">
        <v>1537</v>
      </c>
      <c r="Q428" t="str">
        <f t="shared" si="18"/>
        <v>Oct</v>
      </c>
      <c r="R428">
        <f t="shared" si="19"/>
        <v>2014</v>
      </c>
      <c r="S428" t="str">
        <f>VLOOKUP($W428,TBL_Categories,2,FALSE)</f>
        <v>Annual</v>
      </c>
      <c r="T428">
        <f>VLOOKUP($W428,TBL_Categories,3,FALSE)</f>
        <v>0</v>
      </c>
      <c r="U428" t="str">
        <f>VLOOKUP($W428,TBL_Categories,4,FALSE)</f>
        <v>No</v>
      </c>
      <c r="V428" t="str">
        <f>VLOOKUP($W428,TBL_Categories,5,FALSE)</f>
        <v>None</v>
      </c>
      <c r="W428" t="str">
        <f t="shared" si="20"/>
        <v>Shopping|Clothing</v>
      </c>
    </row>
    <row r="429" spans="1:23" x14ac:dyDescent="0.25">
      <c r="A429" t="s">
        <v>296</v>
      </c>
      <c r="B429" s="5">
        <v>41921</v>
      </c>
      <c r="C429">
        <v>-5</v>
      </c>
      <c r="D429" t="s">
        <v>304</v>
      </c>
      <c r="E429" t="s">
        <v>1349</v>
      </c>
      <c r="G429" t="s">
        <v>333</v>
      </c>
      <c r="K429" t="s">
        <v>61</v>
      </c>
      <c r="L429" t="s">
        <v>1530</v>
      </c>
      <c r="Q429" t="str">
        <f t="shared" si="18"/>
        <v>Oct</v>
      </c>
      <c r="R429">
        <f t="shared" si="19"/>
        <v>2014</v>
      </c>
      <c r="S429" t="str">
        <f>VLOOKUP($W429,TBL_Categories,2,FALSE)</f>
        <v>Monthly</v>
      </c>
      <c r="T429">
        <f>VLOOKUP($W429,TBL_Categories,3,FALSE)</f>
        <v>0</v>
      </c>
      <c r="U429" t="str">
        <f>VLOOKUP($W429,TBL_Categories,4,FALSE)</f>
        <v>No</v>
      </c>
      <c r="V429" t="str">
        <f>VLOOKUP($W429,TBL_Categories,5,FALSE)</f>
        <v>None</v>
      </c>
      <c r="W429" t="str">
        <f t="shared" si="20"/>
        <v>Food &amp; Dining|Restaurants</v>
      </c>
    </row>
    <row r="430" spans="1:23" x14ac:dyDescent="0.25">
      <c r="A430" t="s">
        <v>296</v>
      </c>
      <c r="B430" s="5">
        <v>41921</v>
      </c>
      <c r="C430">
        <v>-12.1</v>
      </c>
      <c r="D430" t="s">
        <v>304</v>
      </c>
      <c r="E430" t="s">
        <v>1350</v>
      </c>
      <c r="F430" t="s">
        <v>1216</v>
      </c>
      <c r="G430" t="s">
        <v>410</v>
      </c>
      <c r="K430" t="s">
        <v>75</v>
      </c>
      <c r="L430" t="s">
        <v>1570</v>
      </c>
      <c r="O430" t="s">
        <v>1612</v>
      </c>
      <c r="Q430" t="str">
        <f t="shared" si="18"/>
        <v>Oct</v>
      </c>
      <c r="R430">
        <f t="shared" si="19"/>
        <v>2014</v>
      </c>
      <c r="S430" t="str">
        <f>VLOOKUP($W430,TBL_Categories,2,FALSE)</f>
        <v>Irregular</v>
      </c>
      <c r="T430">
        <f>VLOOKUP($W430,TBL_Categories,3,FALSE)</f>
        <v>0</v>
      </c>
      <c r="U430" t="str">
        <f>VLOOKUP($W430,TBL_Categories,4,FALSE)</f>
        <v>No</v>
      </c>
      <c r="V430" t="str">
        <f>VLOOKUP($W430,TBL_Categories,5,FALSE)</f>
        <v>None</v>
      </c>
      <c r="W430" t="str">
        <f t="shared" si="20"/>
        <v>Vacation|Transportation</v>
      </c>
    </row>
    <row r="431" spans="1:23" x14ac:dyDescent="0.25">
      <c r="A431" t="s">
        <v>296</v>
      </c>
      <c r="B431" s="5">
        <v>41921</v>
      </c>
      <c r="C431">
        <v>-36.49</v>
      </c>
      <c r="D431" t="s">
        <v>304</v>
      </c>
      <c r="E431" t="s">
        <v>705</v>
      </c>
      <c r="F431" t="s">
        <v>1216</v>
      </c>
      <c r="G431" t="s">
        <v>410</v>
      </c>
      <c r="K431" t="s">
        <v>75</v>
      </c>
      <c r="L431" t="s">
        <v>1570</v>
      </c>
      <c r="O431" t="s">
        <v>1612</v>
      </c>
      <c r="Q431" t="str">
        <f t="shared" si="18"/>
        <v>Oct</v>
      </c>
      <c r="R431">
        <f t="shared" si="19"/>
        <v>2014</v>
      </c>
      <c r="S431" t="str">
        <f>VLOOKUP($W431,TBL_Categories,2,FALSE)</f>
        <v>Irregular</v>
      </c>
      <c r="T431">
        <f>VLOOKUP($W431,TBL_Categories,3,FALSE)</f>
        <v>0</v>
      </c>
      <c r="U431" t="str">
        <f>VLOOKUP($W431,TBL_Categories,4,FALSE)</f>
        <v>No</v>
      </c>
      <c r="V431" t="str">
        <f>VLOOKUP($W431,TBL_Categories,5,FALSE)</f>
        <v>None</v>
      </c>
      <c r="W431" t="str">
        <f t="shared" si="20"/>
        <v>Vacation|Transportation</v>
      </c>
    </row>
    <row r="432" spans="1:23" x14ac:dyDescent="0.25">
      <c r="A432" t="s">
        <v>296</v>
      </c>
      <c r="B432" s="5">
        <v>41921</v>
      </c>
      <c r="C432">
        <v>-53.76</v>
      </c>
      <c r="D432" t="s">
        <v>304</v>
      </c>
      <c r="E432" t="s">
        <v>1351</v>
      </c>
      <c r="F432" t="s">
        <v>1216</v>
      </c>
      <c r="G432" t="s">
        <v>410</v>
      </c>
      <c r="K432" t="s">
        <v>75</v>
      </c>
      <c r="L432" t="s">
        <v>1570</v>
      </c>
      <c r="O432" t="s">
        <v>1612</v>
      </c>
      <c r="Q432" t="str">
        <f t="shared" si="18"/>
        <v>Oct</v>
      </c>
      <c r="R432">
        <f t="shared" si="19"/>
        <v>2014</v>
      </c>
      <c r="S432" t="str">
        <f>VLOOKUP($W432,TBL_Categories,2,FALSE)</f>
        <v>Irregular</v>
      </c>
      <c r="T432">
        <f>VLOOKUP($W432,TBL_Categories,3,FALSE)</f>
        <v>0</v>
      </c>
      <c r="U432" t="str">
        <f>VLOOKUP($W432,TBL_Categories,4,FALSE)</f>
        <v>No</v>
      </c>
      <c r="V432" t="str">
        <f>VLOOKUP($W432,TBL_Categories,5,FALSE)</f>
        <v>None</v>
      </c>
      <c r="W432" t="str">
        <f t="shared" si="20"/>
        <v>Vacation|Transportation</v>
      </c>
    </row>
    <row r="433" spans="1:23" x14ac:dyDescent="0.25">
      <c r="A433" t="s">
        <v>296</v>
      </c>
      <c r="B433" s="5">
        <v>41921</v>
      </c>
      <c r="C433">
        <v>-527.30999999999995</v>
      </c>
      <c r="D433" t="s">
        <v>304</v>
      </c>
      <c r="E433" t="s">
        <v>1220</v>
      </c>
      <c r="F433" t="s">
        <v>1216</v>
      </c>
      <c r="G433" t="s">
        <v>1270</v>
      </c>
      <c r="J433" t="s">
        <v>1550</v>
      </c>
      <c r="K433" t="s">
        <v>75</v>
      </c>
      <c r="L433" t="s">
        <v>1540</v>
      </c>
      <c r="O433" t="s">
        <v>1612</v>
      </c>
      <c r="Q433" t="str">
        <f t="shared" si="18"/>
        <v>Oct</v>
      </c>
      <c r="R433">
        <f t="shared" si="19"/>
        <v>2014</v>
      </c>
      <c r="S433" t="str">
        <f>VLOOKUP($W433,TBL_Categories,2,FALSE)</f>
        <v>Irregular</v>
      </c>
      <c r="T433">
        <f>VLOOKUP($W433,TBL_Categories,3,FALSE)</f>
        <v>0</v>
      </c>
      <c r="U433" t="str">
        <f>VLOOKUP($W433,TBL_Categories,4,FALSE)</f>
        <v>No</v>
      </c>
      <c r="V433" t="str">
        <f>VLOOKUP($W433,TBL_Categories,5,FALSE)</f>
        <v>None</v>
      </c>
      <c r="W433" t="str">
        <f t="shared" si="20"/>
        <v>Vacation|Lodging</v>
      </c>
    </row>
    <row r="434" spans="1:23" x14ac:dyDescent="0.25">
      <c r="A434" t="s">
        <v>284</v>
      </c>
      <c r="B434" s="5">
        <v>41920</v>
      </c>
      <c r="C434">
        <v>-65.599999999999994</v>
      </c>
      <c r="D434" t="s">
        <v>304</v>
      </c>
      <c r="E434" t="s">
        <v>831</v>
      </c>
      <c r="F434" t="s">
        <v>832</v>
      </c>
      <c r="G434" t="s">
        <v>425</v>
      </c>
      <c r="K434" t="s">
        <v>55</v>
      </c>
      <c r="L434" t="s">
        <v>1553</v>
      </c>
      <c r="Q434" t="str">
        <f t="shared" si="18"/>
        <v>Oct</v>
      </c>
      <c r="R434">
        <f t="shared" si="19"/>
        <v>2014</v>
      </c>
      <c r="S434" t="str">
        <f>VLOOKUP($W434,TBL_Categories,2,FALSE)</f>
        <v>Monthly</v>
      </c>
      <c r="T434">
        <f>VLOOKUP($W434,TBL_Categories,3,FALSE)</f>
        <v>0</v>
      </c>
      <c r="U434" t="str">
        <f>VLOOKUP($W434,TBL_Categories,4,FALSE)</f>
        <v>No</v>
      </c>
      <c r="V434" t="str">
        <f>VLOOKUP($W434,TBL_Categories,5,FALSE)</f>
        <v>None</v>
      </c>
      <c r="W434" t="str">
        <f t="shared" si="20"/>
        <v>Business Expenses (Koolikai)|Office Expenses (Business)</v>
      </c>
    </row>
    <row r="435" spans="1:23" x14ac:dyDescent="0.25">
      <c r="A435" t="s">
        <v>296</v>
      </c>
      <c r="B435" s="5">
        <v>41920</v>
      </c>
      <c r="C435">
        <v>-7.64</v>
      </c>
      <c r="D435" t="s">
        <v>304</v>
      </c>
      <c r="E435" t="s">
        <v>426</v>
      </c>
      <c r="F435" t="s">
        <v>1346</v>
      </c>
      <c r="G435" t="s">
        <v>1283</v>
      </c>
      <c r="J435" t="s">
        <v>1550</v>
      </c>
      <c r="K435" t="s">
        <v>75</v>
      </c>
      <c r="L435" t="s">
        <v>1589</v>
      </c>
      <c r="O435" t="s">
        <v>1612</v>
      </c>
      <c r="Q435" t="str">
        <f t="shared" si="18"/>
        <v>Oct</v>
      </c>
      <c r="R435">
        <f t="shared" si="19"/>
        <v>2014</v>
      </c>
      <c r="S435" t="str">
        <f>VLOOKUP($W435,TBL_Categories,2,FALSE)</f>
        <v>Irregular</v>
      </c>
      <c r="T435">
        <f>VLOOKUP($W435,TBL_Categories,3,FALSE)</f>
        <v>0</v>
      </c>
      <c r="U435" t="str">
        <f>VLOOKUP($W435,TBL_Categories,4,FALSE)</f>
        <v>No</v>
      </c>
      <c r="V435" t="str">
        <f>VLOOKUP($W435,TBL_Categories,5,FALSE)</f>
        <v>None</v>
      </c>
      <c r="W435" t="str">
        <f t="shared" si="20"/>
        <v>Vacation|Trinkets</v>
      </c>
    </row>
    <row r="436" spans="1:23" x14ac:dyDescent="0.25">
      <c r="A436" t="s">
        <v>296</v>
      </c>
      <c r="B436" s="5">
        <v>41920</v>
      </c>
      <c r="C436">
        <v>-10.97</v>
      </c>
      <c r="D436" t="s">
        <v>304</v>
      </c>
      <c r="E436" t="s">
        <v>1347</v>
      </c>
      <c r="F436" t="s">
        <v>1216</v>
      </c>
      <c r="G436" t="s">
        <v>1283</v>
      </c>
      <c r="J436" t="s">
        <v>1550</v>
      </c>
      <c r="K436" t="s">
        <v>75</v>
      </c>
      <c r="L436" t="s">
        <v>1589</v>
      </c>
      <c r="O436" t="s">
        <v>1612</v>
      </c>
      <c r="Q436" t="str">
        <f t="shared" si="18"/>
        <v>Oct</v>
      </c>
      <c r="R436">
        <f t="shared" si="19"/>
        <v>2014</v>
      </c>
      <c r="S436" t="str">
        <f>VLOOKUP($W436,TBL_Categories,2,FALSE)</f>
        <v>Irregular</v>
      </c>
      <c r="T436">
        <f>VLOOKUP($W436,TBL_Categories,3,FALSE)</f>
        <v>0</v>
      </c>
      <c r="U436" t="str">
        <f>VLOOKUP($W436,TBL_Categories,4,FALSE)</f>
        <v>No</v>
      </c>
      <c r="V436" t="str">
        <f>VLOOKUP($W436,TBL_Categories,5,FALSE)</f>
        <v>None</v>
      </c>
      <c r="W436" t="str">
        <f t="shared" si="20"/>
        <v>Vacation|Trinkets</v>
      </c>
    </row>
    <row r="437" spans="1:23" x14ac:dyDescent="0.25">
      <c r="A437" t="s">
        <v>296</v>
      </c>
      <c r="B437" s="5">
        <v>41920</v>
      </c>
      <c r="C437">
        <v>-11.98</v>
      </c>
      <c r="D437" t="s">
        <v>304</v>
      </c>
      <c r="E437" t="s">
        <v>1336</v>
      </c>
      <c r="F437" t="s">
        <v>1216</v>
      </c>
      <c r="G437" t="s">
        <v>599</v>
      </c>
      <c r="K437" t="s">
        <v>75</v>
      </c>
      <c r="L437" t="s">
        <v>1564</v>
      </c>
      <c r="O437" t="s">
        <v>1612</v>
      </c>
      <c r="Q437" t="str">
        <f t="shared" si="18"/>
        <v>Oct</v>
      </c>
      <c r="R437">
        <f t="shared" si="19"/>
        <v>2014</v>
      </c>
      <c r="S437" t="str">
        <f>VLOOKUP($W437,TBL_Categories,2,FALSE)</f>
        <v>Irregular</v>
      </c>
      <c r="T437">
        <f>VLOOKUP($W437,TBL_Categories,3,FALSE)</f>
        <v>0</v>
      </c>
      <c r="U437" t="str">
        <f>VLOOKUP($W437,TBL_Categories,4,FALSE)</f>
        <v>No</v>
      </c>
      <c r="V437" t="str">
        <f>VLOOKUP($W437,TBL_Categories,5,FALSE)</f>
        <v>None</v>
      </c>
      <c r="W437" t="str">
        <f t="shared" si="20"/>
        <v>Vacation|Food</v>
      </c>
    </row>
    <row r="438" spans="1:23" x14ac:dyDescent="0.25">
      <c r="A438" t="s">
        <v>296</v>
      </c>
      <c r="B438" s="5">
        <v>41920</v>
      </c>
      <c r="C438">
        <v>-13.46</v>
      </c>
      <c r="D438" t="s">
        <v>304</v>
      </c>
      <c r="E438" t="s">
        <v>1336</v>
      </c>
      <c r="F438" t="s">
        <v>1216</v>
      </c>
      <c r="G438" t="s">
        <v>599</v>
      </c>
      <c r="K438" t="s">
        <v>75</v>
      </c>
      <c r="L438" t="s">
        <v>1564</v>
      </c>
      <c r="O438" t="s">
        <v>1612</v>
      </c>
      <c r="Q438" t="str">
        <f t="shared" si="18"/>
        <v>Oct</v>
      </c>
      <c r="R438">
        <f t="shared" si="19"/>
        <v>2014</v>
      </c>
      <c r="S438" t="str">
        <f>VLOOKUP($W438,TBL_Categories,2,FALSE)</f>
        <v>Irregular</v>
      </c>
      <c r="T438">
        <f>VLOOKUP($W438,TBL_Categories,3,FALSE)</f>
        <v>0</v>
      </c>
      <c r="U438" t="str">
        <f>VLOOKUP($W438,TBL_Categories,4,FALSE)</f>
        <v>No</v>
      </c>
      <c r="V438" t="str">
        <f>VLOOKUP($W438,TBL_Categories,5,FALSE)</f>
        <v>None</v>
      </c>
      <c r="W438" t="str">
        <f t="shared" si="20"/>
        <v>Vacation|Food</v>
      </c>
    </row>
    <row r="439" spans="1:23" x14ac:dyDescent="0.25">
      <c r="A439" t="s">
        <v>296</v>
      </c>
      <c r="B439" s="5">
        <v>41920</v>
      </c>
      <c r="C439">
        <v>-52.99</v>
      </c>
      <c r="D439" t="s">
        <v>304</v>
      </c>
      <c r="E439" t="s">
        <v>1348</v>
      </c>
      <c r="F439" t="s">
        <v>1216</v>
      </c>
      <c r="G439" t="s">
        <v>599</v>
      </c>
      <c r="K439" t="s">
        <v>75</v>
      </c>
      <c r="L439" t="s">
        <v>1564</v>
      </c>
      <c r="O439" t="s">
        <v>1612</v>
      </c>
      <c r="Q439" t="str">
        <f t="shared" si="18"/>
        <v>Oct</v>
      </c>
      <c r="R439">
        <f t="shared" si="19"/>
        <v>2014</v>
      </c>
      <c r="S439" t="str">
        <f>VLOOKUP($W439,TBL_Categories,2,FALSE)</f>
        <v>Irregular</v>
      </c>
      <c r="T439">
        <f>VLOOKUP($W439,TBL_Categories,3,FALSE)</f>
        <v>0</v>
      </c>
      <c r="U439" t="str">
        <f>VLOOKUP($W439,TBL_Categories,4,FALSE)</f>
        <v>No</v>
      </c>
      <c r="V439" t="str">
        <f>VLOOKUP($W439,TBL_Categories,5,FALSE)</f>
        <v>None</v>
      </c>
      <c r="W439" t="str">
        <f t="shared" si="20"/>
        <v>Vacation|Food</v>
      </c>
    </row>
    <row r="440" spans="1:23" x14ac:dyDescent="0.25">
      <c r="A440" t="s">
        <v>284</v>
      </c>
      <c r="B440" s="5">
        <v>41919</v>
      </c>
      <c r="C440" s="4">
        <v>-3864.19</v>
      </c>
      <c r="D440" t="s">
        <v>304</v>
      </c>
      <c r="E440" t="s">
        <v>344</v>
      </c>
      <c r="F440" t="s">
        <v>349</v>
      </c>
      <c r="G440" t="s">
        <v>320</v>
      </c>
      <c r="K440" t="s">
        <v>63</v>
      </c>
      <c r="L440" t="s">
        <v>1526</v>
      </c>
      <c r="Q440" t="str">
        <f t="shared" si="18"/>
        <v>Oct</v>
      </c>
      <c r="R440">
        <f t="shared" si="19"/>
        <v>2014</v>
      </c>
      <c r="S440" t="str">
        <f>VLOOKUP($W440,TBL_Categories,2,FALSE)</f>
        <v>Monthly</v>
      </c>
      <c r="T440">
        <f>VLOOKUP($W440,TBL_Categories,3,FALSE)</f>
        <v>0</v>
      </c>
      <c r="U440" t="str">
        <f>VLOOKUP($W440,TBL_Categories,4,FALSE)</f>
        <v>No</v>
      </c>
      <c r="V440" t="str">
        <f>VLOOKUP($W440,TBL_Categories,5,FALSE)</f>
        <v>None</v>
      </c>
      <c r="W440" t="str">
        <f t="shared" si="20"/>
        <v>Home|Mortgage</v>
      </c>
    </row>
    <row r="441" spans="1:23" x14ac:dyDescent="0.25">
      <c r="A441" t="s">
        <v>296</v>
      </c>
      <c r="B441" s="5">
        <v>41919</v>
      </c>
      <c r="C441">
        <v>-18.899999999999999</v>
      </c>
      <c r="D441" t="s">
        <v>304</v>
      </c>
      <c r="E441" t="s">
        <v>1340</v>
      </c>
      <c r="F441" t="s">
        <v>1216</v>
      </c>
      <c r="G441" t="s">
        <v>599</v>
      </c>
      <c r="K441" t="s">
        <v>75</v>
      </c>
      <c r="L441" t="s">
        <v>1564</v>
      </c>
      <c r="O441" t="s">
        <v>1612</v>
      </c>
      <c r="Q441" t="str">
        <f t="shared" si="18"/>
        <v>Oct</v>
      </c>
      <c r="R441">
        <f t="shared" si="19"/>
        <v>2014</v>
      </c>
      <c r="S441" t="str">
        <f>VLOOKUP($W441,TBL_Categories,2,FALSE)</f>
        <v>Irregular</v>
      </c>
      <c r="T441">
        <f>VLOOKUP($W441,TBL_Categories,3,FALSE)</f>
        <v>0</v>
      </c>
      <c r="U441" t="str">
        <f>VLOOKUP($W441,TBL_Categories,4,FALSE)</f>
        <v>No</v>
      </c>
      <c r="V441" t="str">
        <f>VLOOKUP($W441,TBL_Categories,5,FALSE)</f>
        <v>None</v>
      </c>
      <c r="W441" t="str">
        <f t="shared" si="20"/>
        <v>Vacation|Food</v>
      </c>
    </row>
    <row r="442" spans="1:23" x14ac:dyDescent="0.25">
      <c r="A442" t="s">
        <v>296</v>
      </c>
      <c r="B442" s="5">
        <v>41919</v>
      </c>
      <c r="C442">
        <v>-54.02</v>
      </c>
      <c r="D442" t="s">
        <v>304</v>
      </c>
      <c r="E442" t="s">
        <v>1341</v>
      </c>
      <c r="F442" t="s">
        <v>1216</v>
      </c>
      <c r="G442" t="s">
        <v>599</v>
      </c>
      <c r="K442" t="s">
        <v>75</v>
      </c>
      <c r="L442" t="s">
        <v>1564</v>
      </c>
      <c r="O442" t="s">
        <v>1612</v>
      </c>
      <c r="Q442" t="str">
        <f t="shared" si="18"/>
        <v>Oct</v>
      </c>
      <c r="R442">
        <f t="shared" si="19"/>
        <v>2014</v>
      </c>
      <c r="S442" t="str">
        <f>VLOOKUP($W442,TBL_Categories,2,FALSE)</f>
        <v>Irregular</v>
      </c>
      <c r="T442">
        <f>VLOOKUP($W442,TBL_Categories,3,FALSE)</f>
        <v>0</v>
      </c>
      <c r="U442" t="str">
        <f>VLOOKUP($W442,TBL_Categories,4,FALSE)</f>
        <v>No</v>
      </c>
      <c r="V442" t="str">
        <f>VLOOKUP($W442,TBL_Categories,5,FALSE)</f>
        <v>None</v>
      </c>
      <c r="W442" t="str">
        <f t="shared" si="20"/>
        <v>Vacation|Food</v>
      </c>
    </row>
    <row r="443" spans="1:23" x14ac:dyDescent="0.25">
      <c r="A443" t="s">
        <v>296</v>
      </c>
      <c r="B443" s="5">
        <v>41919</v>
      </c>
      <c r="C443">
        <v>-67.900000000000006</v>
      </c>
      <c r="D443" t="s">
        <v>304</v>
      </c>
      <c r="E443" t="s">
        <v>1342</v>
      </c>
      <c r="F443" t="s">
        <v>1216</v>
      </c>
      <c r="G443" t="s">
        <v>599</v>
      </c>
      <c r="K443" t="s">
        <v>75</v>
      </c>
      <c r="L443" t="s">
        <v>1564</v>
      </c>
      <c r="O443" t="s">
        <v>1612</v>
      </c>
      <c r="Q443" t="str">
        <f t="shared" si="18"/>
        <v>Oct</v>
      </c>
      <c r="R443">
        <f t="shared" si="19"/>
        <v>2014</v>
      </c>
      <c r="S443" t="str">
        <f>VLOOKUP($W443,TBL_Categories,2,FALSE)</f>
        <v>Irregular</v>
      </c>
      <c r="T443">
        <f>VLOOKUP($W443,TBL_Categories,3,FALSE)</f>
        <v>0</v>
      </c>
      <c r="U443" t="str">
        <f>VLOOKUP($W443,TBL_Categories,4,FALSE)</f>
        <v>No</v>
      </c>
      <c r="V443" t="str">
        <f>VLOOKUP($W443,TBL_Categories,5,FALSE)</f>
        <v>None</v>
      </c>
      <c r="W443" t="str">
        <f t="shared" si="20"/>
        <v>Vacation|Food</v>
      </c>
    </row>
    <row r="444" spans="1:23" x14ac:dyDescent="0.25">
      <c r="A444" t="s">
        <v>296</v>
      </c>
      <c r="B444" s="5">
        <v>41919</v>
      </c>
      <c r="C444">
        <v>-114</v>
      </c>
      <c r="D444" t="s">
        <v>304</v>
      </c>
      <c r="E444" t="s">
        <v>1343</v>
      </c>
      <c r="F444" t="s">
        <v>1344</v>
      </c>
      <c r="G444" t="s">
        <v>1345</v>
      </c>
      <c r="J444" t="s">
        <v>1550</v>
      </c>
      <c r="K444" t="s">
        <v>75</v>
      </c>
      <c r="L444" t="s">
        <v>1567</v>
      </c>
      <c r="O444" t="s">
        <v>1612</v>
      </c>
      <c r="Q444" t="str">
        <f t="shared" si="18"/>
        <v>Oct</v>
      </c>
      <c r="R444">
        <f t="shared" si="19"/>
        <v>2014</v>
      </c>
      <c r="S444" t="str">
        <f>VLOOKUP($W444,TBL_Categories,2,FALSE)</f>
        <v>Irregular</v>
      </c>
      <c r="T444">
        <f>VLOOKUP($W444,TBL_Categories,3,FALSE)</f>
        <v>0</v>
      </c>
      <c r="U444" t="str">
        <f>VLOOKUP($W444,TBL_Categories,4,FALSE)</f>
        <v>No</v>
      </c>
      <c r="V444" t="str">
        <f>VLOOKUP($W444,TBL_Categories,5,FALSE)</f>
        <v>None</v>
      </c>
      <c r="W444" t="str">
        <f t="shared" si="20"/>
        <v>Vacation|Activities</v>
      </c>
    </row>
    <row r="445" spans="1:23" x14ac:dyDescent="0.25">
      <c r="A445" t="s">
        <v>284</v>
      </c>
      <c r="B445" s="5">
        <v>41918</v>
      </c>
      <c r="C445">
        <v>-98.42</v>
      </c>
      <c r="D445" t="s">
        <v>304</v>
      </c>
      <c r="E445" t="s">
        <v>828</v>
      </c>
      <c r="F445" t="s">
        <v>829</v>
      </c>
      <c r="G445" t="s">
        <v>830</v>
      </c>
      <c r="K445" t="s">
        <v>830</v>
      </c>
      <c r="Q445" t="str">
        <f t="shared" si="18"/>
        <v>Oct</v>
      </c>
      <c r="R445">
        <f t="shared" si="19"/>
        <v>2014</v>
      </c>
      <c r="S445" t="e">
        <f>VLOOKUP($W445,TBL_Categories,2,FALSE)</f>
        <v>#N/A</v>
      </c>
      <c r="T445" t="e">
        <f>VLOOKUP($W445,TBL_Categories,3,FALSE)</f>
        <v>#N/A</v>
      </c>
      <c r="U445" t="e">
        <f>VLOOKUP($W445,TBL_Categories,4,FALSE)</f>
        <v>#N/A</v>
      </c>
      <c r="V445" t="e">
        <f>VLOOKUP($W445,TBL_Categories,5,FALSE)</f>
        <v>#N/A</v>
      </c>
      <c r="W445" t="str">
        <f t="shared" si="20"/>
        <v>[Chase Amazon (XX8482)]</v>
      </c>
    </row>
    <row r="446" spans="1:23" x14ac:dyDescent="0.25">
      <c r="A446" t="s">
        <v>760</v>
      </c>
      <c r="B446" s="5">
        <v>41918</v>
      </c>
      <c r="C446">
        <v>98.42</v>
      </c>
      <c r="D446" t="s">
        <v>304</v>
      </c>
      <c r="E446" t="s">
        <v>828</v>
      </c>
      <c r="F446" t="s">
        <v>829</v>
      </c>
      <c r="G446" t="s">
        <v>9</v>
      </c>
      <c r="K446" t="s">
        <v>9</v>
      </c>
      <c r="Q446" t="str">
        <f t="shared" si="18"/>
        <v>Oct</v>
      </c>
      <c r="R446">
        <f t="shared" si="19"/>
        <v>2014</v>
      </c>
      <c r="S446" t="str">
        <f>VLOOKUP($W446,TBL_Categories,2,FALSE)</f>
        <v>Account</v>
      </c>
      <c r="T446">
        <f>VLOOKUP($W446,TBL_Categories,3,FALSE)</f>
        <v>0</v>
      </c>
      <c r="U446" t="str">
        <f>VLOOKUP($W446,TBL_Categories,4,FALSE)</f>
        <v>No</v>
      </c>
      <c r="V446" t="str">
        <f>VLOOKUP($W446,TBL_Categories,5,FALSE)</f>
        <v>None</v>
      </c>
      <c r="W446" t="str">
        <f t="shared" si="20"/>
        <v>[First Tech - Checking (5544)]</v>
      </c>
    </row>
    <row r="447" spans="1:23" x14ac:dyDescent="0.25">
      <c r="A447" t="s">
        <v>296</v>
      </c>
      <c r="B447" s="5">
        <v>41918</v>
      </c>
      <c r="C447">
        <v>-4.95</v>
      </c>
      <c r="D447" t="s">
        <v>304</v>
      </c>
      <c r="E447" t="s">
        <v>1336</v>
      </c>
      <c r="F447" t="s">
        <v>1216</v>
      </c>
      <c r="G447" t="s">
        <v>599</v>
      </c>
      <c r="K447" t="s">
        <v>75</v>
      </c>
      <c r="L447" t="s">
        <v>1564</v>
      </c>
      <c r="O447" t="s">
        <v>1612</v>
      </c>
      <c r="Q447" t="str">
        <f t="shared" si="18"/>
        <v>Oct</v>
      </c>
      <c r="R447">
        <f t="shared" si="19"/>
        <v>2014</v>
      </c>
      <c r="S447" t="str">
        <f>VLOOKUP($W447,TBL_Categories,2,FALSE)</f>
        <v>Irregular</v>
      </c>
      <c r="T447">
        <f>VLOOKUP($W447,TBL_Categories,3,FALSE)</f>
        <v>0</v>
      </c>
      <c r="U447" t="str">
        <f>VLOOKUP($W447,TBL_Categories,4,FALSE)</f>
        <v>No</v>
      </c>
      <c r="V447" t="str">
        <f>VLOOKUP($W447,TBL_Categories,5,FALSE)</f>
        <v>None</v>
      </c>
      <c r="W447" t="str">
        <f t="shared" si="20"/>
        <v>Vacation|Food</v>
      </c>
    </row>
    <row r="448" spans="1:23" x14ac:dyDescent="0.25">
      <c r="A448" t="s">
        <v>296</v>
      </c>
      <c r="B448" s="5">
        <v>41918</v>
      </c>
      <c r="C448">
        <v>-6.4</v>
      </c>
      <c r="D448" t="s">
        <v>304</v>
      </c>
      <c r="E448" t="s">
        <v>1336</v>
      </c>
      <c r="F448" t="s">
        <v>1216</v>
      </c>
      <c r="G448" t="s">
        <v>599</v>
      </c>
      <c r="K448" t="s">
        <v>75</v>
      </c>
      <c r="L448" t="s">
        <v>1564</v>
      </c>
      <c r="O448" t="s">
        <v>1612</v>
      </c>
      <c r="Q448" t="str">
        <f t="shared" si="18"/>
        <v>Oct</v>
      </c>
      <c r="R448">
        <f t="shared" si="19"/>
        <v>2014</v>
      </c>
      <c r="S448" t="str">
        <f>VLOOKUP($W448,TBL_Categories,2,FALSE)</f>
        <v>Irregular</v>
      </c>
      <c r="T448">
        <f>VLOOKUP($W448,TBL_Categories,3,FALSE)</f>
        <v>0</v>
      </c>
      <c r="U448" t="str">
        <f>VLOOKUP($W448,TBL_Categories,4,FALSE)</f>
        <v>No</v>
      </c>
      <c r="V448" t="str">
        <f>VLOOKUP($W448,TBL_Categories,5,FALSE)</f>
        <v>None</v>
      </c>
      <c r="W448" t="str">
        <f t="shared" si="20"/>
        <v>Vacation|Food</v>
      </c>
    </row>
    <row r="449" spans="1:23" x14ac:dyDescent="0.25">
      <c r="A449" t="s">
        <v>296</v>
      </c>
      <c r="B449" s="5">
        <v>41918</v>
      </c>
      <c r="C449">
        <v>-6.53</v>
      </c>
      <c r="D449" t="s">
        <v>304</v>
      </c>
      <c r="E449" t="s">
        <v>1337</v>
      </c>
      <c r="F449" t="s">
        <v>1216</v>
      </c>
      <c r="G449" t="s">
        <v>1283</v>
      </c>
      <c r="J449" t="s">
        <v>1550</v>
      </c>
      <c r="K449" t="s">
        <v>75</v>
      </c>
      <c r="L449" t="s">
        <v>1589</v>
      </c>
      <c r="O449" t="s">
        <v>1612</v>
      </c>
      <c r="Q449" t="str">
        <f t="shared" si="18"/>
        <v>Oct</v>
      </c>
      <c r="R449">
        <f t="shared" si="19"/>
        <v>2014</v>
      </c>
      <c r="S449" t="str">
        <f>VLOOKUP($W449,TBL_Categories,2,FALSE)</f>
        <v>Irregular</v>
      </c>
      <c r="T449">
        <f>VLOOKUP($W449,TBL_Categories,3,FALSE)</f>
        <v>0</v>
      </c>
      <c r="U449" t="str">
        <f>VLOOKUP($W449,TBL_Categories,4,FALSE)</f>
        <v>No</v>
      </c>
      <c r="V449" t="str">
        <f>VLOOKUP($W449,TBL_Categories,5,FALSE)</f>
        <v>None</v>
      </c>
      <c r="W449" t="str">
        <f t="shared" si="20"/>
        <v>Vacation|Trinkets</v>
      </c>
    </row>
    <row r="450" spans="1:23" x14ac:dyDescent="0.25">
      <c r="A450" t="s">
        <v>296</v>
      </c>
      <c r="B450" s="5">
        <v>41918</v>
      </c>
      <c r="C450">
        <v>-28.53</v>
      </c>
      <c r="D450" t="s">
        <v>304</v>
      </c>
      <c r="E450" t="s">
        <v>1338</v>
      </c>
      <c r="F450" t="s">
        <v>1216</v>
      </c>
      <c r="G450" t="s">
        <v>1283</v>
      </c>
      <c r="J450" t="s">
        <v>1550</v>
      </c>
      <c r="K450" t="s">
        <v>75</v>
      </c>
      <c r="L450" t="s">
        <v>1589</v>
      </c>
      <c r="O450" t="s">
        <v>1612</v>
      </c>
      <c r="Q450" t="str">
        <f t="shared" ref="Q450:Q513" si="21">TEXT($B450,"MMM")</f>
        <v>Oct</v>
      </c>
      <c r="R450">
        <f t="shared" ref="R450:R513" si="22">YEAR($B450)</f>
        <v>2014</v>
      </c>
      <c r="S450" t="str">
        <f>VLOOKUP($W450,TBL_Categories,2,FALSE)</f>
        <v>Irregular</v>
      </c>
      <c r="T450">
        <f>VLOOKUP($W450,TBL_Categories,3,FALSE)</f>
        <v>0</v>
      </c>
      <c r="U450" t="str">
        <f>VLOOKUP($W450,TBL_Categories,4,FALSE)</f>
        <v>No</v>
      </c>
      <c r="V450" t="str">
        <f>VLOOKUP($W450,TBL_Categories,5,FALSE)</f>
        <v>None</v>
      </c>
      <c r="W450" t="str">
        <f t="shared" ref="W450:W513" si="23">IF(ISBLANK($L450),$K450,CONCATENATE($K450,"|",$L450))</f>
        <v>Vacation|Trinkets</v>
      </c>
    </row>
    <row r="451" spans="1:23" x14ac:dyDescent="0.25">
      <c r="A451" t="s">
        <v>296</v>
      </c>
      <c r="B451" s="5">
        <v>41918</v>
      </c>
      <c r="C451">
        <v>-30.67</v>
      </c>
      <c r="D451" t="s">
        <v>304</v>
      </c>
      <c r="E451" t="s">
        <v>1337</v>
      </c>
      <c r="F451" t="s">
        <v>1216</v>
      </c>
      <c r="G451" t="s">
        <v>1283</v>
      </c>
      <c r="J451" t="s">
        <v>1550</v>
      </c>
      <c r="K451" t="s">
        <v>75</v>
      </c>
      <c r="L451" t="s">
        <v>1589</v>
      </c>
      <c r="O451" t="s">
        <v>1612</v>
      </c>
      <c r="Q451" t="str">
        <f t="shared" si="21"/>
        <v>Oct</v>
      </c>
      <c r="R451">
        <f t="shared" si="22"/>
        <v>2014</v>
      </c>
      <c r="S451" t="str">
        <f>VLOOKUP($W451,TBL_Categories,2,FALSE)</f>
        <v>Irregular</v>
      </c>
      <c r="T451">
        <f>VLOOKUP($W451,TBL_Categories,3,FALSE)</f>
        <v>0</v>
      </c>
      <c r="U451" t="str">
        <f>VLOOKUP($W451,TBL_Categories,4,FALSE)</f>
        <v>No</v>
      </c>
      <c r="V451" t="str">
        <f>VLOOKUP($W451,TBL_Categories,5,FALSE)</f>
        <v>None</v>
      </c>
      <c r="W451" t="str">
        <f t="shared" si="23"/>
        <v>Vacation|Trinkets</v>
      </c>
    </row>
    <row r="452" spans="1:23" x14ac:dyDescent="0.25">
      <c r="A452" t="s">
        <v>296</v>
      </c>
      <c r="B452" s="5">
        <v>41918</v>
      </c>
      <c r="C452">
        <v>-40.53</v>
      </c>
      <c r="D452" t="s">
        <v>304</v>
      </c>
      <c r="E452" t="s">
        <v>1339</v>
      </c>
      <c r="F452" t="s">
        <v>1216</v>
      </c>
      <c r="G452" t="s">
        <v>609</v>
      </c>
      <c r="K452" t="s">
        <v>75</v>
      </c>
      <c r="L452" t="s">
        <v>1589</v>
      </c>
      <c r="O452" t="s">
        <v>1612</v>
      </c>
      <c r="Q452" t="str">
        <f t="shared" si="21"/>
        <v>Oct</v>
      </c>
      <c r="R452">
        <f t="shared" si="22"/>
        <v>2014</v>
      </c>
      <c r="S452" t="str">
        <f>VLOOKUP($W452,TBL_Categories,2,FALSE)</f>
        <v>Irregular</v>
      </c>
      <c r="T452">
        <f>VLOOKUP($W452,TBL_Categories,3,FALSE)</f>
        <v>0</v>
      </c>
      <c r="U452" t="str">
        <f>VLOOKUP($W452,TBL_Categories,4,FALSE)</f>
        <v>No</v>
      </c>
      <c r="V452" t="str">
        <f>VLOOKUP($W452,TBL_Categories,5,FALSE)</f>
        <v>None</v>
      </c>
      <c r="W452" t="str">
        <f t="shared" si="23"/>
        <v>Vacation|Trinkets</v>
      </c>
    </row>
    <row r="453" spans="1:23" x14ac:dyDescent="0.25">
      <c r="A453" t="s">
        <v>763</v>
      </c>
      <c r="B453" s="5">
        <v>41918</v>
      </c>
      <c r="C453">
        <v>28.8</v>
      </c>
      <c r="D453" t="s">
        <v>1497</v>
      </c>
      <c r="F453" t="s">
        <v>1498</v>
      </c>
      <c r="H453" t="s">
        <v>1499</v>
      </c>
      <c r="Q453" t="str">
        <f t="shared" si="21"/>
        <v>Oct</v>
      </c>
      <c r="R453">
        <f t="shared" si="22"/>
        <v>2014</v>
      </c>
      <c r="S453" t="e">
        <f>VLOOKUP($W453,TBL_Categories,2,FALSE)</f>
        <v>#N/A</v>
      </c>
      <c r="T453" t="e">
        <f>VLOOKUP($W453,TBL_Categories,3,FALSE)</f>
        <v>#N/A</v>
      </c>
      <c r="U453" t="e">
        <f>VLOOKUP($W453,TBL_Categories,4,FALSE)</f>
        <v>#N/A</v>
      </c>
      <c r="V453" t="e">
        <f>VLOOKUP($W453,TBL_Categories,5,FALSE)</f>
        <v>#N/A</v>
      </c>
      <c r="W453">
        <f t="shared" si="23"/>
        <v>0</v>
      </c>
    </row>
    <row r="454" spans="1:23" x14ac:dyDescent="0.25">
      <c r="A454" t="s">
        <v>296</v>
      </c>
      <c r="B454" s="5">
        <v>41917</v>
      </c>
      <c r="C454">
        <v>-8.89</v>
      </c>
      <c r="D454" t="s">
        <v>304</v>
      </c>
      <c r="E454" t="s">
        <v>679</v>
      </c>
      <c r="G454" t="s">
        <v>333</v>
      </c>
      <c r="K454" t="s">
        <v>61</v>
      </c>
      <c r="L454" t="s">
        <v>1530</v>
      </c>
      <c r="Q454" t="str">
        <f t="shared" si="21"/>
        <v>Oct</v>
      </c>
      <c r="R454">
        <f t="shared" si="22"/>
        <v>2014</v>
      </c>
      <c r="S454" t="str">
        <f>VLOOKUP($W454,TBL_Categories,2,FALSE)</f>
        <v>Monthly</v>
      </c>
      <c r="T454">
        <f>VLOOKUP($W454,TBL_Categories,3,FALSE)</f>
        <v>0</v>
      </c>
      <c r="U454" t="str">
        <f>VLOOKUP($W454,TBL_Categories,4,FALSE)</f>
        <v>No</v>
      </c>
      <c r="V454" t="str">
        <f>VLOOKUP($W454,TBL_Categories,5,FALSE)</f>
        <v>None</v>
      </c>
      <c r="W454" t="str">
        <f t="shared" si="23"/>
        <v>Food &amp; Dining|Restaurants</v>
      </c>
    </row>
    <row r="455" spans="1:23" x14ac:dyDescent="0.25">
      <c r="A455" t="s">
        <v>296</v>
      </c>
      <c r="B455" s="5">
        <v>41917</v>
      </c>
      <c r="C455">
        <v>-13.16</v>
      </c>
      <c r="D455" t="s">
        <v>304</v>
      </c>
      <c r="E455" t="s">
        <v>1331</v>
      </c>
      <c r="F455" t="s">
        <v>1332</v>
      </c>
      <c r="G455" t="s">
        <v>1283</v>
      </c>
      <c r="J455" t="s">
        <v>1550</v>
      </c>
      <c r="K455" t="s">
        <v>75</v>
      </c>
      <c r="L455" t="s">
        <v>1589</v>
      </c>
      <c r="O455" t="s">
        <v>1612</v>
      </c>
      <c r="Q455" t="str">
        <f t="shared" si="21"/>
        <v>Oct</v>
      </c>
      <c r="R455">
        <f t="shared" si="22"/>
        <v>2014</v>
      </c>
      <c r="S455" t="str">
        <f>VLOOKUP($W455,TBL_Categories,2,FALSE)</f>
        <v>Irregular</v>
      </c>
      <c r="T455">
        <f>VLOOKUP($W455,TBL_Categories,3,FALSE)</f>
        <v>0</v>
      </c>
      <c r="U455" t="str">
        <f>VLOOKUP($W455,TBL_Categories,4,FALSE)</f>
        <v>No</v>
      </c>
      <c r="V455" t="str">
        <f>VLOOKUP($W455,TBL_Categories,5,FALSE)</f>
        <v>None</v>
      </c>
      <c r="W455" t="str">
        <f t="shared" si="23"/>
        <v>Vacation|Trinkets</v>
      </c>
    </row>
    <row r="456" spans="1:23" x14ac:dyDescent="0.25">
      <c r="A456" t="s">
        <v>296</v>
      </c>
      <c r="B456" s="5">
        <v>41917</v>
      </c>
      <c r="C456">
        <v>-25.12</v>
      </c>
      <c r="D456" t="s">
        <v>304</v>
      </c>
      <c r="E456" t="s">
        <v>1333</v>
      </c>
      <c r="F456" t="s">
        <v>1216</v>
      </c>
      <c r="G456" t="s">
        <v>599</v>
      </c>
      <c r="K456" t="s">
        <v>75</v>
      </c>
      <c r="L456" t="s">
        <v>1564</v>
      </c>
      <c r="O456" t="s">
        <v>1612</v>
      </c>
      <c r="Q456" t="str">
        <f t="shared" si="21"/>
        <v>Oct</v>
      </c>
      <c r="R456">
        <f t="shared" si="22"/>
        <v>2014</v>
      </c>
      <c r="S456" t="str">
        <f>VLOOKUP($W456,TBL_Categories,2,FALSE)</f>
        <v>Irregular</v>
      </c>
      <c r="T456">
        <f>VLOOKUP($W456,TBL_Categories,3,FALSE)</f>
        <v>0</v>
      </c>
      <c r="U456" t="str">
        <f>VLOOKUP($W456,TBL_Categories,4,FALSE)</f>
        <v>No</v>
      </c>
      <c r="V456" t="str">
        <f>VLOOKUP($W456,TBL_Categories,5,FALSE)</f>
        <v>None</v>
      </c>
      <c r="W456" t="str">
        <f t="shared" si="23"/>
        <v>Vacation|Food</v>
      </c>
    </row>
    <row r="457" spans="1:23" x14ac:dyDescent="0.25">
      <c r="A457" t="s">
        <v>296</v>
      </c>
      <c r="B457" s="5">
        <v>41917</v>
      </c>
      <c r="C457">
        <v>-35.75</v>
      </c>
      <c r="D457" t="s">
        <v>304</v>
      </c>
      <c r="E457" t="s">
        <v>1334</v>
      </c>
      <c r="F457" t="s">
        <v>1216</v>
      </c>
      <c r="G457" t="s">
        <v>972</v>
      </c>
      <c r="J457" t="s">
        <v>1550</v>
      </c>
      <c r="K457" t="s">
        <v>75</v>
      </c>
      <c r="L457" t="s">
        <v>1564</v>
      </c>
      <c r="O457" t="s">
        <v>1612</v>
      </c>
      <c r="Q457" t="str">
        <f t="shared" si="21"/>
        <v>Oct</v>
      </c>
      <c r="R457">
        <f t="shared" si="22"/>
        <v>2014</v>
      </c>
      <c r="S457" t="str">
        <f>VLOOKUP($W457,TBL_Categories,2,FALSE)</f>
        <v>Irregular</v>
      </c>
      <c r="T457">
        <f>VLOOKUP($W457,TBL_Categories,3,FALSE)</f>
        <v>0</v>
      </c>
      <c r="U457" t="str">
        <f>VLOOKUP($W457,TBL_Categories,4,FALSE)</f>
        <v>No</v>
      </c>
      <c r="V457" t="str">
        <f>VLOOKUP($W457,TBL_Categories,5,FALSE)</f>
        <v>None</v>
      </c>
      <c r="W457" t="str">
        <f t="shared" si="23"/>
        <v>Vacation|Food</v>
      </c>
    </row>
    <row r="458" spans="1:23" x14ac:dyDescent="0.25">
      <c r="A458" t="s">
        <v>296</v>
      </c>
      <c r="B458" s="5">
        <v>41917</v>
      </c>
      <c r="C458">
        <v>-41.5</v>
      </c>
      <c r="D458" t="s">
        <v>304</v>
      </c>
      <c r="E458" t="s">
        <v>1335</v>
      </c>
      <c r="F458" t="s">
        <v>1216</v>
      </c>
      <c r="G458" t="s">
        <v>599</v>
      </c>
      <c r="K458" t="s">
        <v>75</v>
      </c>
      <c r="L458" t="s">
        <v>1564</v>
      </c>
      <c r="O458" t="s">
        <v>1612</v>
      </c>
      <c r="Q458" t="str">
        <f t="shared" si="21"/>
        <v>Oct</v>
      </c>
      <c r="R458">
        <f t="shared" si="22"/>
        <v>2014</v>
      </c>
      <c r="S458" t="str">
        <f>VLOOKUP($W458,TBL_Categories,2,FALSE)</f>
        <v>Irregular</v>
      </c>
      <c r="T458">
        <f>VLOOKUP($W458,TBL_Categories,3,FALSE)</f>
        <v>0</v>
      </c>
      <c r="U458" t="str">
        <f>VLOOKUP($W458,TBL_Categories,4,FALSE)</f>
        <v>No</v>
      </c>
      <c r="V458" t="str">
        <f>VLOOKUP($W458,TBL_Categories,5,FALSE)</f>
        <v>None</v>
      </c>
      <c r="W458" t="str">
        <f t="shared" si="23"/>
        <v>Vacation|Food</v>
      </c>
    </row>
    <row r="459" spans="1:23" x14ac:dyDescent="0.25">
      <c r="A459" t="s">
        <v>296</v>
      </c>
      <c r="B459" s="5">
        <v>41916</v>
      </c>
      <c r="C459">
        <v>-20</v>
      </c>
      <c r="D459" t="s">
        <v>304</v>
      </c>
      <c r="E459" t="s">
        <v>1026</v>
      </c>
      <c r="F459" t="s">
        <v>1658</v>
      </c>
      <c r="G459" t="s">
        <v>333</v>
      </c>
      <c r="K459" t="s">
        <v>61</v>
      </c>
      <c r="L459" t="s">
        <v>1530</v>
      </c>
      <c r="Q459" t="str">
        <f t="shared" si="21"/>
        <v>Oct</v>
      </c>
      <c r="R459">
        <f t="shared" si="22"/>
        <v>2014</v>
      </c>
      <c r="S459" t="str">
        <f>VLOOKUP($W459,TBL_Categories,2,FALSE)</f>
        <v>Monthly</v>
      </c>
      <c r="T459">
        <f>VLOOKUP($W459,TBL_Categories,3,FALSE)</f>
        <v>0</v>
      </c>
      <c r="U459" t="str">
        <f>VLOOKUP($W459,TBL_Categories,4,FALSE)</f>
        <v>No</v>
      </c>
      <c r="V459" t="str">
        <f>VLOOKUP($W459,TBL_Categories,5,FALSE)</f>
        <v>None</v>
      </c>
      <c r="W459" t="str">
        <f t="shared" si="23"/>
        <v>Food &amp; Dining|Restaurants</v>
      </c>
    </row>
    <row r="460" spans="1:23" x14ac:dyDescent="0.25">
      <c r="A460" t="s">
        <v>296</v>
      </c>
      <c r="B460" s="5">
        <v>41916</v>
      </c>
      <c r="C460">
        <v>-20.76</v>
      </c>
      <c r="D460" t="s">
        <v>304</v>
      </c>
      <c r="E460" t="s">
        <v>1329</v>
      </c>
      <c r="F460" t="s">
        <v>1330</v>
      </c>
      <c r="G460" t="s">
        <v>409</v>
      </c>
      <c r="K460" t="s">
        <v>52</v>
      </c>
      <c r="L460" t="s">
        <v>1568</v>
      </c>
      <c r="Q460" t="str">
        <f t="shared" si="21"/>
        <v>Oct</v>
      </c>
      <c r="R460">
        <f t="shared" si="22"/>
        <v>2014</v>
      </c>
      <c r="S460" t="str">
        <f>VLOOKUP($W460,TBL_Categories,2,FALSE)</f>
        <v>Monthly</v>
      </c>
      <c r="T460">
        <f>VLOOKUP($W460,TBL_Categories,3,FALSE)</f>
        <v>0</v>
      </c>
      <c r="U460" t="str">
        <f>VLOOKUP($W460,TBL_Categories,4,FALSE)</f>
        <v>No</v>
      </c>
      <c r="V460" t="str">
        <f>VLOOKUP($W460,TBL_Categories,5,FALSE)</f>
        <v>None</v>
      </c>
      <c r="W460" t="str">
        <f t="shared" si="23"/>
        <v>Auto &amp; Transport|Gas &amp; Fuel</v>
      </c>
    </row>
    <row r="461" spans="1:23" x14ac:dyDescent="0.25">
      <c r="A461" t="s">
        <v>296</v>
      </c>
      <c r="B461" s="5">
        <v>41916</v>
      </c>
      <c r="C461">
        <v>-40.659999999999997</v>
      </c>
      <c r="D461" t="s">
        <v>304</v>
      </c>
      <c r="E461" t="s">
        <v>705</v>
      </c>
      <c r="G461" t="s">
        <v>409</v>
      </c>
      <c r="K461" t="s">
        <v>52</v>
      </c>
      <c r="L461" t="s">
        <v>1568</v>
      </c>
      <c r="Q461" t="str">
        <f t="shared" si="21"/>
        <v>Oct</v>
      </c>
      <c r="R461">
        <f t="shared" si="22"/>
        <v>2014</v>
      </c>
      <c r="S461" t="str">
        <f>VLOOKUP($W461,TBL_Categories,2,FALSE)</f>
        <v>Monthly</v>
      </c>
      <c r="T461">
        <f>VLOOKUP($W461,TBL_Categories,3,FALSE)</f>
        <v>0</v>
      </c>
      <c r="U461" t="str">
        <f>VLOOKUP($W461,TBL_Categories,4,FALSE)</f>
        <v>No</v>
      </c>
      <c r="V461" t="str">
        <f>VLOOKUP($W461,TBL_Categories,5,FALSE)</f>
        <v>None</v>
      </c>
      <c r="W461" t="str">
        <f t="shared" si="23"/>
        <v>Auto &amp; Transport|Gas &amp; Fuel</v>
      </c>
    </row>
    <row r="462" spans="1:23" x14ac:dyDescent="0.25">
      <c r="A462" t="s">
        <v>296</v>
      </c>
      <c r="B462" s="5">
        <v>41916</v>
      </c>
      <c r="C462">
        <v>-84.78</v>
      </c>
      <c r="D462" t="s">
        <v>304</v>
      </c>
      <c r="E462" t="s">
        <v>433</v>
      </c>
      <c r="G462" t="s">
        <v>887</v>
      </c>
      <c r="J462" t="s">
        <v>1550</v>
      </c>
      <c r="K462" t="s">
        <v>61</v>
      </c>
      <c r="L462" t="s">
        <v>401</v>
      </c>
      <c r="Q462" t="str">
        <f t="shared" si="21"/>
        <v>Oct</v>
      </c>
      <c r="R462">
        <f t="shared" si="22"/>
        <v>2014</v>
      </c>
      <c r="S462" t="str">
        <f>VLOOKUP($W462,TBL_Categories,2,FALSE)</f>
        <v>Monthly</v>
      </c>
      <c r="T462">
        <f>VLOOKUP($W462,TBL_Categories,3,FALSE)</f>
        <v>0</v>
      </c>
      <c r="U462" t="str">
        <f>VLOOKUP($W462,TBL_Categories,4,FALSE)</f>
        <v>No</v>
      </c>
      <c r="V462" t="str">
        <f>VLOOKUP($W462,TBL_Categories,5,FALSE)</f>
        <v>None</v>
      </c>
      <c r="W462" t="str">
        <f t="shared" si="23"/>
        <v>Food &amp; Dining|Groceries</v>
      </c>
    </row>
    <row r="463" spans="1:23" x14ac:dyDescent="0.25">
      <c r="A463" t="s">
        <v>296</v>
      </c>
      <c r="B463" s="5">
        <v>41916</v>
      </c>
      <c r="C463">
        <v>-96.63</v>
      </c>
      <c r="D463" t="s">
        <v>304</v>
      </c>
      <c r="E463" t="s">
        <v>434</v>
      </c>
      <c r="G463" t="s">
        <v>887</v>
      </c>
      <c r="J463" t="s">
        <v>1550</v>
      </c>
      <c r="K463" t="s">
        <v>61</v>
      </c>
      <c r="L463" t="s">
        <v>401</v>
      </c>
      <c r="Q463" t="str">
        <f t="shared" si="21"/>
        <v>Oct</v>
      </c>
      <c r="R463">
        <f t="shared" si="22"/>
        <v>2014</v>
      </c>
      <c r="S463" t="str">
        <f>VLOOKUP($W463,TBL_Categories,2,FALSE)</f>
        <v>Monthly</v>
      </c>
      <c r="T463">
        <f>VLOOKUP($W463,TBL_Categories,3,FALSE)</f>
        <v>0</v>
      </c>
      <c r="U463" t="str">
        <f>VLOOKUP($W463,TBL_Categories,4,FALSE)</f>
        <v>No</v>
      </c>
      <c r="V463" t="str">
        <f>VLOOKUP($W463,TBL_Categories,5,FALSE)</f>
        <v>None</v>
      </c>
      <c r="W463" t="str">
        <f t="shared" si="23"/>
        <v>Food &amp; Dining|Groceries</v>
      </c>
    </row>
    <row r="464" spans="1:23" x14ac:dyDescent="0.25">
      <c r="A464" t="s">
        <v>284</v>
      </c>
      <c r="B464" s="5">
        <v>41915</v>
      </c>
      <c r="C464">
        <v>-500</v>
      </c>
      <c r="D464" t="s">
        <v>304</v>
      </c>
      <c r="E464" t="s">
        <v>338</v>
      </c>
      <c r="F464" t="s">
        <v>339</v>
      </c>
      <c r="G464" t="s">
        <v>340</v>
      </c>
      <c r="K464" t="s">
        <v>66</v>
      </c>
      <c r="L464" t="s">
        <v>1533</v>
      </c>
      <c r="Q464" t="str">
        <f t="shared" si="21"/>
        <v>Oct</v>
      </c>
      <c r="R464">
        <f t="shared" si="22"/>
        <v>2014</v>
      </c>
      <c r="S464" t="str">
        <f>VLOOKUP($W464,TBL_Categories,2,FALSE)</f>
        <v>Monthly</v>
      </c>
      <c r="T464">
        <f>VLOOKUP($W464,TBL_Categories,3,FALSE)</f>
        <v>0</v>
      </c>
      <c r="U464" t="str">
        <f>VLOOKUP($W464,TBL_Categories,4,FALSE)</f>
        <v>No</v>
      </c>
      <c r="V464" t="str">
        <f>VLOOKUP($W464,TBL_Categories,5,FALSE)</f>
        <v>None</v>
      </c>
      <c r="W464" t="str">
        <f t="shared" si="23"/>
        <v>Kids|American Funds 529A</v>
      </c>
    </row>
    <row r="465" spans="1:23" x14ac:dyDescent="0.25">
      <c r="A465" t="s">
        <v>296</v>
      </c>
      <c r="B465" s="5">
        <v>41915</v>
      </c>
      <c r="C465">
        <v>-8.75</v>
      </c>
      <c r="D465" t="s">
        <v>304</v>
      </c>
      <c r="E465" t="s">
        <v>667</v>
      </c>
      <c r="G465" t="s">
        <v>416</v>
      </c>
      <c r="K465" t="s">
        <v>17</v>
      </c>
      <c r="L465" t="s">
        <v>1576</v>
      </c>
      <c r="Q465" t="str">
        <f t="shared" si="21"/>
        <v>Oct</v>
      </c>
      <c r="R465">
        <f t="shared" si="22"/>
        <v>2014</v>
      </c>
      <c r="S465" t="str">
        <f>VLOOKUP($W465,TBL_Categories,2,FALSE)</f>
        <v>Unplanned</v>
      </c>
      <c r="T465">
        <f>VLOOKUP($W465,TBL_Categories,3,FALSE)</f>
        <v>0</v>
      </c>
      <c r="U465" t="str">
        <f>VLOOKUP($W465,TBL_Categories,4,FALSE)</f>
        <v>No</v>
      </c>
      <c r="V465" t="str">
        <f>VLOOKUP($W465,TBL_Categories,5,FALSE)</f>
        <v>None</v>
      </c>
      <c r="W465" t="str">
        <f t="shared" si="23"/>
        <v>Entertainment|Movies &amp; DVDs</v>
      </c>
    </row>
    <row r="466" spans="1:23" x14ac:dyDescent="0.25">
      <c r="A466" t="s">
        <v>296</v>
      </c>
      <c r="B466" s="5">
        <v>41915</v>
      </c>
      <c r="C466">
        <v>-20.170000000000002</v>
      </c>
      <c r="D466" t="s">
        <v>304</v>
      </c>
      <c r="E466" t="s">
        <v>433</v>
      </c>
      <c r="G466" t="s">
        <v>342</v>
      </c>
      <c r="K466" t="s">
        <v>61</v>
      </c>
      <c r="L466" t="s">
        <v>401</v>
      </c>
      <c r="Q466" t="str">
        <f t="shared" si="21"/>
        <v>Oct</v>
      </c>
      <c r="R466">
        <f t="shared" si="22"/>
        <v>2014</v>
      </c>
      <c r="S466" t="str">
        <f>VLOOKUP($W466,TBL_Categories,2,FALSE)</f>
        <v>Monthly</v>
      </c>
      <c r="T466">
        <f>VLOOKUP($W466,TBL_Categories,3,FALSE)</f>
        <v>0</v>
      </c>
      <c r="U466" t="str">
        <f>VLOOKUP($W466,TBL_Categories,4,FALSE)</f>
        <v>No</v>
      </c>
      <c r="V466" t="str">
        <f>VLOOKUP($W466,TBL_Categories,5,FALSE)</f>
        <v>None</v>
      </c>
      <c r="W466" t="str">
        <f t="shared" si="23"/>
        <v>Food &amp; Dining|Groceries</v>
      </c>
    </row>
    <row r="467" spans="1:23" x14ac:dyDescent="0.25">
      <c r="A467" t="s">
        <v>284</v>
      </c>
      <c r="B467" s="5">
        <v>41914</v>
      </c>
      <c r="C467" s="4">
        <v>-2033.91</v>
      </c>
      <c r="D467" t="s">
        <v>304</v>
      </c>
      <c r="E467" t="s">
        <v>318</v>
      </c>
      <c r="F467" t="s">
        <v>378</v>
      </c>
      <c r="G467" t="s">
        <v>379</v>
      </c>
      <c r="J467">
        <v>9602</v>
      </c>
      <c r="K467" t="s">
        <v>55</v>
      </c>
      <c r="L467" t="s">
        <v>1525</v>
      </c>
      <c r="Q467" t="str">
        <f t="shared" si="21"/>
        <v>Oct</v>
      </c>
      <c r="R467">
        <f t="shared" si="22"/>
        <v>2014</v>
      </c>
      <c r="S467" t="str">
        <f>VLOOKUP($W467,TBL_Categories,2,FALSE)</f>
        <v>Monthly</v>
      </c>
      <c r="T467">
        <f>VLOOKUP($W467,TBL_Categories,3,FALSE)</f>
        <v>0</v>
      </c>
      <c r="U467" t="str">
        <f>VLOOKUP($W467,TBL_Categories,4,FALSE)</f>
        <v>No</v>
      </c>
      <c r="V467" t="str">
        <f>VLOOKUP($W467,TBL_Categories,5,FALSE)</f>
        <v>None</v>
      </c>
      <c r="W467" t="str">
        <f t="shared" si="23"/>
        <v>Business Expenses (Koolikai)|Mortgage (Business)</v>
      </c>
    </row>
    <row r="468" spans="1:23" x14ac:dyDescent="0.25">
      <c r="A468" t="s">
        <v>284</v>
      </c>
      <c r="B468" s="5">
        <v>41914</v>
      </c>
      <c r="C468" s="4">
        <v>-2679.43</v>
      </c>
      <c r="D468" t="s">
        <v>304</v>
      </c>
      <c r="E468" t="s">
        <v>321</v>
      </c>
      <c r="F468" t="s">
        <v>365</v>
      </c>
      <c r="G468" t="s">
        <v>13</v>
      </c>
      <c r="K468" t="s">
        <v>13</v>
      </c>
      <c r="Q468" t="str">
        <f t="shared" si="21"/>
        <v>Oct</v>
      </c>
      <c r="R468">
        <f t="shared" si="22"/>
        <v>2014</v>
      </c>
      <c r="S468" t="str">
        <f>VLOOKUP($W468,TBL_Categories,2,FALSE)</f>
        <v>Account</v>
      </c>
      <c r="T468">
        <f>VLOOKUP($W468,TBL_Categories,3,FALSE)</f>
        <v>0</v>
      </c>
      <c r="U468" t="str">
        <f>VLOOKUP($W468,TBL_Categories,4,FALSE)</f>
        <v>No</v>
      </c>
      <c r="V468" t="str">
        <f>VLOOKUP($W468,TBL_Categories,5,FALSE)</f>
        <v>None</v>
      </c>
      <c r="W468" t="str">
        <f t="shared" si="23"/>
        <v>[MasterCard (Capital One)]</v>
      </c>
    </row>
    <row r="469" spans="1:23" x14ac:dyDescent="0.25">
      <c r="A469" t="s">
        <v>284</v>
      </c>
      <c r="B469" s="5">
        <v>41914</v>
      </c>
      <c r="C469" s="4">
        <v>-3517.65</v>
      </c>
      <c r="D469" t="s">
        <v>304</v>
      </c>
      <c r="E469" t="s">
        <v>318</v>
      </c>
      <c r="F469" t="s">
        <v>378</v>
      </c>
      <c r="G469" t="s">
        <v>380</v>
      </c>
      <c r="J469">
        <v>7231</v>
      </c>
      <c r="K469" t="s">
        <v>55</v>
      </c>
      <c r="L469" t="s">
        <v>1525</v>
      </c>
      <c r="Q469" t="str">
        <f t="shared" si="21"/>
        <v>Oct</v>
      </c>
      <c r="R469">
        <f t="shared" si="22"/>
        <v>2014</v>
      </c>
      <c r="S469" t="str">
        <f>VLOOKUP($W469,TBL_Categories,2,FALSE)</f>
        <v>Monthly</v>
      </c>
      <c r="T469">
        <f>VLOOKUP($W469,TBL_Categories,3,FALSE)</f>
        <v>0</v>
      </c>
      <c r="U469" t="str">
        <f>VLOOKUP($W469,TBL_Categories,4,FALSE)</f>
        <v>No</v>
      </c>
      <c r="V469" t="str">
        <f>VLOOKUP($W469,TBL_Categories,5,FALSE)</f>
        <v>None</v>
      </c>
      <c r="W469" t="str">
        <f t="shared" si="23"/>
        <v>Business Expenses (Koolikai)|Mortgage (Business)</v>
      </c>
    </row>
    <row r="470" spans="1:23" x14ac:dyDescent="0.25">
      <c r="A470" t="s">
        <v>633</v>
      </c>
      <c r="B470" s="5">
        <v>41914</v>
      </c>
      <c r="C470">
        <v>-9.01</v>
      </c>
      <c r="D470" t="s">
        <v>304</v>
      </c>
      <c r="E470" t="s">
        <v>1000</v>
      </c>
      <c r="G470" t="s">
        <v>333</v>
      </c>
      <c r="K470" t="s">
        <v>61</v>
      </c>
      <c r="L470" t="s">
        <v>1530</v>
      </c>
      <c r="Q470" t="str">
        <f t="shared" si="21"/>
        <v>Oct</v>
      </c>
      <c r="R470">
        <f t="shared" si="22"/>
        <v>2014</v>
      </c>
      <c r="S470" t="str">
        <f>VLOOKUP($W470,TBL_Categories,2,FALSE)</f>
        <v>Monthly</v>
      </c>
      <c r="T470">
        <f>VLOOKUP($W470,TBL_Categories,3,FALSE)</f>
        <v>0</v>
      </c>
      <c r="U470" t="str">
        <f>VLOOKUP($W470,TBL_Categories,4,FALSE)</f>
        <v>No</v>
      </c>
      <c r="V470" t="str">
        <f>VLOOKUP($W470,TBL_Categories,5,FALSE)</f>
        <v>None</v>
      </c>
      <c r="W470" t="str">
        <f t="shared" si="23"/>
        <v>Food &amp; Dining|Restaurants</v>
      </c>
    </row>
    <row r="471" spans="1:23" x14ac:dyDescent="0.25">
      <c r="A471" t="s">
        <v>296</v>
      </c>
      <c r="B471" s="5">
        <v>41914</v>
      </c>
      <c r="C471" s="4">
        <v>2679.43</v>
      </c>
      <c r="D471" t="s">
        <v>304</v>
      </c>
      <c r="E471" t="s">
        <v>321</v>
      </c>
      <c r="F471" t="s">
        <v>365</v>
      </c>
      <c r="G471" t="s">
        <v>9</v>
      </c>
      <c r="K471" t="s">
        <v>9</v>
      </c>
      <c r="Q471" t="str">
        <f t="shared" si="21"/>
        <v>Oct</v>
      </c>
      <c r="R471">
        <f t="shared" si="22"/>
        <v>2014</v>
      </c>
      <c r="S471" t="str">
        <f>VLOOKUP($W471,TBL_Categories,2,FALSE)</f>
        <v>Account</v>
      </c>
      <c r="T471">
        <f>VLOOKUP($W471,TBL_Categories,3,FALSE)</f>
        <v>0</v>
      </c>
      <c r="U471" t="str">
        <f>VLOOKUP($W471,TBL_Categories,4,FALSE)</f>
        <v>No</v>
      </c>
      <c r="V471" t="str">
        <f>VLOOKUP($W471,TBL_Categories,5,FALSE)</f>
        <v>None</v>
      </c>
      <c r="W471" t="str">
        <f t="shared" si="23"/>
        <v>[First Tech - Checking (5544)]</v>
      </c>
    </row>
    <row r="472" spans="1:23" x14ac:dyDescent="0.25">
      <c r="A472" t="s">
        <v>296</v>
      </c>
      <c r="B472" s="5">
        <v>41914</v>
      </c>
      <c r="C472">
        <v>-13.2</v>
      </c>
      <c r="D472" t="s">
        <v>304</v>
      </c>
      <c r="E472" t="s">
        <v>957</v>
      </c>
      <c r="G472" t="s">
        <v>333</v>
      </c>
      <c r="K472" t="s">
        <v>61</v>
      </c>
      <c r="L472" t="s">
        <v>1530</v>
      </c>
      <c r="Q472" t="str">
        <f t="shared" si="21"/>
        <v>Oct</v>
      </c>
      <c r="R472">
        <f t="shared" si="22"/>
        <v>2014</v>
      </c>
      <c r="S472" t="str">
        <f>VLOOKUP($W472,TBL_Categories,2,FALSE)</f>
        <v>Monthly</v>
      </c>
      <c r="T472">
        <f>VLOOKUP($W472,TBL_Categories,3,FALSE)</f>
        <v>0</v>
      </c>
      <c r="U472" t="str">
        <f>VLOOKUP($W472,TBL_Categories,4,FALSE)</f>
        <v>No</v>
      </c>
      <c r="V472" t="str">
        <f>VLOOKUP($W472,TBL_Categories,5,FALSE)</f>
        <v>None</v>
      </c>
      <c r="W472" t="str">
        <f t="shared" si="23"/>
        <v>Food &amp; Dining|Restaurants</v>
      </c>
    </row>
    <row r="473" spans="1:23" x14ac:dyDescent="0.25">
      <c r="A473" t="s">
        <v>284</v>
      </c>
      <c r="B473" s="5">
        <v>41913</v>
      </c>
      <c r="C473" s="4">
        <v>-2052</v>
      </c>
      <c r="D473" t="s">
        <v>304</v>
      </c>
      <c r="E473" t="s">
        <v>314</v>
      </c>
      <c r="F473" t="s">
        <v>315</v>
      </c>
      <c r="G473" t="s">
        <v>316</v>
      </c>
      <c r="K473" t="s">
        <v>66</v>
      </c>
      <c r="L473" t="s">
        <v>1522</v>
      </c>
      <c r="Q473" t="str">
        <f t="shared" si="21"/>
        <v>Oct</v>
      </c>
      <c r="R473">
        <f t="shared" si="22"/>
        <v>2014</v>
      </c>
      <c r="S473" t="str">
        <f>VLOOKUP($W473,TBL_Categories,2,FALSE)</f>
        <v>Monthly</v>
      </c>
      <c r="T473">
        <f>VLOOKUP($W473,TBL_Categories,3,FALSE)</f>
        <v>0</v>
      </c>
      <c r="U473" t="str">
        <f>VLOOKUP($W473,TBL_Categories,4,FALSE)</f>
        <v>No</v>
      </c>
      <c r="V473" t="str">
        <f>VLOOKUP($W473,TBL_Categories,5,FALSE)</f>
        <v>None</v>
      </c>
      <c r="W473" t="str">
        <f t="shared" si="23"/>
        <v>Kids|Daycare</v>
      </c>
    </row>
    <row r="474" spans="1:23" x14ac:dyDescent="0.25">
      <c r="A474" t="s">
        <v>280</v>
      </c>
      <c r="B474" s="5">
        <v>41912</v>
      </c>
      <c r="C474">
        <v>19.41</v>
      </c>
      <c r="D474" t="s">
        <v>304</v>
      </c>
      <c r="E474" t="s">
        <v>309</v>
      </c>
      <c r="G474" t="s">
        <v>8</v>
      </c>
      <c r="K474" t="s">
        <v>8</v>
      </c>
      <c r="Q474" t="str">
        <f t="shared" si="21"/>
        <v>Sep</v>
      </c>
      <c r="R474">
        <f t="shared" si="22"/>
        <v>2014</v>
      </c>
      <c r="S474" t="str">
        <f>VLOOKUP($W474,TBL_Categories,2,FALSE)</f>
        <v>Monthly</v>
      </c>
      <c r="T474">
        <f>VLOOKUP($W474,TBL_Categories,3,FALSE)</f>
        <v>0</v>
      </c>
      <c r="U474" t="str">
        <f>VLOOKUP($W474,TBL_Categories,4,FALSE)</f>
        <v>No</v>
      </c>
      <c r="V474" t="str">
        <f>VLOOKUP($W474,TBL_Categories,5,FALSE)</f>
        <v>None</v>
      </c>
      <c r="W474" t="str">
        <f t="shared" si="23"/>
        <v>Interest Income</v>
      </c>
    </row>
    <row r="475" spans="1:23" x14ac:dyDescent="0.25">
      <c r="A475" t="s">
        <v>281</v>
      </c>
      <c r="B475" s="5">
        <v>41912</v>
      </c>
      <c r="C475">
        <v>48.72</v>
      </c>
      <c r="D475" t="s">
        <v>304</v>
      </c>
      <c r="E475" t="s">
        <v>309</v>
      </c>
      <c r="G475" t="s">
        <v>8</v>
      </c>
      <c r="K475" t="s">
        <v>8</v>
      </c>
      <c r="Q475" t="str">
        <f t="shared" si="21"/>
        <v>Sep</v>
      </c>
      <c r="R475">
        <f t="shared" si="22"/>
        <v>2014</v>
      </c>
      <c r="S475" t="str">
        <f>VLOOKUP($W475,TBL_Categories,2,FALSE)</f>
        <v>Monthly</v>
      </c>
      <c r="T475">
        <f>VLOOKUP($W475,TBL_Categories,3,FALSE)</f>
        <v>0</v>
      </c>
      <c r="U475" t="str">
        <f>VLOOKUP($W475,TBL_Categories,4,FALSE)</f>
        <v>No</v>
      </c>
      <c r="V475" t="str">
        <f>VLOOKUP($W475,TBL_Categories,5,FALSE)</f>
        <v>None</v>
      </c>
      <c r="W475" t="str">
        <f t="shared" si="23"/>
        <v>Interest Income</v>
      </c>
    </row>
    <row r="476" spans="1:23" x14ac:dyDescent="0.25">
      <c r="A476" t="s">
        <v>282</v>
      </c>
      <c r="B476" s="5">
        <v>41912</v>
      </c>
      <c r="C476">
        <v>0.02</v>
      </c>
      <c r="D476" t="s">
        <v>304</v>
      </c>
      <c r="E476" t="s">
        <v>309</v>
      </c>
      <c r="G476" t="s">
        <v>8</v>
      </c>
      <c r="K476" t="s">
        <v>8</v>
      </c>
      <c r="Q476" t="str">
        <f t="shared" si="21"/>
        <v>Sep</v>
      </c>
      <c r="R476">
        <f t="shared" si="22"/>
        <v>2014</v>
      </c>
      <c r="S476" t="str">
        <f>VLOOKUP($W476,TBL_Categories,2,FALSE)</f>
        <v>Monthly</v>
      </c>
      <c r="T476">
        <f>VLOOKUP($W476,TBL_Categories,3,FALSE)</f>
        <v>0</v>
      </c>
      <c r="U476" t="str">
        <f>VLOOKUP($W476,TBL_Categories,4,FALSE)</f>
        <v>No</v>
      </c>
      <c r="V476" t="str">
        <f>VLOOKUP($W476,TBL_Categories,5,FALSE)</f>
        <v>None</v>
      </c>
      <c r="W476" t="str">
        <f t="shared" si="23"/>
        <v>Interest Income</v>
      </c>
    </row>
    <row r="477" spans="1:23" x14ac:dyDescent="0.25">
      <c r="A477" t="s">
        <v>283</v>
      </c>
      <c r="B477" s="5">
        <v>41912</v>
      </c>
      <c r="C477">
        <v>2.06</v>
      </c>
      <c r="D477" t="s">
        <v>304</v>
      </c>
      <c r="E477" t="s">
        <v>309</v>
      </c>
      <c r="G477" t="s">
        <v>8</v>
      </c>
      <c r="K477" t="s">
        <v>8</v>
      </c>
      <c r="Q477" t="str">
        <f t="shared" si="21"/>
        <v>Sep</v>
      </c>
      <c r="R477">
        <f t="shared" si="22"/>
        <v>2014</v>
      </c>
      <c r="S477" t="str">
        <f>VLOOKUP($W477,TBL_Categories,2,FALSE)</f>
        <v>Monthly</v>
      </c>
      <c r="T477">
        <f>VLOOKUP($W477,TBL_Categories,3,FALSE)</f>
        <v>0</v>
      </c>
      <c r="U477" t="str">
        <f>VLOOKUP($W477,TBL_Categories,4,FALSE)</f>
        <v>No</v>
      </c>
      <c r="V477" t="str">
        <f>VLOOKUP($W477,TBL_Categories,5,FALSE)</f>
        <v>None</v>
      </c>
      <c r="W477" t="str">
        <f t="shared" si="23"/>
        <v>Interest Income</v>
      </c>
    </row>
    <row r="478" spans="1:23" x14ac:dyDescent="0.25">
      <c r="A478" t="s">
        <v>289</v>
      </c>
      <c r="B478" s="5">
        <v>41912</v>
      </c>
      <c r="C478">
        <v>0.19</v>
      </c>
      <c r="D478" t="s">
        <v>304</v>
      </c>
      <c r="E478" t="s">
        <v>396</v>
      </c>
      <c r="F478" t="s">
        <v>595</v>
      </c>
      <c r="G478" t="s">
        <v>8</v>
      </c>
      <c r="K478" t="s">
        <v>8</v>
      </c>
      <c r="Q478" t="str">
        <f t="shared" si="21"/>
        <v>Sep</v>
      </c>
      <c r="R478">
        <f t="shared" si="22"/>
        <v>2014</v>
      </c>
      <c r="S478" t="str">
        <f>VLOOKUP($W478,TBL_Categories,2,FALSE)</f>
        <v>Monthly</v>
      </c>
      <c r="T478">
        <f>VLOOKUP($W478,TBL_Categories,3,FALSE)</f>
        <v>0</v>
      </c>
      <c r="U478" t="str">
        <f>VLOOKUP($W478,TBL_Categories,4,FALSE)</f>
        <v>No</v>
      </c>
      <c r="V478" t="str">
        <f>VLOOKUP($W478,TBL_Categories,5,FALSE)</f>
        <v>None</v>
      </c>
      <c r="W478" t="str">
        <f t="shared" si="23"/>
        <v>Interest Income</v>
      </c>
    </row>
    <row r="479" spans="1:23" x14ac:dyDescent="0.25">
      <c r="A479" t="s">
        <v>290</v>
      </c>
      <c r="B479" s="5">
        <v>41912</v>
      </c>
      <c r="C479">
        <v>0.06</v>
      </c>
      <c r="D479" t="s">
        <v>304</v>
      </c>
      <c r="E479" t="s">
        <v>399</v>
      </c>
      <c r="G479" t="s">
        <v>8</v>
      </c>
      <c r="K479" t="s">
        <v>8</v>
      </c>
      <c r="Q479" t="str">
        <f t="shared" si="21"/>
        <v>Sep</v>
      </c>
      <c r="R479">
        <f t="shared" si="22"/>
        <v>2014</v>
      </c>
      <c r="S479" t="str">
        <f>VLOOKUP($W479,TBL_Categories,2,FALSE)</f>
        <v>Monthly</v>
      </c>
      <c r="T479">
        <f>VLOOKUP($W479,TBL_Categories,3,FALSE)</f>
        <v>0</v>
      </c>
      <c r="U479" t="str">
        <f>VLOOKUP($W479,TBL_Categories,4,FALSE)</f>
        <v>No</v>
      </c>
      <c r="V479" t="str">
        <f>VLOOKUP($W479,TBL_Categories,5,FALSE)</f>
        <v>None</v>
      </c>
      <c r="W479" t="str">
        <f t="shared" si="23"/>
        <v>Interest Income</v>
      </c>
    </row>
    <row r="480" spans="1:23" x14ac:dyDescent="0.25">
      <c r="A480" t="s">
        <v>296</v>
      </c>
      <c r="B480" s="5">
        <v>41912</v>
      </c>
      <c r="C480">
        <v>-2.37</v>
      </c>
      <c r="D480" t="s">
        <v>304</v>
      </c>
      <c r="E480" t="s">
        <v>1001</v>
      </c>
      <c r="G480" t="s">
        <v>342</v>
      </c>
      <c r="K480" t="s">
        <v>61</v>
      </c>
      <c r="L480" t="s">
        <v>401</v>
      </c>
      <c r="Q480" t="str">
        <f t="shared" si="21"/>
        <v>Sep</v>
      </c>
      <c r="R480">
        <f t="shared" si="22"/>
        <v>2014</v>
      </c>
      <c r="S480" t="str">
        <f>VLOOKUP($W480,TBL_Categories,2,FALSE)</f>
        <v>Monthly</v>
      </c>
      <c r="T480">
        <f>VLOOKUP($W480,TBL_Categories,3,FALSE)</f>
        <v>0</v>
      </c>
      <c r="U480" t="str">
        <f>VLOOKUP($W480,TBL_Categories,4,FALSE)</f>
        <v>No</v>
      </c>
      <c r="V480" t="str">
        <f>VLOOKUP($W480,TBL_Categories,5,FALSE)</f>
        <v>None</v>
      </c>
      <c r="W480" t="str">
        <f t="shared" si="23"/>
        <v>Food &amp; Dining|Groceries</v>
      </c>
    </row>
    <row r="481" spans="1:23" x14ac:dyDescent="0.25">
      <c r="A481" t="s">
        <v>296</v>
      </c>
      <c r="B481" s="5">
        <v>41912</v>
      </c>
      <c r="C481">
        <v>-4.75</v>
      </c>
      <c r="D481" t="s">
        <v>304</v>
      </c>
      <c r="E481" t="s">
        <v>958</v>
      </c>
      <c r="G481" t="s">
        <v>333</v>
      </c>
      <c r="K481" t="s">
        <v>61</v>
      </c>
      <c r="L481" t="s">
        <v>1530</v>
      </c>
      <c r="Q481" t="str">
        <f t="shared" si="21"/>
        <v>Sep</v>
      </c>
      <c r="R481">
        <f t="shared" si="22"/>
        <v>2014</v>
      </c>
      <c r="S481" t="str">
        <f>VLOOKUP($W481,TBL_Categories,2,FALSE)</f>
        <v>Monthly</v>
      </c>
      <c r="T481">
        <f>VLOOKUP($W481,TBL_Categories,3,FALSE)</f>
        <v>0</v>
      </c>
      <c r="U481" t="str">
        <f>VLOOKUP($W481,TBL_Categories,4,FALSE)</f>
        <v>No</v>
      </c>
      <c r="V481" t="str">
        <f>VLOOKUP($W481,TBL_Categories,5,FALSE)</f>
        <v>None</v>
      </c>
      <c r="W481" t="str">
        <f t="shared" si="23"/>
        <v>Food &amp; Dining|Restaurants</v>
      </c>
    </row>
    <row r="482" spans="1:23" x14ac:dyDescent="0.25">
      <c r="A482" t="s">
        <v>296</v>
      </c>
      <c r="B482" s="5">
        <v>41912</v>
      </c>
      <c r="C482">
        <v>-8.1999999999999993</v>
      </c>
      <c r="D482" t="s">
        <v>304</v>
      </c>
      <c r="E482" t="s">
        <v>958</v>
      </c>
      <c r="G482" t="s">
        <v>333</v>
      </c>
      <c r="K482" t="s">
        <v>61</v>
      </c>
      <c r="L482" t="s">
        <v>1530</v>
      </c>
      <c r="Q482" t="str">
        <f t="shared" si="21"/>
        <v>Sep</v>
      </c>
      <c r="R482">
        <f t="shared" si="22"/>
        <v>2014</v>
      </c>
      <c r="S482" t="str">
        <f>VLOOKUP($W482,TBL_Categories,2,FALSE)</f>
        <v>Monthly</v>
      </c>
      <c r="T482">
        <f>VLOOKUP($W482,TBL_Categories,3,FALSE)</f>
        <v>0</v>
      </c>
      <c r="U482" t="str">
        <f>VLOOKUP($W482,TBL_Categories,4,FALSE)</f>
        <v>No</v>
      </c>
      <c r="V482" t="str">
        <f>VLOOKUP($W482,TBL_Categories,5,FALSE)</f>
        <v>None</v>
      </c>
      <c r="W482" t="str">
        <f t="shared" si="23"/>
        <v>Food &amp; Dining|Restaurants</v>
      </c>
    </row>
    <row r="483" spans="1:23" x14ac:dyDescent="0.25">
      <c r="A483" t="s">
        <v>296</v>
      </c>
      <c r="B483" s="5">
        <v>41912</v>
      </c>
      <c r="C483">
        <v>-43.8</v>
      </c>
      <c r="D483" t="s">
        <v>304</v>
      </c>
      <c r="E483" t="s">
        <v>696</v>
      </c>
      <c r="F483" t="s">
        <v>1326</v>
      </c>
      <c r="G483" t="s">
        <v>356</v>
      </c>
      <c r="K483" t="s">
        <v>62</v>
      </c>
      <c r="L483" t="s">
        <v>1545</v>
      </c>
      <c r="O483" t="s">
        <v>1600</v>
      </c>
      <c r="Q483" t="str">
        <f t="shared" si="21"/>
        <v>Sep</v>
      </c>
      <c r="R483">
        <f t="shared" si="22"/>
        <v>2014</v>
      </c>
      <c r="S483" t="str">
        <f>VLOOKUP($W483,TBL_Categories,2,FALSE)</f>
        <v>Irregular</v>
      </c>
      <c r="T483">
        <f>VLOOKUP($W483,TBL_Categories,3,FALSE)</f>
        <v>0</v>
      </c>
      <c r="U483" t="str">
        <f>VLOOKUP($W483,TBL_Categories,4,FALSE)</f>
        <v>No</v>
      </c>
      <c r="V483" t="str">
        <f>VLOOKUP($W483,TBL_Categories,5,FALSE)</f>
        <v>None</v>
      </c>
      <c r="W483" t="str">
        <f t="shared" si="23"/>
        <v>Health &amp; Fitness|Sports</v>
      </c>
    </row>
    <row r="484" spans="1:23" x14ac:dyDescent="0.25">
      <c r="A484" t="s">
        <v>296</v>
      </c>
      <c r="B484" s="5">
        <v>41912</v>
      </c>
      <c r="C484">
        <v>-263.2</v>
      </c>
      <c r="D484" t="s">
        <v>304</v>
      </c>
      <c r="E484" t="s">
        <v>1327</v>
      </c>
      <c r="F484" t="s">
        <v>1328</v>
      </c>
      <c r="G484" t="s">
        <v>410</v>
      </c>
      <c r="K484" t="s">
        <v>75</v>
      </c>
      <c r="L484" t="s">
        <v>1570</v>
      </c>
      <c r="O484" t="s">
        <v>1617</v>
      </c>
      <c r="Q484" t="str">
        <f t="shared" si="21"/>
        <v>Sep</v>
      </c>
      <c r="R484">
        <f t="shared" si="22"/>
        <v>2014</v>
      </c>
      <c r="S484" t="str">
        <f>VLOOKUP($W484,TBL_Categories,2,FALSE)</f>
        <v>Irregular</v>
      </c>
      <c r="T484">
        <f>VLOOKUP($W484,TBL_Categories,3,FALSE)</f>
        <v>0</v>
      </c>
      <c r="U484" t="str">
        <f>VLOOKUP($W484,TBL_Categories,4,FALSE)</f>
        <v>No</v>
      </c>
      <c r="V484" t="str">
        <f>VLOOKUP($W484,TBL_Categories,5,FALSE)</f>
        <v>None</v>
      </c>
      <c r="W484" t="str">
        <f t="shared" si="23"/>
        <v>Vacation|Transportation</v>
      </c>
    </row>
    <row r="485" spans="1:23" x14ac:dyDescent="0.25">
      <c r="A485" t="s">
        <v>296</v>
      </c>
      <c r="B485" s="5">
        <v>41912</v>
      </c>
      <c r="C485">
        <v>-263.2</v>
      </c>
      <c r="D485" t="s">
        <v>304</v>
      </c>
      <c r="E485" t="s">
        <v>1327</v>
      </c>
      <c r="F485" t="s">
        <v>1328</v>
      </c>
      <c r="G485" t="s">
        <v>410</v>
      </c>
      <c r="K485" t="s">
        <v>75</v>
      </c>
      <c r="L485" t="s">
        <v>1570</v>
      </c>
      <c r="O485" t="s">
        <v>1617</v>
      </c>
      <c r="Q485" t="str">
        <f t="shared" si="21"/>
        <v>Sep</v>
      </c>
      <c r="R485">
        <f t="shared" si="22"/>
        <v>2014</v>
      </c>
      <c r="S485" t="str">
        <f>VLOOKUP($W485,TBL_Categories,2,FALSE)</f>
        <v>Irregular</v>
      </c>
      <c r="T485">
        <f>VLOOKUP($W485,TBL_Categories,3,FALSE)</f>
        <v>0</v>
      </c>
      <c r="U485" t="str">
        <f>VLOOKUP($W485,TBL_Categories,4,FALSE)</f>
        <v>No</v>
      </c>
      <c r="V485" t="str">
        <f>VLOOKUP($W485,TBL_Categories,5,FALSE)</f>
        <v>None</v>
      </c>
      <c r="W485" t="str">
        <f t="shared" si="23"/>
        <v>Vacation|Transportation</v>
      </c>
    </row>
    <row r="486" spans="1:23" x14ac:dyDescent="0.25">
      <c r="A486" t="s">
        <v>296</v>
      </c>
      <c r="B486" s="5">
        <v>41912</v>
      </c>
      <c r="C486">
        <v>-263.2</v>
      </c>
      <c r="D486" t="s">
        <v>304</v>
      </c>
      <c r="E486" t="s">
        <v>1327</v>
      </c>
      <c r="F486" t="s">
        <v>1328</v>
      </c>
      <c r="G486" t="s">
        <v>410</v>
      </c>
      <c r="K486" t="s">
        <v>75</v>
      </c>
      <c r="L486" t="s">
        <v>1570</v>
      </c>
      <c r="O486" t="s">
        <v>1617</v>
      </c>
      <c r="Q486" t="str">
        <f t="shared" si="21"/>
        <v>Sep</v>
      </c>
      <c r="R486">
        <f t="shared" si="22"/>
        <v>2014</v>
      </c>
      <c r="S486" t="str">
        <f>VLOOKUP($W486,TBL_Categories,2,FALSE)</f>
        <v>Irregular</v>
      </c>
      <c r="T486">
        <f>VLOOKUP($W486,TBL_Categories,3,FALSE)</f>
        <v>0</v>
      </c>
      <c r="U486" t="str">
        <f>VLOOKUP($W486,TBL_Categories,4,FALSE)</f>
        <v>No</v>
      </c>
      <c r="V486" t="str">
        <f>VLOOKUP($W486,TBL_Categories,5,FALSE)</f>
        <v>None</v>
      </c>
      <c r="W486" t="str">
        <f t="shared" si="23"/>
        <v>Vacation|Transportation</v>
      </c>
    </row>
    <row r="487" spans="1:23" x14ac:dyDescent="0.25">
      <c r="A487" t="s">
        <v>296</v>
      </c>
      <c r="B487" s="5">
        <v>41912</v>
      </c>
      <c r="C487">
        <v>-263.2</v>
      </c>
      <c r="D487" t="s">
        <v>304</v>
      </c>
      <c r="E487" t="s">
        <v>1327</v>
      </c>
      <c r="F487" t="s">
        <v>1328</v>
      </c>
      <c r="G487" t="s">
        <v>410</v>
      </c>
      <c r="K487" t="s">
        <v>75</v>
      </c>
      <c r="L487" t="s">
        <v>1570</v>
      </c>
      <c r="O487" t="s">
        <v>1617</v>
      </c>
      <c r="Q487" t="str">
        <f t="shared" si="21"/>
        <v>Sep</v>
      </c>
      <c r="R487">
        <f t="shared" si="22"/>
        <v>2014</v>
      </c>
      <c r="S487" t="str">
        <f>VLOOKUP($W487,TBL_Categories,2,FALSE)</f>
        <v>Irregular</v>
      </c>
      <c r="T487">
        <f>VLOOKUP($W487,TBL_Categories,3,FALSE)</f>
        <v>0</v>
      </c>
      <c r="U487" t="str">
        <f>VLOOKUP($W487,TBL_Categories,4,FALSE)</f>
        <v>No</v>
      </c>
      <c r="V487" t="str">
        <f>VLOOKUP($W487,TBL_Categories,5,FALSE)</f>
        <v>None</v>
      </c>
      <c r="W487" t="str">
        <f t="shared" si="23"/>
        <v>Vacation|Transportation</v>
      </c>
    </row>
    <row r="488" spans="1:23" x14ac:dyDescent="0.25">
      <c r="A488" t="s">
        <v>284</v>
      </c>
      <c r="B488" s="5">
        <v>41911</v>
      </c>
      <c r="C488" s="4">
        <v>6058.12</v>
      </c>
      <c r="D488" t="s">
        <v>304</v>
      </c>
      <c r="E488" t="s">
        <v>363</v>
      </c>
      <c r="F488" t="s">
        <v>359</v>
      </c>
      <c r="G488" t="s">
        <v>12</v>
      </c>
      <c r="K488" t="s">
        <v>12</v>
      </c>
      <c r="Q488" t="str">
        <f t="shared" si="21"/>
        <v>Sep</v>
      </c>
      <c r="R488">
        <f t="shared" si="22"/>
        <v>2014</v>
      </c>
      <c r="S488" t="str">
        <f>VLOOKUP($W488,TBL_Categories,2,FALSE)</f>
        <v>Monthly</v>
      </c>
      <c r="T488">
        <f>VLOOKUP($W488,TBL_Categories,3,FALSE)</f>
        <v>0</v>
      </c>
      <c r="U488" t="str">
        <f>VLOOKUP($W488,TBL_Categories,4,FALSE)</f>
        <v>No</v>
      </c>
      <c r="V488" t="str">
        <f>VLOOKUP($W488,TBL_Categories,5,FALSE)</f>
        <v>None</v>
      </c>
      <c r="W488" t="str">
        <f t="shared" si="23"/>
        <v>Net Salary</v>
      </c>
    </row>
    <row r="489" spans="1:23" x14ac:dyDescent="0.25">
      <c r="A489" t="s">
        <v>284</v>
      </c>
      <c r="B489" s="5">
        <v>41911</v>
      </c>
      <c r="C489" s="4">
        <v>22136.080000000002</v>
      </c>
      <c r="D489" t="s">
        <v>304</v>
      </c>
      <c r="E489" t="s">
        <v>361</v>
      </c>
      <c r="F489" t="s">
        <v>312</v>
      </c>
      <c r="G489" t="s">
        <v>12</v>
      </c>
      <c r="K489" t="s">
        <v>12</v>
      </c>
      <c r="Q489" t="str">
        <f t="shared" si="21"/>
        <v>Sep</v>
      </c>
      <c r="R489">
        <f t="shared" si="22"/>
        <v>2014</v>
      </c>
      <c r="S489" t="str">
        <f>VLOOKUP($W489,TBL_Categories,2,FALSE)</f>
        <v>Monthly</v>
      </c>
      <c r="T489">
        <f>VLOOKUP($W489,TBL_Categories,3,FALSE)</f>
        <v>0</v>
      </c>
      <c r="U489" t="str">
        <f>VLOOKUP($W489,TBL_Categories,4,FALSE)</f>
        <v>No</v>
      </c>
      <c r="V489" t="str">
        <f>VLOOKUP($W489,TBL_Categories,5,FALSE)</f>
        <v>None</v>
      </c>
      <c r="W489" t="str">
        <f t="shared" si="23"/>
        <v>Net Salary</v>
      </c>
    </row>
    <row r="490" spans="1:23" x14ac:dyDescent="0.25">
      <c r="A490" t="s">
        <v>284</v>
      </c>
      <c r="B490" s="5">
        <v>41911</v>
      </c>
      <c r="C490">
        <v>-117</v>
      </c>
      <c r="D490" t="s">
        <v>304</v>
      </c>
      <c r="E490" t="s">
        <v>325</v>
      </c>
      <c r="F490" t="s">
        <v>351</v>
      </c>
      <c r="G490" t="s">
        <v>326</v>
      </c>
      <c r="K490" t="s">
        <v>63</v>
      </c>
      <c r="L490" t="s">
        <v>1528</v>
      </c>
      <c r="Q490" t="str">
        <f t="shared" si="21"/>
        <v>Sep</v>
      </c>
      <c r="R490">
        <f t="shared" si="22"/>
        <v>2014</v>
      </c>
      <c r="S490" t="str">
        <f>VLOOKUP($W490,TBL_Categories,2,FALSE)</f>
        <v>Monthly</v>
      </c>
      <c r="T490">
        <f>VLOOKUP($W490,TBL_Categories,3,FALSE)</f>
        <v>0</v>
      </c>
      <c r="U490" t="str">
        <f>VLOOKUP($W490,TBL_Categories,4,FALSE)</f>
        <v>No</v>
      </c>
      <c r="V490" t="str">
        <f>VLOOKUP($W490,TBL_Categories,5,FALSE)</f>
        <v>None</v>
      </c>
      <c r="W490" t="str">
        <f t="shared" si="23"/>
        <v>Home|Home Services</v>
      </c>
    </row>
    <row r="491" spans="1:23" x14ac:dyDescent="0.25">
      <c r="A491" t="s">
        <v>284</v>
      </c>
      <c r="B491" s="5">
        <v>41911</v>
      </c>
      <c r="C491">
        <v>-539.61</v>
      </c>
      <c r="D491" t="s">
        <v>304</v>
      </c>
      <c r="E491" t="s">
        <v>822</v>
      </c>
      <c r="G491" t="s">
        <v>657</v>
      </c>
      <c r="K491" t="s">
        <v>657</v>
      </c>
      <c r="Q491" t="str">
        <f t="shared" si="21"/>
        <v>Sep</v>
      </c>
      <c r="R491">
        <f t="shared" si="22"/>
        <v>2014</v>
      </c>
      <c r="S491" t="e">
        <f>VLOOKUP($W491,TBL_Categories,2,FALSE)</f>
        <v>#N/A</v>
      </c>
      <c r="T491" t="e">
        <f>VLOOKUP($W491,TBL_Categories,3,FALSE)</f>
        <v>#N/A</v>
      </c>
      <c r="U491" t="e">
        <f>VLOOKUP($W491,TBL_Categories,4,FALSE)</f>
        <v>#N/A</v>
      </c>
      <c r="V491" t="e">
        <f>VLOOKUP($W491,TBL_Categories,5,FALSE)</f>
        <v>#N/A</v>
      </c>
      <c r="W491" t="str">
        <f t="shared" si="23"/>
        <v>[Chase Freedom XX9381]</v>
      </c>
    </row>
    <row r="492" spans="1:23" x14ac:dyDescent="0.25">
      <c r="A492" t="s">
        <v>633</v>
      </c>
      <c r="B492" s="5">
        <v>41911</v>
      </c>
      <c r="C492">
        <v>539.61</v>
      </c>
      <c r="D492" t="s">
        <v>304</v>
      </c>
      <c r="E492" t="s">
        <v>822</v>
      </c>
      <c r="F492" t="s">
        <v>636</v>
      </c>
      <c r="G492" t="s">
        <v>9</v>
      </c>
      <c r="K492" t="s">
        <v>9</v>
      </c>
      <c r="Q492" t="str">
        <f t="shared" si="21"/>
        <v>Sep</v>
      </c>
      <c r="R492">
        <f t="shared" si="22"/>
        <v>2014</v>
      </c>
      <c r="S492" t="str">
        <f>VLOOKUP($W492,TBL_Categories,2,FALSE)</f>
        <v>Account</v>
      </c>
      <c r="T492">
        <f>VLOOKUP($W492,TBL_Categories,3,FALSE)</f>
        <v>0</v>
      </c>
      <c r="U492" t="str">
        <f>VLOOKUP($W492,TBL_Categories,4,FALSE)</f>
        <v>No</v>
      </c>
      <c r="V492" t="str">
        <f>VLOOKUP($W492,TBL_Categories,5,FALSE)</f>
        <v>None</v>
      </c>
      <c r="W492" t="str">
        <f t="shared" si="23"/>
        <v>[First Tech - Checking (5544)]</v>
      </c>
    </row>
    <row r="493" spans="1:23" x14ac:dyDescent="0.25">
      <c r="A493" t="s">
        <v>299</v>
      </c>
      <c r="B493" s="5">
        <v>41911</v>
      </c>
      <c r="C493">
        <v>-54.49</v>
      </c>
      <c r="D493" t="s">
        <v>304</v>
      </c>
      <c r="E493" t="s">
        <v>368</v>
      </c>
      <c r="G493" t="s">
        <v>1042</v>
      </c>
      <c r="J493" t="s">
        <v>1550</v>
      </c>
      <c r="K493" t="s">
        <v>66</v>
      </c>
      <c r="L493" t="s">
        <v>1537</v>
      </c>
      <c r="Q493" t="str">
        <f t="shared" si="21"/>
        <v>Sep</v>
      </c>
      <c r="R493">
        <f t="shared" si="22"/>
        <v>2014</v>
      </c>
      <c r="S493" t="str">
        <f>VLOOKUP($W493,TBL_Categories,2,FALSE)</f>
        <v>Monthly</v>
      </c>
      <c r="T493">
        <f>VLOOKUP($W493,TBL_Categories,3,FALSE)</f>
        <v>0</v>
      </c>
      <c r="U493" t="str">
        <f>VLOOKUP($W493,TBL_Categories,4,FALSE)</f>
        <v>No</v>
      </c>
      <c r="V493" t="str">
        <f>VLOOKUP($W493,TBL_Categories,5,FALSE)</f>
        <v>None</v>
      </c>
      <c r="W493" t="str">
        <f t="shared" si="23"/>
        <v>Kids|Clothing</v>
      </c>
    </row>
    <row r="494" spans="1:23" x14ac:dyDescent="0.25">
      <c r="A494" t="s">
        <v>764</v>
      </c>
      <c r="B494" s="5">
        <v>41911</v>
      </c>
      <c r="F494" t="s">
        <v>1505</v>
      </c>
      <c r="H494" t="s">
        <v>1502</v>
      </c>
      <c r="Q494" t="str">
        <f t="shared" si="21"/>
        <v>Sep</v>
      </c>
      <c r="R494">
        <f t="shared" si="22"/>
        <v>2014</v>
      </c>
      <c r="S494" t="e">
        <f>VLOOKUP($W494,TBL_Categories,2,FALSE)</f>
        <v>#N/A</v>
      </c>
      <c r="T494" t="e">
        <f>VLOOKUP($W494,TBL_Categories,3,FALSE)</f>
        <v>#N/A</v>
      </c>
      <c r="U494" t="e">
        <f>VLOOKUP($W494,TBL_Categories,4,FALSE)</f>
        <v>#N/A</v>
      </c>
      <c r="V494" t="e">
        <f>VLOOKUP($W494,TBL_Categories,5,FALSE)</f>
        <v>#N/A</v>
      </c>
      <c r="W494">
        <f t="shared" si="23"/>
        <v>0</v>
      </c>
    </row>
    <row r="495" spans="1:23" x14ac:dyDescent="0.25">
      <c r="A495" t="s">
        <v>633</v>
      </c>
      <c r="B495" s="5">
        <v>41910</v>
      </c>
      <c r="C495">
        <v>-7.57</v>
      </c>
      <c r="D495" t="s">
        <v>304</v>
      </c>
      <c r="E495" t="s">
        <v>999</v>
      </c>
      <c r="G495" t="s">
        <v>333</v>
      </c>
      <c r="K495" t="s">
        <v>61</v>
      </c>
      <c r="L495" t="s">
        <v>1530</v>
      </c>
      <c r="Q495" t="str">
        <f t="shared" si="21"/>
        <v>Sep</v>
      </c>
      <c r="R495">
        <f t="shared" si="22"/>
        <v>2014</v>
      </c>
      <c r="S495" t="str">
        <f>VLOOKUP($W495,TBL_Categories,2,FALSE)</f>
        <v>Monthly</v>
      </c>
      <c r="T495">
        <f>VLOOKUP($W495,TBL_Categories,3,FALSE)</f>
        <v>0</v>
      </c>
      <c r="U495" t="str">
        <f>VLOOKUP($W495,TBL_Categories,4,FALSE)</f>
        <v>No</v>
      </c>
      <c r="V495" t="str">
        <f>VLOOKUP($W495,TBL_Categories,5,FALSE)</f>
        <v>None</v>
      </c>
      <c r="W495" t="str">
        <f t="shared" si="23"/>
        <v>Food &amp; Dining|Restaurants</v>
      </c>
    </row>
    <row r="496" spans="1:23" x14ac:dyDescent="0.25">
      <c r="A496" t="s">
        <v>633</v>
      </c>
      <c r="B496" s="5">
        <v>41910</v>
      </c>
      <c r="C496">
        <v>-100</v>
      </c>
      <c r="D496" t="s">
        <v>304</v>
      </c>
      <c r="E496" t="s">
        <v>999</v>
      </c>
      <c r="G496" t="s">
        <v>333</v>
      </c>
      <c r="K496" t="s">
        <v>61</v>
      </c>
      <c r="L496" t="s">
        <v>1530</v>
      </c>
      <c r="Q496" t="str">
        <f t="shared" si="21"/>
        <v>Sep</v>
      </c>
      <c r="R496">
        <f t="shared" si="22"/>
        <v>2014</v>
      </c>
      <c r="S496" t="str">
        <f>VLOOKUP($W496,TBL_Categories,2,FALSE)</f>
        <v>Monthly</v>
      </c>
      <c r="T496">
        <f>VLOOKUP($W496,TBL_Categories,3,FALSE)</f>
        <v>0</v>
      </c>
      <c r="U496" t="str">
        <f>VLOOKUP($W496,TBL_Categories,4,FALSE)</f>
        <v>No</v>
      </c>
      <c r="V496" t="str">
        <f>VLOOKUP($W496,TBL_Categories,5,FALSE)</f>
        <v>None</v>
      </c>
      <c r="W496" t="str">
        <f t="shared" si="23"/>
        <v>Food &amp; Dining|Restaurants</v>
      </c>
    </row>
    <row r="497" spans="1:23" x14ac:dyDescent="0.25">
      <c r="A497" t="s">
        <v>296</v>
      </c>
      <c r="B497" s="5">
        <v>41910</v>
      </c>
      <c r="C497">
        <v>43.79</v>
      </c>
      <c r="D497" t="s">
        <v>304</v>
      </c>
      <c r="E497" t="s">
        <v>433</v>
      </c>
      <c r="G497" t="s">
        <v>1042</v>
      </c>
      <c r="J497" t="s">
        <v>1550</v>
      </c>
      <c r="K497" t="s">
        <v>66</v>
      </c>
      <c r="L497" t="s">
        <v>1537</v>
      </c>
      <c r="Q497" t="str">
        <f t="shared" si="21"/>
        <v>Sep</v>
      </c>
      <c r="R497">
        <f t="shared" si="22"/>
        <v>2014</v>
      </c>
      <c r="S497" t="str">
        <f>VLOOKUP($W497,TBL_Categories,2,FALSE)</f>
        <v>Monthly</v>
      </c>
      <c r="T497">
        <f>VLOOKUP($W497,TBL_Categories,3,FALSE)</f>
        <v>0</v>
      </c>
      <c r="U497" t="str">
        <f>VLOOKUP($W497,TBL_Categories,4,FALSE)</f>
        <v>No</v>
      </c>
      <c r="V497" t="str">
        <f>VLOOKUP($W497,TBL_Categories,5,FALSE)</f>
        <v>None</v>
      </c>
      <c r="W497" t="str">
        <f t="shared" si="23"/>
        <v>Kids|Clothing</v>
      </c>
    </row>
    <row r="498" spans="1:23" x14ac:dyDescent="0.25">
      <c r="A498" t="s">
        <v>296</v>
      </c>
      <c r="B498" s="5">
        <v>41910</v>
      </c>
      <c r="C498">
        <v>-22.71</v>
      </c>
      <c r="D498" t="s">
        <v>304</v>
      </c>
      <c r="E498" t="s">
        <v>433</v>
      </c>
      <c r="F498" t="s">
        <v>992</v>
      </c>
      <c r="G498" t="s">
        <v>993</v>
      </c>
      <c r="I498" t="s">
        <v>272</v>
      </c>
      <c r="J498" t="s">
        <v>1550</v>
      </c>
      <c r="K498" t="s">
        <v>90</v>
      </c>
      <c r="L498" t="s">
        <v>1543</v>
      </c>
      <c r="Q498" t="str">
        <f t="shared" si="21"/>
        <v>Sep</v>
      </c>
      <c r="R498">
        <f t="shared" si="22"/>
        <v>2014</v>
      </c>
      <c r="S498" t="str">
        <f>VLOOKUP($W498,TBL_Categories,2,FALSE)</f>
        <v>Unplanned</v>
      </c>
      <c r="T498">
        <f>VLOOKUP($W498,TBL_Categories,3,FALSE)</f>
        <v>0</v>
      </c>
      <c r="U498" t="str">
        <f>VLOOKUP($W498,TBL_Categories,4,FALSE)</f>
        <v>No</v>
      </c>
      <c r="V498" t="str">
        <f>VLOOKUP($W498,TBL_Categories,5,FALSE)</f>
        <v>None</v>
      </c>
      <c r="W498" t="str">
        <f t="shared" si="23"/>
        <v>Projects|Landscaping</v>
      </c>
    </row>
    <row r="499" spans="1:23" x14ac:dyDescent="0.25">
      <c r="A499" t="s">
        <v>296</v>
      </c>
      <c r="B499" s="5">
        <v>41910</v>
      </c>
      <c r="C499">
        <v>-2.5</v>
      </c>
      <c r="D499" t="s">
        <v>304</v>
      </c>
      <c r="E499" t="s">
        <v>433</v>
      </c>
      <c r="G499" t="s">
        <v>887</v>
      </c>
      <c r="I499" t="s">
        <v>272</v>
      </c>
      <c r="J499" t="s">
        <v>1550</v>
      </c>
      <c r="K499" t="s">
        <v>61</v>
      </c>
      <c r="L499" t="s">
        <v>401</v>
      </c>
      <c r="Q499" t="str">
        <f t="shared" si="21"/>
        <v>Sep</v>
      </c>
      <c r="R499">
        <f t="shared" si="22"/>
        <v>2014</v>
      </c>
      <c r="S499" t="str">
        <f>VLOOKUP($W499,TBL_Categories,2,FALSE)</f>
        <v>Monthly</v>
      </c>
      <c r="T499">
        <f>VLOOKUP($W499,TBL_Categories,3,FALSE)</f>
        <v>0</v>
      </c>
      <c r="U499" t="str">
        <f>VLOOKUP($W499,TBL_Categories,4,FALSE)</f>
        <v>No</v>
      </c>
      <c r="V499" t="str">
        <f>VLOOKUP($W499,TBL_Categories,5,FALSE)</f>
        <v>None</v>
      </c>
      <c r="W499" t="str">
        <f t="shared" si="23"/>
        <v>Food &amp; Dining|Groceries</v>
      </c>
    </row>
    <row r="500" spans="1:23" x14ac:dyDescent="0.25">
      <c r="A500" t="s">
        <v>296</v>
      </c>
      <c r="B500" s="5">
        <v>41910</v>
      </c>
      <c r="C500">
        <v>-50.45</v>
      </c>
      <c r="D500" t="s">
        <v>304</v>
      </c>
      <c r="E500" t="s">
        <v>1325</v>
      </c>
      <c r="G500" t="s">
        <v>333</v>
      </c>
      <c r="K500" t="s">
        <v>61</v>
      </c>
      <c r="L500" t="s">
        <v>1530</v>
      </c>
      <c r="Q500" t="str">
        <f t="shared" si="21"/>
        <v>Sep</v>
      </c>
      <c r="R500">
        <f t="shared" si="22"/>
        <v>2014</v>
      </c>
      <c r="S500" t="str">
        <f>VLOOKUP($W500,TBL_Categories,2,FALSE)</f>
        <v>Monthly</v>
      </c>
      <c r="T500">
        <f>VLOOKUP($W500,TBL_Categories,3,FALSE)</f>
        <v>0</v>
      </c>
      <c r="U500" t="str">
        <f>VLOOKUP($W500,TBL_Categories,4,FALSE)</f>
        <v>No</v>
      </c>
      <c r="V500" t="str">
        <f>VLOOKUP($W500,TBL_Categories,5,FALSE)</f>
        <v>None</v>
      </c>
      <c r="W500" t="str">
        <f t="shared" si="23"/>
        <v>Food &amp; Dining|Restaurants</v>
      </c>
    </row>
    <row r="501" spans="1:23" x14ac:dyDescent="0.25">
      <c r="A501" t="s">
        <v>296</v>
      </c>
      <c r="B501" s="5">
        <v>41909</v>
      </c>
      <c r="C501">
        <v>-9.86</v>
      </c>
      <c r="D501" t="s">
        <v>304</v>
      </c>
      <c r="E501" t="s">
        <v>613</v>
      </c>
      <c r="G501" t="s">
        <v>449</v>
      </c>
      <c r="K501" t="s">
        <v>66</v>
      </c>
      <c r="L501" t="s">
        <v>1555</v>
      </c>
      <c r="Q501" t="str">
        <f t="shared" si="21"/>
        <v>Sep</v>
      </c>
      <c r="R501">
        <f t="shared" si="22"/>
        <v>2014</v>
      </c>
      <c r="S501" t="str">
        <f>VLOOKUP($W501,TBL_Categories,2,FALSE)</f>
        <v>Monthly</v>
      </c>
      <c r="T501">
        <f>VLOOKUP($W501,TBL_Categories,3,FALSE)</f>
        <v>0</v>
      </c>
      <c r="U501" t="str">
        <f>VLOOKUP($W501,TBL_Categories,4,FALSE)</f>
        <v>No</v>
      </c>
      <c r="V501" t="str">
        <f>VLOOKUP($W501,TBL_Categories,5,FALSE)</f>
        <v>None</v>
      </c>
      <c r="W501" t="str">
        <f t="shared" si="23"/>
        <v>Kids|Kids Activities</v>
      </c>
    </row>
    <row r="502" spans="1:23" x14ac:dyDescent="0.25">
      <c r="A502" t="s">
        <v>296</v>
      </c>
      <c r="B502" s="5">
        <v>41909</v>
      </c>
      <c r="C502">
        <v>-17.5</v>
      </c>
      <c r="D502" t="s">
        <v>304</v>
      </c>
      <c r="E502" t="s">
        <v>433</v>
      </c>
      <c r="F502" t="s">
        <v>1319</v>
      </c>
      <c r="G502" t="s">
        <v>894</v>
      </c>
      <c r="J502" t="s">
        <v>1550</v>
      </c>
      <c r="K502" t="s">
        <v>62</v>
      </c>
      <c r="L502" t="s">
        <v>1545</v>
      </c>
      <c r="Q502" t="str">
        <f t="shared" si="21"/>
        <v>Sep</v>
      </c>
      <c r="R502">
        <f t="shared" si="22"/>
        <v>2014</v>
      </c>
      <c r="S502" t="str">
        <f>VLOOKUP($W502,TBL_Categories,2,FALSE)</f>
        <v>Irregular</v>
      </c>
      <c r="T502">
        <f>VLOOKUP($W502,TBL_Categories,3,FALSE)</f>
        <v>0</v>
      </c>
      <c r="U502" t="str">
        <f>VLOOKUP($W502,TBL_Categories,4,FALSE)</f>
        <v>No</v>
      </c>
      <c r="V502" t="str">
        <f>VLOOKUP($W502,TBL_Categories,5,FALSE)</f>
        <v>None</v>
      </c>
      <c r="W502" t="str">
        <f t="shared" si="23"/>
        <v>Health &amp; Fitness|Sports</v>
      </c>
    </row>
    <row r="503" spans="1:23" x14ac:dyDescent="0.25">
      <c r="A503" t="s">
        <v>296</v>
      </c>
      <c r="B503" s="5">
        <v>41909</v>
      </c>
      <c r="C503">
        <v>-25.6</v>
      </c>
      <c r="D503" t="s">
        <v>304</v>
      </c>
      <c r="E503" t="s">
        <v>613</v>
      </c>
      <c r="G503" t="s">
        <v>333</v>
      </c>
      <c r="K503" t="s">
        <v>61</v>
      </c>
      <c r="L503" t="s">
        <v>1530</v>
      </c>
      <c r="Q503" t="str">
        <f t="shared" si="21"/>
        <v>Sep</v>
      </c>
      <c r="R503">
        <f t="shared" si="22"/>
        <v>2014</v>
      </c>
      <c r="S503" t="str">
        <f>VLOOKUP($W503,TBL_Categories,2,FALSE)</f>
        <v>Monthly</v>
      </c>
      <c r="T503">
        <f>VLOOKUP($W503,TBL_Categories,3,FALSE)</f>
        <v>0</v>
      </c>
      <c r="U503" t="str">
        <f>VLOOKUP($W503,TBL_Categories,4,FALSE)</f>
        <v>No</v>
      </c>
      <c r="V503" t="str">
        <f>VLOOKUP($W503,TBL_Categories,5,FALSE)</f>
        <v>None</v>
      </c>
      <c r="W503" t="str">
        <f t="shared" si="23"/>
        <v>Food &amp; Dining|Restaurants</v>
      </c>
    </row>
    <row r="504" spans="1:23" x14ac:dyDescent="0.25">
      <c r="A504" t="s">
        <v>296</v>
      </c>
      <c r="B504" s="5">
        <v>41909</v>
      </c>
      <c r="C504">
        <v>-9.84</v>
      </c>
      <c r="D504" t="s">
        <v>304</v>
      </c>
      <c r="E504" t="s">
        <v>433</v>
      </c>
      <c r="F504" t="s">
        <v>1320</v>
      </c>
      <c r="G504" t="s">
        <v>972</v>
      </c>
      <c r="I504" t="s">
        <v>272</v>
      </c>
      <c r="J504" t="s">
        <v>1550</v>
      </c>
      <c r="K504" t="s">
        <v>75</v>
      </c>
      <c r="L504" t="s">
        <v>1564</v>
      </c>
      <c r="O504" t="s">
        <v>1616</v>
      </c>
      <c r="Q504" t="str">
        <f t="shared" si="21"/>
        <v>Sep</v>
      </c>
      <c r="R504">
        <f t="shared" si="22"/>
        <v>2014</v>
      </c>
      <c r="S504" t="str">
        <f>VLOOKUP($W504,TBL_Categories,2,FALSE)</f>
        <v>Irregular</v>
      </c>
      <c r="T504">
        <f>VLOOKUP($W504,TBL_Categories,3,FALSE)</f>
        <v>0</v>
      </c>
      <c r="U504" t="str">
        <f>VLOOKUP($W504,TBL_Categories,4,FALSE)</f>
        <v>No</v>
      </c>
      <c r="V504" t="str">
        <f>VLOOKUP($W504,TBL_Categories,5,FALSE)</f>
        <v>None</v>
      </c>
      <c r="W504" t="str">
        <f t="shared" si="23"/>
        <v>Vacation|Food</v>
      </c>
    </row>
    <row r="505" spans="1:23" x14ac:dyDescent="0.25">
      <c r="A505" t="s">
        <v>296</v>
      </c>
      <c r="B505" s="5">
        <v>41909</v>
      </c>
      <c r="C505">
        <v>-13.13</v>
      </c>
      <c r="D505" t="s">
        <v>304</v>
      </c>
      <c r="E505" t="s">
        <v>433</v>
      </c>
      <c r="F505" t="s">
        <v>1321</v>
      </c>
      <c r="G505" t="s">
        <v>900</v>
      </c>
      <c r="I505" t="s">
        <v>272</v>
      </c>
      <c r="J505" t="s">
        <v>1550</v>
      </c>
      <c r="K505" t="s">
        <v>72</v>
      </c>
      <c r="L505" t="s">
        <v>1565</v>
      </c>
      <c r="M505" t="s">
        <v>1566</v>
      </c>
      <c r="Q505" t="str">
        <f t="shared" si="21"/>
        <v>Sep</v>
      </c>
      <c r="R505">
        <f t="shared" si="22"/>
        <v>2014</v>
      </c>
      <c r="S505" t="str">
        <f>VLOOKUP($W505,TBL_Categories,2,FALSE)</f>
        <v>Annual</v>
      </c>
      <c r="T505">
        <f>VLOOKUP($W505,TBL_Categories,3,FALSE)</f>
        <v>0</v>
      </c>
      <c r="U505" t="str">
        <f>VLOOKUP($W505,TBL_Categories,4,FALSE)</f>
        <v>No</v>
      </c>
      <c r="V505" t="str">
        <f>VLOOKUP($W505,TBL_Categories,5,FALSE)</f>
        <v>None</v>
      </c>
      <c r="W505" t="str">
        <f t="shared" si="23"/>
        <v>Shopping|Hobbies</v>
      </c>
    </row>
    <row r="506" spans="1:23" x14ac:dyDescent="0.25">
      <c r="A506" t="s">
        <v>296</v>
      </c>
      <c r="B506" s="5">
        <v>41909</v>
      </c>
      <c r="C506">
        <v>-37.22</v>
      </c>
      <c r="D506" t="s">
        <v>304</v>
      </c>
      <c r="E506" t="s">
        <v>433</v>
      </c>
      <c r="F506" t="s">
        <v>1322</v>
      </c>
      <c r="G506" t="s">
        <v>1042</v>
      </c>
      <c r="I506" t="s">
        <v>272</v>
      </c>
      <c r="J506" t="s">
        <v>1550</v>
      </c>
      <c r="K506" t="s">
        <v>66</v>
      </c>
      <c r="L506" t="s">
        <v>1537</v>
      </c>
      <c r="Q506" t="str">
        <f t="shared" si="21"/>
        <v>Sep</v>
      </c>
      <c r="R506">
        <f t="shared" si="22"/>
        <v>2014</v>
      </c>
      <c r="S506" t="str">
        <f>VLOOKUP($W506,TBL_Categories,2,FALSE)</f>
        <v>Monthly</v>
      </c>
      <c r="T506">
        <f>VLOOKUP($W506,TBL_Categories,3,FALSE)</f>
        <v>0</v>
      </c>
      <c r="U506" t="str">
        <f>VLOOKUP($W506,TBL_Categories,4,FALSE)</f>
        <v>No</v>
      </c>
      <c r="V506" t="str">
        <f>VLOOKUP($W506,TBL_Categories,5,FALSE)</f>
        <v>None</v>
      </c>
      <c r="W506" t="str">
        <f t="shared" si="23"/>
        <v>Kids|Clothing</v>
      </c>
    </row>
    <row r="507" spans="1:23" x14ac:dyDescent="0.25">
      <c r="A507" t="s">
        <v>296</v>
      </c>
      <c r="B507" s="5">
        <v>41909</v>
      </c>
      <c r="C507">
        <v>-27.36</v>
      </c>
      <c r="D507" t="s">
        <v>304</v>
      </c>
      <c r="E507" t="s">
        <v>433</v>
      </c>
      <c r="F507" t="s">
        <v>1323</v>
      </c>
      <c r="G507" t="s">
        <v>1042</v>
      </c>
      <c r="I507" t="s">
        <v>272</v>
      </c>
      <c r="J507" t="s">
        <v>1550</v>
      </c>
      <c r="K507" t="s">
        <v>66</v>
      </c>
      <c r="L507" t="s">
        <v>1537</v>
      </c>
      <c r="Q507" t="str">
        <f t="shared" si="21"/>
        <v>Sep</v>
      </c>
      <c r="R507">
        <f t="shared" si="22"/>
        <v>2014</v>
      </c>
      <c r="S507" t="str">
        <f>VLOOKUP($W507,TBL_Categories,2,FALSE)</f>
        <v>Monthly</v>
      </c>
      <c r="T507">
        <f>VLOOKUP($W507,TBL_Categories,3,FALSE)</f>
        <v>0</v>
      </c>
      <c r="U507" t="str">
        <f>VLOOKUP($W507,TBL_Categories,4,FALSE)</f>
        <v>No</v>
      </c>
      <c r="V507" t="str">
        <f>VLOOKUP($W507,TBL_Categories,5,FALSE)</f>
        <v>None</v>
      </c>
      <c r="W507" t="str">
        <f t="shared" si="23"/>
        <v>Kids|Clothing</v>
      </c>
    </row>
    <row r="508" spans="1:23" x14ac:dyDescent="0.25">
      <c r="A508" t="s">
        <v>296</v>
      </c>
      <c r="B508" s="5">
        <v>41909</v>
      </c>
      <c r="C508">
        <v>-24.07</v>
      </c>
      <c r="D508" t="s">
        <v>304</v>
      </c>
      <c r="E508" t="s">
        <v>433</v>
      </c>
      <c r="F508" t="s">
        <v>1324</v>
      </c>
      <c r="G508" t="s">
        <v>1042</v>
      </c>
      <c r="I508" t="s">
        <v>272</v>
      </c>
      <c r="J508" t="s">
        <v>1550</v>
      </c>
      <c r="K508" t="s">
        <v>66</v>
      </c>
      <c r="L508" t="s">
        <v>1537</v>
      </c>
      <c r="Q508" t="str">
        <f t="shared" si="21"/>
        <v>Sep</v>
      </c>
      <c r="R508">
        <f t="shared" si="22"/>
        <v>2014</v>
      </c>
      <c r="S508" t="str">
        <f>VLOOKUP($W508,TBL_Categories,2,FALSE)</f>
        <v>Monthly</v>
      </c>
      <c r="T508">
        <f>VLOOKUP($W508,TBL_Categories,3,FALSE)</f>
        <v>0</v>
      </c>
      <c r="U508" t="str">
        <f>VLOOKUP($W508,TBL_Categories,4,FALSE)</f>
        <v>No</v>
      </c>
      <c r="V508" t="str">
        <f>VLOOKUP($W508,TBL_Categories,5,FALSE)</f>
        <v>None</v>
      </c>
      <c r="W508" t="str">
        <f t="shared" si="23"/>
        <v>Kids|Clothing</v>
      </c>
    </row>
    <row r="509" spans="1:23" x14ac:dyDescent="0.25">
      <c r="A509" t="s">
        <v>296</v>
      </c>
      <c r="B509" s="5">
        <v>41909</v>
      </c>
      <c r="C509">
        <v>-87.39</v>
      </c>
      <c r="D509" t="s">
        <v>304</v>
      </c>
      <c r="E509" t="s">
        <v>433</v>
      </c>
      <c r="G509" t="s">
        <v>887</v>
      </c>
      <c r="I509" t="s">
        <v>272</v>
      </c>
      <c r="J509" t="s">
        <v>1550</v>
      </c>
      <c r="K509" t="s">
        <v>61</v>
      </c>
      <c r="L509" t="s">
        <v>401</v>
      </c>
      <c r="Q509" t="str">
        <f t="shared" si="21"/>
        <v>Sep</v>
      </c>
      <c r="R509">
        <f t="shared" si="22"/>
        <v>2014</v>
      </c>
      <c r="S509" t="str">
        <f>VLOOKUP($W509,TBL_Categories,2,FALSE)</f>
        <v>Monthly</v>
      </c>
      <c r="T509">
        <f>VLOOKUP($W509,TBL_Categories,3,FALSE)</f>
        <v>0</v>
      </c>
      <c r="U509" t="str">
        <f>VLOOKUP($W509,TBL_Categories,4,FALSE)</f>
        <v>No</v>
      </c>
      <c r="V509" t="str">
        <f>VLOOKUP($W509,TBL_Categories,5,FALSE)</f>
        <v>None</v>
      </c>
      <c r="W509" t="str">
        <f t="shared" si="23"/>
        <v>Food &amp; Dining|Groceries</v>
      </c>
    </row>
    <row r="510" spans="1:23" x14ac:dyDescent="0.25">
      <c r="A510" t="s">
        <v>633</v>
      </c>
      <c r="B510" s="5">
        <v>41908</v>
      </c>
      <c r="C510">
        <v>-32.47</v>
      </c>
      <c r="D510" t="s">
        <v>304</v>
      </c>
      <c r="E510" t="s">
        <v>998</v>
      </c>
      <c r="G510" t="s">
        <v>333</v>
      </c>
      <c r="K510" t="s">
        <v>61</v>
      </c>
      <c r="L510" t="s">
        <v>1530</v>
      </c>
      <c r="Q510" t="str">
        <f t="shared" si="21"/>
        <v>Sep</v>
      </c>
      <c r="R510">
        <f t="shared" si="22"/>
        <v>2014</v>
      </c>
      <c r="S510" t="str">
        <f>VLOOKUP($W510,TBL_Categories,2,FALSE)</f>
        <v>Monthly</v>
      </c>
      <c r="T510">
        <f>VLOOKUP($W510,TBL_Categories,3,FALSE)</f>
        <v>0</v>
      </c>
      <c r="U510" t="str">
        <f>VLOOKUP($W510,TBL_Categories,4,FALSE)</f>
        <v>No</v>
      </c>
      <c r="V510" t="str">
        <f>VLOOKUP($W510,TBL_Categories,5,FALSE)</f>
        <v>None</v>
      </c>
      <c r="W510" t="str">
        <f t="shared" si="23"/>
        <v>Food &amp; Dining|Restaurants</v>
      </c>
    </row>
    <row r="511" spans="1:23" x14ac:dyDescent="0.25">
      <c r="A511" t="s">
        <v>296</v>
      </c>
      <c r="B511" s="5">
        <v>41908</v>
      </c>
      <c r="C511">
        <v>-26.59</v>
      </c>
      <c r="D511" t="s">
        <v>304</v>
      </c>
      <c r="E511" t="s">
        <v>428</v>
      </c>
      <c r="G511" t="s">
        <v>342</v>
      </c>
      <c r="K511" t="s">
        <v>61</v>
      </c>
      <c r="L511" t="s">
        <v>401</v>
      </c>
      <c r="Q511" t="str">
        <f t="shared" si="21"/>
        <v>Sep</v>
      </c>
      <c r="R511">
        <f t="shared" si="22"/>
        <v>2014</v>
      </c>
      <c r="S511" t="str">
        <f>VLOOKUP($W511,TBL_Categories,2,FALSE)</f>
        <v>Monthly</v>
      </c>
      <c r="T511">
        <f>VLOOKUP($W511,TBL_Categories,3,FALSE)</f>
        <v>0</v>
      </c>
      <c r="U511" t="str">
        <f>VLOOKUP($W511,TBL_Categories,4,FALSE)</f>
        <v>No</v>
      </c>
      <c r="V511" t="str">
        <f>VLOOKUP($W511,TBL_Categories,5,FALSE)</f>
        <v>None</v>
      </c>
      <c r="W511" t="str">
        <f t="shared" si="23"/>
        <v>Food &amp; Dining|Groceries</v>
      </c>
    </row>
    <row r="512" spans="1:23" x14ac:dyDescent="0.25">
      <c r="A512" t="s">
        <v>633</v>
      </c>
      <c r="B512" s="5">
        <v>41907</v>
      </c>
      <c r="C512">
        <v>-6.1</v>
      </c>
      <c r="D512" t="s">
        <v>304</v>
      </c>
      <c r="E512" t="s">
        <v>986</v>
      </c>
      <c r="G512" t="s">
        <v>333</v>
      </c>
      <c r="K512" t="s">
        <v>61</v>
      </c>
      <c r="L512" t="s">
        <v>1530</v>
      </c>
      <c r="Q512" t="str">
        <f t="shared" si="21"/>
        <v>Sep</v>
      </c>
      <c r="R512">
        <f t="shared" si="22"/>
        <v>2014</v>
      </c>
      <c r="S512" t="str">
        <f>VLOOKUP($W512,TBL_Categories,2,FALSE)</f>
        <v>Monthly</v>
      </c>
      <c r="T512">
        <f>VLOOKUP($W512,TBL_Categories,3,FALSE)</f>
        <v>0</v>
      </c>
      <c r="U512" t="str">
        <f>VLOOKUP($W512,TBL_Categories,4,FALSE)</f>
        <v>No</v>
      </c>
      <c r="V512" t="str">
        <f>VLOOKUP($W512,TBL_Categories,5,FALSE)</f>
        <v>None</v>
      </c>
      <c r="W512" t="str">
        <f t="shared" si="23"/>
        <v>Food &amp; Dining|Restaurants</v>
      </c>
    </row>
    <row r="513" spans="1:23" x14ac:dyDescent="0.25">
      <c r="A513" t="s">
        <v>633</v>
      </c>
      <c r="B513" s="5">
        <v>41907</v>
      </c>
      <c r="C513">
        <v>-8.67</v>
      </c>
      <c r="D513" t="s">
        <v>304</v>
      </c>
      <c r="E513" t="s">
        <v>679</v>
      </c>
      <c r="G513" t="s">
        <v>333</v>
      </c>
      <c r="K513" t="s">
        <v>61</v>
      </c>
      <c r="L513" t="s">
        <v>1530</v>
      </c>
      <c r="Q513" t="str">
        <f t="shared" si="21"/>
        <v>Sep</v>
      </c>
      <c r="R513">
        <f t="shared" si="22"/>
        <v>2014</v>
      </c>
      <c r="S513" t="str">
        <f>VLOOKUP($W513,TBL_Categories,2,FALSE)</f>
        <v>Monthly</v>
      </c>
      <c r="T513">
        <f>VLOOKUP($W513,TBL_Categories,3,FALSE)</f>
        <v>0</v>
      </c>
      <c r="U513" t="str">
        <f>VLOOKUP($W513,TBL_Categories,4,FALSE)</f>
        <v>No</v>
      </c>
      <c r="V513" t="str">
        <f>VLOOKUP($W513,TBL_Categories,5,FALSE)</f>
        <v>None</v>
      </c>
      <c r="W513" t="str">
        <f t="shared" si="23"/>
        <v>Food &amp; Dining|Restaurants</v>
      </c>
    </row>
    <row r="514" spans="1:23" x14ac:dyDescent="0.25">
      <c r="A514" t="s">
        <v>288</v>
      </c>
      <c r="B514" s="5">
        <v>41906</v>
      </c>
      <c r="C514">
        <v>-146.91999999999999</v>
      </c>
      <c r="D514" t="s">
        <v>304</v>
      </c>
      <c r="E514" t="s">
        <v>391</v>
      </c>
      <c r="F514" t="s">
        <v>382</v>
      </c>
      <c r="G514" t="s">
        <v>31</v>
      </c>
      <c r="K514" t="s">
        <v>31</v>
      </c>
      <c r="Q514" t="str">
        <f t="shared" ref="Q514:Q577" si="24">TEXT($B514,"MMM")</f>
        <v>Sep</v>
      </c>
      <c r="R514">
        <f t="shared" ref="R514:R577" si="25">YEAR($B514)</f>
        <v>2014</v>
      </c>
      <c r="S514" t="str">
        <f>VLOOKUP($W514,TBL_Categories,2,FALSE)</f>
        <v>Account</v>
      </c>
      <c r="T514">
        <f>VLOOKUP($W514,TBL_Categories,3,FALSE)</f>
        <v>0</v>
      </c>
      <c r="U514" t="str">
        <f>VLOOKUP($W514,TBL_Categories,4,FALSE)</f>
        <v>No</v>
      </c>
      <c r="V514" t="str">
        <f>VLOOKUP($W514,TBL_Categories,5,FALSE)</f>
        <v>None</v>
      </c>
      <c r="W514" t="str">
        <f t="shared" ref="W514:W577" si="26">IF(ISBLANK($L514),$K514,CONCATENATE($K514,"|",$L514))</f>
        <v>[Koolikai Credit Card]</v>
      </c>
    </row>
    <row r="515" spans="1:23" x14ac:dyDescent="0.25">
      <c r="A515" t="s">
        <v>633</v>
      </c>
      <c r="B515" s="5">
        <v>41906</v>
      </c>
      <c r="C515">
        <v>-6.3</v>
      </c>
      <c r="D515" t="s">
        <v>304</v>
      </c>
      <c r="E515" t="s">
        <v>936</v>
      </c>
      <c r="G515" t="s">
        <v>333</v>
      </c>
      <c r="K515" t="s">
        <v>61</v>
      </c>
      <c r="L515" t="s">
        <v>1530</v>
      </c>
      <c r="Q515" t="str">
        <f t="shared" si="24"/>
        <v>Sep</v>
      </c>
      <c r="R515">
        <f t="shared" si="25"/>
        <v>2014</v>
      </c>
      <c r="S515" t="str">
        <f>VLOOKUP($W515,TBL_Categories,2,FALSE)</f>
        <v>Monthly</v>
      </c>
      <c r="T515">
        <f>VLOOKUP($W515,TBL_Categories,3,FALSE)</f>
        <v>0</v>
      </c>
      <c r="U515" t="str">
        <f>VLOOKUP($W515,TBL_Categories,4,FALSE)</f>
        <v>No</v>
      </c>
      <c r="V515" t="str">
        <f>VLOOKUP($W515,TBL_Categories,5,FALSE)</f>
        <v>None</v>
      </c>
      <c r="W515" t="str">
        <f t="shared" si="26"/>
        <v>Food &amp; Dining|Restaurants</v>
      </c>
    </row>
    <row r="516" spans="1:23" x14ac:dyDescent="0.25">
      <c r="A516" t="s">
        <v>296</v>
      </c>
      <c r="B516" s="5">
        <v>41906</v>
      </c>
      <c r="C516">
        <v>50</v>
      </c>
      <c r="D516" t="s">
        <v>304</v>
      </c>
      <c r="E516" t="s">
        <v>429</v>
      </c>
      <c r="G516" t="s">
        <v>14</v>
      </c>
      <c r="K516" t="s">
        <v>14</v>
      </c>
      <c r="Q516" t="str">
        <f t="shared" si="24"/>
        <v>Sep</v>
      </c>
      <c r="R516">
        <f t="shared" si="25"/>
        <v>2014</v>
      </c>
      <c r="S516" t="str">
        <f>VLOOKUP($W516,TBL_Categories,2,FALSE)</f>
        <v>Monthly</v>
      </c>
      <c r="T516">
        <f>VLOOKUP($W516,TBL_Categories,3,FALSE)</f>
        <v>0</v>
      </c>
      <c r="U516" t="str">
        <f>VLOOKUP($W516,TBL_Categories,4,FALSE)</f>
        <v>No</v>
      </c>
      <c r="V516" t="str">
        <f>VLOOKUP($W516,TBL_Categories,5,FALSE)</f>
        <v>None</v>
      </c>
      <c r="W516" t="str">
        <f t="shared" si="26"/>
        <v>Other Inc</v>
      </c>
    </row>
    <row r="517" spans="1:23" x14ac:dyDescent="0.25">
      <c r="A517" t="s">
        <v>284</v>
      </c>
      <c r="B517" s="5">
        <v>41905</v>
      </c>
      <c r="C517">
        <v>-183.85</v>
      </c>
      <c r="D517" t="s">
        <v>304</v>
      </c>
      <c r="E517" t="s">
        <v>352</v>
      </c>
      <c r="F517" t="s">
        <v>353</v>
      </c>
      <c r="G517" t="s">
        <v>354</v>
      </c>
      <c r="K517" t="s">
        <v>52</v>
      </c>
      <c r="L517" t="s">
        <v>1544</v>
      </c>
      <c r="Q517" t="str">
        <f t="shared" si="24"/>
        <v>Sep</v>
      </c>
      <c r="R517">
        <f t="shared" si="25"/>
        <v>2014</v>
      </c>
      <c r="S517" t="str">
        <f>VLOOKUP($W517,TBL_Categories,2,FALSE)</f>
        <v>Monthly</v>
      </c>
      <c r="T517">
        <f>VLOOKUP($W517,TBL_Categories,3,FALSE)</f>
        <v>0</v>
      </c>
      <c r="U517" t="str">
        <f>VLOOKUP($W517,TBL_Categories,4,FALSE)</f>
        <v>No</v>
      </c>
      <c r="V517" t="str">
        <f>VLOOKUP($W517,TBL_Categories,5,FALSE)</f>
        <v>None</v>
      </c>
      <c r="W517" t="str">
        <f t="shared" si="26"/>
        <v>Auto &amp; Transport|Auto Lease Payment</v>
      </c>
    </row>
    <row r="518" spans="1:23" x14ac:dyDescent="0.25">
      <c r="A518" t="s">
        <v>633</v>
      </c>
      <c r="B518" s="5">
        <v>41905</v>
      </c>
      <c r="C518">
        <v>-31.96</v>
      </c>
      <c r="D518" t="s">
        <v>304</v>
      </c>
      <c r="E518" t="s">
        <v>422</v>
      </c>
      <c r="F518" t="s">
        <v>997</v>
      </c>
      <c r="G518" t="s">
        <v>604</v>
      </c>
      <c r="K518" t="s">
        <v>55</v>
      </c>
      <c r="L518" t="s">
        <v>1572</v>
      </c>
      <c r="Q518" t="str">
        <f t="shared" si="24"/>
        <v>Sep</v>
      </c>
      <c r="R518">
        <f t="shared" si="25"/>
        <v>2014</v>
      </c>
      <c r="S518" t="str">
        <f>VLOOKUP($W518,TBL_Categories,2,FALSE)</f>
        <v>Irregular</v>
      </c>
      <c r="T518">
        <f>VLOOKUP($W518,TBL_Categories,3,FALSE)</f>
        <v>0</v>
      </c>
      <c r="U518" t="str">
        <f>VLOOKUP($W518,TBL_Categories,4,FALSE)</f>
        <v>No</v>
      </c>
      <c r="V518" t="str">
        <f>VLOOKUP($W518,TBL_Categories,5,FALSE)</f>
        <v>None</v>
      </c>
      <c r="W518" t="str">
        <f t="shared" si="26"/>
        <v>Business Expenses (Koolikai)|Tools</v>
      </c>
    </row>
    <row r="519" spans="1:23" x14ac:dyDescent="0.25">
      <c r="A519" t="s">
        <v>294</v>
      </c>
      <c r="B519" s="5">
        <v>41905</v>
      </c>
      <c r="C519">
        <v>146.91999999999999</v>
      </c>
      <c r="D519" t="s">
        <v>304</v>
      </c>
      <c r="E519" t="s">
        <v>391</v>
      </c>
      <c r="G519" t="s">
        <v>24</v>
      </c>
      <c r="K519" t="s">
        <v>24</v>
      </c>
      <c r="Q519" t="str">
        <f t="shared" si="24"/>
        <v>Sep</v>
      </c>
      <c r="R519">
        <f t="shared" si="25"/>
        <v>2014</v>
      </c>
      <c r="S519" t="str">
        <f>VLOOKUP($W519,TBL_Categories,2,FALSE)</f>
        <v>Account</v>
      </c>
      <c r="T519">
        <f>VLOOKUP($W519,TBL_Categories,3,FALSE)</f>
        <v>0</v>
      </c>
      <c r="U519" t="str">
        <f>VLOOKUP($W519,TBL_Categories,4,FALSE)</f>
        <v>No</v>
      </c>
      <c r="V519" t="str">
        <f>VLOOKUP($W519,TBL_Categories,5,FALSE)</f>
        <v>None</v>
      </c>
      <c r="W519" t="str">
        <f t="shared" si="26"/>
        <v>[Koolikai - Checking XX2129]</v>
      </c>
    </row>
    <row r="520" spans="1:23" x14ac:dyDescent="0.25">
      <c r="A520" t="s">
        <v>284</v>
      </c>
      <c r="B520" s="5">
        <v>41904</v>
      </c>
      <c r="C520">
        <v>-85.11</v>
      </c>
      <c r="D520" t="s">
        <v>304</v>
      </c>
      <c r="E520" t="s">
        <v>323</v>
      </c>
      <c r="F520" t="s">
        <v>343</v>
      </c>
      <c r="G520" t="s">
        <v>313</v>
      </c>
      <c r="K520" t="s">
        <v>54</v>
      </c>
      <c r="L520" t="s">
        <v>1521</v>
      </c>
      <c r="Q520" t="str">
        <f t="shared" si="24"/>
        <v>Sep</v>
      </c>
      <c r="R520">
        <f t="shared" si="25"/>
        <v>2014</v>
      </c>
      <c r="S520" t="str">
        <f>VLOOKUP($W520,TBL_Categories,2,FALSE)</f>
        <v>Monthly</v>
      </c>
      <c r="T520">
        <f>VLOOKUP($W520,TBL_Categories,3,FALSE)</f>
        <v>0</v>
      </c>
      <c r="U520" t="str">
        <f>VLOOKUP($W520,TBL_Categories,4,FALSE)</f>
        <v>No</v>
      </c>
      <c r="V520" t="str">
        <f>VLOOKUP($W520,TBL_Categories,5,FALSE)</f>
        <v>None</v>
      </c>
      <c r="W520" t="str">
        <f t="shared" si="26"/>
        <v>Bills &amp; Utilities|Utilities</v>
      </c>
    </row>
    <row r="521" spans="1:23" x14ac:dyDescent="0.25">
      <c r="A521" t="s">
        <v>633</v>
      </c>
      <c r="B521" s="5">
        <v>41904</v>
      </c>
      <c r="C521">
        <v>-0.5</v>
      </c>
      <c r="D521" t="s">
        <v>304</v>
      </c>
      <c r="E521" t="s">
        <v>994</v>
      </c>
      <c r="G521" t="s">
        <v>432</v>
      </c>
      <c r="K521" t="s">
        <v>52</v>
      </c>
      <c r="L521" t="s">
        <v>1577</v>
      </c>
      <c r="Q521" t="str">
        <f t="shared" si="24"/>
        <v>Sep</v>
      </c>
      <c r="R521">
        <f t="shared" si="25"/>
        <v>2014</v>
      </c>
      <c r="S521" t="str">
        <f>VLOOKUP($W521,TBL_Categories,2,FALSE)</f>
        <v>Monthly</v>
      </c>
      <c r="T521">
        <f>VLOOKUP($W521,TBL_Categories,3,FALSE)</f>
        <v>0</v>
      </c>
      <c r="U521" t="str">
        <f>VLOOKUP($W521,TBL_Categories,4,FALSE)</f>
        <v>No</v>
      </c>
      <c r="V521" t="str">
        <f>VLOOKUP($W521,TBL_Categories,5,FALSE)</f>
        <v>None</v>
      </c>
      <c r="W521" t="str">
        <f t="shared" si="26"/>
        <v>Auto &amp; Transport|Parking</v>
      </c>
    </row>
    <row r="522" spans="1:23" x14ac:dyDescent="0.25">
      <c r="A522" t="s">
        <v>633</v>
      </c>
      <c r="B522" s="5">
        <v>41904</v>
      </c>
      <c r="C522">
        <v>-29.09</v>
      </c>
      <c r="D522" t="s">
        <v>304</v>
      </c>
      <c r="E522" t="s">
        <v>995</v>
      </c>
      <c r="G522" t="s">
        <v>333</v>
      </c>
      <c r="K522" t="s">
        <v>61</v>
      </c>
      <c r="L522" t="s">
        <v>1530</v>
      </c>
      <c r="Q522" t="str">
        <f t="shared" si="24"/>
        <v>Sep</v>
      </c>
      <c r="R522">
        <f t="shared" si="25"/>
        <v>2014</v>
      </c>
      <c r="S522" t="str">
        <f>VLOOKUP($W522,TBL_Categories,2,FALSE)</f>
        <v>Monthly</v>
      </c>
      <c r="T522">
        <f>VLOOKUP($W522,TBL_Categories,3,FALSE)</f>
        <v>0</v>
      </c>
      <c r="U522" t="str">
        <f>VLOOKUP($W522,TBL_Categories,4,FALSE)</f>
        <v>No</v>
      </c>
      <c r="V522" t="str">
        <f>VLOOKUP($W522,TBL_Categories,5,FALSE)</f>
        <v>None</v>
      </c>
      <c r="W522" t="str">
        <f t="shared" si="26"/>
        <v>Food &amp; Dining|Restaurants</v>
      </c>
    </row>
    <row r="523" spans="1:23" x14ac:dyDescent="0.25">
      <c r="A523" t="s">
        <v>633</v>
      </c>
      <c r="B523" s="5">
        <v>41904</v>
      </c>
      <c r="C523">
        <v>-52.92</v>
      </c>
      <c r="D523" t="s">
        <v>304</v>
      </c>
      <c r="E523" t="s">
        <v>996</v>
      </c>
      <c r="G523" t="s">
        <v>333</v>
      </c>
      <c r="K523" t="s">
        <v>61</v>
      </c>
      <c r="L523" t="s">
        <v>1530</v>
      </c>
      <c r="Q523" t="str">
        <f t="shared" si="24"/>
        <v>Sep</v>
      </c>
      <c r="R523">
        <f t="shared" si="25"/>
        <v>2014</v>
      </c>
      <c r="S523" t="str">
        <f>VLOOKUP($W523,TBL_Categories,2,FALSE)</f>
        <v>Monthly</v>
      </c>
      <c r="T523">
        <f>VLOOKUP($W523,TBL_Categories,3,FALSE)</f>
        <v>0</v>
      </c>
      <c r="U523" t="str">
        <f>VLOOKUP($W523,TBL_Categories,4,FALSE)</f>
        <v>No</v>
      </c>
      <c r="V523" t="str">
        <f>VLOOKUP($W523,TBL_Categories,5,FALSE)</f>
        <v>None</v>
      </c>
      <c r="W523" t="str">
        <f t="shared" si="26"/>
        <v>Food &amp; Dining|Restaurants</v>
      </c>
    </row>
    <row r="524" spans="1:23" x14ac:dyDescent="0.25">
      <c r="A524" t="s">
        <v>633</v>
      </c>
      <c r="B524" s="5">
        <v>41903</v>
      </c>
      <c r="C524">
        <v>-6.3</v>
      </c>
      <c r="D524" t="s">
        <v>304</v>
      </c>
      <c r="E524" t="s">
        <v>936</v>
      </c>
      <c r="G524" t="s">
        <v>333</v>
      </c>
      <c r="K524" t="s">
        <v>61</v>
      </c>
      <c r="L524" t="s">
        <v>1530</v>
      </c>
      <c r="Q524" t="str">
        <f t="shared" si="24"/>
        <v>Sep</v>
      </c>
      <c r="R524">
        <f t="shared" si="25"/>
        <v>2014</v>
      </c>
      <c r="S524" t="str">
        <f>VLOOKUP($W524,TBL_Categories,2,FALSE)</f>
        <v>Monthly</v>
      </c>
      <c r="T524">
        <f>VLOOKUP($W524,TBL_Categories,3,FALSE)</f>
        <v>0</v>
      </c>
      <c r="U524" t="str">
        <f>VLOOKUP($W524,TBL_Categories,4,FALSE)</f>
        <v>No</v>
      </c>
      <c r="V524" t="str">
        <f>VLOOKUP($W524,TBL_Categories,5,FALSE)</f>
        <v>None</v>
      </c>
      <c r="W524" t="str">
        <f t="shared" si="26"/>
        <v>Food &amp; Dining|Restaurants</v>
      </c>
    </row>
    <row r="525" spans="1:23" x14ac:dyDescent="0.25">
      <c r="A525" t="s">
        <v>633</v>
      </c>
      <c r="B525" s="5">
        <v>41903</v>
      </c>
      <c r="C525">
        <v>-8.2100000000000009</v>
      </c>
      <c r="D525" t="s">
        <v>304</v>
      </c>
      <c r="E525" t="s">
        <v>531</v>
      </c>
      <c r="F525" t="s">
        <v>990</v>
      </c>
      <c r="G525" t="s">
        <v>425</v>
      </c>
      <c r="K525" t="s">
        <v>55</v>
      </c>
      <c r="L525" t="s">
        <v>1553</v>
      </c>
      <c r="Q525" t="str">
        <f t="shared" si="24"/>
        <v>Sep</v>
      </c>
      <c r="R525">
        <f t="shared" si="25"/>
        <v>2014</v>
      </c>
      <c r="S525" t="str">
        <f>VLOOKUP($W525,TBL_Categories,2,FALSE)</f>
        <v>Monthly</v>
      </c>
      <c r="T525">
        <f>VLOOKUP($W525,TBL_Categories,3,FALSE)</f>
        <v>0</v>
      </c>
      <c r="U525" t="str">
        <f>VLOOKUP($W525,TBL_Categories,4,FALSE)</f>
        <v>No</v>
      </c>
      <c r="V525" t="str">
        <f>VLOOKUP($W525,TBL_Categories,5,FALSE)</f>
        <v>None</v>
      </c>
      <c r="W525" t="str">
        <f t="shared" si="26"/>
        <v>Business Expenses (Koolikai)|Office Expenses (Business)</v>
      </c>
    </row>
    <row r="526" spans="1:23" x14ac:dyDescent="0.25">
      <c r="A526" t="s">
        <v>633</v>
      </c>
      <c r="B526" s="5">
        <v>41903</v>
      </c>
      <c r="C526">
        <v>-57</v>
      </c>
      <c r="D526" t="s">
        <v>304</v>
      </c>
      <c r="E526" t="s">
        <v>991</v>
      </c>
      <c r="G526" t="s">
        <v>398</v>
      </c>
      <c r="K526" t="s">
        <v>70</v>
      </c>
      <c r="L526" t="s">
        <v>1563</v>
      </c>
      <c r="Q526" t="str">
        <f t="shared" si="24"/>
        <v>Sep</v>
      </c>
      <c r="R526">
        <f t="shared" si="25"/>
        <v>2014</v>
      </c>
      <c r="S526" t="str">
        <f>VLOOKUP($W526,TBL_Categories,2,FALSE)</f>
        <v>Monthly</v>
      </c>
      <c r="T526">
        <f>VLOOKUP($W526,TBL_Categories,3,FALSE)</f>
        <v>0</v>
      </c>
      <c r="U526" t="str">
        <f>VLOOKUP($W526,TBL_Categories,4,FALSE)</f>
        <v>No</v>
      </c>
      <c r="V526" t="str">
        <f>VLOOKUP($W526,TBL_Categories,5,FALSE)</f>
        <v>None</v>
      </c>
      <c r="W526" t="str">
        <f t="shared" si="26"/>
        <v>Personal Care|Hair</v>
      </c>
    </row>
    <row r="527" spans="1:23" x14ac:dyDescent="0.25">
      <c r="A527" t="s">
        <v>633</v>
      </c>
      <c r="B527" s="5">
        <v>41903</v>
      </c>
      <c r="C527">
        <v>-19.690000000000001</v>
      </c>
      <c r="D527" t="s">
        <v>304</v>
      </c>
      <c r="E527" t="s">
        <v>433</v>
      </c>
      <c r="F527" t="s">
        <v>992</v>
      </c>
      <c r="G527" t="s">
        <v>993</v>
      </c>
      <c r="I527" t="s">
        <v>272</v>
      </c>
      <c r="J527" t="s">
        <v>1550</v>
      </c>
      <c r="K527" t="s">
        <v>90</v>
      </c>
      <c r="L527" t="s">
        <v>1543</v>
      </c>
      <c r="Q527" t="str">
        <f t="shared" si="24"/>
        <v>Sep</v>
      </c>
      <c r="R527">
        <f t="shared" si="25"/>
        <v>2014</v>
      </c>
      <c r="S527" t="str">
        <f>VLOOKUP($W527,TBL_Categories,2,FALSE)</f>
        <v>Unplanned</v>
      </c>
      <c r="T527">
        <f>VLOOKUP($W527,TBL_Categories,3,FALSE)</f>
        <v>0</v>
      </c>
      <c r="U527" t="str">
        <f>VLOOKUP($W527,TBL_Categories,4,FALSE)</f>
        <v>No</v>
      </c>
      <c r="V527" t="str">
        <f>VLOOKUP($W527,TBL_Categories,5,FALSE)</f>
        <v>None</v>
      </c>
      <c r="W527" t="str">
        <f t="shared" si="26"/>
        <v>Projects|Landscaping</v>
      </c>
    </row>
    <row r="528" spans="1:23" x14ac:dyDescent="0.25">
      <c r="A528" t="s">
        <v>633</v>
      </c>
      <c r="B528" s="5">
        <v>41903</v>
      </c>
      <c r="C528">
        <v>-105.64</v>
      </c>
      <c r="D528" t="s">
        <v>304</v>
      </c>
      <c r="E528" t="s">
        <v>433</v>
      </c>
      <c r="G528" t="s">
        <v>887</v>
      </c>
      <c r="I528" t="s">
        <v>272</v>
      </c>
      <c r="J528" t="s">
        <v>1550</v>
      </c>
      <c r="K528" t="s">
        <v>61</v>
      </c>
      <c r="L528" t="s">
        <v>401</v>
      </c>
      <c r="Q528" t="str">
        <f t="shared" si="24"/>
        <v>Sep</v>
      </c>
      <c r="R528">
        <f t="shared" si="25"/>
        <v>2014</v>
      </c>
      <c r="S528" t="str">
        <f>VLOOKUP($W528,TBL_Categories,2,FALSE)</f>
        <v>Monthly</v>
      </c>
      <c r="T528">
        <f>VLOOKUP($W528,TBL_Categories,3,FALSE)</f>
        <v>0</v>
      </c>
      <c r="U528" t="str">
        <f>VLOOKUP($W528,TBL_Categories,4,FALSE)</f>
        <v>No</v>
      </c>
      <c r="V528" t="str">
        <f>VLOOKUP($W528,TBL_Categories,5,FALSE)</f>
        <v>None</v>
      </c>
      <c r="W528" t="str">
        <f t="shared" si="26"/>
        <v>Food &amp; Dining|Groceries</v>
      </c>
    </row>
    <row r="529" spans="1:23" x14ac:dyDescent="0.25">
      <c r="A529" t="s">
        <v>633</v>
      </c>
      <c r="B529" s="5">
        <v>41901</v>
      </c>
      <c r="C529">
        <v>-11.95</v>
      </c>
      <c r="D529" t="s">
        <v>304</v>
      </c>
      <c r="E529" t="s">
        <v>987</v>
      </c>
      <c r="G529" t="s">
        <v>601</v>
      </c>
      <c r="K529" t="s">
        <v>54</v>
      </c>
      <c r="L529" t="s">
        <v>1556</v>
      </c>
      <c r="Q529" t="str">
        <f t="shared" si="24"/>
        <v>Sep</v>
      </c>
      <c r="R529">
        <f t="shared" si="25"/>
        <v>2014</v>
      </c>
      <c r="S529" t="str">
        <f>VLOOKUP($W529,TBL_Categories,2,FALSE)</f>
        <v>Hidden</v>
      </c>
      <c r="T529">
        <f>VLOOKUP($W529,TBL_Categories,3,FALSE)</f>
        <v>0</v>
      </c>
      <c r="U529" t="str">
        <f>VLOOKUP($W529,TBL_Categories,4,FALSE)</f>
        <v>No</v>
      </c>
      <c r="V529" t="str">
        <f>VLOOKUP($W529,TBL_Categories,5,FALSE)</f>
        <v>None</v>
      </c>
      <c r="W529" t="str">
        <f t="shared" si="26"/>
        <v>Bills &amp; Utilities|Mobile Phone</v>
      </c>
    </row>
    <row r="530" spans="1:23" x14ac:dyDescent="0.25">
      <c r="A530" t="s">
        <v>633</v>
      </c>
      <c r="B530" s="5">
        <v>41901</v>
      </c>
      <c r="C530">
        <v>-575.15</v>
      </c>
      <c r="D530" t="s">
        <v>304</v>
      </c>
      <c r="E530" t="s">
        <v>988</v>
      </c>
      <c r="F530" t="s">
        <v>989</v>
      </c>
      <c r="G530" t="s">
        <v>20</v>
      </c>
      <c r="K530" t="s">
        <v>20</v>
      </c>
      <c r="Q530" t="str">
        <f t="shared" si="24"/>
        <v>Sep</v>
      </c>
      <c r="R530">
        <f t="shared" si="25"/>
        <v>2014</v>
      </c>
      <c r="S530" t="str">
        <f>VLOOKUP($W530,TBL_Categories,2,FALSE)</f>
        <v>Monthly</v>
      </c>
      <c r="T530">
        <f>VLOOKUP($W530,TBL_Categories,3,FALSE)</f>
        <v>0</v>
      </c>
      <c r="U530" t="str">
        <f>VLOOKUP($W530,TBL_Categories,4,FALSE)</f>
        <v>No</v>
      </c>
      <c r="V530" t="str">
        <f>VLOOKUP($W530,TBL_Categories,5,FALSE)</f>
        <v>None</v>
      </c>
      <c r="W530" t="str">
        <f t="shared" si="26"/>
        <v>Gifts</v>
      </c>
    </row>
    <row r="531" spans="1:23" x14ac:dyDescent="0.25">
      <c r="A531" t="s">
        <v>633</v>
      </c>
      <c r="B531" s="5">
        <v>41900</v>
      </c>
      <c r="C531">
        <v>-0.01</v>
      </c>
      <c r="D531" t="s">
        <v>304</v>
      </c>
      <c r="E531" t="s">
        <v>985</v>
      </c>
      <c r="F531" t="s">
        <v>1021</v>
      </c>
      <c r="G531" t="s">
        <v>940</v>
      </c>
      <c r="K531" t="s">
        <v>29</v>
      </c>
      <c r="L531" t="s">
        <v>1573</v>
      </c>
      <c r="O531" t="s">
        <v>1607</v>
      </c>
      <c r="Q531" t="str">
        <f t="shared" si="24"/>
        <v>Sep</v>
      </c>
      <c r="R531">
        <f t="shared" si="25"/>
        <v>2014</v>
      </c>
      <c r="S531" t="str">
        <f>VLOOKUP($W531,TBL_Categories,2,FALSE)</f>
        <v>Irregular</v>
      </c>
      <c r="T531">
        <f>VLOOKUP($W531,TBL_Categories,3,FALSE)</f>
        <v>0</v>
      </c>
      <c r="U531" t="str">
        <f>VLOOKUP($W531,TBL_Categories,4,FALSE)</f>
        <v>No</v>
      </c>
      <c r="V531" t="str">
        <f>VLOOKUP($W531,TBL_Categories,5,FALSE)</f>
        <v>None</v>
      </c>
      <c r="W531" t="str">
        <f t="shared" si="26"/>
        <v>Work Expense|Reimbursable expense</v>
      </c>
    </row>
    <row r="532" spans="1:23" x14ac:dyDescent="0.25">
      <c r="A532" t="s">
        <v>633</v>
      </c>
      <c r="B532" s="5">
        <v>41900</v>
      </c>
      <c r="C532">
        <v>-6.1</v>
      </c>
      <c r="D532" t="s">
        <v>304</v>
      </c>
      <c r="E532" t="s">
        <v>986</v>
      </c>
      <c r="G532" t="s">
        <v>333</v>
      </c>
      <c r="K532" t="s">
        <v>61</v>
      </c>
      <c r="L532" t="s">
        <v>1530</v>
      </c>
      <c r="Q532" t="str">
        <f t="shared" si="24"/>
        <v>Sep</v>
      </c>
      <c r="R532">
        <f t="shared" si="25"/>
        <v>2014</v>
      </c>
      <c r="S532" t="str">
        <f>VLOOKUP($W532,TBL_Categories,2,FALSE)</f>
        <v>Monthly</v>
      </c>
      <c r="T532">
        <f>VLOOKUP($W532,TBL_Categories,3,FALSE)</f>
        <v>0</v>
      </c>
      <c r="U532" t="str">
        <f>VLOOKUP($W532,TBL_Categories,4,FALSE)</f>
        <v>No</v>
      </c>
      <c r="V532" t="str">
        <f>VLOOKUP($W532,TBL_Categories,5,FALSE)</f>
        <v>None</v>
      </c>
      <c r="W532" t="str">
        <f t="shared" si="26"/>
        <v>Food &amp; Dining|Restaurants</v>
      </c>
    </row>
    <row r="533" spans="1:23" x14ac:dyDescent="0.25">
      <c r="A533" t="s">
        <v>764</v>
      </c>
      <c r="B533" s="5">
        <v>41900</v>
      </c>
      <c r="C533">
        <v>15.72</v>
      </c>
      <c r="D533" t="s">
        <v>1497</v>
      </c>
      <c r="H533" t="s">
        <v>1504</v>
      </c>
      <c r="Q533" t="str">
        <f t="shared" si="24"/>
        <v>Sep</v>
      </c>
      <c r="R533">
        <f t="shared" si="25"/>
        <v>2014</v>
      </c>
      <c r="S533" t="e">
        <f>VLOOKUP($W533,TBL_Categories,2,FALSE)</f>
        <v>#N/A</v>
      </c>
      <c r="T533" t="e">
        <f>VLOOKUP($W533,TBL_Categories,3,FALSE)</f>
        <v>#N/A</v>
      </c>
      <c r="U533" t="e">
        <f>VLOOKUP($W533,TBL_Categories,4,FALSE)</f>
        <v>#N/A</v>
      </c>
      <c r="V533" t="e">
        <f>VLOOKUP($W533,TBL_Categories,5,FALSE)</f>
        <v>#N/A</v>
      </c>
      <c r="W533">
        <f t="shared" si="26"/>
        <v>0</v>
      </c>
    </row>
    <row r="534" spans="1:23" x14ac:dyDescent="0.25">
      <c r="A534" t="s">
        <v>633</v>
      </c>
      <c r="B534" s="5">
        <v>41899</v>
      </c>
      <c r="C534">
        <v>-0.01</v>
      </c>
      <c r="D534" t="s">
        <v>304</v>
      </c>
      <c r="E534" t="s">
        <v>985</v>
      </c>
      <c r="F534" t="s">
        <v>1021</v>
      </c>
      <c r="G534" t="s">
        <v>940</v>
      </c>
      <c r="K534" t="s">
        <v>29</v>
      </c>
      <c r="L534" t="s">
        <v>1573</v>
      </c>
      <c r="O534" t="s">
        <v>1607</v>
      </c>
      <c r="Q534" t="str">
        <f t="shared" si="24"/>
        <v>Sep</v>
      </c>
      <c r="R534">
        <f t="shared" si="25"/>
        <v>2014</v>
      </c>
      <c r="S534" t="str">
        <f>VLOOKUP($W534,TBL_Categories,2,FALSE)</f>
        <v>Irregular</v>
      </c>
      <c r="T534">
        <f>VLOOKUP($W534,TBL_Categories,3,FALSE)</f>
        <v>0</v>
      </c>
      <c r="U534" t="str">
        <f>VLOOKUP($W534,TBL_Categories,4,FALSE)</f>
        <v>No</v>
      </c>
      <c r="V534" t="str">
        <f>VLOOKUP($W534,TBL_Categories,5,FALSE)</f>
        <v>None</v>
      </c>
      <c r="W534" t="str">
        <f t="shared" si="26"/>
        <v>Work Expense|Reimbursable expense</v>
      </c>
    </row>
    <row r="535" spans="1:23" x14ac:dyDescent="0.25">
      <c r="A535" t="s">
        <v>296</v>
      </c>
      <c r="B535" s="5">
        <v>41899</v>
      </c>
      <c r="C535">
        <v>26.98</v>
      </c>
      <c r="D535" t="s">
        <v>304</v>
      </c>
      <c r="E535" t="s">
        <v>1312</v>
      </c>
      <c r="G535" t="s">
        <v>1313</v>
      </c>
      <c r="K535" t="s">
        <v>1595</v>
      </c>
      <c r="L535" t="s">
        <v>1596</v>
      </c>
      <c r="Q535" t="str">
        <f t="shared" si="24"/>
        <v>Sep</v>
      </c>
      <c r="R535">
        <f t="shared" si="25"/>
        <v>2014</v>
      </c>
      <c r="S535" t="e">
        <f>VLOOKUP($W535,TBL_Categories,2,FALSE)</f>
        <v>#N/A</v>
      </c>
      <c r="T535" t="e">
        <f>VLOOKUP($W535,TBL_Categories,3,FALSE)</f>
        <v>#N/A</v>
      </c>
      <c r="U535" t="e">
        <f>VLOOKUP($W535,TBL_Categories,4,FALSE)</f>
        <v>#N/A</v>
      </c>
      <c r="V535" t="e">
        <f>VLOOKUP($W535,TBL_Categories,5,FALSE)</f>
        <v>#N/A</v>
      </c>
      <c r="W535" t="str">
        <f t="shared" si="26"/>
        <v>Misc Expenses|Fraud</v>
      </c>
    </row>
    <row r="536" spans="1:23" x14ac:dyDescent="0.25">
      <c r="A536" t="s">
        <v>296</v>
      </c>
      <c r="B536" s="5">
        <v>41899</v>
      </c>
      <c r="C536">
        <v>26.98</v>
      </c>
      <c r="D536" t="s">
        <v>304</v>
      </c>
      <c r="E536" t="s">
        <v>1312</v>
      </c>
      <c r="G536" t="s">
        <v>1313</v>
      </c>
      <c r="K536" t="s">
        <v>1595</v>
      </c>
      <c r="L536" t="s">
        <v>1596</v>
      </c>
      <c r="Q536" t="str">
        <f t="shared" si="24"/>
        <v>Sep</v>
      </c>
      <c r="R536">
        <f t="shared" si="25"/>
        <v>2014</v>
      </c>
      <c r="S536" t="e">
        <f>VLOOKUP($W536,TBL_Categories,2,FALSE)</f>
        <v>#N/A</v>
      </c>
      <c r="T536" t="e">
        <f>VLOOKUP($W536,TBL_Categories,3,FALSE)</f>
        <v>#N/A</v>
      </c>
      <c r="U536" t="e">
        <f>VLOOKUP($W536,TBL_Categories,4,FALSE)</f>
        <v>#N/A</v>
      </c>
      <c r="V536" t="e">
        <f>VLOOKUP($W536,TBL_Categories,5,FALSE)</f>
        <v>#N/A</v>
      </c>
      <c r="W536" t="str">
        <f t="shared" si="26"/>
        <v>Misc Expenses|Fraud</v>
      </c>
    </row>
    <row r="537" spans="1:23" x14ac:dyDescent="0.25">
      <c r="A537" t="s">
        <v>296</v>
      </c>
      <c r="B537" s="5">
        <v>41899</v>
      </c>
      <c r="C537">
        <v>26.98</v>
      </c>
      <c r="D537" t="s">
        <v>304</v>
      </c>
      <c r="E537" t="s">
        <v>1312</v>
      </c>
      <c r="G537" t="s">
        <v>1313</v>
      </c>
      <c r="K537" t="s">
        <v>1595</v>
      </c>
      <c r="L537" t="s">
        <v>1596</v>
      </c>
      <c r="Q537" t="str">
        <f t="shared" si="24"/>
        <v>Sep</v>
      </c>
      <c r="R537">
        <f t="shared" si="25"/>
        <v>2014</v>
      </c>
      <c r="S537" t="e">
        <f>VLOOKUP($W537,TBL_Categories,2,FALSE)</f>
        <v>#N/A</v>
      </c>
      <c r="T537" t="e">
        <f>VLOOKUP($W537,TBL_Categories,3,FALSE)</f>
        <v>#N/A</v>
      </c>
      <c r="U537" t="e">
        <f>VLOOKUP($W537,TBL_Categories,4,FALSE)</f>
        <v>#N/A</v>
      </c>
      <c r="V537" t="e">
        <f>VLOOKUP($W537,TBL_Categories,5,FALSE)</f>
        <v>#N/A</v>
      </c>
      <c r="W537" t="str">
        <f t="shared" si="26"/>
        <v>Misc Expenses|Fraud</v>
      </c>
    </row>
    <row r="538" spans="1:23" x14ac:dyDescent="0.25">
      <c r="A538" t="s">
        <v>296</v>
      </c>
      <c r="B538" s="5">
        <v>41899</v>
      </c>
      <c r="C538">
        <v>26.98</v>
      </c>
      <c r="D538" t="s">
        <v>304</v>
      </c>
      <c r="E538" t="s">
        <v>1312</v>
      </c>
      <c r="G538" t="s">
        <v>1313</v>
      </c>
      <c r="K538" t="s">
        <v>1595</v>
      </c>
      <c r="L538" t="s">
        <v>1596</v>
      </c>
      <c r="Q538" t="str">
        <f t="shared" si="24"/>
        <v>Sep</v>
      </c>
      <c r="R538">
        <f t="shared" si="25"/>
        <v>2014</v>
      </c>
      <c r="S538" t="e">
        <f>VLOOKUP($W538,TBL_Categories,2,FALSE)</f>
        <v>#N/A</v>
      </c>
      <c r="T538" t="e">
        <f>VLOOKUP($W538,TBL_Categories,3,FALSE)</f>
        <v>#N/A</v>
      </c>
      <c r="U538" t="e">
        <f>VLOOKUP($W538,TBL_Categories,4,FALSE)</f>
        <v>#N/A</v>
      </c>
      <c r="V538" t="e">
        <f>VLOOKUP($W538,TBL_Categories,5,FALSE)</f>
        <v>#N/A</v>
      </c>
      <c r="W538" t="str">
        <f t="shared" si="26"/>
        <v>Misc Expenses|Fraud</v>
      </c>
    </row>
    <row r="539" spans="1:23" x14ac:dyDescent="0.25">
      <c r="A539" t="s">
        <v>296</v>
      </c>
      <c r="B539" s="5">
        <v>41899</v>
      </c>
      <c r="C539">
        <v>26.98</v>
      </c>
      <c r="D539" t="s">
        <v>304</v>
      </c>
      <c r="E539" t="s">
        <v>1312</v>
      </c>
      <c r="G539" t="s">
        <v>1313</v>
      </c>
      <c r="K539" t="s">
        <v>1595</v>
      </c>
      <c r="L539" t="s">
        <v>1596</v>
      </c>
      <c r="Q539" t="str">
        <f t="shared" si="24"/>
        <v>Sep</v>
      </c>
      <c r="R539">
        <f t="shared" si="25"/>
        <v>2014</v>
      </c>
      <c r="S539" t="e">
        <f>VLOOKUP($W539,TBL_Categories,2,FALSE)</f>
        <v>#N/A</v>
      </c>
      <c r="T539" t="e">
        <f>VLOOKUP($W539,TBL_Categories,3,FALSE)</f>
        <v>#N/A</v>
      </c>
      <c r="U539" t="e">
        <f>VLOOKUP($W539,TBL_Categories,4,FALSE)</f>
        <v>#N/A</v>
      </c>
      <c r="V539" t="e">
        <f>VLOOKUP($W539,TBL_Categories,5,FALSE)</f>
        <v>#N/A</v>
      </c>
      <c r="W539" t="str">
        <f t="shared" si="26"/>
        <v>Misc Expenses|Fraud</v>
      </c>
    </row>
    <row r="540" spans="1:23" x14ac:dyDescent="0.25">
      <c r="A540" t="s">
        <v>296</v>
      </c>
      <c r="B540" s="5">
        <v>41899</v>
      </c>
      <c r="C540">
        <v>26.98</v>
      </c>
      <c r="D540" t="s">
        <v>304</v>
      </c>
      <c r="E540" t="s">
        <v>1312</v>
      </c>
      <c r="G540" t="s">
        <v>1313</v>
      </c>
      <c r="K540" t="s">
        <v>1595</v>
      </c>
      <c r="L540" t="s">
        <v>1596</v>
      </c>
      <c r="Q540" t="str">
        <f t="shared" si="24"/>
        <v>Sep</v>
      </c>
      <c r="R540">
        <f t="shared" si="25"/>
        <v>2014</v>
      </c>
      <c r="S540" t="e">
        <f>VLOOKUP($W540,TBL_Categories,2,FALSE)</f>
        <v>#N/A</v>
      </c>
      <c r="T540" t="e">
        <f>VLOOKUP($W540,TBL_Categories,3,FALSE)</f>
        <v>#N/A</v>
      </c>
      <c r="U540" t="e">
        <f>VLOOKUP($W540,TBL_Categories,4,FALSE)</f>
        <v>#N/A</v>
      </c>
      <c r="V540" t="e">
        <f>VLOOKUP($W540,TBL_Categories,5,FALSE)</f>
        <v>#N/A</v>
      </c>
      <c r="W540" t="str">
        <f t="shared" si="26"/>
        <v>Misc Expenses|Fraud</v>
      </c>
    </row>
    <row r="541" spans="1:23" x14ac:dyDescent="0.25">
      <c r="A541" t="s">
        <v>296</v>
      </c>
      <c r="B541" s="5">
        <v>41899</v>
      </c>
      <c r="C541">
        <v>26.98</v>
      </c>
      <c r="D541" t="s">
        <v>304</v>
      </c>
      <c r="E541" t="s">
        <v>1312</v>
      </c>
      <c r="G541" t="s">
        <v>1313</v>
      </c>
      <c r="K541" t="s">
        <v>1595</v>
      </c>
      <c r="L541" t="s">
        <v>1596</v>
      </c>
      <c r="Q541" t="str">
        <f t="shared" si="24"/>
        <v>Sep</v>
      </c>
      <c r="R541">
        <f t="shared" si="25"/>
        <v>2014</v>
      </c>
      <c r="S541" t="e">
        <f>VLOOKUP($W541,TBL_Categories,2,FALSE)</f>
        <v>#N/A</v>
      </c>
      <c r="T541" t="e">
        <f>VLOOKUP($W541,TBL_Categories,3,FALSE)</f>
        <v>#N/A</v>
      </c>
      <c r="U541" t="e">
        <f>VLOOKUP($W541,TBL_Categories,4,FALSE)</f>
        <v>#N/A</v>
      </c>
      <c r="V541" t="e">
        <f>VLOOKUP($W541,TBL_Categories,5,FALSE)</f>
        <v>#N/A</v>
      </c>
      <c r="W541" t="str">
        <f t="shared" si="26"/>
        <v>Misc Expenses|Fraud</v>
      </c>
    </row>
    <row r="542" spans="1:23" x14ac:dyDescent="0.25">
      <c r="A542" t="s">
        <v>296</v>
      </c>
      <c r="B542" s="5">
        <v>41899</v>
      </c>
      <c r="C542">
        <v>26.98</v>
      </c>
      <c r="D542" t="s">
        <v>304</v>
      </c>
      <c r="E542" t="s">
        <v>1312</v>
      </c>
      <c r="G542" t="s">
        <v>1313</v>
      </c>
      <c r="K542" t="s">
        <v>1595</v>
      </c>
      <c r="L542" t="s">
        <v>1596</v>
      </c>
      <c r="Q542" t="str">
        <f t="shared" si="24"/>
        <v>Sep</v>
      </c>
      <c r="R542">
        <f t="shared" si="25"/>
        <v>2014</v>
      </c>
      <c r="S542" t="e">
        <f>VLOOKUP($W542,TBL_Categories,2,FALSE)</f>
        <v>#N/A</v>
      </c>
      <c r="T542" t="e">
        <f>VLOOKUP($W542,TBL_Categories,3,FALSE)</f>
        <v>#N/A</v>
      </c>
      <c r="U542" t="e">
        <f>VLOOKUP($W542,TBL_Categories,4,FALSE)</f>
        <v>#N/A</v>
      </c>
      <c r="V542" t="e">
        <f>VLOOKUP($W542,TBL_Categories,5,FALSE)</f>
        <v>#N/A</v>
      </c>
      <c r="W542" t="str">
        <f t="shared" si="26"/>
        <v>Misc Expenses|Fraud</v>
      </c>
    </row>
    <row r="543" spans="1:23" x14ac:dyDescent="0.25">
      <c r="A543" t="s">
        <v>296</v>
      </c>
      <c r="B543" s="5">
        <v>41899</v>
      </c>
      <c r="C543">
        <v>26.98</v>
      </c>
      <c r="D543" t="s">
        <v>304</v>
      </c>
      <c r="E543" t="s">
        <v>1312</v>
      </c>
      <c r="G543" t="s">
        <v>1313</v>
      </c>
      <c r="K543" t="s">
        <v>1595</v>
      </c>
      <c r="L543" t="s">
        <v>1596</v>
      </c>
      <c r="Q543" t="str">
        <f t="shared" si="24"/>
        <v>Sep</v>
      </c>
      <c r="R543">
        <f t="shared" si="25"/>
        <v>2014</v>
      </c>
      <c r="S543" t="e">
        <f>VLOOKUP($W543,TBL_Categories,2,FALSE)</f>
        <v>#N/A</v>
      </c>
      <c r="T543" t="e">
        <f>VLOOKUP($W543,TBL_Categories,3,FALSE)</f>
        <v>#N/A</v>
      </c>
      <c r="U543" t="e">
        <f>VLOOKUP($W543,TBL_Categories,4,FALSE)</f>
        <v>#N/A</v>
      </c>
      <c r="V543" t="e">
        <f>VLOOKUP($W543,TBL_Categories,5,FALSE)</f>
        <v>#N/A</v>
      </c>
      <c r="W543" t="str">
        <f t="shared" si="26"/>
        <v>Misc Expenses|Fraud</v>
      </c>
    </row>
    <row r="544" spans="1:23" x14ac:dyDescent="0.25">
      <c r="A544" t="s">
        <v>296</v>
      </c>
      <c r="B544" s="5">
        <v>41899</v>
      </c>
      <c r="C544">
        <v>26.98</v>
      </c>
      <c r="D544" t="s">
        <v>304</v>
      </c>
      <c r="E544" t="s">
        <v>1312</v>
      </c>
      <c r="G544" t="s">
        <v>1313</v>
      </c>
      <c r="K544" t="s">
        <v>1595</v>
      </c>
      <c r="L544" t="s">
        <v>1596</v>
      </c>
      <c r="Q544" t="str">
        <f t="shared" si="24"/>
        <v>Sep</v>
      </c>
      <c r="R544">
        <f t="shared" si="25"/>
        <v>2014</v>
      </c>
      <c r="S544" t="e">
        <f>VLOOKUP($W544,TBL_Categories,2,FALSE)</f>
        <v>#N/A</v>
      </c>
      <c r="T544" t="e">
        <f>VLOOKUP($W544,TBL_Categories,3,FALSE)</f>
        <v>#N/A</v>
      </c>
      <c r="U544" t="e">
        <f>VLOOKUP($W544,TBL_Categories,4,FALSE)</f>
        <v>#N/A</v>
      </c>
      <c r="V544" t="e">
        <f>VLOOKUP($W544,TBL_Categories,5,FALSE)</f>
        <v>#N/A</v>
      </c>
      <c r="W544" t="str">
        <f t="shared" si="26"/>
        <v>Misc Expenses|Fraud</v>
      </c>
    </row>
    <row r="545" spans="1:23" x14ac:dyDescent="0.25">
      <c r="A545" t="s">
        <v>296</v>
      </c>
      <c r="B545" s="5">
        <v>41899</v>
      </c>
      <c r="C545">
        <v>26.98</v>
      </c>
      <c r="D545" t="s">
        <v>304</v>
      </c>
      <c r="E545" t="s">
        <v>1312</v>
      </c>
      <c r="G545" t="s">
        <v>1313</v>
      </c>
      <c r="K545" t="s">
        <v>1595</v>
      </c>
      <c r="L545" t="s">
        <v>1596</v>
      </c>
      <c r="Q545" t="str">
        <f t="shared" si="24"/>
        <v>Sep</v>
      </c>
      <c r="R545">
        <f t="shared" si="25"/>
        <v>2014</v>
      </c>
      <c r="S545" t="e">
        <f>VLOOKUP($W545,TBL_Categories,2,FALSE)</f>
        <v>#N/A</v>
      </c>
      <c r="T545" t="e">
        <f>VLOOKUP($W545,TBL_Categories,3,FALSE)</f>
        <v>#N/A</v>
      </c>
      <c r="U545" t="e">
        <f>VLOOKUP($W545,TBL_Categories,4,FALSE)</f>
        <v>#N/A</v>
      </c>
      <c r="V545" t="e">
        <f>VLOOKUP($W545,TBL_Categories,5,FALSE)</f>
        <v>#N/A</v>
      </c>
      <c r="W545" t="str">
        <f t="shared" si="26"/>
        <v>Misc Expenses|Fraud</v>
      </c>
    </row>
    <row r="546" spans="1:23" x14ac:dyDescent="0.25">
      <c r="A546" t="s">
        <v>296</v>
      </c>
      <c r="B546" s="5">
        <v>41899</v>
      </c>
      <c r="C546">
        <v>26.98</v>
      </c>
      <c r="D546" t="s">
        <v>304</v>
      </c>
      <c r="E546" t="s">
        <v>1312</v>
      </c>
      <c r="G546" t="s">
        <v>1313</v>
      </c>
      <c r="K546" t="s">
        <v>1595</v>
      </c>
      <c r="L546" t="s">
        <v>1596</v>
      </c>
      <c r="Q546" t="str">
        <f t="shared" si="24"/>
        <v>Sep</v>
      </c>
      <c r="R546">
        <f t="shared" si="25"/>
        <v>2014</v>
      </c>
      <c r="S546" t="e">
        <f>VLOOKUP($W546,TBL_Categories,2,FALSE)</f>
        <v>#N/A</v>
      </c>
      <c r="T546" t="e">
        <f>VLOOKUP($W546,TBL_Categories,3,FALSE)</f>
        <v>#N/A</v>
      </c>
      <c r="U546" t="e">
        <f>VLOOKUP($W546,TBL_Categories,4,FALSE)</f>
        <v>#N/A</v>
      </c>
      <c r="V546" t="e">
        <f>VLOOKUP($W546,TBL_Categories,5,FALSE)</f>
        <v>#N/A</v>
      </c>
      <c r="W546" t="str">
        <f t="shared" si="26"/>
        <v>Misc Expenses|Fraud</v>
      </c>
    </row>
    <row r="547" spans="1:23" x14ac:dyDescent="0.25">
      <c r="A547" t="s">
        <v>296</v>
      </c>
      <c r="B547" s="5">
        <v>41899</v>
      </c>
      <c r="C547">
        <v>26.98</v>
      </c>
      <c r="D547" t="s">
        <v>304</v>
      </c>
      <c r="E547" t="s">
        <v>1312</v>
      </c>
      <c r="G547" t="s">
        <v>1313</v>
      </c>
      <c r="K547" t="s">
        <v>1595</v>
      </c>
      <c r="L547" t="s">
        <v>1596</v>
      </c>
      <c r="Q547" t="str">
        <f t="shared" si="24"/>
        <v>Sep</v>
      </c>
      <c r="R547">
        <f t="shared" si="25"/>
        <v>2014</v>
      </c>
      <c r="S547" t="e">
        <f>VLOOKUP($W547,TBL_Categories,2,FALSE)</f>
        <v>#N/A</v>
      </c>
      <c r="T547" t="e">
        <f>VLOOKUP($W547,TBL_Categories,3,FALSE)</f>
        <v>#N/A</v>
      </c>
      <c r="U547" t="e">
        <f>VLOOKUP($W547,TBL_Categories,4,FALSE)</f>
        <v>#N/A</v>
      </c>
      <c r="V547" t="e">
        <f>VLOOKUP($W547,TBL_Categories,5,FALSE)</f>
        <v>#N/A</v>
      </c>
      <c r="W547" t="str">
        <f t="shared" si="26"/>
        <v>Misc Expenses|Fraud</v>
      </c>
    </row>
    <row r="548" spans="1:23" x14ac:dyDescent="0.25">
      <c r="A548" t="s">
        <v>296</v>
      </c>
      <c r="B548" s="5">
        <v>41899</v>
      </c>
      <c r="C548">
        <v>26.98</v>
      </c>
      <c r="D548" t="s">
        <v>304</v>
      </c>
      <c r="E548" t="s">
        <v>1312</v>
      </c>
      <c r="G548" t="s">
        <v>1313</v>
      </c>
      <c r="K548" t="s">
        <v>1595</v>
      </c>
      <c r="L548" t="s">
        <v>1596</v>
      </c>
      <c r="Q548" t="str">
        <f t="shared" si="24"/>
        <v>Sep</v>
      </c>
      <c r="R548">
        <f t="shared" si="25"/>
        <v>2014</v>
      </c>
      <c r="S548" t="e">
        <f>VLOOKUP($W548,TBL_Categories,2,FALSE)</f>
        <v>#N/A</v>
      </c>
      <c r="T548" t="e">
        <f>VLOOKUP($W548,TBL_Categories,3,FALSE)</f>
        <v>#N/A</v>
      </c>
      <c r="U548" t="e">
        <f>VLOOKUP($W548,TBL_Categories,4,FALSE)</f>
        <v>#N/A</v>
      </c>
      <c r="V548" t="e">
        <f>VLOOKUP($W548,TBL_Categories,5,FALSE)</f>
        <v>#N/A</v>
      </c>
      <c r="W548" t="str">
        <f t="shared" si="26"/>
        <v>Misc Expenses|Fraud</v>
      </c>
    </row>
    <row r="549" spans="1:23" x14ac:dyDescent="0.25">
      <c r="A549" t="s">
        <v>296</v>
      </c>
      <c r="B549" s="5">
        <v>41899</v>
      </c>
      <c r="C549">
        <v>26.98</v>
      </c>
      <c r="D549" t="s">
        <v>304</v>
      </c>
      <c r="E549" t="s">
        <v>1312</v>
      </c>
      <c r="G549" t="s">
        <v>1313</v>
      </c>
      <c r="K549" t="s">
        <v>1595</v>
      </c>
      <c r="L549" t="s">
        <v>1596</v>
      </c>
      <c r="Q549" t="str">
        <f t="shared" si="24"/>
        <v>Sep</v>
      </c>
      <c r="R549">
        <f t="shared" si="25"/>
        <v>2014</v>
      </c>
      <c r="S549" t="e">
        <f>VLOOKUP($W549,TBL_Categories,2,FALSE)</f>
        <v>#N/A</v>
      </c>
      <c r="T549" t="e">
        <f>VLOOKUP($W549,TBL_Categories,3,FALSE)</f>
        <v>#N/A</v>
      </c>
      <c r="U549" t="e">
        <f>VLOOKUP($W549,TBL_Categories,4,FALSE)</f>
        <v>#N/A</v>
      </c>
      <c r="V549" t="e">
        <f>VLOOKUP($W549,TBL_Categories,5,FALSE)</f>
        <v>#N/A</v>
      </c>
      <c r="W549" t="str">
        <f t="shared" si="26"/>
        <v>Misc Expenses|Fraud</v>
      </c>
    </row>
    <row r="550" spans="1:23" x14ac:dyDescent="0.25">
      <c r="A550" t="s">
        <v>296</v>
      </c>
      <c r="B550" s="5">
        <v>41899</v>
      </c>
      <c r="C550">
        <v>26.98</v>
      </c>
      <c r="D550" t="s">
        <v>304</v>
      </c>
      <c r="E550" t="s">
        <v>1312</v>
      </c>
      <c r="G550" t="s">
        <v>1313</v>
      </c>
      <c r="K550" t="s">
        <v>1595</v>
      </c>
      <c r="L550" t="s">
        <v>1596</v>
      </c>
      <c r="Q550" t="str">
        <f t="shared" si="24"/>
        <v>Sep</v>
      </c>
      <c r="R550">
        <f t="shared" si="25"/>
        <v>2014</v>
      </c>
      <c r="S550" t="e">
        <f>VLOOKUP($W550,TBL_Categories,2,FALSE)</f>
        <v>#N/A</v>
      </c>
      <c r="T550" t="e">
        <f>VLOOKUP($W550,TBL_Categories,3,FALSE)</f>
        <v>#N/A</v>
      </c>
      <c r="U550" t="e">
        <f>VLOOKUP($W550,TBL_Categories,4,FALSE)</f>
        <v>#N/A</v>
      </c>
      <c r="V550" t="e">
        <f>VLOOKUP($W550,TBL_Categories,5,FALSE)</f>
        <v>#N/A</v>
      </c>
      <c r="W550" t="str">
        <f t="shared" si="26"/>
        <v>Misc Expenses|Fraud</v>
      </c>
    </row>
    <row r="551" spans="1:23" x14ac:dyDescent="0.25">
      <c r="A551" t="s">
        <v>296</v>
      </c>
      <c r="B551" s="5">
        <v>41899</v>
      </c>
      <c r="C551">
        <v>26.98</v>
      </c>
      <c r="D551" t="s">
        <v>304</v>
      </c>
      <c r="E551" t="s">
        <v>1312</v>
      </c>
      <c r="G551" t="s">
        <v>1313</v>
      </c>
      <c r="K551" t="s">
        <v>1595</v>
      </c>
      <c r="L551" t="s">
        <v>1596</v>
      </c>
      <c r="Q551" t="str">
        <f t="shared" si="24"/>
        <v>Sep</v>
      </c>
      <c r="R551">
        <f t="shared" si="25"/>
        <v>2014</v>
      </c>
      <c r="S551" t="e">
        <f>VLOOKUP($W551,TBL_Categories,2,FALSE)</f>
        <v>#N/A</v>
      </c>
      <c r="T551" t="e">
        <f>VLOOKUP($W551,TBL_Categories,3,FALSE)</f>
        <v>#N/A</v>
      </c>
      <c r="U551" t="e">
        <f>VLOOKUP($W551,TBL_Categories,4,FALSE)</f>
        <v>#N/A</v>
      </c>
      <c r="V551" t="e">
        <f>VLOOKUP($W551,TBL_Categories,5,FALSE)</f>
        <v>#N/A</v>
      </c>
      <c r="W551" t="str">
        <f t="shared" si="26"/>
        <v>Misc Expenses|Fraud</v>
      </c>
    </row>
    <row r="552" spans="1:23" x14ac:dyDescent="0.25">
      <c r="A552" t="s">
        <v>296</v>
      </c>
      <c r="B552" s="5">
        <v>41899</v>
      </c>
      <c r="C552">
        <v>26.98</v>
      </c>
      <c r="D552" t="s">
        <v>304</v>
      </c>
      <c r="E552" t="s">
        <v>1312</v>
      </c>
      <c r="G552" t="s">
        <v>1313</v>
      </c>
      <c r="K552" t="s">
        <v>1595</v>
      </c>
      <c r="L552" t="s">
        <v>1596</v>
      </c>
      <c r="Q552" t="str">
        <f t="shared" si="24"/>
        <v>Sep</v>
      </c>
      <c r="R552">
        <f t="shared" si="25"/>
        <v>2014</v>
      </c>
      <c r="S552" t="e">
        <f>VLOOKUP($W552,TBL_Categories,2,FALSE)</f>
        <v>#N/A</v>
      </c>
      <c r="T552" t="e">
        <f>VLOOKUP($W552,TBL_Categories,3,FALSE)</f>
        <v>#N/A</v>
      </c>
      <c r="U552" t="e">
        <f>VLOOKUP($W552,TBL_Categories,4,FALSE)</f>
        <v>#N/A</v>
      </c>
      <c r="V552" t="e">
        <f>VLOOKUP($W552,TBL_Categories,5,FALSE)</f>
        <v>#N/A</v>
      </c>
      <c r="W552" t="str">
        <f t="shared" si="26"/>
        <v>Misc Expenses|Fraud</v>
      </c>
    </row>
    <row r="553" spans="1:23" x14ac:dyDescent="0.25">
      <c r="A553" t="s">
        <v>296</v>
      </c>
      <c r="B553" s="5">
        <v>41899</v>
      </c>
      <c r="C553">
        <v>26.98</v>
      </c>
      <c r="D553" t="s">
        <v>304</v>
      </c>
      <c r="E553" t="s">
        <v>1312</v>
      </c>
      <c r="G553" t="s">
        <v>1313</v>
      </c>
      <c r="K553" t="s">
        <v>1595</v>
      </c>
      <c r="L553" t="s">
        <v>1596</v>
      </c>
      <c r="Q553" t="str">
        <f t="shared" si="24"/>
        <v>Sep</v>
      </c>
      <c r="R553">
        <f t="shared" si="25"/>
        <v>2014</v>
      </c>
      <c r="S553" t="e">
        <f>VLOOKUP($W553,TBL_Categories,2,FALSE)</f>
        <v>#N/A</v>
      </c>
      <c r="T553" t="e">
        <f>VLOOKUP($W553,TBL_Categories,3,FALSE)</f>
        <v>#N/A</v>
      </c>
      <c r="U553" t="e">
        <f>VLOOKUP($W553,TBL_Categories,4,FALSE)</f>
        <v>#N/A</v>
      </c>
      <c r="V553" t="e">
        <f>VLOOKUP($W553,TBL_Categories,5,FALSE)</f>
        <v>#N/A</v>
      </c>
      <c r="W553" t="str">
        <f t="shared" si="26"/>
        <v>Misc Expenses|Fraud</v>
      </c>
    </row>
    <row r="554" spans="1:23" x14ac:dyDescent="0.25">
      <c r="A554" t="s">
        <v>296</v>
      </c>
      <c r="B554" s="5">
        <v>41899</v>
      </c>
      <c r="C554">
        <v>26.98</v>
      </c>
      <c r="D554" t="s">
        <v>304</v>
      </c>
      <c r="E554" t="s">
        <v>1312</v>
      </c>
      <c r="G554" t="s">
        <v>1313</v>
      </c>
      <c r="K554" t="s">
        <v>1595</v>
      </c>
      <c r="L554" t="s">
        <v>1596</v>
      </c>
      <c r="Q554" t="str">
        <f t="shared" si="24"/>
        <v>Sep</v>
      </c>
      <c r="R554">
        <f t="shared" si="25"/>
        <v>2014</v>
      </c>
      <c r="S554" t="e">
        <f>VLOOKUP($W554,TBL_Categories,2,FALSE)</f>
        <v>#N/A</v>
      </c>
      <c r="T554" t="e">
        <f>VLOOKUP($W554,TBL_Categories,3,FALSE)</f>
        <v>#N/A</v>
      </c>
      <c r="U554" t="e">
        <f>VLOOKUP($W554,TBL_Categories,4,FALSE)</f>
        <v>#N/A</v>
      </c>
      <c r="V554" t="e">
        <f>VLOOKUP($W554,TBL_Categories,5,FALSE)</f>
        <v>#N/A</v>
      </c>
      <c r="W554" t="str">
        <f t="shared" si="26"/>
        <v>Misc Expenses|Fraud</v>
      </c>
    </row>
    <row r="555" spans="1:23" x14ac:dyDescent="0.25">
      <c r="A555" t="s">
        <v>296</v>
      </c>
      <c r="B555" s="5">
        <v>41899</v>
      </c>
      <c r="C555">
        <v>26.98</v>
      </c>
      <c r="D555" t="s">
        <v>304</v>
      </c>
      <c r="E555" t="s">
        <v>1312</v>
      </c>
      <c r="G555" t="s">
        <v>1313</v>
      </c>
      <c r="K555" t="s">
        <v>1595</v>
      </c>
      <c r="L555" t="s">
        <v>1596</v>
      </c>
      <c r="Q555" t="str">
        <f t="shared" si="24"/>
        <v>Sep</v>
      </c>
      <c r="R555">
        <f t="shared" si="25"/>
        <v>2014</v>
      </c>
      <c r="S555" t="e">
        <f>VLOOKUP($W555,TBL_Categories,2,FALSE)</f>
        <v>#N/A</v>
      </c>
      <c r="T555" t="e">
        <f>VLOOKUP($W555,TBL_Categories,3,FALSE)</f>
        <v>#N/A</v>
      </c>
      <c r="U555" t="e">
        <f>VLOOKUP($W555,TBL_Categories,4,FALSE)</f>
        <v>#N/A</v>
      </c>
      <c r="V555" t="e">
        <f>VLOOKUP($W555,TBL_Categories,5,FALSE)</f>
        <v>#N/A</v>
      </c>
      <c r="W555" t="str">
        <f t="shared" si="26"/>
        <v>Misc Expenses|Fraud</v>
      </c>
    </row>
    <row r="556" spans="1:23" x14ac:dyDescent="0.25">
      <c r="A556" t="s">
        <v>296</v>
      </c>
      <c r="B556" s="5">
        <v>41899</v>
      </c>
      <c r="C556">
        <v>26.98</v>
      </c>
      <c r="D556" t="s">
        <v>304</v>
      </c>
      <c r="E556" t="s">
        <v>1312</v>
      </c>
      <c r="G556" t="s">
        <v>1313</v>
      </c>
      <c r="K556" t="s">
        <v>1595</v>
      </c>
      <c r="L556" t="s">
        <v>1596</v>
      </c>
      <c r="Q556" t="str">
        <f t="shared" si="24"/>
        <v>Sep</v>
      </c>
      <c r="R556">
        <f t="shared" si="25"/>
        <v>2014</v>
      </c>
      <c r="S556" t="e">
        <f>VLOOKUP($W556,TBL_Categories,2,FALSE)</f>
        <v>#N/A</v>
      </c>
      <c r="T556" t="e">
        <f>VLOOKUP($W556,TBL_Categories,3,FALSE)</f>
        <v>#N/A</v>
      </c>
      <c r="U556" t="e">
        <f>VLOOKUP($W556,TBL_Categories,4,FALSE)</f>
        <v>#N/A</v>
      </c>
      <c r="V556" t="e">
        <f>VLOOKUP($W556,TBL_Categories,5,FALSE)</f>
        <v>#N/A</v>
      </c>
      <c r="W556" t="str">
        <f t="shared" si="26"/>
        <v>Misc Expenses|Fraud</v>
      </c>
    </row>
    <row r="557" spans="1:23" x14ac:dyDescent="0.25">
      <c r="A557" t="s">
        <v>296</v>
      </c>
      <c r="B557" s="5">
        <v>41899</v>
      </c>
      <c r="C557">
        <v>26.98</v>
      </c>
      <c r="D557" t="s">
        <v>304</v>
      </c>
      <c r="E557" t="s">
        <v>1312</v>
      </c>
      <c r="G557" t="s">
        <v>1313</v>
      </c>
      <c r="K557" t="s">
        <v>1595</v>
      </c>
      <c r="L557" t="s">
        <v>1596</v>
      </c>
      <c r="Q557" t="str">
        <f t="shared" si="24"/>
        <v>Sep</v>
      </c>
      <c r="R557">
        <f t="shared" si="25"/>
        <v>2014</v>
      </c>
      <c r="S557" t="e">
        <f>VLOOKUP($W557,TBL_Categories,2,FALSE)</f>
        <v>#N/A</v>
      </c>
      <c r="T557" t="e">
        <f>VLOOKUP($W557,TBL_Categories,3,FALSE)</f>
        <v>#N/A</v>
      </c>
      <c r="U557" t="e">
        <f>VLOOKUP($W557,TBL_Categories,4,FALSE)</f>
        <v>#N/A</v>
      </c>
      <c r="V557" t="e">
        <f>VLOOKUP($W557,TBL_Categories,5,FALSE)</f>
        <v>#N/A</v>
      </c>
      <c r="W557" t="str">
        <f t="shared" si="26"/>
        <v>Misc Expenses|Fraud</v>
      </c>
    </row>
    <row r="558" spans="1:23" x14ac:dyDescent="0.25">
      <c r="A558" t="s">
        <v>296</v>
      </c>
      <c r="B558" s="5">
        <v>41899</v>
      </c>
      <c r="C558">
        <v>26.98</v>
      </c>
      <c r="D558" t="s">
        <v>304</v>
      </c>
      <c r="E558" t="s">
        <v>1312</v>
      </c>
      <c r="G558" t="s">
        <v>1313</v>
      </c>
      <c r="K558" t="s">
        <v>1595</v>
      </c>
      <c r="L558" t="s">
        <v>1596</v>
      </c>
      <c r="Q558" t="str">
        <f t="shared" si="24"/>
        <v>Sep</v>
      </c>
      <c r="R558">
        <f t="shared" si="25"/>
        <v>2014</v>
      </c>
      <c r="S558" t="e">
        <f>VLOOKUP($W558,TBL_Categories,2,FALSE)</f>
        <v>#N/A</v>
      </c>
      <c r="T558" t="e">
        <f>VLOOKUP($W558,TBL_Categories,3,FALSE)</f>
        <v>#N/A</v>
      </c>
      <c r="U558" t="e">
        <f>VLOOKUP($W558,TBL_Categories,4,FALSE)</f>
        <v>#N/A</v>
      </c>
      <c r="V558" t="e">
        <f>VLOOKUP($W558,TBL_Categories,5,FALSE)</f>
        <v>#N/A</v>
      </c>
      <c r="W558" t="str">
        <f t="shared" si="26"/>
        <v>Misc Expenses|Fraud</v>
      </c>
    </row>
    <row r="559" spans="1:23" x14ac:dyDescent="0.25">
      <c r="A559" t="s">
        <v>296</v>
      </c>
      <c r="B559" s="5">
        <v>41899</v>
      </c>
      <c r="C559">
        <v>26.98</v>
      </c>
      <c r="D559" t="s">
        <v>304</v>
      </c>
      <c r="E559" t="s">
        <v>1312</v>
      </c>
      <c r="G559" t="s">
        <v>1313</v>
      </c>
      <c r="K559" t="s">
        <v>1595</v>
      </c>
      <c r="L559" t="s">
        <v>1596</v>
      </c>
      <c r="Q559" t="str">
        <f t="shared" si="24"/>
        <v>Sep</v>
      </c>
      <c r="R559">
        <f t="shared" si="25"/>
        <v>2014</v>
      </c>
      <c r="S559" t="e">
        <f>VLOOKUP($W559,TBL_Categories,2,FALSE)</f>
        <v>#N/A</v>
      </c>
      <c r="T559" t="e">
        <f>VLOOKUP($W559,TBL_Categories,3,FALSE)</f>
        <v>#N/A</v>
      </c>
      <c r="U559" t="e">
        <f>VLOOKUP($W559,TBL_Categories,4,FALSE)</f>
        <v>#N/A</v>
      </c>
      <c r="V559" t="e">
        <f>VLOOKUP($W559,TBL_Categories,5,FALSE)</f>
        <v>#N/A</v>
      </c>
      <c r="W559" t="str">
        <f t="shared" si="26"/>
        <v>Misc Expenses|Fraud</v>
      </c>
    </row>
    <row r="560" spans="1:23" x14ac:dyDescent="0.25">
      <c r="A560" t="s">
        <v>296</v>
      </c>
      <c r="B560" s="5">
        <v>41899</v>
      </c>
      <c r="C560">
        <v>26.98</v>
      </c>
      <c r="D560" t="s">
        <v>304</v>
      </c>
      <c r="E560" t="s">
        <v>1312</v>
      </c>
      <c r="G560" t="s">
        <v>1313</v>
      </c>
      <c r="K560" t="s">
        <v>1595</v>
      </c>
      <c r="L560" t="s">
        <v>1596</v>
      </c>
      <c r="Q560" t="str">
        <f t="shared" si="24"/>
        <v>Sep</v>
      </c>
      <c r="R560">
        <f t="shared" si="25"/>
        <v>2014</v>
      </c>
      <c r="S560" t="e">
        <f>VLOOKUP($W560,TBL_Categories,2,FALSE)</f>
        <v>#N/A</v>
      </c>
      <c r="T560" t="e">
        <f>VLOOKUP($W560,TBL_Categories,3,FALSE)</f>
        <v>#N/A</v>
      </c>
      <c r="U560" t="e">
        <f>VLOOKUP($W560,TBL_Categories,4,FALSE)</f>
        <v>#N/A</v>
      </c>
      <c r="V560" t="e">
        <f>VLOOKUP($W560,TBL_Categories,5,FALSE)</f>
        <v>#N/A</v>
      </c>
      <c r="W560" t="str">
        <f t="shared" si="26"/>
        <v>Misc Expenses|Fraud</v>
      </c>
    </row>
    <row r="561" spans="1:23" x14ac:dyDescent="0.25">
      <c r="A561" t="s">
        <v>296</v>
      </c>
      <c r="B561" s="5">
        <v>41899</v>
      </c>
      <c r="C561">
        <v>26.98</v>
      </c>
      <c r="D561" t="s">
        <v>304</v>
      </c>
      <c r="E561" t="s">
        <v>1312</v>
      </c>
      <c r="G561" t="s">
        <v>1313</v>
      </c>
      <c r="K561" t="s">
        <v>1595</v>
      </c>
      <c r="L561" t="s">
        <v>1596</v>
      </c>
      <c r="Q561" t="str">
        <f t="shared" si="24"/>
        <v>Sep</v>
      </c>
      <c r="R561">
        <f t="shared" si="25"/>
        <v>2014</v>
      </c>
      <c r="S561" t="e">
        <f>VLOOKUP($W561,TBL_Categories,2,FALSE)</f>
        <v>#N/A</v>
      </c>
      <c r="T561" t="e">
        <f>VLOOKUP($W561,TBL_Categories,3,FALSE)</f>
        <v>#N/A</v>
      </c>
      <c r="U561" t="e">
        <f>VLOOKUP($W561,TBL_Categories,4,FALSE)</f>
        <v>#N/A</v>
      </c>
      <c r="V561" t="e">
        <f>VLOOKUP($W561,TBL_Categories,5,FALSE)</f>
        <v>#N/A</v>
      </c>
      <c r="W561" t="str">
        <f t="shared" si="26"/>
        <v>Misc Expenses|Fraud</v>
      </c>
    </row>
    <row r="562" spans="1:23" x14ac:dyDescent="0.25">
      <c r="A562" t="s">
        <v>296</v>
      </c>
      <c r="B562" s="5">
        <v>41899</v>
      </c>
      <c r="C562">
        <v>26.98</v>
      </c>
      <c r="D562" t="s">
        <v>304</v>
      </c>
      <c r="E562" t="s">
        <v>1312</v>
      </c>
      <c r="G562" t="s">
        <v>1313</v>
      </c>
      <c r="K562" t="s">
        <v>1595</v>
      </c>
      <c r="L562" t="s">
        <v>1596</v>
      </c>
      <c r="Q562" t="str">
        <f t="shared" si="24"/>
        <v>Sep</v>
      </c>
      <c r="R562">
        <f t="shared" si="25"/>
        <v>2014</v>
      </c>
      <c r="S562" t="e">
        <f>VLOOKUP($W562,TBL_Categories,2,FALSE)</f>
        <v>#N/A</v>
      </c>
      <c r="T562" t="e">
        <f>VLOOKUP($W562,TBL_Categories,3,FALSE)</f>
        <v>#N/A</v>
      </c>
      <c r="U562" t="e">
        <f>VLOOKUP($W562,TBL_Categories,4,FALSE)</f>
        <v>#N/A</v>
      </c>
      <c r="V562" t="e">
        <f>VLOOKUP($W562,TBL_Categories,5,FALSE)</f>
        <v>#N/A</v>
      </c>
      <c r="W562" t="str">
        <f t="shared" si="26"/>
        <v>Misc Expenses|Fraud</v>
      </c>
    </row>
    <row r="563" spans="1:23" x14ac:dyDescent="0.25">
      <c r="A563" t="s">
        <v>296</v>
      </c>
      <c r="B563" s="5">
        <v>41899</v>
      </c>
      <c r="C563">
        <v>26.98</v>
      </c>
      <c r="D563" t="s">
        <v>304</v>
      </c>
      <c r="E563" t="s">
        <v>1312</v>
      </c>
      <c r="G563" t="s">
        <v>1313</v>
      </c>
      <c r="K563" t="s">
        <v>1595</v>
      </c>
      <c r="L563" t="s">
        <v>1596</v>
      </c>
      <c r="Q563" t="str">
        <f t="shared" si="24"/>
        <v>Sep</v>
      </c>
      <c r="R563">
        <f t="shared" si="25"/>
        <v>2014</v>
      </c>
      <c r="S563" t="e">
        <f>VLOOKUP($W563,TBL_Categories,2,FALSE)</f>
        <v>#N/A</v>
      </c>
      <c r="T563" t="e">
        <f>VLOOKUP($W563,TBL_Categories,3,FALSE)</f>
        <v>#N/A</v>
      </c>
      <c r="U563" t="e">
        <f>VLOOKUP($W563,TBL_Categories,4,FALSE)</f>
        <v>#N/A</v>
      </c>
      <c r="V563" t="e">
        <f>VLOOKUP($W563,TBL_Categories,5,FALSE)</f>
        <v>#N/A</v>
      </c>
      <c r="W563" t="str">
        <f t="shared" si="26"/>
        <v>Misc Expenses|Fraud</v>
      </c>
    </row>
    <row r="564" spans="1:23" x14ac:dyDescent="0.25">
      <c r="A564" t="s">
        <v>296</v>
      </c>
      <c r="B564" s="5">
        <v>41899</v>
      </c>
      <c r="C564">
        <v>26.98</v>
      </c>
      <c r="D564" t="s">
        <v>304</v>
      </c>
      <c r="E564" t="s">
        <v>1312</v>
      </c>
      <c r="G564" t="s">
        <v>1313</v>
      </c>
      <c r="K564" t="s">
        <v>1595</v>
      </c>
      <c r="L564" t="s">
        <v>1596</v>
      </c>
      <c r="Q564" t="str">
        <f t="shared" si="24"/>
        <v>Sep</v>
      </c>
      <c r="R564">
        <f t="shared" si="25"/>
        <v>2014</v>
      </c>
      <c r="S564" t="e">
        <f>VLOOKUP($W564,TBL_Categories,2,FALSE)</f>
        <v>#N/A</v>
      </c>
      <c r="T564" t="e">
        <f>VLOOKUP($W564,TBL_Categories,3,FALSE)</f>
        <v>#N/A</v>
      </c>
      <c r="U564" t="e">
        <f>VLOOKUP($W564,TBL_Categories,4,FALSE)</f>
        <v>#N/A</v>
      </c>
      <c r="V564" t="e">
        <f>VLOOKUP($W564,TBL_Categories,5,FALSE)</f>
        <v>#N/A</v>
      </c>
      <c r="W564" t="str">
        <f t="shared" si="26"/>
        <v>Misc Expenses|Fraud</v>
      </c>
    </row>
    <row r="565" spans="1:23" x14ac:dyDescent="0.25">
      <c r="A565" t="s">
        <v>296</v>
      </c>
      <c r="B565" s="5">
        <v>41899</v>
      </c>
      <c r="C565">
        <v>26.98</v>
      </c>
      <c r="D565" t="s">
        <v>304</v>
      </c>
      <c r="E565" t="s">
        <v>1312</v>
      </c>
      <c r="G565" t="s">
        <v>1313</v>
      </c>
      <c r="K565" t="s">
        <v>1595</v>
      </c>
      <c r="L565" t="s">
        <v>1596</v>
      </c>
      <c r="Q565" t="str">
        <f t="shared" si="24"/>
        <v>Sep</v>
      </c>
      <c r="R565">
        <f t="shared" si="25"/>
        <v>2014</v>
      </c>
      <c r="S565" t="e">
        <f>VLOOKUP($W565,TBL_Categories,2,FALSE)</f>
        <v>#N/A</v>
      </c>
      <c r="T565" t="e">
        <f>VLOOKUP($W565,TBL_Categories,3,FALSE)</f>
        <v>#N/A</v>
      </c>
      <c r="U565" t="e">
        <f>VLOOKUP($W565,TBL_Categories,4,FALSE)</f>
        <v>#N/A</v>
      </c>
      <c r="V565" t="e">
        <f>VLOOKUP($W565,TBL_Categories,5,FALSE)</f>
        <v>#N/A</v>
      </c>
      <c r="W565" t="str">
        <f t="shared" si="26"/>
        <v>Misc Expenses|Fraud</v>
      </c>
    </row>
    <row r="566" spans="1:23" x14ac:dyDescent="0.25">
      <c r="A566" t="s">
        <v>296</v>
      </c>
      <c r="B566" s="5">
        <v>41899</v>
      </c>
      <c r="C566">
        <v>26.98</v>
      </c>
      <c r="D566" t="s">
        <v>304</v>
      </c>
      <c r="E566" t="s">
        <v>1312</v>
      </c>
      <c r="G566" t="s">
        <v>1313</v>
      </c>
      <c r="K566" t="s">
        <v>1595</v>
      </c>
      <c r="L566" t="s">
        <v>1596</v>
      </c>
      <c r="Q566" t="str">
        <f t="shared" si="24"/>
        <v>Sep</v>
      </c>
      <c r="R566">
        <f t="shared" si="25"/>
        <v>2014</v>
      </c>
      <c r="S566" t="e">
        <f>VLOOKUP($W566,TBL_Categories,2,FALSE)</f>
        <v>#N/A</v>
      </c>
      <c r="T566" t="e">
        <f>VLOOKUP($W566,TBL_Categories,3,FALSE)</f>
        <v>#N/A</v>
      </c>
      <c r="U566" t="e">
        <f>VLOOKUP($W566,TBL_Categories,4,FALSE)</f>
        <v>#N/A</v>
      </c>
      <c r="V566" t="e">
        <f>VLOOKUP($W566,TBL_Categories,5,FALSE)</f>
        <v>#N/A</v>
      </c>
      <c r="W566" t="str">
        <f t="shared" si="26"/>
        <v>Misc Expenses|Fraud</v>
      </c>
    </row>
    <row r="567" spans="1:23" x14ac:dyDescent="0.25">
      <c r="A567" t="s">
        <v>296</v>
      </c>
      <c r="B567" s="5">
        <v>41899</v>
      </c>
      <c r="C567">
        <v>26.98</v>
      </c>
      <c r="D567" t="s">
        <v>304</v>
      </c>
      <c r="E567" t="s">
        <v>1312</v>
      </c>
      <c r="G567" t="s">
        <v>1313</v>
      </c>
      <c r="K567" t="s">
        <v>1595</v>
      </c>
      <c r="L567" t="s">
        <v>1596</v>
      </c>
      <c r="Q567" t="str">
        <f t="shared" si="24"/>
        <v>Sep</v>
      </c>
      <c r="R567">
        <f t="shared" si="25"/>
        <v>2014</v>
      </c>
      <c r="S567" t="e">
        <f>VLOOKUP($W567,TBL_Categories,2,FALSE)</f>
        <v>#N/A</v>
      </c>
      <c r="T567" t="e">
        <f>VLOOKUP($W567,TBL_Categories,3,FALSE)</f>
        <v>#N/A</v>
      </c>
      <c r="U567" t="e">
        <f>VLOOKUP($W567,TBL_Categories,4,FALSE)</f>
        <v>#N/A</v>
      </c>
      <c r="V567" t="e">
        <f>VLOOKUP($W567,TBL_Categories,5,FALSE)</f>
        <v>#N/A</v>
      </c>
      <c r="W567" t="str">
        <f t="shared" si="26"/>
        <v>Misc Expenses|Fraud</v>
      </c>
    </row>
    <row r="568" spans="1:23" x14ac:dyDescent="0.25">
      <c r="A568" t="s">
        <v>296</v>
      </c>
      <c r="B568" s="5">
        <v>41899</v>
      </c>
      <c r="C568">
        <v>26.98</v>
      </c>
      <c r="D568" t="s">
        <v>304</v>
      </c>
      <c r="E568" t="s">
        <v>1312</v>
      </c>
      <c r="G568" t="s">
        <v>1313</v>
      </c>
      <c r="K568" t="s">
        <v>1595</v>
      </c>
      <c r="L568" t="s">
        <v>1596</v>
      </c>
      <c r="Q568" t="str">
        <f t="shared" si="24"/>
        <v>Sep</v>
      </c>
      <c r="R568">
        <f t="shared" si="25"/>
        <v>2014</v>
      </c>
      <c r="S568" t="e">
        <f>VLOOKUP($W568,TBL_Categories,2,FALSE)</f>
        <v>#N/A</v>
      </c>
      <c r="T568" t="e">
        <f>VLOOKUP($W568,TBL_Categories,3,FALSE)</f>
        <v>#N/A</v>
      </c>
      <c r="U568" t="e">
        <f>VLOOKUP($W568,TBL_Categories,4,FALSE)</f>
        <v>#N/A</v>
      </c>
      <c r="V568" t="e">
        <f>VLOOKUP($W568,TBL_Categories,5,FALSE)</f>
        <v>#N/A</v>
      </c>
      <c r="W568" t="str">
        <f t="shared" si="26"/>
        <v>Misc Expenses|Fraud</v>
      </c>
    </row>
    <row r="569" spans="1:23" x14ac:dyDescent="0.25">
      <c r="A569" t="s">
        <v>296</v>
      </c>
      <c r="B569" s="5">
        <v>41899</v>
      </c>
      <c r="C569">
        <v>26.98</v>
      </c>
      <c r="D569" t="s">
        <v>304</v>
      </c>
      <c r="E569" t="s">
        <v>1312</v>
      </c>
      <c r="G569" t="s">
        <v>1313</v>
      </c>
      <c r="K569" t="s">
        <v>1595</v>
      </c>
      <c r="L569" t="s">
        <v>1596</v>
      </c>
      <c r="Q569" t="str">
        <f t="shared" si="24"/>
        <v>Sep</v>
      </c>
      <c r="R569">
        <f t="shared" si="25"/>
        <v>2014</v>
      </c>
      <c r="S569" t="e">
        <f>VLOOKUP($W569,TBL_Categories,2,FALSE)</f>
        <v>#N/A</v>
      </c>
      <c r="T569" t="e">
        <f>VLOOKUP($W569,TBL_Categories,3,FALSE)</f>
        <v>#N/A</v>
      </c>
      <c r="U569" t="e">
        <f>VLOOKUP($W569,TBL_Categories,4,FALSE)</f>
        <v>#N/A</v>
      </c>
      <c r="V569" t="e">
        <f>VLOOKUP($W569,TBL_Categories,5,FALSE)</f>
        <v>#N/A</v>
      </c>
      <c r="W569" t="str">
        <f t="shared" si="26"/>
        <v>Misc Expenses|Fraud</v>
      </c>
    </row>
    <row r="570" spans="1:23" x14ac:dyDescent="0.25">
      <c r="A570" t="s">
        <v>296</v>
      </c>
      <c r="B570" s="5">
        <v>41899</v>
      </c>
      <c r="C570">
        <v>26.98</v>
      </c>
      <c r="D570" t="s">
        <v>304</v>
      </c>
      <c r="E570" t="s">
        <v>1312</v>
      </c>
      <c r="G570" t="s">
        <v>1313</v>
      </c>
      <c r="K570" t="s">
        <v>1595</v>
      </c>
      <c r="L570" t="s">
        <v>1596</v>
      </c>
      <c r="Q570" t="str">
        <f t="shared" si="24"/>
        <v>Sep</v>
      </c>
      <c r="R570">
        <f t="shared" si="25"/>
        <v>2014</v>
      </c>
      <c r="S570" t="e">
        <f>VLOOKUP($W570,TBL_Categories,2,FALSE)</f>
        <v>#N/A</v>
      </c>
      <c r="T570" t="e">
        <f>VLOOKUP($W570,TBL_Categories,3,FALSE)</f>
        <v>#N/A</v>
      </c>
      <c r="U570" t="e">
        <f>VLOOKUP($W570,TBL_Categories,4,FALSE)</f>
        <v>#N/A</v>
      </c>
      <c r="V570" t="e">
        <f>VLOOKUP($W570,TBL_Categories,5,FALSE)</f>
        <v>#N/A</v>
      </c>
      <c r="W570" t="str">
        <f t="shared" si="26"/>
        <v>Misc Expenses|Fraud</v>
      </c>
    </row>
    <row r="571" spans="1:23" x14ac:dyDescent="0.25">
      <c r="A571" t="s">
        <v>296</v>
      </c>
      <c r="B571" s="5">
        <v>41899</v>
      </c>
      <c r="C571">
        <v>26.98</v>
      </c>
      <c r="D571" t="s">
        <v>304</v>
      </c>
      <c r="E571" t="s">
        <v>1312</v>
      </c>
      <c r="G571" t="s">
        <v>1313</v>
      </c>
      <c r="K571" t="s">
        <v>1595</v>
      </c>
      <c r="L571" t="s">
        <v>1596</v>
      </c>
      <c r="Q571" t="str">
        <f t="shared" si="24"/>
        <v>Sep</v>
      </c>
      <c r="R571">
        <f t="shared" si="25"/>
        <v>2014</v>
      </c>
      <c r="S571" t="e">
        <f>VLOOKUP($W571,TBL_Categories,2,FALSE)</f>
        <v>#N/A</v>
      </c>
      <c r="T571" t="e">
        <f>VLOOKUP($W571,TBL_Categories,3,FALSE)</f>
        <v>#N/A</v>
      </c>
      <c r="U571" t="e">
        <f>VLOOKUP($W571,TBL_Categories,4,FALSE)</f>
        <v>#N/A</v>
      </c>
      <c r="V571" t="e">
        <f>VLOOKUP($W571,TBL_Categories,5,FALSE)</f>
        <v>#N/A</v>
      </c>
      <c r="W571" t="str">
        <f t="shared" si="26"/>
        <v>Misc Expenses|Fraud</v>
      </c>
    </row>
    <row r="572" spans="1:23" x14ac:dyDescent="0.25">
      <c r="A572" t="s">
        <v>296</v>
      </c>
      <c r="B572" s="5">
        <v>41899</v>
      </c>
      <c r="C572">
        <v>26.98</v>
      </c>
      <c r="D572" t="s">
        <v>304</v>
      </c>
      <c r="E572" t="s">
        <v>1312</v>
      </c>
      <c r="G572" t="s">
        <v>1313</v>
      </c>
      <c r="K572" t="s">
        <v>1595</v>
      </c>
      <c r="L572" t="s">
        <v>1596</v>
      </c>
      <c r="Q572" t="str">
        <f t="shared" si="24"/>
        <v>Sep</v>
      </c>
      <c r="R572">
        <f t="shared" si="25"/>
        <v>2014</v>
      </c>
      <c r="S572" t="e">
        <f>VLOOKUP($W572,TBL_Categories,2,FALSE)</f>
        <v>#N/A</v>
      </c>
      <c r="T572" t="e">
        <f>VLOOKUP($W572,TBL_Categories,3,FALSE)</f>
        <v>#N/A</v>
      </c>
      <c r="U572" t="e">
        <f>VLOOKUP($W572,TBL_Categories,4,FALSE)</f>
        <v>#N/A</v>
      </c>
      <c r="V572" t="e">
        <f>VLOOKUP($W572,TBL_Categories,5,FALSE)</f>
        <v>#N/A</v>
      </c>
      <c r="W572" t="str">
        <f t="shared" si="26"/>
        <v>Misc Expenses|Fraud</v>
      </c>
    </row>
    <row r="573" spans="1:23" x14ac:dyDescent="0.25">
      <c r="A573" t="s">
        <v>296</v>
      </c>
      <c r="B573" s="5">
        <v>41899</v>
      </c>
      <c r="C573">
        <v>26.98</v>
      </c>
      <c r="D573" t="s">
        <v>304</v>
      </c>
      <c r="E573" t="s">
        <v>1312</v>
      </c>
      <c r="G573" t="s">
        <v>1313</v>
      </c>
      <c r="K573" t="s">
        <v>1595</v>
      </c>
      <c r="L573" t="s">
        <v>1596</v>
      </c>
      <c r="Q573" t="str">
        <f t="shared" si="24"/>
        <v>Sep</v>
      </c>
      <c r="R573">
        <f t="shared" si="25"/>
        <v>2014</v>
      </c>
      <c r="S573" t="e">
        <f>VLOOKUP($W573,TBL_Categories,2,FALSE)</f>
        <v>#N/A</v>
      </c>
      <c r="T573" t="e">
        <f>VLOOKUP($W573,TBL_Categories,3,FALSE)</f>
        <v>#N/A</v>
      </c>
      <c r="U573" t="e">
        <f>VLOOKUP($W573,TBL_Categories,4,FALSE)</f>
        <v>#N/A</v>
      </c>
      <c r="V573" t="e">
        <f>VLOOKUP($W573,TBL_Categories,5,FALSE)</f>
        <v>#N/A</v>
      </c>
      <c r="W573" t="str">
        <f t="shared" si="26"/>
        <v>Misc Expenses|Fraud</v>
      </c>
    </row>
    <row r="574" spans="1:23" x14ac:dyDescent="0.25">
      <c r="A574" t="s">
        <v>296</v>
      </c>
      <c r="B574" s="5">
        <v>41899</v>
      </c>
      <c r="C574">
        <v>26.98</v>
      </c>
      <c r="D574" t="s">
        <v>304</v>
      </c>
      <c r="E574" t="s">
        <v>1312</v>
      </c>
      <c r="G574" t="s">
        <v>1313</v>
      </c>
      <c r="K574" t="s">
        <v>1595</v>
      </c>
      <c r="L574" t="s">
        <v>1596</v>
      </c>
      <c r="Q574" t="str">
        <f t="shared" si="24"/>
        <v>Sep</v>
      </c>
      <c r="R574">
        <f t="shared" si="25"/>
        <v>2014</v>
      </c>
      <c r="S574" t="e">
        <f>VLOOKUP($W574,TBL_Categories,2,FALSE)</f>
        <v>#N/A</v>
      </c>
      <c r="T574" t="e">
        <f>VLOOKUP($W574,TBL_Categories,3,FALSE)</f>
        <v>#N/A</v>
      </c>
      <c r="U574" t="e">
        <f>VLOOKUP($W574,TBL_Categories,4,FALSE)</f>
        <v>#N/A</v>
      </c>
      <c r="V574" t="e">
        <f>VLOOKUP($W574,TBL_Categories,5,FALSE)</f>
        <v>#N/A</v>
      </c>
      <c r="W574" t="str">
        <f t="shared" si="26"/>
        <v>Misc Expenses|Fraud</v>
      </c>
    </row>
    <row r="575" spans="1:23" x14ac:dyDescent="0.25">
      <c r="A575" t="s">
        <v>296</v>
      </c>
      <c r="B575" s="5">
        <v>41899</v>
      </c>
      <c r="C575">
        <v>26.98</v>
      </c>
      <c r="D575" t="s">
        <v>304</v>
      </c>
      <c r="E575" t="s">
        <v>1312</v>
      </c>
      <c r="G575" t="s">
        <v>1313</v>
      </c>
      <c r="K575" t="s">
        <v>1595</v>
      </c>
      <c r="L575" t="s">
        <v>1596</v>
      </c>
      <c r="Q575" t="str">
        <f t="shared" si="24"/>
        <v>Sep</v>
      </c>
      <c r="R575">
        <f t="shared" si="25"/>
        <v>2014</v>
      </c>
      <c r="S575" t="e">
        <f>VLOOKUP($W575,TBL_Categories,2,FALSE)</f>
        <v>#N/A</v>
      </c>
      <c r="T575" t="e">
        <f>VLOOKUP($W575,TBL_Categories,3,FALSE)</f>
        <v>#N/A</v>
      </c>
      <c r="U575" t="e">
        <f>VLOOKUP($W575,TBL_Categories,4,FALSE)</f>
        <v>#N/A</v>
      </c>
      <c r="V575" t="e">
        <f>VLOOKUP($W575,TBL_Categories,5,FALSE)</f>
        <v>#N/A</v>
      </c>
      <c r="W575" t="str">
        <f t="shared" si="26"/>
        <v>Misc Expenses|Fraud</v>
      </c>
    </row>
    <row r="576" spans="1:23" x14ac:dyDescent="0.25">
      <c r="A576" t="s">
        <v>296</v>
      </c>
      <c r="B576" s="5">
        <v>41899</v>
      </c>
      <c r="C576">
        <v>26.98</v>
      </c>
      <c r="D576" t="s">
        <v>304</v>
      </c>
      <c r="E576" t="s">
        <v>1312</v>
      </c>
      <c r="G576" t="s">
        <v>1313</v>
      </c>
      <c r="K576" t="s">
        <v>1595</v>
      </c>
      <c r="L576" t="s">
        <v>1596</v>
      </c>
      <c r="Q576" t="str">
        <f t="shared" si="24"/>
        <v>Sep</v>
      </c>
      <c r="R576">
        <f t="shared" si="25"/>
        <v>2014</v>
      </c>
      <c r="S576" t="e">
        <f>VLOOKUP($W576,TBL_Categories,2,FALSE)</f>
        <v>#N/A</v>
      </c>
      <c r="T576" t="e">
        <f>VLOOKUP($W576,TBL_Categories,3,FALSE)</f>
        <v>#N/A</v>
      </c>
      <c r="U576" t="e">
        <f>VLOOKUP($W576,TBL_Categories,4,FALSE)</f>
        <v>#N/A</v>
      </c>
      <c r="V576" t="e">
        <f>VLOOKUP($W576,TBL_Categories,5,FALSE)</f>
        <v>#N/A</v>
      </c>
      <c r="W576" t="str">
        <f t="shared" si="26"/>
        <v>Misc Expenses|Fraud</v>
      </c>
    </row>
    <row r="577" spans="1:23" x14ac:dyDescent="0.25">
      <c r="A577" t="s">
        <v>296</v>
      </c>
      <c r="B577" s="5">
        <v>41899</v>
      </c>
      <c r="C577">
        <v>26.98</v>
      </c>
      <c r="D577" t="s">
        <v>304</v>
      </c>
      <c r="E577" t="s">
        <v>1312</v>
      </c>
      <c r="G577" t="s">
        <v>1313</v>
      </c>
      <c r="K577" t="s">
        <v>1595</v>
      </c>
      <c r="L577" t="s">
        <v>1596</v>
      </c>
      <c r="Q577" t="str">
        <f t="shared" si="24"/>
        <v>Sep</v>
      </c>
      <c r="R577">
        <f t="shared" si="25"/>
        <v>2014</v>
      </c>
      <c r="S577" t="e">
        <f>VLOOKUP($W577,TBL_Categories,2,FALSE)</f>
        <v>#N/A</v>
      </c>
      <c r="T577" t="e">
        <f>VLOOKUP($W577,TBL_Categories,3,FALSE)</f>
        <v>#N/A</v>
      </c>
      <c r="U577" t="e">
        <f>VLOOKUP($W577,TBL_Categories,4,FALSE)</f>
        <v>#N/A</v>
      </c>
      <c r="V577" t="e">
        <f>VLOOKUP($W577,TBL_Categories,5,FALSE)</f>
        <v>#N/A</v>
      </c>
      <c r="W577" t="str">
        <f t="shared" si="26"/>
        <v>Misc Expenses|Fraud</v>
      </c>
    </row>
    <row r="578" spans="1:23" x14ac:dyDescent="0.25">
      <c r="A578" t="s">
        <v>296</v>
      </c>
      <c r="B578" s="5">
        <v>41899</v>
      </c>
      <c r="C578">
        <v>26.98</v>
      </c>
      <c r="D578" t="s">
        <v>304</v>
      </c>
      <c r="E578" t="s">
        <v>1312</v>
      </c>
      <c r="G578" t="s">
        <v>1313</v>
      </c>
      <c r="K578" t="s">
        <v>1595</v>
      </c>
      <c r="L578" t="s">
        <v>1596</v>
      </c>
      <c r="Q578" t="str">
        <f t="shared" ref="Q578:Q641" si="27">TEXT($B578,"MMM")</f>
        <v>Sep</v>
      </c>
      <c r="R578">
        <f t="shared" ref="R578:R641" si="28">YEAR($B578)</f>
        <v>2014</v>
      </c>
      <c r="S578" t="e">
        <f>VLOOKUP($W578,TBL_Categories,2,FALSE)</f>
        <v>#N/A</v>
      </c>
      <c r="T578" t="e">
        <f>VLOOKUP($W578,TBL_Categories,3,FALSE)</f>
        <v>#N/A</v>
      </c>
      <c r="U578" t="e">
        <f>VLOOKUP($W578,TBL_Categories,4,FALSE)</f>
        <v>#N/A</v>
      </c>
      <c r="V578" t="e">
        <f>VLOOKUP($W578,TBL_Categories,5,FALSE)</f>
        <v>#N/A</v>
      </c>
      <c r="W578" t="str">
        <f t="shared" ref="W578:W641" si="29">IF(ISBLANK($L578),$K578,CONCATENATE($K578,"|",$L578))</f>
        <v>Misc Expenses|Fraud</v>
      </c>
    </row>
    <row r="579" spans="1:23" x14ac:dyDescent="0.25">
      <c r="A579" t="s">
        <v>296</v>
      </c>
      <c r="B579" s="5">
        <v>41899</v>
      </c>
      <c r="C579">
        <v>26.98</v>
      </c>
      <c r="D579" t="s">
        <v>304</v>
      </c>
      <c r="E579" t="s">
        <v>1312</v>
      </c>
      <c r="G579" t="s">
        <v>1313</v>
      </c>
      <c r="K579" t="s">
        <v>1595</v>
      </c>
      <c r="L579" t="s">
        <v>1596</v>
      </c>
      <c r="Q579" t="str">
        <f t="shared" si="27"/>
        <v>Sep</v>
      </c>
      <c r="R579">
        <f t="shared" si="28"/>
        <v>2014</v>
      </c>
      <c r="S579" t="e">
        <f>VLOOKUP($W579,TBL_Categories,2,FALSE)</f>
        <v>#N/A</v>
      </c>
      <c r="T579" t="e">
        <f>VLOOKUP($W579,TBL_Categories,3,FALSE)</f>
        <v>#N/A</v>
      </c>
      <c r="U579" t="e">
        <f>VLOOKUP($W579,TBL_Categories,4,FALSE)</f>
        <v>#N/A</v>
      </c>
      <c r="V579" t="e">
        <f>VLOOKUP($W579,TBL_Categories,5,FALSE)</f>
        <v>#N/A</v>
      </c>
      <c r="W579" t="str">
        <f t="shared" si="29"/>
        <v>Misc Expenses|Fraud</v>
      </c>
    </row>
    <row r="580" spans="1:23" x14ac:dyDescent="0.25">
      <c r="A580" t="s">
        <v>296</v>
      </c>
      <c r="B580" s="5">
        <v>41899</v>
      </c>
      <c r="C580">
        <v>26.98</v>
      </c>
      <c r="D580" t="s">
        <v>304</v>
      </c>
      <c r="E580" t="s">
        <v>1312</v>
      </c>
      <c r="G580" t="s">
        <v>1313</v>
      </c>
      <c r="K580" t="s">
        <v>1595</v>
      </c>
      <c r="L580" t="s">
        <v>1596</v>
      </c>
      <c r="Q580" t="str">
        <f t="shared" si="27"/>
        <v>Sep</v>
      </c>
      <c r="R580">
        <f t="shared" si="28"/>
        <v>2014</v>
      </c>
      <c r="S580" t="e">
        <f>VLOOKUP($W580,TBL_Categories,2,FALSE)</f>
        <v>#N/A</v>
      </c>
      <c r="T580" t="e">
        <f>VLOOKUP($W580,TBL_Categories,3,FALSE)</f>
        <v>#N/A</v>
      </c>
      <c r="U580" t="e">
        <f>VLOOKUP($W580,TBL_Categories,4,FALSE)</f>
        <v>#N/A</v>
      </c>
      <c r="V580" t="e">
        <f>VLOOKUP($W580,TBL_Categories,5,FALSE)</f>
        <v>#N/A</v>
      </c>
      <c r="W580" t="str">
        <f t="shared" si="29"/>
        <v>Misc Expenses|Fraud</v>
      </c>
    </row>
    <row r="581" spans="1:23" x14ac:dyDescent="0.25">
      <c r="A581" t="s">
        <v>296</v>
      </c>
      <c r="B581" s="5">
        <v>41899</v>
      </c>
      <c r="C581">
        <v>27.43</v>
      </c>
      <c r="D581" t="s">
        <v>304</v>
      </c>
      <c r="E581" t="s">
        <v>1312</v>
      </c>
      <c r="G581" t="s">
        <v>1313</v>
      </c>
      <c r="K581" t="s">
        <v>1595</v>
      </c>
      <c r="L581" t="s">
        <v>1596</v>
      </c>
      <c r="Q581" t="str">
        <f t="shared" si="27"/>
        <v>Sep</v>
      </c>
      <c r="R581">
        <f t="shared" si="28"/>
        <v>2014</v>
      </c>
      <c r="S581" t="e">
        <f>VLOOKUP($W581,TBL_Categories,2,FALSE)</f>
        <v>#N/A</v>
      </c>
      <c r="T581" t="e">
        <f>VLOOKUP($W581,TBL_Categories,3,FALSE)</f>
        <v>#N/A</v>
      </c>
      <c r="U581" t="e">
        <f>VLOOKUP($W581,TBL_Categories,4,FALSE)</f>
        <v>#N/A</v>
      </c>
      <c r="V581" t="e">
        <f>VLOOKUP($W581,TBL_Categories,5,FALSE)</f>
        <v>#N/A</v>
      </c>
      <c r="W581" t="str">
        <f t="shared" si="29"/>
        <v>Misc Expenses|Fraud</v>
      </c>
    </row>
    <row r="582" spans="1:23" x14ac:dyDescent="0.25">
      <c r="A582" t="s">
        <v>296</v>
      </c>
      <c r="B582" s="5">
        <v>41899</v>
      </c>
      <c r="C582">
        <v>27.43</v>
      </c>
      <c r="D582" t="s">
        <v>304</v>
      </c>
      <c r="E582" t="s">
        <v>1312</v>
      </c>
      <c r="G582" t="s">
        <v>1313</v>
      </c>
      <c r="K582" t="s">
        <v>1595</v>
      </c>
      <c r="L582" t="s">
        <v>1596</v>
      </c>
      <c r="Q582" t="str">
        <f t="shared" si="27"/>
        <v>Sep</v>
      </c>
      <c r="R582">
        <f t="shared" si="28"/>
        <v>2014</v>
      </c>
      <c r="S582" t="e">
        <f>VLOOKUP($W582,TBL_Categories,2,FALSE)</f>
        <v>#N/A</v>
      </c>
      <c r="T582" t="e">
        <f>VLOOKUP($W582,TBL_Categories,3,FALSE)</f>
        <v>#N/A</v>
      </c>
      <c r="U582" t="e">
        <f>VLOOKUP($W582,TBL_Categories,4,FALSE)</f>
        <v>#N/A</v>
      </c>
      <c r="V582" t="e">
        <f>VLOOKUP($W582,TBL_Categories,5,FALSE)</f>
        <v>#N/A</v>
      </c>
      <c r="W582" t="str">
        <f t="shared" si="29"/>
        <v>Misc Expenses|Fraud</v>
      </c>
    </row>
    <row r="583" spans="1:23" x14ac:dyDescent="0.25">
      <c r="A583" t="s">
        <v>296</v>
      </c>
      <c r="B583" s="5">
        <v>41899</v>
      </c>
      <c r="C583">
        <v>27.88</v>
      </c>
      <c r="D583" t="s">
        <v>304</v>
      </c>
      <c r="E583" t="s">
        <v>1312</v>
      </c>
      <c r="G583" t="s">
        <v>1313</v>
      </c>
      <c r="K583" t="s">
        <v>1595</v>
      </c>
      <c r="L583" t="s">
        <v>1596</v>
      </c>
      <c r="Q583" t="str">
        <f t="shared" si="27"/>
        <v>Sep</v>
      </c>
      <c r="R583">
        <f t="shared" si="28"/>
        <v>2014</v>
      </c>
      <c r="S583" t="e">
        <f>VLOOKUP($W583,TBL_Categories,2,FALSE)</f>
        <v>#N/A</v>
      </c>
      <c r="T583" t="e">
        <f>VLOOKUP($W583,TBL_Categories,3,FALSE)</f>
        <v>#N/A</v>
      </c>
      <c r="U583" t="e">
        <f>VLOOKUP($W583,TBL_Categories,4,FALSE)</f>
        <v>#N/A</v>
      </c>
      <c r="V583" t="e">
        <f>VLOOKUP($W583,TBL_Categories,5,FALSE)</f>
        <v>#N/A</v>
      </c>
      <c r="W583" t="str">
        <f t="shared" si="29"/>
        <v>Misc Expenses|Fraud</v>
      </c>
    </row>
    <row r="584" spans="1:23" x14ac:dyDescent="0.25">
      <c r="A584" t="s">
        <v>296</v>
      </c>
      <c r="B584" s="5">
        <v>41899</v>
      </c>
      <c r="C584">
        <v>27.88</v>
      </c>
      <c r="D584" t="s">
        <v>304</v>
      </c>
      <c r="E584" t="s">
        <v>1312</v>
      </c>
      <c r="G584" t="s">
        <v>1313</v>
      </c>
      <c r="K584" t="s">
        <v>1595</v>
      </c>
      <c r="L584" t="s">
        <v>1596</v>
      </c>
      <c r="Q584" t="str">
        <f t="shared" si="27"/>
        <v>Sep</v>
      </c>
      <c r="R584">
        <f t="shared" si="28"/>
        <v>2014</v>
      </c>
      <c r="S584" t="e">
        <f>VLOOKUP($W584,TBL_Categories,2,FALSE)</f>
        <v>#N/A</v>
      </c>
      <c r="T584" t="e">
        <f>VLOOKUP($W584,TBL_Categories,3,FALSE)</f>
        <v>#N/A</v>
      </c>
      <c r="U584" t="e">
        <f>VLOOKUP($W584,TBL_Categories,4,FALSE)</f>
        <v>#N/A</v>
      </c>
      <c r="V584" t="e">
        <f>VLOOKUP($W584,TBL_Categories,5,FALSE)</f>
        <v>#N/A</v>
      </c>
      <c r="W584" t="str">
        <f t="shared" si="29"/>
        <v>Misc Expenses|Fraud</v>
      </c>
    </row>
    <row r="585" spans="1:23" x14ac:dyDescent="0.25">
      <c r="A585" t="s">
        <v>296</v>
      </c>
      <c r="B585" s="5">
        <v>41899</v>
      </c>
      <c r="C585">
        <v>28.33</v>
      </c>
      <c r="D585" t="s">
        <v>304</v>
      </c>
      <c r="E585" t="s">
        <v>1312</v>
      </c>
      <c r="G585" t="s">
        <v>1313</v>
      </c>
      <c r="K585" t="s">
        <v>1595</v>
      </c>
      <c r="L585" t="s">
        <v>1596</v>
      </c>
      <c r="Q585" t="str">
        <f t="shared" si="27"/>
        <v>Sep</v>
      </c>
      <c r="R585">
        <f t="shared" si="28"/>
        <v>2014</v>
      </c>
      <c r="S585" t="e">
        <f>VLOOKUP($W585,TBL_Categories,2,FALSE)</f>
        <v>#N/A</v>
      </c>
      <c r="T585" t="e">
        <f>VLOOKUP($W585,TBL_Categories,3,FALSE)</f>
        <v>#N/A</v>
      </c>
      <c r="U585" t="e">
        <f>VLOOKUP($W585,TBL_Categories,4,FALSE)</f>
        <v>#N/A</v>
      </c>
      <c r="V585" t="e">
        <f>VLOOKUP($W585,TBL_Categories,5,FALSE)</f>
        <v>#N/A</v>
      </c>
      <c r="W585" t="str">
        <f t="shared" si="29"/>
        <v>Misc Expenses|Fraud</v>
      </c>
    </row>
    <row r="586" spans="1:23" x14ac:dyDescent="0.25">
      <c r="A586" t="s">
        <v>296</v>
      </c>
      <c r="B586" s="5">
        <v>41899</v>
      </c>
      <c r="C586">
        <v>28.51</v>
      </c>
      <c r="D586" t="s">
        <v>304</v>
      </c>
      <c r="E586" t="s">
        <v>1312</v>
      </c>
      <c r="G586" t="s">
        <v>1313</v>
      </c>
      <c r="K586" t="s">
        <v>1595</v>
      </c>
      <c r="L586" t="s">
        <v>1596</v>
      </c>
      <c r="Q586" t="str">
        <f t="shared" si="27"/>
        <v>Sep</v>
      </c>
      <c r="R586">
        <f t="shared" si="28"/>
        <v>2014</v>
      </c>
      <c r="S586" t="e">
        <f>VLOOKUP($W586,TBL_Categories,2,FALSE)</f>
        <v>#N/A</v>
      </c>
      <c r="T586" t="e">
        <f>VLOOKUP($W586,TBL_Categories,3,FALSE)</f>
        <v>#N/A</v>
      </c>
      <c r="U586" t="e">
        <f>VLOOKUP($W586,TBL_Categories,4,FALSE)</f>
        <v>#N/A</v>
      </c>
      <c r="V586" t="e">
        <f>VLOOKUP($W586,TBL_Categories,5,FALSE)</f>
        <v>#N/A</v>
      </c>
      <c r="W586" t="str">
        <f t="shared" si="29"/>
        <v>Misc Expenses|Fraud</v>
      </c>
    </row>
    <row r="587" spans="1:23" x14ac:dyDescent="0.25">
      <c r="A587" t="s">
        <v>296</v>
      </c>
      <c r="B587" s="5">
        <v>41899</v>
      </c>
      <c r="C587">
        <v>28.68</v>
      </c>
      <c r="D587" t="s">
        <v>304</v>
      </c>
      <c r="E587" t="s">
        <v>1312</v>
      </c>
      <c r="G587" t="s">
        <v>1313</v>
      </c>
      <c r="K587" t="s">
        <v>1595</v>
      </c>
      <c r="L587" t="s">
        <v>1596</v>
      </c>
      <c r="Q587" t="str">
        <f t="shared" si="27"/>
        <v>Sep</v>
      </c>
      <c r="R587">
        <f t="shared" si="28"/>
        <v>2014</v>
      </c>
      <c r="S587" t="e">
        <f>VLOOKUP($W587,TBL_Categories,2,FALSE)</f>
        <v>#N/A</v>
      </c>
      <c r="T587" t="e">
        <f>VLOOKUP($W587,TBL_Categories,3,FALSE)</f>
        <v>#N/A</v>
      </c>
      <c r="U587" t="e">
        <f>VLOOKUP($W587,TBL_Categories,4,FALSE)</f>
        <v>#N/A</v>
      </c>
      <c r="V587" t="e">
        <f>VLOOKUP($W587,TBL_Categories,5,FALSE)</f>
        <v>#N/A</v>
      </c>
      <c r="W587" t="str">
        <f t="shared" si="29"/>
        <v>Misc Expenses|Fraud</v>
      </c>
    </row>
    <row r="588" spans="1:23" x14ac:dyDescent="0.25">
      <c r="A588" t="s">
        <v>296</v>
      </c>
      <c r="B588" s="5">
        <v>41899</v>
      </c>
      <c r="C588">
        <v>28.78</v>
      </c>
      <c r="D588" t="s">
        <v>304</v>
      </c>
      <c r="E588" t="s">
        <v>1312</v>
      </c>
      <c r="G588" t="s">
        <v>1313</v>
      </c>
      <c r="K588" t="s">
        <v>1595</v>
      </c>
      <c r="L588" t="s">
        <v>1596</v>
      </c>
      <c r="Q588" t="str">
        <f t="shared" si="27"/>
        <v>Sep</v>
      </c>
      <c r="R588">
        <f t="shared" si="28"/>
        <v>2014</v>
      </c>
      <c r="S588" t="e">
        <f>VLOOKUP($W588,TBL_Categories,2,FALSE)</f>
        <v>#N/A</v>
      </c>
      <c r="T588" t="e">
        <f>VLOOKUP($W588,TBL_Categories,3,FALSE)</f>
        <v>#N/A</v>
      </c>
      <c r="U588" t="e">
        <f>VLOOKUP($W588,TBL_Categories,4,FALSE)</f>
        <v>#N/A</v>
      </c>
      <c r="V588" t="e">
        <f>VLOOKUP($W588,TBL_Categories,5,FALSE)</f>
        <v>#N/A</v>
      </c>
      <c r="W588" t="str">
        <f t="shared" si="29"/>
        <v>Misc Expenses|Fraud</v>
      </c>
    </row>
    <row r="589" spans="1:23" x14ac:dyDescent="0.25">
      <c r="A589" t="s">
        <v>296</v>
      </c>
      <c r="B589" s="5">
        <v>41899</v>
      </c>
      <c r="C589">
        <v>28.78</v>
      </c>
      <c r="D589" t="s">
        <v>304</v>
      </c>
      <c r="E589" t="s">
        <v>1312</v>
      </c>
      <c r="G589" t="s">
        <v>1313</v>
      </c>
      <c r="K589" t="s">
        <v>1595</v>
      </c>
      <c r="L589" t="s">
        <v>1596</v>
      </c>
      <c r="Q589" t="str">
        <f t="shared" si="27"/>
        <v>Sep</v>
      </c>
      <c r="R589">
        <f t="shared" si="28"/>
        <v>2014</v>
      </c>
      <c r="S589" t="e">
        <f>VLOOKUP($W589,TBL_Categories,2,FALSE)</f>
        <v>#N/A</v>
      </c>
      <c r="T589" t="e">
        <f>VLOOKUP($W589,TBL_Categories,3,FALSE)</f>
        <v>#N/A</v>
      </c>
      <c r="U589" t="e">
        <f>VLOOKUP($W589,TBL_Categories,4,FALSE)</f>
        <v>#N/A</v>
      </c>
      <c r="V589" t="e">
        <f>VLOOKUP($W589,TBL_Categories,5,FALSE)</f>
        <v>#N/A</v>
      </c>
      <c r="W589" t="str">
        <f t="shared" si="29"/>
        <v>Misc Expenses|Fraud</v>
      </c>
    </row>
    <row r="590" spans="1:23" x14ac:dyDescent="0.25">
      <c r="A590" t="s">
        <v>296</v>
      </c>
      <c r="B590" s="5">
        <v>41899</v>
      </c>
      <c r="C590">
        <v>28.94</v>
      </c>
      <c r="D590" t="s">
        <v>304</v>
      </c>
      <c r="E590" t="s">
        <v>1312</v>
      </c>
      <c r="G590" t="s">
        <v>1313</v>
      </c>
      <c r="K590" t="s">
        <v>1595</v>
      </c>
      <c r="L590" t="s">
        <v>1596</v>
      </c>
      <c r="Q590" t="str">
        <f t="shared" si="27"/>
        <v>Sep</v>
      </c>
      <c r="R590">
        <f t="shared" si="28"/>
        <v>2014</v>
      </c>
      <c r="S590" t="e">
        <f>VLOOKUP($W590,TBL_Categories,2,FALSE)</f>
        <v>#N/A</v>
      </c>
      <c r="T590" t="e">
        <f>VLOOKUP($W590,TBL_Categories,3,FALSE)</f>
        <v>#N/A</v>
      </c>
      <c r="U590" t="e">
        <f>VLOOKUP($W590,TBL_Categories,4,FALSE)</f>
        <v>#N/A</v>
      </c>
      <c r="V590" t="e">
        <f>VLOOKUP($W590,TBL_Categories,5,FALSE)</f>
        <v>#N/A</v>
      </c>
      <c r="W590" t="str">
        <f t="shared" si="29"/>
        <v>Misc Expenses|Fraud</v>
      </c>
    </row>
    <row r="591" spans="1:23" x14ac:dyDescent="0.25">
      <c r="A591" t="s">
        <v>296</v>
      </c>
      <c r="B591" s="5">
        <v>41899</v>
      </c>
      <c r="C591">
        <v>28.94</v>
      </c>
      <c r="D591" t="s">
        <v>304</v>
      </c>
      <c r="E591" t="s">
        <v>1312</v>
      </c>
      <c r="G591" t="s">
        <v>1313</v>
      </c>
      <c r="K591" t="s">
        <v>1595</v>
      </c>
      <c r="L591" t="s">
        <v>1596</v>
      </c>
      <c r="Q591" t="str">
        <f t="shared" si="27"/>
        <v>Sep</v>
      </c>
      <c r="R591">
        <f t="shared" si="28"/>
        <v>2014</v>
      </c>
      <c r="S591" t="e">
        <f>VLOOKUP($W591,TBL_Categories,2,FALSE)</f>
        <v>#N/A</v>
      </c>
      <c r="T591" t="e">
        <f>VLOOKUP($W591,TBL_Categories,3,FALSE)</f>
        <v>#N/A</v>
      </c>
      <c r="U591" t="e">
        <f>VLOOKUP($W591,TBL_Categories,4,FALSE)</f>
        <v>#N/A</v>
      </c>
      <c r="V591" t="e">
        <f>VLOOKUP($W591,TBL_Categories,5,FALSE)</f>
        <v>#N/A</v>
      </c>
      <c r="W591" t="str">
        <f t="shared" si="29"/>
        <v>Misc Expenses|Fraud</v>
      </c>
    </row>
    <row r="592" spans="1:23" x14ac:dyDescent="0.25">
      <c r="A592" t="s">
        <v>296</v>
      </c>
      <c r="B592" s="5">
        <v>41899</v>
      </c>
      <c r="C592">
        <v>28.95</v>
      </c>
      <c r="D592" t="s">
        <v>304</v>
      </c>
      <c r="E592" t="s">
        <v>1312</v>
      </c>
      <c r="G592" t="s">
        <v>1313</v>
      </c>
      <c r="K592" t="s">
        <v>1595</v>
      </c>
      <c r="L592" t="s">
        <v>1596</v>
      </c>
      <c r="Q592" t="str">
        <f t="shared" si="27"/>
        <v>Sep</v>
      </c>
      <c r="R592">
        <f t="shared" si="28"/>
        <v>2014</v>
      </c>
      <c r="S592" t="e">
        <f>VLOOKUP($W592,TBL_Categories,2,FALSE)</f>
        <v>#N/A</v>
      </c>
      <c r="T592" t="e">
        <f>VLOOKUP($W592,TBL_Categories,3,FALSE)</f>
        <v>#N/A</v>
      </c>
      <c r="U592" t="e">
        <f>VLOOKUP($W592,TBL_Categories,4,FALSE)</f>
        <v>#N/A</v>
      </c>
      <c r="V592" t="e">
        <f>VLOOKUP($W592,TBL_Categories,5,FALSE)</f>
        <v>#N/A</v>
      </c>
      <c r="W592" t="str">
        <f t="shared" si="29"/>
        <v>Misc Expenses|Fraud</v>
      </c>
    </row>
    <row r="593" spans="1:23" x14ac:dyDescent="0.25">
      <c r="A593" t="s">
        <v>296</v>
      </c>
      <c r="B593" s="5">
        <v>41899</v>
      </c>
      <c r="C593">
        <v>-26.98</v>
      </c>
      <c r="D593" t="s">
        <v>304</v>
      </c>
      <c r="E593" t="s">
        <v>368</v>
      </c>
      <c r="G593" t="s">
        <v>1313</v>
      </c>
      <c r="K593" t="s">
        <v>1595</v>
      </c>
      <c r="L593" t="s">
        <v>1596</v>
      </c>
      <c r="Q593" t="str">
        <f t="shared" si="27"/>
        <v>Sep</v>
      </c>
      <c r="R593">
        <f t="shared" si="28"/>
        <v>2014</v>
      </c>
      <c r="S593" t="e">
        <f>VLOOKUP($W593,TBL_Categories,2,FALSE)</f>
        <v>#N/A</v>
      </c>
      <c r="T593" t="e">
        <f>VLOOKUP($W593,TBL_Categories,3,FALSE)</f>
        <v>#N/A</v>
      </c>
      <c r="U593" t="e">
        <f>VLOOKUP($W593,TBL_Categories,4,FALSE)</f>
        <v>#N/A</v>
      </c>
      <c r="V593" t="e">
        <f>VLOOKUP($W593,TBL_Categories,5,FALSE)</f>
        <v>#N/A</v>
      </c>
      <c r="W593" t="str">
        <f t="shared" si="29"/>
        <v>Misc Expenses|Fraud</v>
      </c>
    </row>
    <row r="594" spans="1:23" x14ac:dyDescent="0.25">
      <c r="A594" t="s">
        <v>296</v>
      </c>
      <c r="B594" s="5">
        <v>41899</v>
      </c>
      <c r="C594">
        <v>-26.98</v>
      </c>
      <c r="D594" t="s">
        <v>304</v>
      </c>
      <c r="E594" t="s">
        <v>1314</v>
      </c>
      <c r="G594" t="s">
        <v>1313</v>
      </c>
      <c r="K594" t="s">
        <v>1595</v>
      </c>
      <c r="L594" t="s">
        <v>1596</v>
      </c>
      <c r="Q594" t="str">
        <f t="shared" si="27"/>
        <v>Sep</v>
      </c>
      <c r="R594">
        <f t="shared" si="28"/>
        <v>2014</v>
      </c>
      <c r="S594" t="e">
        <f>VLOOKUP($W594,TBL_Categories,2,FALSE)</f>
        <v>#N/A</v>
      </c>
      <c r="T594" t="e">
        <f>VLOOKUP($W594,TBL_Categories,3,FALSE)</f>
        <v>#N/A</v>
      </c>
      <c r="U594" t="e">
        <f>VLOOKUP($W594,TBL_Categories,4,FALSE)</f>
        <v>#N/A</v>
      </c>
      <c r="V594" t="e">
        <f>VLOOKUP($W594,TBL_Categories,5,FALSE)</f>
        <v>#N/A</v>
      </c>
      <c r="W594" t="str">
        <f t="shared" si="29"/>
        <v>Misc Expenses|Fraud</v>
      </c>
    </row>
    <row r="595" spans="1:23" x14ac:dyDescent="0.25">
      <c r="A595" t="s">
        <v>296</v>
      </c>
      <c r="B595" s="5">
        <v>41899</v>
      </c>
      <c r="C595">
        <v>-26.98</v>
      </c>
      <c r="D595" t="s">
        <v>304</v>
      </c>
      <c r="E595" t="s">
        <v>1315</v>
      </c>
      <c r="G595" t="s">
        <v>1313</v>
      </c>
      <c r="K595" t="s">
        <v>1595</v>
      </c>
      <c r="L595" t="s">
        <v>1596</v>
      </c>
      <c r="Q595" t="str">
        <f t="shared" si="27"/>
        <v>Sep</v>
      </c>
      <c r="R595">
        <f t="shared" si="28"/>
        <v>2014</v>
      </c>
      <c r="S595" t="e">
        <f>VLOOKUP($W595,TBL_Categories,2,FALSE)</f>
        <v>#N/A</v>
      </c>
      <c r="T595" t="e">
        <f>VLOOKUP($W595,TBL_Categories,3,FALSE)</f>
        <v>#N/A</v>
      </c>
      <c r="U595" t="e">
        <f>VLOOKUP($W595,TBL_Categories,4,FALSE)</f>
        <v>#N/A</v>
      </c>
      <c r="V595" t="e">
        <f>VLOOKUP($W595,TBL_Categories,5,FALSE)</f>
        <v>#N/A</v>
      </c>
      <c r="W595" t="str">
        <f t="shared" si="29"/>
        <v>Misc Expenses|Fraud</v>
      </c>
    </row>
    <row r="596" spans="1:23" x14ac:dyDescent="0.25">
      <c r="A596" t="s">
        <v>296</v>
      </c>
      <c r="B596" s="5">
        <v>41899</v>
      </c>
      <c r="C596">
        <v>-26.98</v>
      </c>
      <c r="D596" t="s">
        <v>304</v>
      </c>
      <c r="E596" t="s">
        <v>1316</v>
      </c>
      <c r="G596" t="s">
        <v>1313</v>
      </c>
      <c r="K596" t="s">
        <v>1595</v>
      </c>
      <c r="L596" t="s">
        <v>1596</v>
      </c>
      <c r="Q596" t="str">
        <f t="shared" si="27"/>
        <v>Sep</v>
      </c>
      <c r="R596">
        <f t="shared" si="28"/>
        <v>2014</v>
      </c>
      <c r="S596" t="e">
        <f>VLOOKUP($W596,TBL_Categories,2,FALSE)</f>
        <v>#N/A</v>
      </c>
      <c r="T596" t="e">
        <f>VLOOKUP($W596,TBL_Categories,3,FALSE)</f>
        <v>#N/A</v>
      </c>
      <c r="U596" t="e">
        <f>VLOOKUP($W596,TBL_Categories,4,FALSE)</f>
        <v>#N/A</v>
      </c>
      <c r="V596" t="e">
        <f>VLOOKUP($W596,TBL_Categories,5,FALSE)</f>
        <v>#N/A</v>
      </c>
      <c r="W596" t="str">
        <f t="shared" si="29"/>
        <v>Misc Expenses|Fraud</v>
      </c>
    </row>
    <row r="597" spans="1:23" x14ac:dyDescent="0.25">
      <c r="A597" t="s">
        <v>296</v>
      </c>
      <c r="B597" s="5">
        <v>41899</v>
      </c>
      <c r="C597">
        <v>-26.98</v>
      </c>
      <c r="D597" t="s">
        <v>304</v>
      </c>
      <c r="E597" t="s">
        <v>1315</v>
      </c>
      <c r="G597" t="s">
        <v>1313</v>
      </c>
      <c r="K597" t="s">
        <v>1595</v>
      </c>
      <c r="L597" t="s">
        <v>1596</v>
      </c>
      <c r="Q597" t="str">
        <f t="shared" si="27"/>
        <v>Sep</v>
      </c>
      <c r="R597">
        <f t="shared" si="28"/>
        <v>2014</v>
      </c>
      <c r="S597" t="e">
        <f>VLOOKUP($W597,TBL_Categories,2,FALSE)</f>
        <v>#N/A</v>
      </c>
      <c r="T597" t="e">
        <f>VLOOKUP($W597,TBL_Categories,3,FALSE)</f>
        <v>#N/A</v>
      </c>
      <c r="U597" t="e">
        <f>VLOOKUP($W597,TBL_Categories,4,FALSE)</f>
        <v>#N/A</v>
      </c>
      <c r="V597" t="e">
        <f>VLOOKUP($W597,TBL_Categories,5,FALSE)</f>
        <v>#N/A</v>
      </c>
      <c r="W597" t="str">
        <f t="shared" si="29"/>
        <v>Misc Expenses|Fraud</v>
      </c>
    </row>
    <row r="598" spans="1:23" x14ac:dyDescent="0.25">
      <c r="A598" t="s">
        <v>296</v>
      </c>
      <c r="B598" s="5">
        <v>41899</v>
      </c>
      <c r="C598">
        <v>-26.98</v>
      </c>
      <c r="D598" t="s">
        <v>304</v>
      </c>
      <c r="E598" t="s">
        <v>1314</v>
      </c>
      <c r="G598" t="s">
        <v>1313</v>
      </c>
      <c r="K598" t="s">
        <v>1595</v>
      </c>
      <c r="L598" t="s">
        <v>1596</v>
      </c>
      <c r="Q598" t="str">
        <f t="shared" si="27"/>
        <v>Sep</v>
      </c>
      <c r="R598">
        <f t="shared" si="28"/>
        <v>2014</v>
      </c>
      <c r="S598" t="e">
        <f>VLOOKUP($W598,TBL_Categories,2,FALSE)</f>
        <v>#N/A</v>
      </c>
      <c r="T598" t="e">
        <f>VLOOKUP($W598,TBL_Categories,3,FALSE)</f>
        <v>#N/A</v>
      </c>
      <c r="U598" t="e">
        <f>VLOOKUP($W598,TBL_Categories,4,FALSE)</f>
        <v>#N/A</v>
      </c>
      <c r="V598" t="e">
        <f>VLOOKUP($W598,TBL_Categories,5,FALSE)</f>
        <v>#N/A</v>
      </c>
      <c r="W598" t="str">
        <f t="shared" si="29"/>
        <v>Misc Expenses|Fraud</v>
      </c>
    </row>
    <row r="599" spans="1:23" x14ac:dyDescent="0.25">
      <c r="A599" t="s">
        <v>296</v>
      </c>
      <c r="B599" s="5">
        <v>41899</v>
      </c>
      <c r="C599">
        <v>-26.98</v>
      </c>
      <c r="D599" t="s">
        <v>304</v>
      </c>
      <c r="E599" t="s">
        <v>1317</v>
      </c>
      <c r="G599" t="s">
        <v>1313</v>
      </c>
      <c r="K599" t="s">
        <v>1595</v>
      </c>
      <c r="L599" t="s">
        <v>1596</v>
      </c>
      <c r="Q599" t="str">
        <f t="shared" si="27"/>
        <v>Sep</v>
      </c>
      <c r="R599">
        <f t="shared" si="28"/>
        <v>2014</v>
      </c>
      <c r="S599" t="e">
        <f>VLOOKUP($W599,TBL_Categories,2,FALSE)</f>
        <v>#N/A</v>
      </c>
      <c r="T599" t="e">
        <f>VLOOKUP($W599,TBL_Categories,3,FALSE)</f>
        <v>#N/A</v>
      </c>
      <c r="U599" t="e">
        <f>VLOOKUP($W599,TBL_Categories,4,FALSE)</f>
        <v>#N/A</v>
      </c>
      <c r="V599" t="e">
        <f>VLOOKUP($W599,TBL_Categories,5,FALSE)</f>
        <v>#N/A</v>
      </c>
      <c r="W599" t="str">
        <f t="shared" si="29"/>
        <v>Misc Expenses|Fraud</v>
      </c>
    </row>
    <row r="600" spans="1:23" x14ac:dyDescent="0.25">
      <c r="A600" t="s">
        <v>296</v>
      </c>
      <c r="B600" s="5">
        <v>41899</v>
      </c>
      <c r="C600">
        <v>-26.98</v>
      </c>
      <c r="D600" t="s">
        <v>304</v>
      </c>
      <c r="E600" t="s">
        <v>368</v>
      </c>
      <c r="G600" t="s">
        <v>1313</v>
      </c>
      <c r="K600" t="s">
        <v>1595</v>
      </c>
      <c r="L600" t="s">
        <v>1596</v>
      </c>
      <c r="Q600" t="str">
        <f t="shared" si="27"/>
        <v>Sep</v>
      </c>
      <c r="R600">
        <f t="shared" si="28"/>
        <v>2014</v>
      </c>
      <c r="S600" t="e">
        <f>VLOOKUP($W600,TBL_Categories,2,FALSE)</f>
        <v>#N/A</v>
      </c>
      <c r="T600" t="e">
        <f>VLOOKUP($W600,TBL_Categories,3,FALSE)</f>
        <v>#N/A</v>
      </c>
      <c r="U600" t="e">
        <f>VLOOKUP($W600,TBL_Categories,4,FALSE)</f>
        <v>#N/A</v>
      </c>
      <c r="V600" t="e">
        <f>VLOOKUP($W600,TBL_Categories,5,FALSE)</f>
        <v>#N/A</v>
      </c>
      <c r="W600" t="str">
        <f t="shared" si="29"/>
        <v>Misc Expenses|Fraud</v>
      </c>
    </row>
    <row r="601" spans="1:23" x14ac:dyDescent="0.25">
      <c r="A601" t="s">
        <v>296</v>
      </c>
      <c r="B601" s="5">
        <v>41899</v>
      </c>
      <c r="C601">
        <v>-26.98</v>
      </c>
      <c r="D601" t="s">
        <v>304</v>
      </c>
      <c r="E601" t="s">
        <v>1314</v>
      </c>
      <c r="G601" t="s">
        <v>1313</v>
      </c>
      <c r="K601" t="s">
        <v>1595</v>
      </c>
      <c r="L601" t="s">
        <v>1596</v>
      </c>
      <c r="Q601" t="str">
        <f t="shared" si="27"/>
        <v>Sep</v>
      </c>
      <c r="R601">
        <f t="shared" si="28"/>
        <v>2014</v>
      </c>
      <c r="S601" t="e">
        <f>VLOOKUP($W601,TBL_Categories,2,FALSE)</f>
        <v>#N/A</v>
      </c>
      <c r="T601" t="e">
        <f>VLOOKUP($W601,TBL_Categories,3,FALSE)</f>
        <v>#N/A</v>
      </c>
      <c r="U601" t="e">
        <f>VLOOKUP($W601,TBL_Categories,4,FALSE)</f>
        <v>#N/A</v>
      </c>
      <c r="V601" t="e">
        <f>VLOOKUP($W601,TBL_Categories,5,FALSE)</f>
        <v>#N/A</v>
      </c>
      <c r="W601" t="str">
        <f t="shared" si="29"/>
        <v>Misc Expenses|Fraud</v>
      </c>
    </row>
    <row r="602" spans="1:23" x14ac:dyDescent="0.25">
      <c r="A602" t="s">
        <v>296</v>
      </c>
      <c r="B602" s="5">
        <v>41899</v>
      </c>
      <c r="C602">
        <v>-26.98</v>
      </c>
      <c r="D602" t="s">
        <v>304</v>
      </c>
      <c r="E602" t="s">
        <v>1318</v>
      </c>
      <c r="G602" t="s">
        <v>1313</v>
      </c>
      <c r="K602" t="s">
        <v>1595</v>
      </c>
      <c r="L602" t="s">
        <v>1596</v>
      </c>
      <c r="Q602" t="str">
        <f t="shared" si="27"/>
        <v>Sep</v>
      </c>
      <c r="R602">
        <f t="shared" si="28"/>
        <v>2014</v>
      </c>
      <c r="S602" t="e">
        <f>VLOOKUP($W602,TBL_Categories,2,FALSE)</f>
        <v>#N/A</v>
      </c>
      <c r="T602" t="e">
        <f>VLOOKUP($W602,TBL_Categories,3,FALSE)</f>
        <v>#N/A</v>
      </c>
      <c r="U602" t="e">
        <f>VLOOKUP($W602,TBL_Categories,4,FALSE)</f>
        <v>#N/A</v>
      </c>
      <c r="V602" t="e">
        <f>VLOOKUP($W602,TBL_Categories,5,FALSE)</f>
        <v>#N/A</v>
      </c>
      <c r="W602" t="str">
        <f t="shared" si="29"/>
        <v>Misc Expenses|Fraud</v>
      </c>
    </row>
    <row r="603" spans="1:23" x14ac:dyDescent="0.25">
      <c r="A603" t="s">
        <v>296</v>
      </c>
      <c r="B603" s="5">
        <v>41899</v>
      </c>
      <c r="C603">
        <v>-26.98</v>
      </c>
      <c r="D603" t="s">
        <v>304</v>
      </c>
      <c r="E603" t="s">
        <v>1318</v>
      </c>
      <c r="G603" t="s">
        <v>1313</v>
      </c>
      <c r="K603" t="s">
        <v>1595</v>
      </c>
      <c r="L603" t="s">
        <v>1596</v>
      </c>
      <c r="Q603" t="str">
        <f t="shared" si="27"/>
        <v>Sep</v>
      </c>
      <c r="R603">
        <f t="shared" si="28"/>
        <v>2014</v>
      </c>
      <c r="S603" t="e">
        <f>VLOOKUP($W603,TBL_Categories,2,FALSE)</f>
        <v>#N/A</v>
      </c>
      <c r="T603" t="e">
        <f>VLOOKUP($W603,TBL_Categories,3,FALSE)</f>
        <v>#N/A</v>
      </c>
      <c r="U603" t="e">
        <f>VLOOKUP($W603,TBL_Categories,4,FALSE)</f>
        <v>#N/A</v>
      </c>
      <c r="V603" t="e">
        <f>VLOOKUP($W603,TBL_Categories,5,FALSE)</f>
        <v>#N/A</v>
      </c>
      <c r="W603" t="str">
        <f t="shared" si="29"/>
        <v>Misc Expenses|Fraud</v>
      </c>
    </row>
    <row r="604" spans="1:23" x14ac:dyDescent="0.25">
      <c r="A604" t="s">
        <v>296</v>
      </c>
      <c r="B604" s="5">
        <v>41899</v>
      </c>
      <c r="C604">
        <v>-26.98</v>
      </c>
      <c r="D604" t="s">
        <v>304</v>
      </c>
      <c r="E604" t="s">
        <v>1315</v>
      </c>
      <c r="G604" t="s">
        <v>1313</v>
      </c>
      <c r="K604" t="s">
        <v>1595</v>
      </c>
      <c r="L604" t="s">
        <v>1596</v>
      </c>
      <c r="Q604" t="str">
        <f t="shared" si="27"/>
        <v>Sep</v>
      </c>
      <c r="R604">
        <f t="shared" si="28"/>
        <v>2014</v>
      </c>
      <c r="S604" t="e">
        <f>VLOOKUP($W604,TBL_Categories,2,FALSE)</f>
        <v>#N/A</v>
      </c>
      <c r="T604" t="e">
        <f>VLOOKUP($W604,TBL_Categories,3,FALSE)</f>
        <v>#N/A</v>
      </c>
      <c r="U604" t="e">
        <f>VLOOKUP($W604,TBL_Categories,4,FALSE)</f>
        <v>#N/A</v>
      </c>
      <c r="V604" t="e">
        <f>VLOOKUP($W604,TBL_Categories,5,FALSE)</f>
        <v>#N/A</v>
      </c>
      <c r="W604" t="str">
        <f t="shared" si="29"/>
        <v>Misc Expenses|Fraud</v>
      </c>
    </row>
    <row r="605" spans="1:23" x14ac:dyDescent="0.25">
      <c r="A605" t="s">
        <v>296</v>
      </c>
      <c r="B605" s="5">
        <v>41899</v>
      </c>
      <c r="C605">
        <v>-26.98</v>
      </c>
      <c r="D605" t="s">
        <v>304</v>
      </c>
      <c r="E605" t="s">
        <v>1315</v>
      </c>
      <c r="G605" t="s">
        <v>1313</v>
      </c>
      <c r="K605" t="s">
        <v>1595</v>
      </c>
      <c r="L605" t="s">
        <v>1596</v>
      </c>
      <c r="Q605" t="str">
        <f t="shared" si="27"/>
        <v>Sep</v>
      </c>
      <c r="R605">
        <f t="shared" si="28"/>
        <v>2014</v>
      </c>
      <c r="S605" t="e">
        <f>VLOOKUP($W605,TBL_Categories,2,FALSE)</f>
        <v>#N/A</v>
      </c>
      <c r="T605" t="e">
        <f>VLOOKUP($W605,TBL_Categories,3,FALSE)</f>
        <v>#N/A</v>
      </c>
      <c r="U605" t="e">
        <f>VLOOKUP($W605,TBL_Categories,4,FALSE)</f>
        <v>#N/A</v>
      </c>
      <c r="V605" t="e">
        <f>VLOOKUP($W605,TBL_Categories,5,FALSE)</f>
        <v>#N/A</v>
      </c>
      <c r="W605" t="str">
        <f t="shared" si="29"/>
        <v>Misc Expenses|Fraud</v>
      </c>
    </row>
    <row r="606" spans="1:23" x14ac:dyDescent="0.25">
      <c r="A606" t="s">
        <v>296</v>
      </c>
      <c r="B606" s="5">
        <v>41899</v>
      </c>
      <c r="C606">
        <v>-26.98</v>
      </c>
      <c r="D606" t="s">
        <v>304</v>
      </c>
      <c r="E606" t="s">
        <v>1314</v>
      </c>
      <c r="G606" t="s">
        <v>1313</v>
      </c>
      <c r="K606" t="s">
        <v>1595</v>
      </c>
      <c r="L606" t="s">
        <v>1596</v>
      </c>
      <c r="Q606" t="str">
        <f t="shared" si="27"/>
        <v>Sep</v>
      </c>
      <c r="R606">
        <f t="shared" si="28"/>
        <v>2014</v>
      </c>
      <c r="S606" t="e">
        <f>VLOOKUP($W606,TBL_Categories,2,FALSE)</f>
        <v>#N/A</v>
      </c>
      <c r="T606" t="e">
        <f>VLOOKUP($W606,TBL_Categories,3,FALSE)</f>
        <v>#N/A</v>
      </c>
      <c r="U606" t="e">
        <f>VLOOKUP($W606,TBL_Categories,4,FALSE)</f>
        <v>#N/A</v>
      </c>
      <c r="V606" t="e">
        <f>VLOOKUP($W606,TBL_Categories,5,FALSE)</f>
        <v>#N/A</v>
      </c>
      <c r="W606" t="str">
        <f t="shared" si="29"/>
        <v>Misc Expenses|Fraud</v>
      </c>
    </row>
    <row r="607" spans="1:23" x14ac:dyDescent="0.25">
      <c r="A607" t="s">
        <v>296</v>
      </c>
      <c r="B607" s="5">
        <v>41899</v>
      </c>
      <c r="C607">
        <v>-26.98</v>
      </c>
      <c r="D607" t="s">
        <v>304</v>
      </c>
      <c r="E607" t="s">
        <v>1314</v>
      </c>
      <c r="G607" t="s">
        <v>1313</v>
      </c>
      <c r="K607" t="s">
        <v>1595</v>
      </c>
      <c r="L607" t="s">
        <v>1596</v>
      </c>
      <c r="Q607" t="str">
        <f t="shared" si="27"/>
        <v>Sep</v>
      </c>
      <c r="R607">
        <f t="shared" si="28"/>
        <v>2014</v>
      </c>
      <c r="S607" t="e">
        <f>VLOOKUP($W607,TBL_Categories,2,FALSE)</f>
        <v>#N/A</v>
      </c>
      <c r="T607" t="e">
        <f>VLOOKUP($W607,TBL_Categories,3,FALSE)</f>
        <v>#N/A</v>
      </c>
      <c r="U607" t="e">
        <f>VLOOKUP($W607,TBL_Categories,4,FALSE)</f>
        <v>#N/A</v>
      </c>
      <c r="V607" t="e">
        <f>VLOOKUP($W607,TBL_Categories,5,FALSE)</f>
        <v>#N/A</v>
      </c>
      <c r="W607" t="str">
        <f t="shared" si="29"/>
        <v>Misc Expenses|Fraud</v>
      </c>
    </row>
    <row r="608" spans="1:23" x14ac:dyDescent="0.25">
      <c r="A608" t="s">
        <v>296</v>
      </c>
      <c r="B608" s="5">
        <v>41899</v>
      </c>
      <c r="C608">
        <v>-26.98</v>
      </c>
      <c r="D608" t="s">
        <v>304</v>
      </c>
      <c r="E608" t="s">
        <v>1315</v>
      </c>
      <c r="G608" t="s">
        <v>1313</v>
      </c>
      <c r="K608" t="s">
        <v>1595</v>
      </c>
      <c r="L608" t="s">
        <v>1596</v>
      </c>
      <c r="Q608" t="str">
        <f t="shared" si="27"/>
        <v>Sep</v>
      </c>
      <c r="R608">
        <f t="shared" si="28"/>
        <v>2014</v>
      </c>
      <c r="S608" t="e">
        <f>VLOOKUP($W608,TBL_Categories,2,FALSE)</f>
        <v>#N/A</v>
      </c>
      <c r="T608" t="e">
        <f>VLOOKUP($W608,TBL_Categories,3,FALSE)</f>
        <v>#N/A</v>
      </c>
      <c r="U608" t="e">
        <f>VLOOKUP($W608,TBL_Categories,4,FALSE)</f>
        <v>#N/A</v>
      </c>
      <c r="V608" t="e">
        <f>VLOOKUP($W608,TBL_Categories,5,FALSE)</f>
        <v>#N/A</v>
      </c>
      <c r="W608" t="str">
        <f t="shared" si="29"/>
        <v>Misc Expenses|Fraud</v>
      </c>
    </row>
    <row r="609" spans="1:23" x14ac:dyDescent="0.25">
      <c r="A609" t="s">
        <v>296</v>
      </c>
      <c r="B609" s="5">
        <v>41899</v>
      </c>
      <c r="C609">
        <v>-26.98</v>
      </c>
      <c r="D609" t="s">
        <v>304</v>
      </c>
      <c r="E609" t="s">
        <v>1317</v>
      </c>
      <c r="G609" t="s">
        <v>1313</v>
      </c>
      <c r="K609" t="s">
        <v>1595</v>
      </c>
      <c r="L609" t="s">
        <v>1596</v>
      </c>
      <c r="Q609" t="str">
        <f t="shared" si="27"/>
        <v>Sep</v>
      </c>
      <c r="R609">
        <f t="shared" si="28"/>
        <v>2014</v>
      </c>
      <c r="S609" t="e">
        <f>VLOOKUP($W609,TBL_Categories,2,FALSE)</f>
        <v>#N/A</v>
      </c>
      <c r="T609" t="e">
        <f>VLOOKUP($W609,TBL_Categories,3,FALSE)</f>
        <v>#N/A</v>
      </c>
      <c r="U609" t="e">
        <f>VLOOKUP($W609,TBL_Categories,4,FALSE)</f>
        <v>#N/A</v>
      </c>
      <c r="V609" t="e">
        <f>VLOOKUP($W609,TBL_Categories,5,FALSE)</f>
        <v>#N/A</v>
      </c>
      <c r="W609" t="str">
        <f t="shared" si="29"/>
        <v>Misc Expenses|Fraud</v>
      </c>
    </row>
    <row r="610" spans="1:23" x14ac:dyDescent="0.25">
      <c r="A610" t="s">
        <v>296</v>
      </c>
      <c r="B610" s="5">
        <v>41899</v>
      </c>
      <c r="C610">
        <v>-26.98</v>
      </c>
      <c r="D610" t="s">
        <v>304</v>
      </c>
      <c r="E610" t="s">
        <v>1314</v>
      </c>
      <c r="G610" t="s">
        <v>1313</v>
      </c>
      <c r="K610" t="s">
        <v>1595</v>
      </c>
      <c r="L610" t="s">
        <v>1596</v>
      </c>
      <c r="Q610" t="str">
        <f t="shared" si="27"/>
        <v>Sep</v>
      </c>
      <c r="R610">
        <f t="shared" si="28"/>
        <v>2014</v>
      </c>
      <c r="S610" t="e">
        <f>VLOOKUP($W610,TBL_Categories,2,FALSE)</f>
        <v>#N/A</v>
      </c>
      <c r="T610" t="e">
        <f>VLOOKUP($W610,TBL_Categories,3,FALSE)</f>
        <v>#N/A</v>
      </c>
      <c r="U610" t="e">
        <f>VLOOKUP($W610,TBL_Categories,4,FALSE)</f>
        <v>#N/A</v>
      </c>
      <c r="V610" t="e">
        <f>VLOOKUP($W610,TBL_Categories,5,FALSE)</f>
        <v>#N/A</v>
      </c>
      <c r="W610" t="str">
        <f t="shared" si="29"/>
        <v>Misc Expenses|Fraud</v>
      </c>
    </row>
    <row r="611" spans="1:23" x14ac:dyDescent="0.25">
      <c r="A611" t="s">
        <v>296</v>
      </c>
      <c r="B611" s="5">
        <v>41899</v>
      </c>
      <c r="C611">
        <v>-26.98</v>
      </c>
      <c r="D611" t="s">
        <v>304</v>
      </c>
      <c r="E611" t="s">
        <v>1315</v>
      </c>
      <c r="G611" t="s">
        <v>1313</v>
      </c>
      <c r="K611" t="s">
        <v>1595</v>
      </c>
      <c r="L611" t="s">
        <v>1596</v>
      </c>
      <c r="Q611" t="str">
        <f t="shared" si="27"/>
        <v>Sep</v>
      </c>
      <c r="R611">
        <f t="shared" si="28"/>
        <v>2014</v>
      </c>
      <c r="S611" t="e">
        <f>VLOOKUP($W611,TBL_Categories,2,FALSE)</f>
        <v>#N/A</v>
      </c>
      <c r="T611" t="e">
        <f>VLOOKUP($W611,TBL_Categories,3,FALSE)</f>
        <v>#N/A</v>
      </c>
      <c r="U611" t="e">
        <f>VLOOKUP($W611,TBL_Categories,4,FALSE)</f>
        <v>#N/A</v>
      </c>
      <c r="V611" t="e">
        <f>VLOOKUP($W611,TBL_Categories,5,FALSE)</f>
        <v>#N/A</v>
      </c>
      <c r="W611" t="str">
        <f t="shared" si="29"/>
        <v>Misc Expenses|Fraud</v>
      </c>
    </row>
    <row r="612" spans="1:23" x14ac:dyDescent="0.25">
      <c r="A612" t="s">
        <v>296</v>
      </c>
      <c r="B612" s="5">
        <v>41899</v>
      </c>
      <c r="C612">
        <v>-26.98</v>
      </c>
      <c r="D612" t="s">
        <v>304</v>
      </c>
      <c r="E612" t="s">
        <v>1314</v>
      </c>
      <c r="G612" t="s">
        <v>1313</v>
      </c>
      <c r="K612" t="s">
        <v>1595</v>
      </c>
      <c r="L612" t="s">
        <v>1596</v>
      </c>
      <c r="Q612" t="str">
        <f t="shared" si="27"/>
        <v>Sep</v>
      </c>
      <c r="R612">
        <f t="shared" si="28"/>
        <v>2014</v>
      </c>
      <c r="S612" t="e">
        <f>VLOOKUP($W612,TBL_Categories,2,FALSE)</f>
        <v>#N/A</v>
      </c>
      <c r="T612" t="e">
        <f>VLOOKUP($W612,TBL_Categories,3,FALSE)</f>
        <v>#N/A</v>
      </c>
      <c r="U612" t="e">
        <f>VLOOKUP($W612,TBL_Categories,4,FALSE)</f>
        <v>#N/A</v>
      </c>
      <c r="V612" t="e">
        <f>VLOOKUP($W612,TBL_Categories,5,FALSE)</f>
        <v>#N/A</v>
      </c>
      <c r="W612" t="str">
        <f t="shared" si="29"/>
        <v>Misc Expenses|Fraud</v>
      </c>
    </row>
    <row r="613" spans="1:23" x14ac:dyDescent="0.25">
      <c r="A613" t="s">
        <v>296</v>
      </c>
      <c r="B613" s="5">
        <v>41899</v>
      </c>
      <c r="C613">
        <v>-26.98</v>
      </c>
      <c r="D613" t="s">
        <v>304</v>
      </c>
      <c r="E613" t="s">
        <v>1315</v>
      </c>
      <c r="G613" t="s">
        <v>1313</v>
      </c>
      <c r="K613" t="s">
        <v>1595</v>
      </c>
      <c r="L613" t="s">
        <v>1596</v>
      </c>
      <c r="Q613" t="str">
        <f t="shared" si="27"/>
        <v>Sep</v>
      </c>
      <c r="R613">
        <f t="shared" si="28"/>
        <v>2014</v>
      </c>
      <c r="S613" t="e">
        <f>VLOOKUP($W613,TBL_Categories,2,FALSE)</f>
        <v>#N/A</v>
      </c>
      <c r="T613" t="e">
        <f>VLOOKUP($W613,TBL_Categories,3,FALSE)</f>
        <v>#N/A</v>
      </c>
      <c r="U613" t="e">
        <f>VLOOKUP($W613,TBL_Categories,4,FALSE)</f>
        <v>#N/A</v>
      </c>
      <c r="V613" t="e">
        <f>VLOOKUP($W613,TBL_Categories,5,FALSE)</f>
        <v>#N/A</v>
      </c>
      <c r="W613" t="str">
        <f t="shared" si="29"/>
        <v>Misc Expenses|Fraud</v>
      </c>
    </row>
    <row r="614" spans="1:23" x14ac:dyDescent="0.25">
      <c r="A614" t="s">
        <v>296</v>
      </c>
      <c r="B614" s="5">
        <v>41899</v>
      </c>
      <c r="C614">
        <v>-26.98</v>
      </c>
      <c r="D614" t="s">
        <v>304</v>
      </c>
      <c r="E614" t="s">
        <v>1315</v>
      </c>
      <c r="G614" t="s">
        <v>1313</v>
      </c>
      <c r="K614" t="s">
        <v>1595</v>
      </c>
      <c r="L614" t="s">
        <v>1596</v>
      </c>
      <c r="Q614" t="str">
        <f t="shared" si="27"/>
        <v>Sep</v>
      </c>
      <c r="R614">
        <f t="shared" si="28"/>
        <v>2014</v>
      </c>
      <c r="S614" t="e">
        <f>VLOOKUP($W614,TBL_Categories,2,FALSE)</f>
        <v>#N/A</v>
      </c>
      <c r="T614" t="e">
        <f>VLOOKUP($W614,TBL_Categories,3,FALSE)</f>
        <v>#N/A</v>
      </c>
      <c r="U614" t="e">
        <f>VLOOKUP($W614,TBL_Categories,4,FALSE)</f>
        <v>#N/A</v>
      </c>
      <c r="V614" t="e">
        <f>VLOOKUP($W614,TBL_Categories,5,FALSE)</f>
        <v>#N/A</v>
      </c>
      <c r="W614" t="str">
        <f t="shared" si="29"/>
        <v>Misc Expenses|Fraud</v>
      </c>
    </row>
    <row r="615" spans="1:23" x14ac:dyDescent="0.25">
      <c r="A615" t="s">
        <v>296</v>
      </c>
      <c r="B615" s="5">
        <v>41899</v>
      </c>
      <c r="C615">
        <v>-26.98</v>
      </c>
      <c r="D615" t="s">
        <v>304</v>
      </c>
      <c r="E615" t="s">
        <v>1315</v>
      </c>
      <c r="G615" t="s">
        <v>1313</v>
      </c>
      <c r="K615" t="s">
        <v>1595</v>
      </c>
      <c r="L615" t="s">
        <v>1596</v>
      </c>
      <c r="Q615" t="str">
        <f t="shared" si="27"/>
        <v>Sep</v>
      </c>
      <c r="R615">
        <f t="shared" si="28"/>
        <v>2014</v>
      </c>
      <c r="S615" t="e">
        <f>VLOOKUP($W615,TBL_Categories,2,FALSE)</f>
        <v>#N/A</v>
      </c>
      <c r="T615" t="e">
        <f>VLOOKUP($W615,TBL_Categories,3,FALSE)</f>
        <v>#N/A</v>
      </c>
      <c r="U615" t="e">
        <f>VLOOKUP($W615,TBL_Categories,4,FALSE)</f>
        <v>#N/A</v>
      </c>
      <c r="V615" t="e">
        <f>VLOOKUP($W615,TBL_Categories,5,FALSE)</f>
        <v>#N/A</v>
      </c>
      <c r="W615" t="str">
        <f t="shared" si="29"/>
        <v>Misc Expenses|Fraud</v>
      </c>
    </row>
    <row r="616" spans="1:23" x14ac:dyDescent="0.25">
      <c r="A616" t="s">
        <v>296</v>
      </c>
      <c r="B616" s="5">
        <v>41899</v>
      </c>
      <c r="C616">
        <v>-26.98</v>
      </c>
      <c r="D616" t="s">
        <v>304</v>
      </c>
      <c r="E616" t="s">
        <v>1316</v>
      </c>
      <c r="G616" t="s">
        <v>1313</v>
      </c>
      <c r="K616" t="s">
        <v>1595</v>
      </c>
      <c r="L616" t="s">
        <v>1596</v>
      </c>
      <c r="Q616" t="str">
        <f t="shared" si="27"/>
        <v>Sep</v>
      </c>
      <c r="R616">
        <f t="shared" si="28"/>
        <v>2014</v>
      </c>
      <c r="S616" t="e">
        <f>VLOOKUP($W616,TBL_Categories,2,FALSE)</f>
        <v>#N/A</v>
      </c>
      <c r="T616" t="e">
        <f>VLOOKUP($W616,TBL_Categories,3,FALSE)</f>
        <v>#N/A</v>
      </c>
      <c r="U616" t="e">
        <f>VLOOKUP($W616,TBL_Categories,4,FALSE)</f>
        <v>#N/A</v>
      </c>
      <c r="V616" t="e">
        <f>VLOOKUP($W616,TBL_Categories,5,FALSE)</f>
        <v>#N/A</v>
      </c>
      <c r="W616" t="str">
        <f t="shared" si="29"/>
        <v>Misc Expenses|Fraud</v>
      </c>
    </row>
    <row r="617" spans="1:23" x14ac:dyDescent="0.25">
      <c r="A617" t="s">
        <v>296</v>
      </c>
      <c r="B617" s="5">
        <v>41899</v>
      </c>
      <c r="C617">
        <v>-26.98</v>
      </c>
      <c r="D617" t="s">
        <v>304</v>
      </c>
      <c r="E617" t="s">
        <v>1315</v>
      </c>
      <c r="G617" t="s">
        <v>1313</v>
      </c>
      <c r="K617" t="s">
        <v>1595</v>
      </c>
      <c r="L617" t="s">
        <v>1596</v>
      </c>
      <c r="Q617" t="str">
        <f t="shared" si="27"/>
        <v>Sep</v>
      </c>
      <c r="R617">
        <f t="shared" si="28"/>
        <v>2014</v>
      </c>
      <c r="S617" t="e">
        <f>VLOOKUP($W617,TBL_Categories,2,FALSE)</f>
        <v>#N/A</v>
      </c>
      <c r="T617" t="e">
        <f>VLOOKUP($W617,TBL_Categories,3,FALSE)</f>
        <v>#N/A</v>
      </c>
      <c r="U617" t="e">
        <f>VLOOKUP($W617,TBL_Categories,4,FALSE)</f>
        <v>#N/A</v>
      </c>
      <c r="V617" t="e">
        <f>VLOOKUP($W617,TBL_Categories,5,FALSE)</f>
        <v>#N/A</v>
      </c>
      <c r="W617" t="str">
        <f t="shared" si="29"/>
        <v>Misc Expenses|Fraud</v>
      </c>
    </row>
    <row r="618" spans="1:23" x14ac:dyDescent="0.25">
      <c r="A618" t="s">
        <v>296</v>
      </c>
      <c r="B618" s="5">
        <v>41899</v>
      </c>
      <c r="C618">
        <v>-26.98</v>
      </c>
      <c r="D618" t="s">
        <v>304</v>
      </c>
      <c r="E618" t="s">
        <v>368</v>
      </c>
      <c r="G618" t="s">
        <v>1313</v>
      </c>
      <c r="K618" t="s">
        <v>1595</v>
      </c>
      <c r="L618" t="s">
        <v>1596</v>
      </c>
      <c r="Q618" t="str">
        <f t="shared" si="27"/>
        <v>Sep</v>
      </c>
      <c r="R618">
        <f t="shared" si="28"/>
        <v>2014</v>
      </c>
      <c r="S618" t="e">
        <f>VLOOKUP($W618,TBL_Categories,2,FALSE)</f>
        <v>#N/A</v>
      </c>
      <c r="T618" t="e">
        <f>VLOOKUP($W618,TBL_Categories,3,FALSE)</f>
        <v>#N/A</v>
      </c>
      <c r="U618" t="e">
        <f>VLOOKUP($W618,TBL_Categories,4,FALSE)</f>
        <v>#N/A</v>
      </c>
      <c r="V618" t="e">
        <f>VLOOKUP($W618,TBL_Categories,5,FALSE)</f>
        <v>#N/A</v>
      </c>
      <c r="W618" t="str">
        <f t="shared" si="29"/>
        <v>Misc Expenses|Fraud</v>
      </c>
    </row>
    <row r="619" spans="1:23" x14ac:dyDescent="0.25">
      <c r="A619" t="s">
        <v>296</v>
      </c>
      <c r="B619" s="5">
        <v>41899</v>
      </c>
      <c r="C619">
        <v>-26.98</v>
      </c>
      <c r="D619" t="s">
        <v>304</v>
      </c>
      <c r="E619" t="s">
        <v>368</v>
      </c>
      <c r="G619" t="s">
        <v>1313</v>
      </c>
      <c r="K619" t="s">
        <v>1595</v>
      </c>
      <c r="L619" t="s">
        <v>1596</v>
      </c>
      <c r="Q619" t="str">
        <f t="shared" si="27"/>
        <v>Sep</v>
      </c>
      <c r="R619">
        <f t="shared" si="28"/>
        <v>2014</v>
      </c>
      <c r="S619" t="e">
        <f>VLOOKUP($W619,TBL_Categories,2,FALSE)</f>
        <v>#N/A</v>
      </c>
      <c r="T619" t="e">
        <f>VLOOKUP($W619,TBL_Categories,3,FALSE)</f>
        <v>#N/A</v>
      </c>
      <c r="U619" t="e">
        <f>VLOOKUP($W619,TBL_Categories,4,FALSE)</f>
        <v>#N/A</v>
      </c>
      <c r="V619" t="e">
        <f>VLOOKUP($W619,TBL_Categories,5,FALSE)</f>
        <v>#N/A</v>
      </c>
      <c r="W619" t="str">
        <f t="shared" si="29"/>
        <v>Misc Expenses|Fraud</v>
      </c>
    </row>
    <row r="620" spans="1:23" x14ac:dyDescent="0.25">
      <c r="A620" t="s">
        <v>296</v>
      </c>
      <c r="B620" s="5">
        <v>41899</v>
      </c>
      <c r="C620">
        <v>-26.98</v>
      </c>
      <c r="D620" t="s">
        <v>304</v>
      </c>
      <c r="E620" t="s">
        <v>1314</v>
      </c>
      <c r="G620" t="s">
        <v>1313</v>
      </c>
      <c r="K620" t="s">
        <v>1595</v>
      </c>
      <c r="L620" t="s">
        <v>1596</v>
      </c>
      <c r="Q620" t="str">
        <f t="shared" si="27"/>
        <v>Sep</v>
      </c>
      <c r="R620">
        <f t="shared" si="28"/>
        <v>2014</v>
      </c>
      <c r="S620" t="e">
        <f>VLOOKUP($W620,TBL_Categories,2,FALSE)</f>
        <v>#N/A</v>
      </c>
      <c r="T620" t="e">
        <f>VLOOKUP($W620,TBL_Categories,3,FALSE)</f>
        <v>#N/A</v>
      </c>
      <c r="U620" t="e">
        <f>VLOOKUP($W620,TBL_Categories,4,FALSE)</f>
        <v>#N/A</v>
      </c>
      <c r="V620" t="e">
        <f>VLOOKUP($W620,TBL_Categories,5,FALSE)</f>
        <v>#N/A</v>
      </c>
      <c r="W620" t="str">
        <f t="shared" si="29"/>
        <v>Misc Expenses|Fraud</v>
      </c>
    </row>
    <row r="621" spans="1:23" x14ac:dyDescent="0.25">
      <c r="A621" t="s">
        <v>296</v>
      </c>
      <c r="B621" s="5">
        <v>41899</v>
      </c>
      <c r="C621">
        <v>-26.98</v>
      </c>
      <c r="D621" t="s">
        <v>304</v>
      </c>
      <c r="E621" t="s">
        <v>1315</v>
      </c>
      <c r="G621" t="s">
        <v>1313</v>
      </c>
      <c r="K621" t="s">
        <v>1595</v>
      </c>
      <c r="L621" t="s">
        <v>1596</v>
      </c>
      <c r="Q621" t="str">
        <f t="shared" si="27"/>
        <v>Sep</v>
      </c>
      <c r="R621">
        <f t="shared" si="28"/>
        <v>2014</v>
      </c>
      <c r="S621" t="e">
        <f>VLOOKUP($W621,TBL_Categories,2,FALSE)</f>
        <v>#N/A</v>
      </c>
      <c r="T621" t="e">
        <f>VLOOKUP($W621,TBL_Categories,3,FALSE)</f>
        <v>#N/A</v>
      </c>
      <c r="U621" t="e">
        <f>VLOOKUP($W621,TBL_Categories,4,FALSE)</f>
        <v>#N/A</v>
      </c>
      <c r="V621" t="e">
        <f>VLOOKUP($W621,TBL_Categories,5,FALSE)</f>
        <v>#N/A</v>
      </c>
      <c r="W621" t="str">
        <f t="shared" si="29"/>
        <v>Misc Expenses|Fraud</v>
      </c>
    </row>
    <row r="622" spans="1:23" x14ac:dyDescent="0.25">
      <c r="A622" t="s">
        <v>296</v>
      </c>
      <c r="B622" s="5">
        <v>41899</v>
      </c>
      <c r="C622">
        <v>-26.98</v>
      </c>
      <c r="D622" t="s">
        <v>304</v>
      </c>
      <c r="E622" t="s">
        <v>1316</v>
      </c>
      <c r="G622" t="s">
        <v>1313</v>
      </c>
      <c r="K622" t="s">
        <v>1595</v>
      </c>
      <c r="L622" t="s">
        <v>1596</v>
      </c>
      <c r="Q622" t="str">
        <f t="shared" si="27"/>
        <v>Sep</v>
      </c>
      <c r="R622">
        <f t="shared" si="28"/>
        <v>2014</v>
      </c>
      <c r="S622" t="e">
        <f>VLOOKUP($W622,TBL_Categories,2,FALSE)</f>
        <v>#N/A</v>
      </c>
      <c r="T622" t="e">
        <f>VLOOKUP($W622,TBL_Categories,3,FALSE)</f>
        <v>#N/A</v>
      </c>
      <c r="U622" t="e">
        <f>VLOOKUP($W622,TBL_Categories,4,FALSE)</f>
        <v>#N/A</v>
      </c>
      <c r="V622" t="e">
        <f>VLOOKUP($W622,TBL_Categories,5,FALSE)</f>
        <v>#N/A</v>
      </c>
      <c r="W622" t="str">
        <f t="shared" si="29"/>
        <v>Misc Expenses|Fraud</v>
      </c>
    </row>
    <row r="623" spans="1:23" x14ac:dyDescent="0.25">
      <c r="A623" t="s">
        <v>296</v>
      </c>
      <c r="B623" s="5">
        <v>41899</v>
      </c>
      <c r="C623">
        <v>-26.98</v>
      </c>
      <c r="D623" t="s">
        <v>304</v>
      </c>
      <c r="E623" t="s">
        <v>1316</v>
      </c>
      <c r="G623" t="s">
        <v>1313</v>
      </c>
      <c r="K623" t="s">
        <v>1595</v>
      </c>
      <c r="L623" t="s">
        <v>1596</v>
      </c>
      <c r="Q623" t="str">
        <f t="shared" si="27"/>
        <v>Sep</v>
      </c>
      <c r="R623">
        <f t="shared" si="28"/>
        <v>2014</v>
      </c>
      <c r="S623" t="e">
        <f>VLOOKUP($W623,TBL_Categories,2,FALSE)</f>
        <v>#N/A</v>
      </c>
      <c r="T623" t="e">
        <f>VLOOKUP($W623,TBL_Categories,3,FALSE)</f>
        <v>#N/A</v>
      </c>
      <c r="U623" t="e">
        <f>VLOOKUP($W623,TBL_Categories,4,FALSE)</f>
        <v>#N/A</v>
      </c>
      <c r="V623" t="e">
        <f>VLOOKUP($W623,TBL_Categories,5,FALSE)</f>
        <v>#N/A</v>
      </c>
      <c r="W623" t="str">
        <f t="shared" si="29"/>
        <v>Misc Expenses|Fraud</v>
      </c>
    </row>
    <row r="624" spans="1:23" x14ac:dyDescent="0.25">
      <c r="A624" t="s">
        <v>296</v>
      </c>
      <c r="B624" s="5">
        <v>41899</v>
      </c>
      <c r="C624">
        <v>-26.98</v>
      </c>
      <c r="D624" t="s">
        <v>304</v>
      </c>
      <c r="E624" t="s">
        <v>1314</v>
      </c>
      <c r="G624" t="s">
        <v>1313</v>
      </c>
      <c r="K624" t="s">
        <v>1595</v>
      </c>
      <c r="L624" t="s">
        <v>1596</v>
      </c>
      <c r="Q624" t="str">
        <f t="shared" si="27"/>
        <v>Sep</v>
      </c>
      <c r="R624">
        <f t="shared" si="28"/>
        <v>2014</v>
      </c>
      <c r="S624" t="e">
        <f>VLOOKUP($W624,TBL_Categories,2,FALSE)</f>
        <v>#N/A</v>
      </c>
      <c r="T624" t="e">
        <f>VLOOKUP($W624,TBL_Categories,3,FALSE)</f>
        <v>#N/A</v>
      </c>
      <c r="U624" t="e">
        <f>VLOOKUP($W624,TBL_Categories,4,FALSE)</f>
        <v>#N/A</v>
      </c>
      <c r="V624" t="e">
        <f>VLOOKUP($W624,TBL_Categories,5,FALSE)</f>
        <v>#N/A</v>
      </c>
      <c r="W624" t="str">
        <f t="shared" si="29"/>
        <v>Misc Expenses|Fraud</v>
      </c>
    </row>
    <row r="625" spans="1:23" x14ac:dyDescent="0.25">
      <c r="A625" t="s">
        <v>296</v>
      </c>
      <c r="B625" s="5">
        <v>41899</v>
      </c>
      <c r="C625">
        <v>-26.98</v>
      </c>
      <c r="D625" t="s">
        <v>304</v>
      </c>
      <c r="E625" t="s">
        <v>1314</v>
      </c>
      <c r="G625" t="s">
        <v>1313</v>
      </c>
      <c r="K625" t="s">
        <v>1595</v>
      </c>
      <c r="L625" t="s">
        <v>1596</v>
      </c>
      <c r="Q625" t="str">
        <f t="shared" si="27"/>
        <v>Sep</v>
      </c>
      <c r="R625">
        <f t="shared" si="28"/>
        <v>2014</v>
      </c>
      <c r="S625" t="e">
        <f>VLOOKUP($W625,TBL_Categories,2,FALSE)</f>
        <v>#N/A</v>
      </c>
      <c r="T625" t="e">
        <f>VLOOKUP($W625,TBL_Categories,3,FALSE)</f>
        <v>#N/A</v>
      </c>
      <c r="U625" t="e">
        <f>VLOOKUP($W625,TBL_Categories,4,FALSE)</f>
        <v>#N/A</v>
      </c>
      <c r="V625" t="e">
        <f>VLOOKUP($W625,TBL_Categories,5,FALSE)</f>
        <v>#N/A</v>
      </c>
      <c r="W625" t="str">
        <f t="shared" si="29"/>
        <v>Misc Expenses|Fraud</v>
      </c>
    </row>
    <row r="626" spans="1:23" x14ac:dyDescent="0.25">
      <c r="A626" t="s">
        <v>296</v>
      </c>
      <c r="B626" s="5">
        <v>41899</v>
      </c>
      <c r="C626">
        <v>-26.98</v>
      </c>
      <c r="D626" t="s">
        <v>304</v>
      </c>
      <c r="E626" t="s">
        <v>1314</v>
      </c>
      <c r="G626" t="s">
        <v>1313</v>
      </c>
      <c r="K626" t="s">
        <v>1595</v>
      </c>
      <c r="L626" t="s">
        <v>1596</v>
      </c>
      <c r="Q626" t="str">
        <f t="shared" si="27"/>
        <v>Sep</v>
      </c>
      <c r="R626">
        <f t="shared" si="28"/>
        <v>2014</v>
      </c>
      <c r="S626" t="e">
        <f>VLOOKUP($W626,TBL_Categories,2,FALSE)</f>
        <v>#N/A</v>
      </c>
      <c r="T626" t="e">
        <f>VLOOKUP($W626,TBL_Categories,3,FALSE)</f>
        <v>#N/A</v>
      </c>
      <c r="U626" t="e">
        <f>VLOOKUP($W626,TBL_Categories,4,FALSE)</f>
        <v>#N/A</v>
      </c>
      <c r="V626" t="e">
        <f>VLOOKUP($W626,TBL_Categories,5,FALSE)</f>
        <v>#N/A</v>
      </c>
      <c r="W626" t="str">
        <f t="shared" si="29"/>
        <v>Misc Expenses|Fraud</v>
      </c>
    </row>
    <row r="627" spans="1:23" x14ac:dyDescent="0.25">
      <c r="A627" t="s">
        <v>296</v>
      </c>
      <c r="B627" s="5">
        <v>41899</v>
      </c>
      <c r="C627">
        <v>-26.98</v>
      </c>
      <c r="D627" t="s">
        <v>304</v>
      </c>
      <c r="E627" t="s">
        <v>1314</v>
      </c>
      <c r="G627" t="s">
        <v>1313</v>
      </c>
      <c r="K627" t="s">
        <v>1595</v>
      </c>
      <c r="L627" t="s">
        <v>1596</v>
      </c>
      <c r="Q627" t="str">
        <f t="shared" si="27"/>
        <v>Sep</v>
      </c>
      <c r="R627">
        <f t="shared" si="28"/>
        <v>2014</v>
      </c>
      <c r="S627" t="e">
        <f>VLOOKUP($W627,TBL_Categories,2,FALSE)</f>
        <v>#N/A</v>
      </c>
      <c r="T627" t="e">
        <f>VLOOKUP($W627,TBL_Categories,3,FALSE)</f>
        <v>#N/A</v>
      </c>
      <c r="U627" t="e">
        <f>VLOOKUP($W627,TBL_Categories,4,FALSE)</f>
        <v>#N/A</v>
      </c>
      <c r="V627" t="e">
        <f>VLOOKUP($W627,TBL_Categories,5,FALSE)</f>
        <v>#N/A</v>
      </c>
      <c r="W627" t="str">
        <f t="shared" si="29"/>
        <v>Misc Expenses|Fraud</v>
      </c>
    </row>
    <row r="628" spans="1:23" x14ac:dyDescent="0.25">
      <c r="A628" t="s">
        <v>296</v>
      </c>
      <c r="B628" s="5">
        <v>41899</v>
      </c>
      <c r="C628">
        <v>-26.98</v>
      </c>
      <c r="D628" t="s">
        <v>304</v>
      </c>
      <c r="E628" t="s">
        <v>1314</v>
      </c>
      <c r="G628" t="s">
        <v>1313</v>
      </c>
      <c r="K628" t="s">
        <v>1595</v>
      </c>
      <c r="L628" t="s">
        <v>1596</v>
      </c>
      <c r="Q628" t="str">
        <f t="shared" si="27"/>
        <v>Sep</v>
      </c>
      <c r="R628">
        <f t="shared" si="28"/>
        <v>2014</v>
      </c>
      <c r="S628" t="e">
        <f>VLOOKUP($W628,TBL_Categories,2,FALSE)</f>
        <v>#N/A</v>
      </c>
      <c r="T628" t="e">
        <f>VLOOKUP($W628,TBL_Categories,3,FALSE)</f>
        <v>#N/A</v>
      </c>
      <c r="U628" t="e">
        <f>VLOOKUP($W628,TBL_Categories,4,FALSE)</f>
        <v>#N/A</v>
      </c>
      <c r="V628" t="e">
        <f>VLOOKUP($W628,TBL_Categories,5,FALSE)</f>
        <v>#N/A</v>
      </c>
      <c r="W628" t="str">
        <f t="shared" si="29"/>
        <v>Misc Expenses|Fraud</v>
      </c>
    </row>
    <row r="629" spans="1:23" x14ac:dyDescent="0.25">
      <c r="A629" t="s">
        <v>296</v>
      </c>
      <c r="B629" s="5">
        <v>41899</v>
      </c>
      <c r="C629">
        <v>-26.98</v>
      </c>
      <c r="D629" t="s">
        <v>304</v>
      </c>
      <c r="E629" t="s">
        <v>1315</v>
      </c>
      <c r="G629" t="s">
        <v>1313</v>
      </c>
      <c r="K629" t="s">
        <v>1595</v>
      </c>
      <c r="L629" t="s">
        <v>1596</v>
      </c>
      <c r="Q629" t="str">
        <f t="shared" si="27"/>
        <v>Sep</v>
      </c>
      <c r="R629">
        <f t="shared" si="28"/>
        <v>2014</v>
      </c>
      <c r="S629" t="e">
        <f>VLOOKUP($W629,TBL_Categories,2,FALSE)</f>
        <v>#N/A</v>
      </c>
      <c r="T629" t="e">
        <f>VLOOKUP($W629,TBL_Categories,3,FALSE)</f>
        <v>#N/A</v>
      </c>
      <c r="U629" t="e">
        <f>VLOOKUP($W629,TBL_Categories,4,FALSE)</f>
        <v>#N/A</v>
      </c>
      <c r="V629" t="e">
        <f>VLOOKUP($W629,TBL_Categories,5,FALSE)</f>
        <v>#N/A</v>
      </c>
      <c r="W629" t="str">
        <f t="shared" si="29"/>
        <v>Misc Expenses|Fraud</v>
      </c>
    </row>
    <row r="630" spans="1:23" x14ac:dyDescent="0.25">
      <c r="A630" t="s">
        <v>296</v>
      </c>
      <c r="B630" s="5">
        <v>41899</v>
      </c>
      <c r="C630">
        <v>-26.98</v>
      </c>
      <c r="D630" t="s">
        <v>304</v>
      </c>
      <c r="E630" t="s">
        <v>1314</v>
      </c>
      <c r="G630" t="s">
        <v>1313</v>
      </c>
      <c r="K630" t="s">
        <v>1595</v>
      </c>
      <c r="L630" t="s">
        <v>1596</v>
      </c>
      <c r="Q630" t="str">
        <f t="shared" si="27"/>
        <v>Sep</v>
      </c>
      <c r="R630">
        <f t="shared" si="28"/>
        <v>2014</v>
      </c>
      <c r="S630" t="e">
        <f>VLOOKUP($W630,TBL_Categories,2,FALSE)</f>
        <v>#N/A</v>
      </c>
      <c r="T630" t="e">
        <f>VLOOKUP($W630,TBL_Categories,3,FALSE)</f>
        <v>#N/A</v>
      </c>
      <c r="U630" t="e">
        <f>VLOOKUP($W630,TBL_Categories,4,FALSE)</f>
        <v>#N/A</v>
      </c>
      <c r="V630" t="e">
        <f>VLOOKUP($W630,TBL_Categories,5,FALSE)</f>
        <v>#N/A</v>
      </c>
      <c r="W630" t="str">
        <f t="shared" si="29"/>
        <v>Misc Expenses|Fraud</v>
      </c>
    </row>
    <row r="631" spans="1:23" x14ac:dyDescent="0.25">
      <c r="A631" t="s">
        <v>296</v>
      </c>
      <c r="B631" s="5">
        <v>41899</v>
      </c>
      <c r="C631">
        <v>-26.98</v>
      </c>
      <c r="D631" t="s">
        <v>304</v>
      </c>
      <c r="E631" t="s">
        <v>1315</v>
      </c>
      <c r="G631" t="s">
        <v>1313</v>
      </c>
      <c r="K631" t="s">
        <v>1595</v>
      </c>
      <c r="L631" t="s">
        <v>1596</v>
      </c>
      <c r="Q631" t="str">
        <f t="shared" si="27"/>
        <v>Sep</v>
      </c>
      <c r="R631">
        <f t="shared" si="28"/>
        <v>2014</v>
      </c>
      <c r="S631" t="e">
        <f>VLOOKUP($W631,TBL_Categories,2,FALSE)</f>
        <v>#N/A</v>
      </c>
      <c r="T631" t="e">
        <f>VLOOKUP($W631,TBL_Categories,3,FALSE)</f>
        <v>#N/A</v>
      </c>
      <c r="U631" t="e">
        <f>VLOOKUP($W631,TBL_Categories,4,FALSE)</f>
        <v>#N/A</v>
      </c>
      <c r="V631" t="e">
        <f>VLOOKUP($W631,TBL_Categories,5,FALSE)</f>
        <v>#N/A</v>
      </c>
      <c r="W631" t="str">
        <f t="shared" si="29"/>
        <v>Misc Expenses|Fraud</v>
      </c>
    </row>
    <row r="632" spans="1:23" x14ac:dyDescent="0.25">
      <c r="A632" t="s">
        <v>296</v>
      </c>
      <c r="B632" s="5">
        <v>41899</v>
      </c>
      <c r="C632">
        <v>-26.98</v>
      </c>
      <c r="D632" t="s">
        <v>304</v>
      </c>
      <c r="E632" t="s">
        <v>1314</v>
      </c>
      <c r="G632" t="s">
        <v>1313</v>
      </c>
      <c r="K632" t="s">
        <v>1595</v>
      </c>
      <c r="L632" t="s">
        <v>1596</v>
      </c>
      <c r="Q632" t="str">
        <f t="shared" si="27"/>
        <v>Sep</v>
      </c>
      <c r="R632">
        <f t="shared" si="28"/>
        <v>2014</v>
      </c>
      <c r="S632" t="e">
        <f>VLOOKUP($W632,TBL_Categories,2,FALSE)</f>
        <v>#N/A</v>
      </c>
      <c r="T632" t="e">
        <f>VLOOKUP($W632,TBL_Categories,3,FALSE)</f>
        <v>#N/A</v>
      </c>
      <c r="U632" t="e">
        <f>VLOOKUP($W632,TBL_Categories,4,FALSE)</f>
        <v>#N/A</v>
      </c>
      <c r="V632" t="e">
        <f>VLOOKUP($W632,TBL_Categories,5,FALSE)</f>
        <v>#N/A</v>
      </c>
      <c r="W632" t="str">
        <f t="shared" si="29"/>
        <v>Misc Expenses|Fraud</v>
      </c>
    </row>
    <row r="633" spans="1:23" x14ac:dyDescent="0.25">
      <c r="A633" t="s">
        <v>296</v>
      </c>
      <c r="B633" s="5">
        <v>41899</v>
      </c>
      <c r="C633">
        <v>-26.98</v>
      </c>
      <c r="D633" t="s">
        <v>304</v>
      </c>
      <c r="E633" t="s">
        <v>1315</v>
      </c>
      <c r="G633" t="s">
        <v>1313</v>
      </c>
      <c r="K633" t="s">
        <v>1595</v>
      </c>
      <c r="L633" t="s">
        <v>1596</v>
      </c>
      <c r="Q633" t="str">
        <f t="shared" si="27"/>
        <v>Sep</v>
      </c>
      <c r="R633">
        <f t="shared" si="28"/>
        <v>2014</v>
      </c>
      <c r="S633" t="e">
        <f>VLOOKUP($W633,TBL_Categories,2,FALSE)</f>
        <v>#N/A</v>
      </c>
      <c r="T633" t="e">
        <f>VLOOKUP($W633,TBL_Categories,3,FALSE)</f>
        <v>#N/A</v>
      </c>
      <c r="U633" t="e">
        <f>VLOOKUP($W633,TBL_Categories,4,FALSE)</f>
        <v>#N/A</v>
      </c>
      <c r="V633" t="e">
        <f>VLOOKUP($W633,TBL_Categories,5,FALSE)</f>
        <v>#N/A</v>
      </c>
      <c r="W633" t="str">
        <f t="shared" si="29"/>
        <v>Misc Expenses|Fraud</v>
      </c>
    </row>
    <row r="634" spans="1:23" x14ac:dyDescent="0.25">
      <c r="A634" t="s">
        <v>296</v>
      </c>
      <c r="B634" s="5">
        <v>41899</v>
      </c>
      <c r="C634">
        <v>-26.98</v>
      </c>
      <c r="D634" t="s">
        <v>304</v>
      </c>
      <c r="E634" t="s">
        <v>1314</v>
      </c>
      <c r="G634" t="s">
        <v>1313</v>
      </c>
      <c r="K634" t="s">
        <v>1595</v>
      </c>
      <c r="L634" t="s">
        <v>1596</v>
      </c>
      <c r="Q634" t="str">
        <f t="shared" si="27"/>
        <v>Sep</v>
      </c>
      <c r="R634">
        <f t="shared" si="28"/>
        <v>2014</v>
      </c>
      <c r="S634" t="e">
        <f>VLOOKUP($W634,TBL_Categories,2,FALSE)</f>
        <v>#N/A</v>
      </c>
      <c r="T634" t="e">
        <f>VLOOKUP($W634,TBL_Categories,3,FALSE)</f>
        <v>#N/A</v>
      </c>
      <c r="U634" t="e">
        <f>VLOOKUP($W634,TBL_Categories,4,FALSE)</f>
        <v>#N/A</v>
      </c>
      <c r="V634" t="e">
        <f>VLOOKUP($W634,TBL_Categories,5,FALSE)</f>
        <v>#N/A</v>
      </c>
      <c r="W634" t="str">
        <f t="shared" si="29"/>
        <v>Misc Expenses|Fraud</v>
      </c>
    </row>
    <row r="635" spans="1:23" x14ac:dyDescent="0.25">
      <c r="A635" t="s">
        <v>296</v>
      </c>
      <c r="B635" s="5">
        <v>41899</v>
      </c>
      <c r="C635">
        <v>-26.98</v>
      </c>
      <c r="D635" t="s">
        <v>304</v>
      </c>
      <c r="E635" t="s">
        <v>1314</v>
      </c>
      <c r="G635" t="s">
        <v>1313</v>
      </c>
      <c r="K635" t="s">
        <v>1595</v>
      </c>
      <c r="L635" t="s">
        <v>1596</v>
      </c>
      <c r="Q635" t="str">
        <f t="shared" si="27"/>
        <v>Sep</v>
      </c>
      <c r="R635">
        <f t="shared" si="28"/>
        <v>2014</v>
      </c>
      <c r="S635" t="e">
        <f>VLOOKUP($W635,TBL_Categories,2,FALSE)</f>
        <v>#N/A</v>
      </c>
      <c r="T635" t="e">
        <f>VLOOKUP($W635,TBL_Categories,3,FALSE)</f>
        <v>#N/A</v>
      </c>
      <c r="U635" t="e">
        <f>VLOOKUP($W635,TBL_Categories,4,FALSE)</f>
        <v>#N/A</v>
      </c>
      <c r="V635" t="e">
        <f>VLOOKUP($W635,TBL_Categories,5,FALSE)</f>
        <v>#N/A</v>
      </c>
      <c r="W635" t="str">
        <f t="shared" si="29"/>
        <v>Misc Expenses|Fraud</v>
      </c>
    </row>
    <row r="636" spans="1:23" x14ac:dyDescent="0.25">
      <c r="A636" t="s">
        <v>296</v>
      </c>
      <c r="B636" s="5">
        <v>41899</v>
      </c>
      <c r="C636">
        <v>-26.98</v>
      </c>
      <c r="D636" t="s">
        <v>304</v>
      </c>
      <c r="E636" t="s">
        <v>1314</v>
      </c>
      <c r="G636" t="s">
        <v>1313</v>
      </c>
      <c r="K636" t="s">
        <v>1595</v>
      </c>
      <c r="L636" t="s">
        <v>1596</v>
      </c>
      <c r="Q636" t="str">
        <f t="shared" si="27"/>
        <v>Sep</v>
      </c>
      <c r="R636">
        <f t="shared" si="28"/>
        <v>2014</v>
      </c>
      <c r="S636" t="e">
        <f>VLOOKUP($W636,TBL_Categories,2,FALSE)</f>
        <v>#N/A</v>
      </c>
      <c r="T636" t="e">
        <f>VLOOKUP($W636,TBL_Categories,3,FALSE)</f>
        <v>#N/A</v>
      </c>
      <c r="U636" t="e">
        <f>VLOOKUP($W636,TBL_Categories,4,FALSE)</f>
        <v>#N/A</v>
      </c>
      <c r="V636" t="e">
        <f>VLOOKUP($W636,TBL_Categories,5,FALSE)</f>
        <v>#N/A</v>
      </c>
      <c r="W636" t="str">
        <f t="shared" si="29"/>
        <v>Misc Expenses|Fraud</v>
      </c>
    </row>
    <row r="637" spans="1:23" x14ac:dyDescent="0.25">
      <c r="A637" t="s">
        <v>296</v>
      </c>
      <c r="B637" s="5">
        <v>41899</v>
      </c>
      <c r="C637">
        <v>-26.98</v>
      </c>
      <c r="D637" t="s">
        <v>304</v>
      </c>
      <c r="E637" t="s">
        <v>1315</v>
      </c>
      <c r="G637" t="s">
        <v>1313</v>
      </c>
      <c r="K637" t="s">
        <v>1595</v>
      </c>
      <c r="L637" t="s">
        <v>1596</v>
      </c>
      <c r="Q637" t="str">
        <f t="shared" si="27"/>
        <v>Sep</v>
      </c>
      <c r="R637">
        <f t="shared" si="28"/>
        <v>2014</v>
      </c>
      <c r="S637" t="e">
        <f>VLOOKUP($W637,TBL_Categories,2,FALSE)</f>
        <v>#N/A</v>
      </c>
      <c r="T637" t="e">
        <f>VLOOKUP($W637,TBL_Categories,3,FALSE)</f>
        <v>#N/A</v>
      </c>
      <c r="U637" t="e">
        <f>VLOOKUP($W637,TBL_Categories,4,FALSE)</f>
        <v>#N/A</v>
      </c>
      <c r="V637" t="e">
        <f>VLOOKUP($W637,TBL_Categories,5,FALSE)</f>
        <v>#N/A</v>
      </c>
      <c r="W637" t="str">
        <f t="shared" si="29"/>
        <v>Misc Expenses|Fraud</v>
      </c>
    </row>
    <row r="638" spans="1:23" x14ac:dyDescent="0.25">
      <c r="A638" t="s">
        <v>296</v>
      </c>
      <c r="B638" s="5">
        <v>41899</v>
      </c>
      <c r="C638">
        <v>-26.98</v>
      </c>
      <c r="D638" t="s">
        <v>304</v>
      </c>
      <c r="E638" t="s">
        <v>1314</v>
      </c>
      <c r="G638" t="s">
        <v>1313</v>
      </c>
      <c r="K638" t="s">
        <v>1595</v>
      </c>
      <c r="L638" t="s">
        <v>1596</v>
      </c>
      <c r="Q638" t="str">
        <f t="shared" si="27"/>
        <v>Sep</v>
      </c>
      <c r="R638">
        <f t="shared" si="28"/>
        <v>2014</v>
      </c>
      <c r="S638" t="e">
        <f>VLOOKUP($W638,TBL_Categories,2,FALSE)</f>
        <v>#N/A</v>
      </c>
      <c r="T638" t="e">
        <f>VLOOKUP($W638,TBL_Categories,3,FALSE)</f>
        <v>#N/A</v>
      </c>
      <c r="U638" t="e">
        <f>VLOOKUP($W638,TBL_Categories,4,FALSE)</f>
        <v>#N/A</v>
      </c>
      <c r="V638" t="e">
        <f>VLOOKUP($W638,TBL_Categories,5,FALSE)</f>
        <v>#N/A</v>
      </c>
      <c r="W638" t="str">
        <f t="shared" si="29"/>
        <v>Misc Expenses|Fraud</v>
      </c>
    </row>
    <row r="639" spans="1:23" x14ac:dyDescent="0.25">
      <c r="A639" t="s">
        <v>296</v>
      </c>
      <c r="B639" s="5">
        <v>41899</v>
      </c>
      <c r="C639">
        <v>-27.43</v>
      </c>
      <c r="D639" t="s">
        <v>304</v>
      </c>
      <c r="E639" t="s">
        <v>1315</v>
      </c>
      <c r="G639" t="s">
        <v>1313</v>
      </c>
      <c r="K639" t="s">
        <v>1595</v>
      </c>
      <c r="L639" t="s">
        <v>1596</v>
      </c>
      <c r="Q639" t="str">
        <f t="shared" si="27"/>
        <v>Sep</v>
      </c>
      <c r="R639">
        <f t="shared" si="28"/>
        <v>2014</v>
      </c>
      <c r="S639" t="e">
        <f>VLOOKUP($W639,TBL_Categories,2,FALSE)</f>
        <v>#N/A</v>
      </c>
      <c r="T639" t="e">
        <f>VLOOKUP($W639,TBL_Categories,3,FALSE)</f>
        <v>#N/A</v>
      </c>
      <c r="U639" t="e">
        <f>VLOOKUP($W639,TBL_Categories,4,FALSE)</f>
        <v>#N/A</v>
      </c>
      <c r="V639" t="e">
        <f>VLOOKUP($W639,TBL_Categories,5,FALSE)</f>
        <v>#N/A</v>
      </c>
      <c r="W639" t="str">
        <f t="shared" si="29"/>
        <v>Misc Expenses|Fraud</v>
      </c>
    </row>
    <row r="640" spans="1:23" x14ac:dyDescent="0.25">
      <c r="A640" t="s">
        <v>296</v>
      </c>
      <c r="B640" s="5">
        <v>41899</v>
      </c>
      <c r="C640">
        <v>-27.43</v>
      </c>
      <c r="D640" t="s">
        <v>304</v>
      </c>
      <c r="E640" t="s">
        <v>1315</v>
      </c>
      <c r="G640" t="s">
        <v>1313</v>
      </c>
      <c r="K640" t="s">
        <v>1595</v>
      </c>
      <c r="L640" t="s">
        <v>1596</v>
      </c>
      <c r="Q640" t="str">
        <f t="shared" si="27"/>
        <v>Sep</v>
      </c>
      <c r="R640">
        <f t="shared" si="28"/>
        <v>2014</v>
      </c>
      <c r="S640" t="e">
        <f>VLOOKUP($W640,TBL_Categories,2,FALSE)</f>
        <v>#N/A</v>
      </c>
      <c r="T640" t="e">
        <f>VLOOKUP($W640,TBL_Categories,3,FALSE)</f>
        <v>#N/A</v>
      </c>
      <c r="U640" t="e">
        <f>VLOOKUP($W640,TBL_Categories,4,FALSE)</f>
        <v>#N/A</v>
      </c>
      <c r="V640" t="e">
        <f>VLOOKUP($W640,TBL_Categories,5,FALSE)</f>
        <v>#N/A</v>
      </c>
      <c r="W640" t="str">
        <f t="shared" si="29"/>
        <v>Misc Expenses|Fraud</v>
      </c>
    </row>
    <row r="641" spans="1:23" x14ac:dyDescent="0.25">
      <c r="A641" t="s">
        <v>296</v>
      </c>
      <c r="B641" s="5">
        <v>41899</v>
      </c>
      <c r="C641">
        <v>-27.88</v>
      </c>
      <c r="D641" t="s">
        <v>304</v>
      </c>
      <c r="E641" t="s">
        <v>1316</v>
      </c>
      <c r="G641" t="s">
        <v>1313</v>
      </c>
      <c r="K641" t="s">
        <v>1595</v>
      </c>
      <c r="L641" t="s">
        <v>1596</v>
      </c>
      <c r="Q641" t="str">
        <f t="shared" si="27"/>
        <v>Sep</v>
      </c>
      <c r="R641">
        <f t="shared" si="28"/>
        <v>2014</v>
      </c>
      <c r="S641" t="e">
        <f>VLOOKUP($W641,TBL_Categories,2,FALSE)</f>
        <v>#N/A</v>
      </c>
      <c r="T641" t="e">
        <f>VLOOKUP($W641,TBL_Categories,3,FALSE)</f>
        <v>#N/A</v>
      </c>
      <c r="U641" t="e">
        <f>VLOOKUP($W641,TBL_Categories,4,FALSE)</f>
        <v>#N/A</v>
      </c>
      <c r="V641" t="e">
        <f>VLOOKUP($W641,TBL_Categories,5,FALSE)</f>
        <v>#N/A</v>
      </c>
      <c r="W641" t="str">
        <f t="shared" si="29"/>
        <v>Misc Expenses|Fraud</v>
      </c>
    </row>
    <row r="642" spans="1:23" x14ac:dyDescent="0.25">
      <c r="A642" t="s">
        <v>296</v>
      </c>
      <c r="B642" s="5">
        <v>41899</v>
      </c>
      <c r="C642">
        <v>-27.88</v>
      </c>
      <c r="D642" t="s">
        <v>304</v>
      </c>
      <c r="E642" t="s">
        <v>1315</v>
      </c>
      <c r="G642" t="s">
        <v>1313</v>
      </c>
      <c r="K642" t="s">
        <v>1595</v>
      </c>
      <c r="L642" t="s">
        <v>1596</v>
      </c>
      <c r="Q642" t="str">
        <f t="shared" ref="Q642:Q705" si="30">TEXT($B642,"MMM")</f>
        <v>Sep</v>
      </c>
      <c r="R642">
        <f t="shared" ref="R642:R705" si="31">YEAR($B642)</f>
        <v>2014</v>
      </c>
      <c r="S642" t="e">
        <f>VLOOKUP($W642,TBL_Categories,2,FALSE)</f>
        <v>#N/A</v>
      </c>
      <c r="T642" t="e">
        <f>VLOOKUP($W642,TBL_Categories,3,FALSE)</f>
        <v>#N/A</v>
      </c>
      <c r="U642" t="e">
        <f>VLOOKUP($W642,TBL_Categories,4,FALSE)</f>
        <v>#N/A</v>
      </c>
      <c r="V642" t="e">
        <f>VLOOKUP($W642,TBL_Categories,5,FALSE)</f>
        <v>#N/A</v>
      </c>
      <c r="W642" t="str">
        <f t="shared" ref="W642:W705" si="32">IF(ISBLANK($L642),$K642,CONCATENATE($K642,"|",$L642))</f>
        <v>Misc Expenses|Fraud</v>
      </c>
    </row>
    <row r="643" spans="1:23" x14ac:dyDescent="0.25">
      <c r="A643" t="s">
        <v>296</v>
      </c>
      <c r="B643" s="5">
        <v>41899</v>
      </c>
      <c r="C643">
        <v>-28.33</v>
      </c>
      <c r="D643" t="s">
        <v>304</v>
      </c>
      <c r="E643" t="s">
        <v>1317</v>
      </c>
      <c r="G643" t="s">
        <v>1313</v>
      </c>
      <c r="K643" t="s">
        <v>1595</v>
      </c>
      <c r="L643" t="s">
        <v>1596</v>
      </c>
      <c r="Q643" t="str">
        <f t="shared" si="30"/>
        <v>Sep</v>
      </c>
      <c r="R643">
        <f t="shared" si="31"/>
        <v>2014</v>
      </c>
      <c r="S643" t="e">
        <f>VLOOKUP($W643,TBL_Categories,2,FALSE)</f>
        <v>#N/A</v>
      </c>
      <c r="T643" t="e">
        <f>VLOOKUP($W643,TBL_Categories,3,FALSE)</f>
        <v>#N/A</v>
      </c>
      <c r="U643" t="e">
        <f>VLOOKUP($W643,TBL_Categories,4,FALSE)</f>
        <v>#N/A</v>
      </c>
      <c r="V643" t="e">
        <f>VLOOKUP($W643,TBL_Categories,5,FALSE)</f>
        <v>#N/A</v>
      </c>
      <c r="W643" t="str">
        <f t="shared" si="32"/>
        <v>Misc Expenses|Fraud</v>
      </c>
    </row>
    <row r="644" spans="1:23" x14ac:dyDescent="0.25">
      <c r="A644" t="s">
        <v>296</v>
      </c>
      <c r="B644" s="5">
        <v>41899</v>
      </c>
      <c r="C644">
        <v>-28.51</v>
      </c>
      <c r="D644" t="s">
        <v>304</v>
      </c>
      <c r="E644" t="s">
        <v>1314</v>
      </c>
      <c r="G644" t="s">
        <v>1313</v>
      </c>
      <c r="K644" t="s">
        <v>1595</v>
      </c>
      <c r="L644" t="s">
        <v>1596</v>
      </c>
      <c r="Q644" t="str">
        <f t="shared" si="30"/>
        <v>Sep</v>
      </c>
      <c r="R644">
        <f t="shared" si="31"/>
        <v>2014</v>
      </c>
      <c r="S644" t="e">
        <f>VLOOKUP($W644,TBL_Categories,2,FALSE)</f>
        <v>#N/A</v>
      </c>
      <c r="T644" t="e">
        <f>VLOOKUP($W644,TBL_Categories,3,FALSE)</f>
        <v>#N/A</v>
      </c>
      <c r="U644" t="e">
        <f>VLOOKUP($W644,TBL_Categories,4,FALSE)</f>
        <v>#N/A</v>
      </c>
      <c r="V644" t="e">
        <f>VLOOKUP($W644,TBL_Categories,5,FALSE)</f>
        <v>#N/A</v>
      </c>
      <c r="W644" t="str">
        <f t="shared" si="32"/>
        <v>Misc Expenses|Fraud</v>
      </c>
    </row>
    <row r="645" spans="1:23" x14ac:dyDescent="0.25">
      <c r="A645" t="s">
        <v>296</v>
      </c>
      <c r="B645" s="5">
        <v>41899</v>
      </c>
      <c r="C645">
        <v>-28.68</v>
      </c>
      <c r="D645" t="s">
        <v>304</v>
      </c>
      <c r="E645" t="s">
        <v>1315</v>
      </c>
      <c r="G645" t="s">
        <v>1313</v>
      </c>
      <c r="K645" t="s">
        <v>1595</v>
      </c>
      <c r="L645" t="s">
        <v>1596</v>
      </c>
      <c r="Q645" t="str">
        <f t="shared" si="30"/>
        <v>Sep</v>
      </c>
      <c r="R645">
        <f t="shared" si="31"/>
        <v>2014</v>
      </c>
      <c r="S645" t="e">
        <f>VLOOKUP($W645,TBL_Categories,2,FALSE)</f>
        <v>#N/A</v>
      </c>
      <c r="T645" t="e">
        <f>VLOOKUP($W645,TBL_Categories,3,FALSE)</f>
        <v>#N/A</v>
      </c>
      <c r="U645" t="e">
        <f>VLOOKUP($W645,TBL_Categories,4,FALSE)</f>
        <v>#N/A</v>
      </c>
      <c r="V645" t="e">
        <f>VLOOKUP($W645,TBL_Categories,5,FALSE)</f>
        <v>#N/A</v>
      </c>
      <c r="W645" t="str">
        <f t="shared" si="32"/>
        <v>Misc Expenses|Fraud</v>
      </c>
    </row>
    <row r="646" spans="1:23" x14ac:dyDescent="0.25">
      <c r="A646" t="s">
        <v>296</v>
      </c>
      <c r="B646" s="5">
        <v>41899</v>
      </c>
      <c r="C646">
        <v>-28.78</v>
      </c>
      <c r="D646" t="s">
        <v>304</v>
      </c>
      <c r="E646" t="s">
        <v>1317</v>
      </c>
      <c r="G646" t="s">
        <v>1313</v>
      </c>
      <c r="K646" t="s">
        <v>1595</v>
      </c>
      <c r="L646" t="s">
        <v>1596</v>
      </c>
      <c r="Q646" t="str">
        <f t="shared" si="30"/>
        <v>Sep</v>
      </c>
      <c r="R646">
        <f t="shared" si="31"/>
        <v>2014</v>
      </c>
      <c r="S646" t="e">
        <f>VLOOKUP($W646,TBL_Categories,2,FALSE)</f>
        <v>#N/A</v>
      </c>
      <c r="T646" t="e">
        <f>VLOOKUP($W646,TBL_Categories,3,FALSE)</f>
        <v>#N/A</v>
      </c>
      <c r="U646" t="e">
        <f>VLOOKUP($W646,TBL_Categories,4,FALSE)</f>
        <v>#N/A</v>
      </c>
      <c r="V646" t="e">
        <f>VLOOKUP($W646,TBL_Categories,5,FALSE)</f>
        <v>#N/A</v>
      </c>
      <c r="W646" t="str">
        <f t="shared" si="32"/>
        <v>Misc Expenses|Fraud</v>
      </c>
    </row>
    <row r="647" spans="1:23" x14ac:dyDescent="0.25">
      <c r="A647" t="s">
        <v>296</v>
      </c>
      <c r="B647" s="5">
        <v>41899</v>
      </c>
      <c r="C647">
        <v>-28.78</v>
      </c>
      <c r="D647" t="s">
        <v>304</v>
      </c>
      <c r="E647" t="s">
        <v>1317</v>
      </c>
      <c r="G647" t="s">
        <v>1313</v>
      </c>
      <c r="K647" t="s">
        <v>1595</v>
      </c>
      <c r="L647" t="s">
        <v>1596</v>
      </c>
      <c r="Q647" t="str">
        <f t="shared" si="30"/>
        <v>Sep</v>
      </c>
      <c r="R647">
        <f t="shared" si="31"/>
        <v>2014</v>
      </c>
      <c r="S647" t="e">
        <f>VLOOKUP($W647,TBL_Categories,2,FALSE)</f>
        <v>#N/A</v>
      </c>
      <c r="T647" t="e">
        <f>VLOOKUP($W647,TBL_Categories,3,FALSE)</f>
        <v>#N/A</v>
      </c>
      <c r="U647" t="e">
        <f>VLOOKUP($W647,TBL_Categories,4,FALSE)</f>
        <v>#N/A</v>
      </c>
      <c r="V647" t="e">
        <f>VLOOKUP($W647,TBL_Categories,5,FALSE)</f>
        <v>#N/A</v>
      </c>
      <c r="W647" t="str">
        <f t="shared" si="32"/>
        <v>Misc Expenses|Fraud</v>
      </c>
    </row>
    <row r="648" spans="1:23" x14ac:dyDescent="0.25">
      <c r="A648" t="s">
        <v>296</v>
      </c>
      <c r="B648" s="5">
        <v>41899</v>
      </c>
      <c r="C648">
        <v>-28.94</v>
      </c>
      <c r="D648" t="s">
        <v>304</v>
      </c>
      <c r="E648" t="s">
        <v>1314</v>
      </c>
      <c r="G648" t="s">
        <v>1313</v>
      </c>
      <c r="K648" t="s">
        <v>1595</v>
      </c>
      <c r="L648" t="s">
        <v>1596</v>
      </c>
      <c r="Q648" t="str">
        <f t="shared" si="30"/>
        <v>Sep</v>
      </c>
      <c r="R648">
        <f t="shared" si="31"/>
        <v>2014</v>
      </c>
      <c r="S648" t="e">
        <f>VLOOKUP($W648,TBL_Categories,2,FALSE)</f>
        <v>#N/A</v>
      </c>
      <c r="T648" t="e">
        <f>VLOOKUP($W648,TBL_Categories,3,FALSE)</f>
        <v>#N/A</v>
      </c>
      <c r="U648" t="e">
        <f>VLOOKUP($W648,TBL_Categories,4,FALSE)</f>
        <v>#N/A</v>
      </c>
      <c r="V648" t="e">
        <f>VLOOKUP($W648,TBL_Categories,5,FALSE)</f>
        <v>#N/A</v>
      </c>
      <c r="W648" t="str">
        <f t="shared" si="32"/>
        <v>Misc Expenses|Fraud</v>
      </c>
    </row>
    <row r="649" spans="1:23" x14ac:dyDescent="0.25">
      <c r="A649" t="s">
        <v>296</v>
      </c>
      <c r="B649" s="5">
        <v>41899</v>
      </c>
      <c r="C649">
        <v>-28.94</v>
      </c>
      <c r="D649" t="s">
        <v>304</v>
      </c>
      <c r="E649" t="s">
        <v>1314</v>
      </c>
      <c r="G649" t="s">
        <v>1313</v>
      </c>
      <c r="K649" t="s">
        <v>1595</v>
      </c>
      <c r="L649" t="s">
        <v>1596</v>
      </c>
      <c r="Q649" t="str">
        <f t="shared" si="30"/>
        <v>Sep</v>
      </c>
      <c r="R649">
        <f t="shared" si="31"/>
        <v>2014</v>
      </c>
      <c r="S649" t="e">
        <f>VLOOKUP($W649,TBL_Categories,2,FALSE)</f>
        <v>#N/A</v>
      </c>
      <c r="T649" t="e">
        <f>VLOOKUP($W649,TBL_Categories,3,FALSE)</f>
        <v>#N/A</v>
      </c>
      <c r="U649" t="e">
        <f>VLOOKUP($W649,TBL_Categories,4,FALSE)</f>
        <v>#N/A</v>
      </c>
      <c r="V649" t="e">
        <f>VLOOKUP($W649,TBL_Categories,5,FALSE)</f>
        <v>#N/A</v>
      </c>
      <c r="W649" t="str">
        <f t="shared" si="32"/>
        <v>Misc Expenses|Fraud</v>
      </c>
    </row>
    <row r="650" spans="1:23" x14ac:dyDescent="0.25">
      <c r="A650" t="s">
        <v>296</v>
      </c>
      <c r="B650" s="5">
        <v>41899</v>
      </c>
      <c r="C650">
        <v>-28.95</v>
      </c>
      <c r="D650" t="s">
        <v>304</v>
      </c>
      <c r="E650" t="s">
        <v>1315</v>
      </c>
      <c r="G650" t="s">
        <v>1313</v>
      </c>
      <c r="K650" t="s">
        <v>1595</v>
      </c>
      <c r="L650" t="s">
        <v>1596</v>
      </c>
      <c r="Q650" t="str">
        <f t="shared" si="30"/>
        <v>Sep</v>
      </c>
      <c r="R650">
        <f t="shared" si="31"/>
        <v>2014</v>
      </c>
      <c r="S650" t="e">
        <f>VLOOKUP($W650,TBL_Categories,2,FALSE)</f>
        <v>#N/A</v>
      </c>
      <c r="T650" t="e">
        <f>VLOOKUP($W650,TBL_Categories,3,FALSE)</f>
        <v>#N/A</v>
      </c>
      <c r="U650" t="e">
        <f>VLOOKUP($W650,TBL_Categories,4,FALSE)</f>
        <v>#N/A</v>
      </c>
      <c r="V650" t="e">
        <f>VLOOKUP($W650,TBL_Categories,5,FALSE)</f>
        <v>#N/A</v>
      </c>
      <c r="W650" t="str">
        <f t="shared" si="32"/>
        <v>Misc Expenses|Fraud</v>
      </c>
    </row>
    <row r="651" spans="1:23" x14ac:dyDescent="0.25">
      <c r="A651" t="s">
        <v>296</v>
      </c>
      <c r="B651" s="5">
        <v>41898</v>
      </c>
      <c r="C651">
        <v>-5.49</v>
      </c>
      <c r="D651" t="s">
        <v>304</v>
      </c>
      <c r="E651" t="s">
        <v>1310</v>
      </c>
      <c r="F651" t="s">
        <v>1311</v>
      </c>
      <c r="G651" t="s">
        <v>333</v>
      </c>
      <c r="K651" t="s">
        <v>61</v>
      </c>
      <c r="L651" t="s">
        <v>1530</v>
      </c>
      <c r="Q651" t="str">
        <f t="shared" si="30"/>
        <v>Sep</v>
      </c>
      <c r="R651">
        <f t="shared" si="31"/>
        <v>2014</v>
      </c>
      <c r="S651" t="str">
        <f>VLOOKUP($W651,TBL_Categories,2,FALSE)</f>
        <v>Monthly</v>
      </c>
      <c r="T651">
        <f>VLOOKUP($W651,TBL_Categories,3,FALSE)</f>
        <v>0</v>
      </c>
      <c r="U651" t="str">
        <f>VLOOKUP($W651,TBL_Categories,4,FALSE)</f>
        <v>No</v>
      </c>
      <c r="V651" t="str">
        <f>VLOOKUP($W651,TBL_Categories,5,FALSE)</f>
        <v>None</v>
      </c>
      <c r="W651" t="str">
        <f t="shared" si="32"/>
        <v>Food &amp; Dining|Restaurants</v>
      </c>
    </row>
    <row r="652" spans="1:23" x14ac:dyDescent="0.25">
      <c r="A652" t="s">
        <v>284</v>
      </c>
      <c r="B652" s="5">
        <v>41897</v>
      </c>
      <c r="C652">
        <v>62</v>
      </c>
      <c r="D652" t="s">
        <v>304</v>
      </c>
      <c r="E652" t="s">
        <v>1472</v>
      </c>
      <c r="F652" t="s">
        <v>1473</v>
      </c>
      <c r="G652" t="s">
        <v>771</v>
      </c>
      <c r="K652" t="s">
        <v>771</v>
      </c>
      <c r="Q652" t="str">
        <f t="shared" si="30"/>
        <v>Sep</v>
      </c>
      <c r="R652">
        <f t="shared" si="31"/>
        <v>2014</v>
      </c>
      <c r="S652" t="e">
        <f>VLOOKUP($W652,TBL_Categories,2,FALSE)</f>
        <v>#N/A</v>
      </c>
      <c r="T652" t="e">
        <f>VLOOKUP($W652,TBL_Categories,3,FALSE)</f>
        <v>#N/A</v>
      </c>
      <c r="U652" t="e">
        <f>VLOOKUP($W652,TBL_Categories,4,FALSE)</f>
        <v>#N/A</v>
      </c>
      <c r="V652" t="e">
        <f>VLOOKUP($W652,TBL_Categories,5,FALSE)</f>
        <v>#N/A</v>
      </c>
      <c r="W652" t="str">
        <f t="shared" si="32"/>
        <v>[REI Mastercard (xx1787)]</v>
      </c>
    </row>
    <row r="653" spans="1:23" x14ac:dyDescent="0.25">
      <c r="A653" t="s">
        <v>284</v>
      </c>
      <c r="B653" s="5">
        <v>41897</v>
      </c>
      <c r="C653">
        <v>-45.02</v>
      </c>
      <c r="D653" t="s">
        <v>304</v>
      </c>
      <c r="E653" t="s">
        <v>324</v>
      </c>
      <c r="F653" t="s">
        <v>826</v>
      </c>
      <c r="G653" t="s">
        <v>313</v>
      </c>
      <c r="K653" t="s">
        <v>54</v>
      </c>
      <c r="L653" t="s">
        <v>1521</v>
      </c>
      <c r="Q653" t="str">
        <f t="shared" si="30"/>
        <v>Sep</v>
      </c>
      <c r="R653">
        <f t="shared" si="31"/>
        <v>2014</v>
      </c>
      <c r="S653" t="str">
        <f>VLOOKUP($W653,TBL_Categories,2,FALSE)</f>
        <v>Monthly</v>
      </c>
      <c r="T653">
        <f>VLOOKUP($W653,TBL_Categories,3,FALSE)</f>
        <v>0</v>
      </c>
      <c r="U653" t="str">
        <f>VLOOKUP($W653,TBL_Categories,4,FALSE)</f>
        <v>No</v>
      </c>
      <c r="V653" t="str">
        <f>VLOOKUP($W653,TBL_Categories,5,FALSE)</f>
        <v>None</v>
      </c>
      <c r="W653" t="str">
        <f t="shared" si="32"/>
        <v>Bills &amp; Utilities|Utilities</v>
      </c>
    </row>
    <row r="654" spans="1:23" x14ac:dyDescent="0.25">
      <c r="A654" t="s">
        <v>284</v>
      </c>
      <c r="B654" s="5">
        <v>41897</v>
      </c>
      <c r="C654">
        <v>-115</v>
      </c>
      <c r="D654" t="s">
        <v>304</v>
      </c>
      <c r="E654" t="s">
        <v>325</v>
      </c>
      <c r="F654" t="s">
        <v>351</v>
      </c>
      <c r="G654" t="s">
        <v>326</v>
      </c>
      <c r="K654" t="s">
        <v>63</v>
      </c>
      <c r="L654" t="s">
        <v>1528</v>
      </c>
      <c r="Q654" t="str">
        <f t="shared" si="30"/>
        <v>Sep</v>
      </c>
      <c r="R654">
        <f t="shared" si="31"/>
        <v>2014</v>
      </c>
      <c r="S654" t="str">
        <f>VLOOKUP($W654,TBL_Categories,2,FALSE)</f>
        <v>Monthly</v>
      </c>
      <c r="T654">
        <f>VLOOKUP($W654,TBL_Categories,3,FALSE)</f>
        <v>0</v>
      </c>
      <c r="U654" t="str">
        <f>VLOOKUP($W654,TBL_Categories,4,FALSE)</f>
        <v>No</v>
      </c>
      <c r="V654" t="str">
        <f>VLOOKUP($W654,TBL_Categories,5,FALSE)</f>
        <v>None</v>
      </c>
      <c r="W654" t="str">
        <f t="shared" si="32"/>
        <v>Home|Home Services</v>
      </c>
    </row>
    <row r="655" spans="1:23" x14ac:dyDescent="0.25">
      <c r="A655" t="s">
        <v>284</v>
      </c>
      <c r="B655" s="5">
        <v>41897</v>
      </c>
      <c r="C655">
        <v>-48</v>
      </c>
      <c r="D655" t="s">
        <v>304</v>
      </c>
      <c r="E655" t="s">
        <v>827</v>
      </c>
      <c r="F655" t="s">
        <v>334</v>
      </c>
      <c r="G655" t="s">
        <v>322</v>
      </c>
      <c r="H655">
        <v>2134</v>
      </c>
      <c r="K655" t="s">
        <v>66</v>
      </c>
      <c r="L655" t="s">
        <v>1527</v>
      </c>
      <c r="Q655" t="str">
        <f t="shared" si="30"/>
        <v>Sep</v>
      </c>
      <c r="R655">
        <f t="shared" si="31"/>
        <v>2014</v>
      </c>
      <c r="S655" t="str">
        <f>VLOOKUP($W655,TBL_Categories,2,FALSE)</f>
        <v>Monthly</v>
      </c>
      <c r="T655">
        <f>VLOOKUP($W655,TBL_Categories,3,FALSE)</f>
        <v>0</v>
      </c>
      <c r="U655" t="str">
        <f>VLOOKUP($W655,TBL_Categories,4,FALSE)</f>
        <v>No</v>
      </c>
      <c r="V655" t="str">
        <f>VLOOKUP($W655,TBL_Categories,5,FALSE)</f>
        <v>None</v>
      </c>
      <c r="W655" t="str">
        <f t="shared" si="32"/>
        <v>Kids|Babysitter</v>
      </c>
    </row>
    <row r="656" spans="1:23" x14ac:dyDescent="0.25">
      <c r="A656" t="s">
        <v>760</v>
      </c>
      <c r="B656" s="5">
        <v>41897</v>
      </c>
      <c r="C656">
        <v>-1.62</v>
      </c>
      <c r="D656" t="s">
        <v>304</v>
      </c>
      <c r="E656" t="s">
        <v>451</v>
      </c>
      <c r="F656" t="s">
        <v>933</v>
      </c>
      <c r="G656" t="s">
        <v>341</v>
      </c>
      <c r="K656" t="s">
        <v>72</v>
      </c>
      <c r="L656" t="s">
        <v>1534</v>
      </c>
      <c r="Q656" t="str">
        <f t="shared" si="30"/>
        <v>Sep</v>
      </c>
      <c r="R656">
        <f t="shared" si="31"/>
        <v>2014</v>
      </c>
      <c r="S656" t="str">
        <f>VLOOKUP($W656,TBL_Categories,2,FALSE)</f>
        <v>Annual</v>
      </c>
      <c r="T656">
        <f>VLOOKUP($W656,TBL_Categories,3,FALSE)</f>
        <v>0</v>
      </c>
      <c r="U656" t="str">
        <f>VLOOKUP($W656,TBL_Categories,4,FALSE)</f>
        <v>No</v>
      </c>
      <c r="V656" t="str">
        <f>VLOOKUP($W656,TBL_Categories,5,FALSE)</f>
        <v>None</v>
      </c>
      <c r="W656" t="str">
        <f t="shared" si="32"/>
        <v>Shopping|Electronics &amp; Software</v>
      </c>
    </row>
    <row r="657" spans="1:23" x14ac:dyDescent="0.25">
      <c r="A657" t="s">
        <v>296</v>
      </c>
      <c r="B657" s="5">
        <v>41897</v>
      </c>
      <c r="C657">
        <v>-5.6</v>
      </c>
      <c r="D657" t="s">
        <v>304</v>
      </c>
      <c r="E657" t="s">
        <v>1001</v>
      </c>
      <c r="G657" t="s">
        <v>342</v>
      </c>
      <c r="K657" t="s">
        <v>61</v>
      </c>
      <c r="L657" t="s">
        <v>401</v>
      </c>
      <c r="Q657" t="str">
        <f t="shared" si="30"/>
        <v>Sep</v>
      </c>
      <c r="R657">
        <f t="shared" si="31"/>
        <v>2014</v>
      </c>
      <c r="S657" t="str">
        <f>VLOOKUP($W657,TBL_Categories,2,FALSE)</f>
        <v>Monthly</v>
      </c>
      <c r="T657">
        <f>VLOOKUP($W657,TBL_Categories,3,FALSE)</f>
        <v>0</v>
      </c>
      <c r="U657" t="str">
        <f>VLOOKUP($W657,TBL_Categories,4,FALSE)</f>
        <v>No</v>
      </c>
      <c r="V657" t="str">
        <f>VLOOKUP($W657,TBL_Categories,5,FALSE)</f>
        <v>None</v>
      </c>
      <c r="W657" t="str">
        <f t="shared" si="32"/>
        <v>Food &amp; Dining|Groceries</v>
      </c>
    </row>
    <row r="658" spans="1:23" x14ac:dyDescent="0.25">
      <c r="A658" t="s">
        <v>296</v>
      </c>
      <c r="B658" s="5">
        <v>41897</v>
      </c>
      <c r="C658">
        <v>-60</v>
      </c>
      <c r="D658" t="s">
        <v>304</v>
      </c>
      <c r="E658" t="s">
        <v>1309</v>
      </c>
      <c r="G658" t="s">
        <v>593</v>
      </c>
      <c r="K658" t="s">
        <v>56</v>
      </c>
      <c r="L658" t="s">
        <v>1547</v>
      </c>
      <c r="Q658" t="str">
        <f t="shared" si="30"/>
        <v>Sep</v>
      </c>
      <c r="R658">
        <f t="shared" si="31"/>
        <v>2014</v>
      </c>
      <c r="S658" t="str">
        <f>VLOOKUP($W658,TBL_Categories,2,FALSE)</f>
        <v>Annual</v>
      </c>
      <c r="T658">
        <f>VLOOKUP($W658,TBL_Categories,3,FALSE)</f>
        <v>0</v>
      </c>
      <c r="U658" t="str">
        <f>VLOOKUP($W658,TBL_Categories,4,FALSE)</f>
        <v>No</v>
      </c>
      <c r="V658" t="str">
        <f>VLOOKUP($W658,TBL_Categories,5,FALSE)</f>
        <v>None</v>
      </c>
      <c r="W658" t="str">
        <f t="shared" si="32"/>
        <v>Charity|Charity (Cash)</v>
      </c>
    </row>
    <row r="659" spans="1:23" x14ac:dyDescent="0.25">
      <c r="A659" t="s">
        <v>296</v>
      </c>
      <c r="B659" s="5">
        <v>41897</v>
      </c>
      <c r="C659">
        <v>-72.92</v>
      </c>
      <c r="D659" t="s">
        <v>304</v>
      </c>
      <c r="E659" t="s">
        <v>433</v>
      </c>
      <c r="G659" t="s">
        <v>887</v>
      </c>
      <c r="J659" t="s">
        <v>1550</v>
      </c>
      <c r="K659" t="s">
        <v>61</v>
      </c>
      <c r="L659" t="s">
        <v>401</v>
      </c>
      <c r="Q659" t="str">
        <f t="shared" si="30"/>
        <v>Sep</v>
      </c>
      <c r="R659">
        <f t="shared" si="31"/>
        <v>2014</v>
      </c>
      <c r="S659" t="str">
        <f>VLOOKUP($W659,TBL_Categories,2,FALSE)</f>
        <v>Monthly</v>
      </c>
      <c r="T659">
        <f>VLOOKUP($W659,TBL_Categories,3,FALSE)</f>
        <v>0</v>
      </c>
      <c r="U659" t="str">
        <f>VLOOKUP($W659,TBL_Categories,4,FALSE)</f>
        <v>No</v>
      </c>
      <c r="V659" t="str">
        <f>VLOOKUP($W659,TBL_Categories,5,FALSE)</f>
        <v>None</v>
      </c>
      <c r="W659" t="str">
        <f t="shared" si="32"/>
        <v>Food &amp; Dining|Groceries</v>
      </c>
    </row>
    <row r="660" spans="1:23" x14ac:dyDescent="0.25">
      <c r="A660" t="s">
        <v>762</v>
      </c>
      <c r="B660" s="5">
        <v>41897</v>
      </c>
      <c r="C660">
        <v>-62</v>
      </c>
      <c r="D660" t="s">
        <v>304</v>
      </c>
      <c r="E660" t="s">
        <v>1472</v>
      </c>
      <c r="F660" t="s">
        <v>1473</v>
      </c>
      <c r="G660" t="s">
        <v>9</v>
      </c>
      <c r="K660" t="s">
        <v>9</v>
      </c>
      <c r="Q660" t="str">
        <f t="shared" si="30"/>
        <v>Sep</v>
      </c>
      <c r="R660">
        <f t="shared" si="31"/>
        <v>2014</v>
      </c>
      <c r="S660" t="str">
        <f>VLOOKUP($W660,TBL_Categories,2,FALSE)</f>
        <v>Account</v>
      </c>
      <c r="T660">
        <f>VLOOKUP($W660,TBL_Categories,3,FALSE)</f>
        <v>0</v>
      </c>
      <c r="U660" t="str">
        <f>VLOOKUP($W660,TBL_Categories,4,FALSE)</f>
        <v>No</v>
      </c>
      <c r="V660" t="str">
        <f>VLOOKUP($W660,TBL_Categories,5,FALSE)</f>
        <v>None</v>
      </c>
      <c r="W660" t="str">
        <f t="shared" si="32"/>
        <v>[First Tech - Checking (5544)]</v>
      </c>
    </row>
    <row r="661" spans="1:23" x14ac:dyDescent="0.25">
      <c r="A661" t="s">
        <v>284</v>
      </c>
      <c r="B661" s="5">
        <v>41896</v>
      </c>
      <c r="C661" s="4">
        <v>23434.66</v>
      </c>
      <c r="D661" t="s">
        <v>304</v>
      </c>
      <c r="E661" t="s">
        <v>361</v>
      </c>
      <c r="F661" t="s">
        <v>312</v>
      </c>
      <c r="G661" t="s">
        <v>12</v>
      </c>
      <c r="K661" t="s">
        <v>12</v>
      </c>
      <c r="Q661" t="str">
        <f t="shared" si="30"/>
        <v>Sep</v>
      </c>
      <c r="R661">
        <f t="shared" si="31"/>
        <v>2014</v>
      </c>
      <c r="S661" t="str">
        <f>VLOOKUP($W661,TBL_Categories,2,FALSE)</f>
        <v>Monthly</v>
      </c>
      <c r="T661">
        <f>VLOOKUP($W661,TBL_Categories,3,FALSE)</f>
        <v>0</v>
      </c>
      <c r="U661" t="str">
        <f>VLOOKUP($W661,TBL_Categories,4,FALSE)</f>
        <v>No</v>
      </c>
      <c r="V661" t="str">
        <f>VLOOKUP($W661,TBL_Categories,5,FALSE)</f>
        <v>None</v>
      </c>
      <c r="W661" t="str">
        <f t="shared" si="32"/>
        <v>Net Salary</v>
      </c>
    </row>
    <row r="662" spans="1:23" x14ac:dyDescent="0.25">
      <c r="A662" t="s">
        <v>633</v>
      </c>
      <c r="B662" s="5">
        <v>41896</v>
      </c>
      <c r="C662">
        <v>-10.9</v>
      </c>
      <c r="D662" t="s">
        <v>304</v>
      </c>
      <c r="E662" t="s">
        <v>957</v>
      </c>
      <c r="G662" t="s">
        <v>333</v>
      </c>
      <c r="K662" t="s">
        <v>61</v>
      </c>
      <c r="L662" t="s">
        <v>1530</v>
      </c>
      <c r="Q662" t="str">
        <f t="shared" si="30"/>
        <v>Sep</v>
      </c>
      <c r="R662">
        <f t="shared" si="31"/>
        <v>2014</v>
      </c>
      <c r="S662" t="str">
        <f>VLOOKUP($W662,TBL_Categories,2,FALSE)</f>
        <v>Monthly</v>
      </c>
      <c r="T662">
        <f>VLOOKUP($W662,TBL_Categories,3,FALSE)</f>
        <v>0</v>
      </c>
      <c r="U662" t="str">
        <f>VLOOKUP($W662,TBL_Categories,4,FALSE)</f>
        <v>No</v>
      </c>
      <c r="V662" t="str">
        <f>VLOOKUP($W662,TBL_Categories,5,FALSE)</f>
        <v>None</v>
      </c>
      <c r="W662" t="str">
        <f t="shared" si="32"/>
        <v>Food &amp; Dining|Restaurants</v>
      </c>
    </row>
    <row r="663" spans="1:23" x14ac:dyDescent="0.25">
      <c r="A663" t="s">
        <v>296</v>
      </c>
      <c r="B663" s="5">
        <v>41896</v>
      </c>
      <c r="C663">
        <v>-21.72</v>
      </c>
      <c r="D663" t="s">
        <v>304</v>
      </c>
      <c r="E663" t="s">
        <v>461</v>
      </c>
      <c r="G663" t="s">
        <v>333</v>
      </c>
      <c r="K663" t="s">
        <v>61</v>
      </c>
      <c r="L663" t="s">
        <v>1530</v>
      </c>
      <c r="Q663" t="str">
        <f t="shared" si="30"/>
        <v>Sep</v>
      </c>
      <c r="R663">
        <f t="shared" si="31"/>
        <v>2014</v>
      </c>
      <c r="S663" t="str">
        <f>VLOOKUP($W663,TBL_Categories,2,FALSE)</f>
        <v>Monthly</v>
      </c>
      <c r="T663">
        <f>VLOOKUP($W663,TBL_Categories,3,FALSE)</f>
        <v>0</v>
      </c>
      <c r="U663" t="str">
        <f>VLOOKUP($W663,TBL_Categories,4,FALSE)</f>
        <v>No</v>
      </c>
      <c r="V663" t="str">
        <f>VLOOKUP($W663,TBL_Categories,5,FALSE)</f>
        <v>None</v>
      </c>
      <c r="W663" t="str">
        <f t="shared" si="32"/>
        <v>Food &amp; Dining|Restaurants</v>
      </c>
    </row>
    <row r="664" spans="1:23" x14ac:dyDescent="0.25">
      <c r="A664" t="s">
        <v>296</v>
      </c>
      <c r="B664" s="5">
        <v>41896</v>
      </c>
      <c r="C664">
        <v>-23.4</v>
      </c>
      <c r="D664" t="s">
        <v>304</v>
      </c>
      <c r="E664" t="s">
        <v>1308</v>
      </c>
      <c r="G664" t="s">
        <v>333</v>
      </c>
      <c r="K664" t="s">
        <v>61</v>
      </c>
      <c r="L664" t="s">
        <v>1530</v>
      </c>
      <c r="Q664" t="str">
        <f t="shared" si="30"/>
        <v>Sep</v>
      </c>
      <c r="R664">
        <f t="shared" si="31"/>
        <v>2014</v>
      </c>
      <c r="S664" t="str">
        <f>VLOOKUP($W664,TBL_Categories,2,FALSE)</f>
        <v>Monthly</v>
      </c>
      <c r="T664">
        <f>VLOOKUP($W664,TBL_Categories,3,FALSE)</f>
        <v>0</v>
      </c>
      <c r="U664" t="str">
        <f>VLOOKUP($W664,TBL_Categories,4,FALSE)</f>
        <v>No</v>
      </c>
      <c r="V664" t="str">
        <f>VLOOKUP($W664,TBL_Categories,5,FALSE)</f>
        <v>None</v>
      </c>
      <c r="W664" t="str">
        <f t="shared" si="32"/>
        <v>Food &amp; Dining|Restaurants</v>
      </c>
    </row>
    <row r="665" spans="1:23" x14ac:dyDescent="0.25">
      <c r="A665" t="s">
        <v>296</v>
      </c>
      <c r="B665" s="5">
        <v>41895</v>
      </c>
      <c r="C665">
        <v>-4.37</v>
      </c>
      <c r="D665" t="s">
        <v>304</v>
      </c>
      <c r="E665" t="s">
        <v>477</v>
      </c>
      <c r="G665" t="s">
        <v>466</v>
      </c>
      <c r="K665" t="s">
        <v>72</v>
      </c>
      <c r="L665" t="s">
        <v>460</v>
      </c>
      <c r="Q665" t="str">
        <f t="shared" si="30"/>
        <v>Sep</v>
      </c>
      <c r="R665">
        <f t="shared" si="31"/>
        <v>2014</v>
      </c>
      <c r="S665" t="str">
        <f>VLOOKUP($W665,TBL_Categories,2,FALSE)</f>
        <v>Unplanned</v>
      </c>
      <c r="T665">
        <f>VLOOKUP($W665,TBL_Categories,3,FALSE)</f>
        <v>0</v>
      </c>
      <c r="U665" t="str">
        <f>VLOOKUP($W665,TBL_Categories,4,FALSE)</f>
        <v>No</v>
      </c>
      <c r="V665" t="str">
        <f>VLOOKUP($W665,TBL_Categories,5,FALSE)</f>
        <v>None</v>
      </c>
      <c r="W665" t="str">
        <f t="shared" si="32"/>
        <v>Shopping|Books</v>
      </c>
    </row>
    <row r="666" spans="1:23" x14ac:dyDescent="0.25">
      <c r="A666" t="s">
        <v>296</v>
      </c>
      <c r="B666" s="5">
        <v>41895</v>
      </c>
      <c r="C666">
        <v>-5.45</v>
      </c>
      <c r="D666" t="s">
        <v>304</v>
      </c>
      <c r="E666" t="s">
        <v>424</v>
      </c>
      <c r="G666" t="s">
        <v>887</v>
      </c>
      <c r="J666" t="s">
        <v>1550</v>
      </c>
      <c r="K666" t="s">
        <v>61</v>
      </c>
      <c r="L666" t="s">
        <v>401</v>
      </c>
      <c r="Q666" t="str">
        <f t="shared" si="30"/>
        <v>Sep</v>
      </c>
      <c r="R666">
        <f t="shared" si="31"/>
        <v>2014</v>
      </c>
      <c r="S666" t="str">
        <f>VLOOKUP($W666,TBL_Categories,2,FALSE)</f>
        <v>Monthly</v>
      </c>
      <c r="T666">
        <f>VLOOKUP($W666,TBL_Categories,3,FALSE)</f>
        <v>0</v>
      </c>
      <c r="U666" t="str">
        <f>VLOOKUP($W666,TBL_Categories,4,FALSE)</f>
        <v>No</v>
      </c>
      <c r="V666" t="str">
        <f>VLOOKUP($W666,TBL_Categories,5,FALSE)</f>
        <v>None</v>
      </c>
      <c r="W666" t="str">
        <f t="shared" si="32"/>
        <v>Food &amp; Dining|Groceries</v>
      </c>
    </row>
    <row r="667" spans="1:23" x14ac:dyDescent="0.25">
      <c r="A667" t="s">
        <v>296</v>
      </c>
      <c r="B667" s="5">
        <v>41895</v>
      </c>
      <c r="C667">
        <v>-12.5</v>
      </c>
      <c r="D667" t="s">
        <v>304</v>
      </c>
      <c r="E667" t="s">
        <v>1304</v>
      </c>
      <c r="F667" t="s">
        <v>1305</v>
      </c>
      <c r="G667" t="s">
        <v>333</v>
      </c>
      <c r="K667" t="s">
        <v>61</v>
      </c>
      <c r="L667" t="s">
        <v>1530</v>
      </c>
      <c r="Q667" t="str">
        <f t="shared" si="30"/>
        <v>Sep</v>
      </c>
      <c r="R667">
        <f t="shared" si="31"/>
        <v>2014</v>
      </c>
      <c r="S667" t="str">
        <f>VLOOKUP($W667,TBL_Categories,2,FALSE)</f>
        <v>Monthly</v>
      </c>
      <c r="T667">
        <f>VLOOKUP($W667,TBL_Categories,3,FALSE)</f>
        <v>0</v>
      </c>
      <c r="U667" t="str">
        <f>VLOOKUP($W667,TBL_Categories,4,FALSE)</f>
        <v>No</v>
      </c>
      <c r="V667" t="str">
        <f>VLOOKUP($W667,TBL_Categories,5,FALSE)</f>
        <v>None</v>
      </c>
      <c r="W667" t="str">
        <f t="shared" si="32"/>
        <v>Food &amp; Dining|Restaurants</v>
      </c>
    </row>
    <row r="668" spans="1:23" x14ac:dyDescent="0.25">
      <c r="A668" t="s">
        <v>296</v>
      </c>
      <c r="B668" s="5">
        <v>41895</v>
      </c>
      <c r="C668">
        <v>-14</v>
      </c>
      <c r="D668" t="s">
        <v>304</v>
      </c>
      <c r="E668" t="s">
        <v>713</v>
      </c>
      <c r="F668" t="s">
        <v>1306</v>
      </c>
      <c r="G668" t="s">
        <v>449</v>
      </c>
      <c r="K668" t="s">
        <v>66</v>
      </c>
      <c r="L668" t="s">
        <v>1555</v>
      </c>
      <c r="Q668" t="str">
        <f t="shared" si="30"/>
        <v>Sep</v>
      </c>
      <c r="R668">
        <f t="shared" si="31"/>
        <v>2014</v>
      </c>
      <c r="S668" t="str">
        <f>VLOOKUP($W668,TBL_Categories,2,FALSE)</f>
        <v>Monthly</v>
      </c>
      <c r="T668">
        <f>VLOOKUP($W668,TBL_Categories,3,FALSE)</f>
        <v>0</v>
      </c>
      <c r="U668" t="str">
        <f>VLOOKUP($W668,TBL_Categories,4,FALSE)</f>
        <v>No</v>
      </c>
      <c r="V668" t="str">
        <f>VLOOKUP($W668,TBL_Categories,5,FALSE)</f>
        <v>None</v>
      </c>
      <c r="W668" t="str">
        <f t="shared" si="32"/>
        <v>Kids|Kids Activities</v>
      </c>
    </row>
    <row r="669" spans="1:23" x14ac:dyDescent="0.25">
      <c r="A669" t="s">
        <v>296</v>
      </c>
      <c r="B669" s="5">
        <v>41895</v>
      </c>
      <c r="C669">
        <v>-20</v>
      </c>
      <c r="D669" t="s">
        <v>304</v>
      </c>
      <c r="E669" t="s">
        <v>424</v>
      </c>
      <c r="F669" t="s">
        <v>1307</v>
      </c>
      <c r="G669" t="s">
        <v>1044</v>
      </c>
      <c r="J669" t="s">
        <v>1550</v>
      </c>
      <c r="K669" t="s">
        <v>66</v>
      </c>
      <c r="L669" t="s">
        <v>1555</v>
      </c>
      <c r="Q669" t="str">
        <f t="shared" si="30"/>
        <v>Sep</v>
      </c>
      <c r="R669">
        <f t="shared" si="31"/>
        <v>2014</v>
      </c>
      <c r="S669" t="str">
        <f>VLOOKUP($W669,TBL_Categories,2,FALSE)</f>
        <v>Monthly</v>
      </c>
      <c r="T669">
        <f>VLOOKUP($W669,TBL_Categories,3,FALSE)</f>
        <v>0</v>
      </c>
      <c r="U669" t="str">
        <f>VLOOKUP($W669,TBL_Categories,4,FALSE)</f>
        <v>No</v>
      </c>
      <c r="V669" t="str">
        <f>VLOOKUP($W669,TBL_Categories,5,FALSE)</f>
        <v>None</v>
      </c>
      <c r="W669" t="str">
        <f t="shared" si="32"/>
        <v>Kids|Kids Activities</v>
      </c>
    </row>
    <row r="670" spans="1:23" x14ac:dyDescent="0.25">
      <c r="A670" t="s">
        <v>296</v>
      </c>
      <c r="B670" s="5">
        <v>41895</v>
      </c>
      <c r="C670">
        <v>-28.5</v>
      </c>
      <c r="D670" t="s">
        <v>304</v>
      </c>
      <c r="E670" t="s">
        <v>713</v>
      </c>
      <c r="F670" t="s">
        <v>1306</v>
      </c>
      <c r="G670" t="s">
        <v>449</v>
      </c>
      <c r="K670" t="s">
        <v>66</v>
      </c>
      <c r="L670" t="s">
        <v>1555</v>
      </c>
      <c r="Q670" t="str">
        <f t="shared" si="30"/>
        <v>Sep</v>
      </c>
      <c r="R670">
        <f t="shared" si="31"/>
        <v>2014</v>
      </c>
      <c r="S670" t="str">
        <f>VLOOKUP($W670,TBL_Categories,2,FALSE)</f>
        <v>Monthly</v>
      </c>
      <c r="T670">
        <f>VLOOKUP($W670,TBL_Categories,3,FALSE)</f>
        <v>0</v>
      </c>
      <c r="U670" t="str">
        <f>VLOOKUP($W670,TBL_Categories,4,FALSE)</f>
        <v>No</v>
      </c>
      <c r="V670" t="str">
        <f>VLOOKUP($W670,TBL_Categories,5,FALSE)</f>
        <v>None</v>
      </c>
      <c r="W670" t="str">
        <f t="shared" si="32"/>
        <v>Kids|Kids Activities</v>
      </c>
    </row>
    <row r="671" spans="1:23" x14ac:dyDescent="0.25">
      <c r="A671" t="s">
        <v>296</v>
      </c>
      <c r="B671" s="5">
        <v>41895</v>
      </c>
      <c r="C671">
        <v>-84</v>
      </c>
      <c r="D671" t="s">
        <v>304</v>
      </c>
      <c r="E671" t="s">
        <v>459</v>
      </c>
      <c r="G671" t="s">
        <v>333</v>
      </c>
      <c r="K671" t="s">
        <v>61</v>
      </c>
      <c r="L671" t="s">
        <v>1530</v>
      </c>
      <c r="Q671" t="str">
        <f t="shared" si="30"/>
        <v>Sep</v>
      </c>
      <c r="R671">
        <f t="shared" si="31"/>
        <v>2014</v>
      </c>
      <c r="S671" t="str">
        <f>VLOOKUP($W671,TBL_Categories,2,FALSE)</f>
        <v>Monthly</v>
      </c>
      <c r="T671">
        <f>VLOOKUP($W671,TBL_Categories,3,FALSE)</f>
        <v>0</v>
      </c>
      <c r="U671" t="str">
        <f>VLOOKUP($W671,TBL_Categories,4,FALSE)</f>
        <v>No</v>
      </c>
      <c r="V671" t="str">
        <f>VLOOKUP($W671,TBL_Categories,5,FALSE)</f>
        <v>None</v>
      </c>
      <c r="W671" t="str">
        <f t="shared" si="32"/>
        <v>Food &amp; Dining|Restaurants</v>
      </c>
    </row>
    <row r="672" spans="1:23" x14ac:dyDescent="0.25">
      <c r="A672" t="s">
        <v>633</v>
      </c>
      <c r="B672" s="5">
        <v>41894</v>
      </c>
      <c r="C672">
        <v>-0.01</v>
      </c>
      <c r="D672" t="s">
        <v>304</v>
      </c>
      <c r="E672" t="s">
        <v>985</v>
      </c>
      <c r="F672" t="s">
        <v>1021</v>
      </c>
      <c r="G672" t="s">
        <v>940</v>
      </c>
      <c r="K672" t="s">
        <v>29</v>
      </c>
      <c r="L672" t="s">
        <v>1573</v>
      </c>
      <c r="O672" t="s">
        <v>1607</v>
      </c>
      <c r="Q672" t="str">
        <f t="shared" si="30"/>
        <v>Sep</v>
      </c>
      <c r="R672">
        <f t="shared" si="31"/>
        <v>2014</v>
      </c>
      <c r="S672" t="str">
        <f>VLOOKUP($W672,TBL_Categories,2,FALSE)</f>
        <v>Irregular</v>
      </c>
      <c r="T672">
        <f>VLOOKUP($W672,TBL_Categories,3,FALSE)</f>
        <v>0</v>
      </c>
      <c r="U672" t="str">
        <f>VLOOKUP($W672,TBL_Categories,4,FALSE)</f>
        <v>No</v>
      </c>
      <c r="V672" t="str">
        <f>VLOOKUP($W672,TBL_Categories,5,FALSE)</f>
        <v>None</v>
      </c>
      <c r="W672" t="str">
        <f t="shared" si="32"/>
        <v>Work Expense|Reimbursable expense</v>
      </c>
    </row>
    <row r="673" spans="1:23" x14ac:dyDescent="0.25">
      <c r="A673" t="s">
        <v>633</v>
      </c>
      <c r="B673" s="5">
        <v>41894</v>
      </c>
      <c r="C673">
        <v>-0.01</v>
      </c>
      <c r="D673" t="s">
        <v>304</v>
      </c>
      <c r="E673" t="s">
        <v>985</v>
      </c>
      <c r="F673" t="s">
        <v>1021</v>
      </c>
      <c r="G673" t="s">
        <v>940</v>
      </c>
      <c r="K673" t="s">
        <v>29</v>
      </c>
      <c r="L673" t="s">
        <v>1573</v>
      </c>
      <c r="O673" t="s">
        <v>1607</v>
      </c>
      <c r="Q673" t="str">
        <f t="shared" si="30"/>
        <v>Sep</v>
      </c>
      <c r="R673">
        <f t="shared" si="31"/>
        <v>2014</v>
      </c>
      <c r="S673" t="str">
        <f>VLOOKUP($W673,TBL_Categories,2,FALSE)</f>
        <v>Irregular</v>
      </c>
      <c r="T673">
        <f>VLOOKUP($W673,TBL_Categories,3,FALSE)</f>
        <v>0</v>
      </c>
      <c r="U673" t="str">
        <f>VLOOKUP($W673,TBL_Categories,4,FALSE)</f>
        <v>No</v>
      </c>
      <c r="V673" t="str">
        <f>VLOOKUP($W673,TBL_Categories,5,FALSE)</f>
        <v>None</v>
      </c>
      <c r="W673" t="str">
        <f t="shared" si="32"/>
        <v>Work Expense|Reimbursable expense</v>
      </c>
    </row>
    <row r="674" spans="1:23" x14ac:dyDescent="0.25">
      <c r="A674" t="s">
        <v>633</v>
      </c>
      <c r="B674" s="5">
        <v>41894</v>
      </c>
      <c r="C674">
        <v>-0.01</v>
      </c>
      <c r="D674" t="s">
        <v>304</v>
      </c>
      <c r="E674" t="s">
        <v>985</v>
      </c>
      <c r="F674" t="s">
        <v>1021</v>
      </c>
      <c r="G674" t="s">
        <v>940</v>
      </c>
      <c r="K674" t="s">
        <v>29</v>
      </c>
      <c r="L674" t="s">
        <v>1573</v>
      </c>
      <c r="O674" t="s">
        <v>1607</v>
      </c>
      <c r="Q674" t="str">
        <f t="shared" si="30"/>
        <v>Sep</v>
      </c>
      <c r="R674">
        <f t="shared" si="31"/>
        <v>2014</v>
      </c>
      <c r="S674" t="str">
        <f>VLOOKUP($W674,TBL_Categories,2,FALSE)</f>
        <v>Irregular</v>
      </c>
      <c r="T674">
        <f>VLOOKUP($W674,TBL_Categories,3,FALSE)</f>
        <v>0</v>
      </c>
      <c r="U674" t="str">
        <f>VLOOKUP($W674,TBL_Categories,4,FALSE)</f>
        <v>No</v>
      </c>
      <c r="V674" t="str">
        <f>VLOOKUP($W674,TBL_Categories,5,FALSE)</f>
        <v>None</v>
      </c>
      <c r="W674" t="str">
        <f t="shared" si="32"/>
        <v>Work Expense|Reimbursable expense</v>
      </c>
    </row>
    <row r="675" spans="1:23" x14ac:dyDescent="0.25">
      <c r="A675" t="s">
        <v>633</v>
      </c>
      <c r="B675" s="5">
        <v>41894</v>
      </c>
      <c r="C675">
        <v>-0.01</v>
      </c>
      <c r="D675" t="s">
        <v>304</v>
      </c>
      <c r="E675" t="s">
        <v>985</v>
      </c>
      <c r="F675" t="s">
        <v>1021</v>
      </c>
      <c r="G675" t="s">
        <v>940</v>
      </c>
      <c r="K675" t="s">
        <v>29</v>
      </c>
      <c r="L675" t="s">
        <v>1573</v>
      </c>
      <c r="O675" t="s">
        <v>1607</v>
      </c>
      <c r="Q675" t="str">
        <f t="shared" si="30"/>
        <v>Sep</v>
      </c>
      <c r="R675">
        <f t="shared" si="31"/>
        <v>2014</v>
      </c>
      <c r="S675" t="str">
        <f>VLOOKUP($W675,TBL_Categories,2,FALSE)</f>
        <v>Irregular</v>
      </c>
      <c r="T675">
        <f>VLOOKUP($W675,TBL_Categories,3,FALSE)</f>
        <v>0</v>
      </c>
      <c r="U675" t="str">
        <f>VLOOKUP($W675,TBL_Categories,4,FALSE)</f>
        <v>No</v>
      </c>
      <c r="V675" t="str">
        <f>VLOOKUP($W675,TBL_Categories,5,FALSE)</f>
        <v>None</v>
      </c>
      <c r="W675" t="str">
        <f t="shared" si="32"/>
        <v>Work Expense|Reimbursable expense</v>
      </c>
    </row>
    <row r="676" spans="1:23" x14ac:dyDescent="0.25">
      <c r="A676" t="s">
        <v>633</v>
      </c>
      <c r="B676" s="5">
        <v>41894</v>
      </c>
      <c r="C676">
        <v>-0.01</v>
      </c>
      <c r="D676" t="s">
        <v>304</v>
      </c>
      <c r="E676" t="s">
        <v>985</v>
      </c>
      <c r="F676" t="s">
        <v>1021</v>
      </c>
      <c r="G676" t="s">
        <v>940</v>
      </c>
      <c r="K676" t="s">
        <v>29</v>
      </c>
      <c r="L676" t="s">
        <v>1573</v>
      </c>
      <c r="O676" t="s">
        <v>1607</v>
      </c>
      <c r="Q676" t="str">
        <f t="shared" si="30"/>
        <v>Sep</v>
      </c>
      <c r="R676">
        <f t="shared" si="31"/>
        <v>2014</v>
      </c>
      <c r="S676" t="str">
        <f>VLOOKUP($W676,TBL_Categories,2,FALSE)</f>
        <v>Irregular</v>
      </c>
      <c r="T676">
        <f>VLOOKUP($W676,TBL_Categories,3,FALSE)</f>
        <v>0</v>
      </c>
      <c r="U676" t="str">
        <f>VLOOKUP($W676,TBL_Categories,4,FALSE)</f>
        <v>No</v>
      </c>
      <c r="V676" t="str">
        <f>VLOOKUP($W676,TBL_Categories,5,FALSE)</f>
        <v>None</v>
      </c>
      <c r="W676" t="str">
        <f t="shared" si="32"/>
        <v>Work Expense|Reimbursable expense</v>
      </c>
    </row>
    <row r="677" spans="1:23" x14ac:dyDescent="0.25">
      <c r="A677" t="s">
        <v>633</v>
      </c>
      <c r="B677" s="5">
        <v>41894</v>
      </c>
      <c r="C677">
        <v>-0.01</v>
      </c>
      <c r="D677" t="s">
        <v>304</v>
      </c>
      <c r="E677" t="s">
        <v>985</v>
      </c>
      <c r="F677" t="s">
        <v>1021</v>
      </c>
      <c r="G677" t="s">
        <v>940</v>
      </c>
      <c r="K677" t="s">
        <v>29</v>
      </c>
      <c r="L677" t="s">
        <v>1573</v>
      </c>
      <c r="O677" t="s">
        <v>1607</v>
      </c>
      <c r="Q677" t="str">
        <f t="shared" si="30"/>
        <v>Sep</v>
      </c>
      <c r="R677">
        <f t="shared" si="31"/>
        <v>2014</v>
      </c>
      <c r="S677" t="str">
        <f>VLOOKUP($W677,TBL_Categories,2,FALSE)</f>
        <v>Irregular</v>
      </c>
      <c r="T677">
        <f>VLOOKUP($W677,TBL_Categories,3,FALSE)</f>
        <v>0</v>
      </c>
      <c r="U677" t="str">
        <f>VLOOKUP($W677,TBL_Categories,4,FALSE)</f>
        <v>No</v>
      </c>
      <c r="V677" t="str">
        <f>VLOOKUP($W677,TBL_Categories,5,FALSE)</f>
        <v>None</v>
      </c>
      <c r="W677" t="str">
        <f t="shared" si="32"/>
        <v>Work Expense|Reimbursable expense</v>
      </c>
    </row>
    <row r="678" spans="1:23" x14ac:dyDescent="0.25">
      <c r="A678" t="s">
        <v>633</v>
      </c>
      <c r="B678" s="5">
        <v>41894</v>
      </c>
      <c r="C678">
        <v>-0.01</v>
      </c>
      <c r="D678" t="s">
        <v>304</v>
      </c>
      <c r="E678" t="s">
        <v>985</v>
      </c>
      <c r="F678" t="s">
        <v>1021</v>
      </c>
      <c r="G678" t="s">
        <v>940</v>
      </c>
      <c r="K678" t="s">
        <v>29</v>
      </c>
      <c r="L678" t="s">
        <v>1573</v>
      </c>
      <c r="O678" t="s">
        <v>1607</v>
      </c>
      <c r="Q678" t="str">
        <f t="shared" si="30"/>
        <v>Sep</v>
      </c>
      <c r="R678">
        <f t="shared" si="31"/>
        <v>2014</v>
      </c>
      <c r="S678" t="str">
        <f>VLOOKUP($W678,TBL_Categories,2,FALSE)</f>
        <v>Irregular</v>
      </c>
      <c r="T678">
        <f>VLOOKUP($W678,TBL_Categories,3,FALSE)</f>
        <v>0</v>
      </c>
      <c r="U678" t="str">
        <f>VLOOKUP($W678,TBL_Categories,4,FALSE)</f>
        <v>No</v>
      </c>
      <c r="V678" t="str">
        <f>VLOOKUP($W678,TBL_Categories,5,FALSE)</f>
        <v>None</v>
      </c>
      <c r="W678" t="str">
        <f t="shared" si="32"/>
        <v>Work Expense|Reimbursable expense</v>
      </c>
    </row>
    <row r="679" spans="1:23" x14ac:dyDescent="0.25">
      <c r="A679" t="s">
        <v>633</v>
      </c>
      <c r="B679" s="5">
        <v>41894</v>
      </c>
      <c r="C679">
        <v>-0.01</v>
      </c>
      <c r="D679" t="s">
        <v>304</v>
      </c>
      <c r="E679" t="s">
        <v>985</v>
      </c>
      <c r="F679" t="s">
        <v>1021</v>
      </c>
      <c r="G679" t="s">
        <v>940</v>
      </c>
      <c r="K679" t="s">
        <v>29</v>
      </c>
      <c r="L679" t="s">
        <v>1573</v>
      </c>
      <c r="O679" t="s">
        <v>1607</v>
      </c>
      <c r="Q679" t="str">
        <f t="shared" si="30"/>
        <v>Sep</v>
      </c>
      <c r="R679">
        <f t="shared" si="31"/>
        <v>2014</v>
      </c>
      <c r="S679" t="str">
        <f>VLOOKUP($W679,TBL_Categories,2,FALSE)</f>
        <v>Irregular</v>
      </c>
      <c r="T679">
        <f>VLOOKUP($W679,TBL_Categories,3,FALSE)</f>
        <v>0</v>
      </c>
      <c r="U679" t="str">
        <f>VLOOKUP($W679,TBL_Categories,4,FALSE)</f>
        <v>No</v>
      </c>
      <c r="V679" t="str">
        <f>VLOOKUP($W679,TBL_Categories,5,FALSE)</f>
        <v>None</v>
      </c>
      <c r="W679" t="str">
        <f t="shared" si="32"/>
        <v>Work Expense|Reimbursable expense</v>
      </c>
    </row>
    <row r="680" spans="1:23" x14ac:dyDescent="0.25">
      <c r="A680" t="s">
        <v>633</v>
      </c>
      <c r="B680" s="5">
        <v>41894</v>
      </c>
      <c r="C680">
        <v>-0.01</v>
      </c>
      <c r="D680" t="s">
        <v>304</v>
      </c>
      <c r="E680" t="s">
        <v>985</v>
      </c>
      <c r="F680" t="s">
        <v>1021</v>
      </c>
      <c r="G680" t="s">
        <v>940</v>
      </c>
      <c r="K680" t="s">
        <v>29</v>
      </c>
      <c r="L680" t="s">
        <v>1573</v>
      </c>
      <c r="O680" t="s">
        <v>1607</v>
      </c>
      <c r="Q680" t="str">
        <f t="shared" si="30"/>
        <v>Sep</v>
      </c>
      <c r="R680">
        <f t="shared" si="31"/>
        <v>2014</v>
      </c>
      <c r="S680" t="str">
        <f>VLOOKUP($W680,TBL_Categories,2,FALSE)</f>
        <v>Irregular</v>
      </c>
      <c r="T680">
        <f>VLOOKUP($W680,TBL_Categories,3,FALSE)</f>
        <v>0</v>
      </c>
      <c r="U680" t="str">
        <f>VLOOKUP($W680,TBL_Categories,4,FALSE)</f>
        <v>No</v>
      </c>
      <c r="V680" t="str">
        <f>VLOOKUP($W680,TBL_Categories,5,FALSE)</f>
        <v>None</v>
      </c>
      <c r="W680" t="str">
        <f t="shared" si="32"/>
        <v>Work Expense|Reimbursable expense</v>
      </c>
    </row>
    <row r="681" spans="1:23" x14ac:dyDescent="0.25">
      <c r="A681" t="s">
        <v>294</v>
      </c>
      <c r="B681" s="5">
        <v>41894</v>
      </c>
      <c r="C681">
        <v>-148.16</v>
      </c>
      <c r="D681" t="s">
        <v>304</v>
      </c>
      <c r="E681" t="s">
        <v>335</v>
      </c>
      <c r="G681" t="s">
        <v>336</v>
      </c>
      <c r="K681" t="s">
        <v>55</v>
      </c>
      <c r="L681" t="s">
        <v>1532</v>
      </c>
      <c r="Q681" t="str">
        <f t="shared" si="30"/>
        <v>Sep</v>
      </c>
      <c r="R681">
        <f t="shared" si="31"/>
        <v>2014</v>
      </c>
      <c r="S681" t="str">
        <f>VLOOKUP($W681,TBL_Categories,2,FALSE)</f>
        <v>Monthly</v>
      </c>
      <c r="T681">
        <f>VLOOKUP($W681,TBL_Categories,3,FALSE)</f>
        <v>0</v>
      </c>
      <c r="U681" t="str">
        <f>VLOOKUP($W681,TBL_Categories,4,FALSE)</f>
        <v>No</v>
      </c>
      <c r="V681" t="str">
        <f>VLOOKUP($W681,TBL_Categories,5,FALSE)</f>
        <v>None</v>
      </c>
      <c r="W681" t="str">
        <f t="shared" si="32"/>
        <v>Business Expenses (Koolikai)|Cell Phone</v>
      </c>
    </row>
    <row r="682" spans="1:23" x14ac:dyDescent="0.25">
      <c r="A682" t="s">
        <v>296</v>
      </c>
      <c r="B682" s="5">
        <v>41894</v>
      </c>
      <c r="C682">
        <v>-7.11</v>
      </c>
      <c r="D682" t="s">
        <v>304</v>
      </c>
      <c r="E682" t="s">
        <v>958</v>
      </c>
      <c r="G682" t="s">
        <v>333</v>
      </c>
      <c r="K682" t="s">
        <v>61</v>
      </c>
      <c r="L682" t="s">
        <v>1530</v>
      </c>
      <c r="Q682" t="str">
        <f t="shared" si="30"/>
        <v>Sep</v>
      </c>
      <c r="R682">
        <f t="shared" si="31"/>
        <v>2014</v>
      </c>
      <c r="S682" t="str">
        <f>VLOOKUP($W682,TBL_Categories,2,FALSE)</f>
        <v>Monthly</v>
      </c>
      <c r="T682">
        <f>VLOOKUP($W682,TBL_Categories,3,FALSE)</f>
        <v>0</v>
      </c>
      <c r="U682" t="str">
        <f>VLOOKUP($W682,TBL_Categories,4,FALSE)</f>
        <v>No</v>
      </c>
      <c r="V682" t="str">
        <f>VLOOKUP($W682,TBL_Categories,5,FALSE)</f>
        <v>None</v>
      </c>
      <c r="W682" t="str">
        <f t="shared" si="32"/>
        <v>Food &amp; Dining|Restaurants</v>
      </c>
    </row>
    <row r="683" spans="1:23" x14ac:dyDescent="0.25">
      <c r="A683" t="s">
        <v>296</v>
      </c>
      <c r="B683" s="5">
        <v>41894</v>
      </c>
      <c r="C683">
        <v>-27</v>
      </c>
      <c r="D683" t="s">
        <v>304</v>
      </c>
      <c r="E683" t="s">
        <v>1301</v>
      </c>
      <c r="F683" t="s">
        <v>1302</v>
      </c>
      <c r="G683" t="s">
        <v>1037</v>
      </c>
      <c r="J683" t="s">
        <v>1550</v>
      </c>
      <c r="K683" t="s">
        <v>72</v>
      </c>
      <c r="L683" t="s">
        <v>460</v>
      </c>
      <c r="Q683" t="str">
        <f t="shared" si="30"/>
        <v>Sep</v>
      </c>
      <c r="R683">
        <f t="shared" si="31"/>
        <v>2014</v>
      </c>
      <c r="S683" t="str">
        <f>VLOOKUP($W683,TBL_Categories,2,FALSE)</f>
        <v>Unplanned</v>
      </c>
      <c r="T683">
        <f>VLOOKUP($W683,TBL_Categories,3,FALSE)</f>
        <v>0</v>
      </c>
      <c r="U683" t="str">
        <f>VLOOKUP($W683,TBL_Categories,4,FALSE)</f>
        <v>No</v>
      </c>
      <c r="V683" t="str">
        <f>VLOOKUP($W683,TBL_Categories,5,FALSE)</f>
        <v>None</v>
      </c>
      <c r="W683" t="str">
        <f t="shared" si="32"/>
        <v>Shopping|Books</v>
      </c>
    </row>
    <row r="684" spans="1:23" x14ac:dyDescent="0.25">
      <c r="A684" t="s">
        <v>296</v>
      </c>
      <c r="B684" s="5">
        <v>41894</v>
      </c>
      <c r="C684">
        <v>-56.43</v>
      </c>
      <c r="D684" t="s">
        <v>304</v>
      </c>
      <c r="E684" t="s">
        <v>1303</v>
      </c>
      <c r="G684" t="s">
        <v>333</v>
      </c>
      <c r="K684" t="s">
        <v>61</v>
      </c>
      <c r="L684" t="s">
        <v>1530</v>
      </c>
      <c r="Q684" t="str">
        <f t="shared" si="30"/>
        <v>Sep</v>
      </c>
      <c r="R684">
        <f t="shared" si="31"/>
        <v>2014</v>
      </c>
      <c r="S684" t="str">
        <f>VLOOKUP($W684,TBL_Categories,2,FALSE)</f>
        <v>Monthly</v>
      </c>
      <c r="T684">
        <f>VLOOKUP($W684,TBL_Categories,3,FALSE)</f>
        <v>0</v>
      </c>
      <c r="U684" t="str">
        <f>VLOOKUP($W684,TBL_Categories,4,FALSE)</f>
        <v>No</v>
      </c>
      <c r="V684" t="str">
        <f>VLOOKUP($W684,TBL_Categories,5,FALSE)</f>
        <v>None</v>
      </c>
      <c r="W684" t="str">
        <f t="shared" si="32"/>
        <v>Food &amp; Dining|Restaurants</v>
      </c>
    </row>
    <row r="685" spans="1:23" x14ac:dyDescent="0.25">
      <c r="A685" t="s">
        <v>760</v>
      </c>
      <c r="B685" s="5">
        <v>41893</v>
      </c>
      <c r="C685">
        <v>-4.4800000000000004</v>
      </c>
      <c r="D685" t="s">
        <v>304</v>
      </c>
      <c r="E685" t="s">
        <v>451</v>
      </c>
      <c r="F685" t="s">
        <v>931</v>
      </c>
      <c r="G685" t="s">
        <v>341</v>
      </c>
      <c r="K685" t="s">
        <v>72</v>
      </c>
      <c r="L685" t="s">
        <v>1534</v>
      </c>
      <c r="Q685" t="str">
        <f t="shared" si="30"/>
        <v>Sep</v>
      </c>
      <c r="R685">
        <f t="shared" si="31"/>
        <v>2014</v>
      </c>
      <c r="S685" t="str">
        <f>VLOOKUP($W685,TBL_Categories,2,FALSE)</f>
        <v>Annual</v>
      </c>
      <c r="T685">
        <f>VLOOKUP($W685,TBL_Categories,3,FALSE)</f>
        <v>0</v>
      </c>
      <c r="U685" t="str">
        <f>VLOOKUP($W685,TBL_Categories,4,FALSE)</f>
        <v>No</v>
      </c>
      <c r="V685" t="str">
        <f>VLOOKUP($W685,TBL_Categories,5,FALSE)</f>
        <v>None</v>
      </c>
      <c r="W685" t="str">
        <f t="shared" si="32"/>
        <v>Shopping|Electronics &amp; Software</v>
      </c>
    </row>
    <row r="686" spans="1:23" x14ac:dyDescent="0.25">
      <c r="A686" t="s">
        <v>760</v>
      </c>
      <c r="B686" s="5">
        <v>41893</v>
      </c>
      <c r="C686">
        <v>-79.56</v>
      </c>
      <c r="D686" t="s">
        <v>304</v>
      </c>
      <c r="E686" t="s">
        <v>451</v>
      </c>
      <c r="F686" t="s">
        <v>932</v>
      </c>
      <c r="G686" t="s">
        <v>356</v>
      </c>
      <c r="K686" t="s">
        <v>62</v>
      </c>
      <c r="L686" t="s">
        <v>1545</v>
      </c>
      <c r="Q686" t="str">
        <f t="shared" si="30"/>
        <v>Sep</v>
      </c>
      <c r="R686">
        <f t="shared" si="31"/>
        <v>2014</v>
      </c>
      <c r="S686" t="str">
        <f>VLOOKUP($W686,TBL_Categories,2,FALSE)</f>
        <v>Irregular</v>
      </c>
      <c r="T686">
        <f>VLOOKUP($W686,TBL_Categories,3,FALSE)</f>
        <v>0</v>
      </c>
      <c r="U686" t="str">
        <f>VLOOKUP($W686,TBL_Categories,4,FALSE)</f>
        <v>No</v>
      </c>
      <c r="V686" t="str">
        <f>VLOOKUP($W686,TBL_Categories,5,FALSE)</f>
        <v>None</v>
      </c>
      <c r="W686" t="str">
        <f t="shared" si="32"/>
        <v>Health &amp; Fitness|Sports</v>
      </c>
    </row>
    <row r="687" spans="1:23" x14ac:dyDescent="0.25">
      <c r="A687" t="s">
        <v>296</v>
      </c>
      <c r="B687" s="5">
        <v>41893</v>
      </c>
      <c r="C687">
        <v>-5.22</v>
      </c>
      <c r="D687" t="s">
        <v>304</v>
      </c>
      <c r="E687" t="s">
        <v>461</v>
      </c>
      <c r="G687" t="s">
        <v>333</v>
      </c>
      <c r="K687" t="s">
        <v>61</v>
      </c>
      <c r="L687" t="s">
        <v>1530</v>
      </c>
      <c r="Q687" t="str">
        <f t="shared" si="30"/>
        <v>Sep</v>
      </c>
      <c r="R687">
        <f t="shared" si="31"/>
        <v>2014</v>
      </c>
      <c r="S687" t="str">
        <f>VLOOKUP($W687,TBL_Categories,2,FALSE)</f>
        <v>Monthly</v>
      </c>
      <c r="T687">
        <f>VLOOKUP($W687,TBL_Categories,3,FALSE)</f>
        <v>0</v>
      </c>
      <c r="U687" t="str">
        <f>VLOOKUP($W687,TBL_Categories,4,FALSE)</f>
        <v>No</v>
      </c>
      <c r="V687" t="str">
        <f>VLOOKUP($W687,TBL_Categories,5,FALSE)</f>
        <v>None</v>
      </c>
      <c r="W687" t="str">
        <f t="shared" si="32"/>
        <v>Food &amp; Dining|Restaurants</v>
      </c>
    </row>
    <row r="688" spans="1:23" x14ac:dyDescent="0.25">
      <c r="A688" t="s">
        <v>296</v>
      </c>
      <c r="B688" s="5">
        <v>41893</v>
      </c>
      <c r="C688">
        <v>-9.4</v>
      </c>
      <c r="D688" t="s">
        <v>304</v>
      </c>
      <c r="E688" t="s">
        <v>691</v>
      </c>
      <c r="G688" t="s">
        <v>333</v>
      </c>
      <c r="K688" t="s">
        <v>61</v>
      </c>
      <c r="L688" t="s">
        <v>1530</v>
      </c>
      <c r="Q688" t="str">
        <f t="shared" si="30"/>
        <v>Sep</v>
      </c>
      <c r="R688">
        <f t="shared" si="31"/>
        <v>2014</v>
      </c>
      <c r="S688" t="str">
        <f>VLOOKUP($W688,TBL_Categories,2,FALSE)</f>
        <v>Monthly</v>
      </c>
      <c r="T688">
        <f>VLOOKUP($W688,TBL_Categories,3,FALSE)</f>
        <v>0</v>
      </c>
      <c r="U688" t="str">
        <f>VLOOKUP($W688,TBL_Categories,4,FALSE)</f>
        <v>No</v>
      </c>
      <c r="V688" t="str">
        <f>VLOOKUP($W688,TBL_Categories,5,FALSE)</f>
        <v>None</v>
      </c>
      <c r="W688" t="str">
        <f t="shared" si="32"/>
        <v>Food &amp; Dining|Restaurants</v>
      </c>
    </row>
    <row r="689" spans="1:23" x14ac:dyDescent="0.25">
      <c r="A689" t="s">
        <v>296</v>
      </c>
      <c r="B689" s="5">
        <v>41893</v>
      </c>
      <c r="C689">
        <v>-18.329999999999998</v>
      </c>
      <c r="D689" t="s">
        <v>304</v>
      </c>
      <c r="E689" t="s">
        <v>1298</v>
      </c>
      <c r="G689" t="s">
        <v>333</v>
      </c>
      <c r="K689" t="s">
        <v>61</v>
      </c>
      <c r="L689" t="s">
        <v>1530</v>
      </c>
      <c r="Q689" t="str">
        <f t="shared" si="30"/>
        <v>Sep</v>
      </c>
      <c r="R689">
        <f t="shared" si="31"/>
        <v>2014</v>
      </c>
      <c r="S689" t="str">
        <f>VLOOKUP($W689,TBL_Categories,2,FALSE)</f>
        <v>Monthly</v>
      </c>
      <c r="T689">
        <f>VLOOKUP($W689,TBL_Categories,3,FALSE)</f>
        <v>0</v>
      </c>
      <c r="U689" t="str">
        <f>VLOOKUP($W689,TBL_Categories,4,FALSE)</f>
        <v>No</v>
      </c>
      <c r="V689" t="str">
        <f>VLOOKUP($W689,TBL_Categories,5,FALSE)</f>
        <v>None</v>
      </c>
      <c r="W689" t="str">
        <f t="shared" si="32"/>
        <v>Food &amp; Dining|Restaurants</v>
      </c>
    </row>
    <row r="690" spans="1:23" x14ac:dyDescent="0.25">
      <c r="A690" t="s">
        <v>296</v>
      </c>
      <c r="B690" s="5">
        <v>41893</v>
      </c>
      <c r="C690">
        <v>-25</v>
      </c>
      <c r="D690" t="s">
        <v>304</v>
      </c>
      <c r="E690" t="s">
        <v>1299</v>
      </c>
      <c r="F690" t="s">
        <v>1300</v>
      </c>
      <c r="G690" t="s">
        <v>906</v>
      </c>
      <c r="J690" t="s">
        <v>1550</v>
      </c>
      <c r="K690" t="s">
        <v>62</v>
      </c>
      <c r="L690" t="s">
        <v>1557</v>
      </c>
      <c r="Q690" t="str">
        <f t="shared" si="30"/>
        <v>Sep</v>
      </c>
      <c r="R690">
        <f t="shared" si="31"/>
        <v>2014</v>
      </c>
      <c r="S690" t="str">
        <f>VLOOKUP($W690,TBL_Categories,2,FALSE)</f>
        <v>Irregular</v>
      </c>
      <c r="T690">
        <f>VLOOKUP($W690,TBL_Categories,3,FALSE)</f>
        <v>0</v>
      </c>
      <c r="U690" t="str">
        <f>VLOOKUP($W690,TBL_Categories,4,FALSE)</f>
        <v>No</v>
      </c>
      <c r="V690" t="str">
        <f>VLOOKUP($W690,TBL_Categories,5,FALSE)</f>
        <v>None</v>
      </c>
      <c r="W690" t="str">
        <f t="shared" si="32"/>
        <v>Health &amp; Fitness|Eyecare</v>
      </c>
    </row>
    <row r="691" spans="1:23" x14ac:dyDescent="0.25">
      <c r="A691" t="s">
        <v>760</v>
      </c>
      <c r="B691" s="5">
        <v>41892</v>
      </c>
      <c r="C691">
        <v>-2.76</v>
      </c>
      <c r="D691" t="s">
        <v>304</v>
      </c>
      <c r="E691" t="s">
        <v>451</v>
      </c>
      <c r="F691" t="s">
        <v>930</v>
      </c>
      <c r="G691" t="s">
        <v>604</v>
      </c>
      <c r="K691" t="s">
        <v>55</v>
      </c>
      <c r="L691" t="s">
        <v>1572</v>
      </c>
      <c r="Q691" t="str">
        <f t="shared" si="30"/>
        <v>Sep</v>
      </c>
      <c r="R691">
        <f t="shared" si="31"/>
        <v>2014</v>
      </c>
      <c r="S691" t="str">
        <f>VLOOKUP($W691,TBL_Categories,2,FALSE)</f>
        <v>Irregular</v>
      </c>
      <c r="T691">
        <f>VLOOKUP($W691,TBL_Categories,3,FALSE)</f>
        <v>0</v>
      </c>
      <c r="U691" t="str">
        <f>VLOOKUP($W691,TBL_Categories,4,FALSE)</f>
        <v>No</v>
      </c>
      <c r="V691" t="str">
        <f>VLOOKUP($W691,TBL_Categories,5,FALSE)</f>
        <v>None</v>
      </c>
      <c r="W691" t="str">
        <f t="shared" si="32"/>
        <v>Business Expenses (Koolikai)|Tools</v>
      </c>
    </row>
    <row r="692" spans="1:23" x14ac:dyDescent="0.25">
      <c r="A692" t="s">
        <v>760</v>
      </c>
      <c r="B692" s="5">
        <v>41891</v>
      </c>
      <c r="C692">
        <v>-10</v>
      </c>
      <c r="D692" t="s">
        <v>304</v>
      </c>
      <c r="E692" t="s">
        <v>451</v>
      </c>
      <c r="F692" t="s">
        <v>929</v>
      </c>
      <c r="G692" t="s">
        <v>341</v>
      </c>
      <c r="K692" t="s">
        <v>72</v>
      </c>
      <c r="L692" t="s">
        <v>1534</v>
      </c>
      <c r="Q692" t="str">
        <f t="shared" si="30"/>
        <v>Sep</v>
      </c>
      <c r="R692">
        <f t="shared" si="31"/>
        <v>2014</v>
      </c>
      <c r="S692" t="str">
        <f>VLOOKUP($W692,TBL_Categories,2,FALSE)</f>
        <v>Annual</v>
      </c>
      <c r="T692">
        <f>VLOOKUP($W692,TBL_Categories,3,FALSE)</f>
        <v>0</v>
      </c>
      <c r="U692" t="str">
        <f>VLOOKUP($W692,TBL_Categories,4,FALSE)</f>
        <v>No</v>
      </c>
      <c r="V692" t="str">
        <f>VLOOKUP($W692,TBL_Categories,5,FALSE)</f>
        <v>None</v>
      </c>
      <c r="W692" t="str">
        <f t="shared" si="32"/>
        <v>Shopping|Electronics &amp; Software</v>
      </c>
    </row>
    <row r="693" spans="1:23" x14ac:dyDescent="0.25">
      <c r="A693" t="s">
        <v>633</v>
      </c>
      <c r="B693" s="5">
        <v>41891</v>
      </c>
      <c r="C693">
        <v>-0.01</v>
      </c>
      <c r="D693" t="s">
        <v>304</v>
      </c>
      <c r="E693" t="s">
        <v>985</v>
      </c>
      <c r="F693" t="s">
        <v>1021</v>
      </c>
      <c r="G693" t="s">
        <v>940</v>
      </c>
      <c r="K693" t="s">
        <v>29</v>
      </c>
      <c r="L693" t="s">
        <v>1573</v>
      </c>
      <c r="O693" t="s">
        <v>1607</v>
      </c>
      <c r="Q693" t="str">
        <f t="shared" si="30"/>
        <v>Sep</v>
      </c>
      <c r="R693">
        <f t="shared" si="31"/>
        <v>2014</v>
      </c>
      <c r="S693" t="str">
        <f>VLOOKUP($W693,TBL_Categories,2,FALSE)</f>
        <v>Irregular</v>
      </c>
      <c r="T693">
        <f>VLOOKUP($W693,TBL_Categories,3,FALSE)</f>
        <v>0</v>
      </c>
      <c r="U693" t="str">
        <f>VLOOKUP($W693,TBL_Categories,4,FALSE)</f>
        <v>No</v>
      </c>
      <c r="V693" t="str">
        <f>VLOOKUP($W693,TBL_Categories,5,FALSE)</f>
        <v>None</v>
      </c>
      <c r="W693" t="str">
        <f t="shared" si="32"/>
        <v>Work Expense|Reimbursable expense</v>
      </c>
    </row>
    <row r="694" spans="1:23" x14ac:dyDescent="0.25">
      <c r="A694" t="s">
        <v>296</v>
      </c>
      <c r="B694" s="5">
        <v>41891</v>
      </c>
      <c r="C694">
        <v>-10</v>
      </c>
      <c r="D694" t="s">
        <v>304</v>
      </c>
      <c r="E694" t="s">
        <v>426</v>
      </c>
      <c r="G694" t="s">
        <v>1059</v>
      </c>
      <c r="J694" t="s">
        <v>1550</v>
      </c>
      <c r="K694" t="s">
        <v>62</v>
      </c>
      <c r="L694" t="s">
        <v>1592</v>
      </c>
      <c r="Q694" t="str">
        <f t="shared" si="30"/>
        <v>Sep</v>
      </c>
      <c r="R694">
        <f t="shared" si="31"/>
        <v>2014</v>
      </c>
      <c r="S694" t="str">
        <f>VLOOKUP($W694,TBL_Categories,2,FALSE)</f>
        <v>Irregular</v>
      </c>
      <c r="T694">
        <f>VLOOKUP($W694,TBL_Categories,3,FALSE)</f>
        <v>0</v>
      </c>
      <c r="U694" t="str">
        <f>VLOOKUP($W694,TBL_Categories,4,FALSE)</f>
        <v>No</v>
      </c>
      <c r="V694" t="str">
        <f>VLOOKUP($W694,TBL_Categories,5,FALSE)</f>
        <v>None</v>
      </c>
      <c r="W694" t="str">
        <f t="shared" si="32"/>
        <v>Health &amp; Fitness|Pharmacy</v>
      </c>
    </row>
    <row r="695" spans="1:23" x14ac:dyDescent="0.25">
      <c r="A695" t="s">
        <v>296</v>
      </c>
      <c r="B695" s="5">
        <v>41891</v>
      </c>
      <c r="C695">
        <v>-29.61</v>
      </c>
      <c r="D695" t="s">
        <v>304</v>
      </c>
      <c r="E695" t="s">
        <v>433</v>
      </c>
      <c r="G695" t="s">
        <v>887</v>
      </c>
      <c r="J695" t="s">
        <v>1550</v>
      </c>
      <c r="K695" t="s">
        <v>61</v>
      </c>
      <c r="L695" t="s">
        <v>401</v>
      </c>
      <c r="Q695" t="str">
        <f t="shared" si="30"/>
        <v>Sep</v>
      </c>
      <c r="R695">
        <f t="shared" si="31"/>
        <v>2014</v>
      </c>
      <c r="S695" t="str">
        <f>VLOOKUP($W695,TBL_Categories,2,FALSE)</f>
        <v>Monthly</v>
      </c>
      <c r="T695">
        <f>VLOOKUP($W695,TBL_Categories,3,FALSE)</f>
        <v>0</v>
      </c>
      <c r="U695" t="str">
        <f>VLOOKUP($W695,TBL_Categories,4,FALSE)</f>
        <v>No</v>
      </c>
      <c r="V695" t="str">
        <f>VLOOKUP($W695,TBL_Categories,5,FALSE)</f>
        <v>None</v>
      </c>
      <c r="W695" t="str">
        <f t="shared" si="32"/>
        <v>Food &amp; Dining|Groceries</v>
      </c>
    </row>
    <row r="696" spans="1:23" x14ac:dyDescent="0.25">
      <c r="A696" t="s">
        <v>284</v>
      </c>
      <c r="B696" s="5">
        <v>41890</v>
      </c>
      <c r="C696">
        <v>109.69</v>
      </c>
      <c r="D696" t="s">
        <v>304</v>
      </c>
      <c r="E696" t="s">
        <v>825</v>
      </c>
      <c r="F696" t="s">
        <v>645</v>
      </c>
      <c r="G696" t="s">
        <v>641</v>
      </c>
      <c r="K696" t="s">
        <v>641</v>
      </c>
      <c r="Q696" t="str">
        <f t="shared" si="30"/>
        <v>Sep</v>
      </c>
      <c r="R696">
        <f t="shared" si="31"/>
        <v>2014</v>
      </c>
      <c r="S696" t="e">
        <f>VLOOKUP($W696,TBL_Categories,2,FALSE)</f>
        <v>#N/A</v>
      </c>
      <c r="T696" t="e">
        <f>VLOOKUP($W696,TBL_Categories,3,FALSE)</f>
        <v>#N/A</v>
      </c>
      <c r="U696" t="e">
        <f>VLOOKUP($W696,TBL_Categories,4,FALSE)</f>
        <v>#N/A</v>
      </c>
      <c r="V696" t="e">
        <f>VLOOKUP($W696,TBL_Categories,5,FALSE)</f>
        <v>#N/A</v>
      </c>
      <c r="W696" t="str">
        <f t="shared" si="32"/>
        <v>Morale Money</v>
      </c>
    </row>
    <row r="697" spans="1:23" x14ac:dyDescent="0.25">
      <c r="A697" t="s">
        <v>288</v>
      </c>
      <c r="B697" s="5">
        <v>41890</v>
      </c>
      <c r="C697" s="4">
        <v>2295</v>
      </c>
      <c r="D697" t="s">
        <v>304</v>
      </c>
      <c r="E697" t="s">
        <v>383</v>
      </c>
      <c r="F697" t="s">
        <v>394</v>
      </c>
      <c r="G697" t="s">
        <v>386</v>
      </c>
      <c r="J697">
        <v>7231</v>
      </c>
      <c r="K697" t="s">
        <v>33</v>
      </c>
      <c r="L697" t="s">
        <v>1519</v>
      </c>
      <c r="Q697" t="str">
        <f t="shared" si="30"/>
        <v>Sep</v>
      </c>
      <c r="R697">
        <f t="shared" si="31"/>
        <v>2014</v>
      </c>
      <c r="S697" t="str">
        <f>VLOOKUP($W697,TBL_Categories,2,FALSE)</f>
        <v>Monthly</v>
      </c>
      <c r="T697">
        <f>VLOOKUP($W697,TBL_Categories,3,FALSE)</f>
        <v>0</v>
      </c>
      <c r="U697" t="str">
        <f>VLOOKUP($W697,TBL_Categories,4,FALSE)</f>
        <v>No</v>
      </c>
      <c r="V697" t="str">
        <f>VLOOKUP($W697,TBL_Categories,5,FALSE)</f>
        <v>None</v>
      </c>
      <c r="W697" t="str">
        <f t="shared" si="32"/>
        <v>Business Income (Koolikai)|Rent</v>
      </c>
    </row>
    <row r="698" spans="1:23" x14ac:dyDescent="0.25">
      <c r="A698" t="s">
        <v>291</v>
      </c>
      <c r="B698" s="5">
        <v>41890</v>
      </c>
      <c r="C698">
        <v>26.84</v>
      </c>
      <c r="D698" t="s">
        <v>304</v>
      </c>
      <c r="E698" t="s">
        <v>411</v>
      </c>
      <c r="F698" t="s">
        <v>925</v>
      </c>
      <c r="G698" t="s">
        <v>900</v>
      </c>
      <c r="J698" t="s">
        <v>1550</v>
      </c>
      <c r="K698" t="s">
        <v>72</v>
      </c>
      <c r="L698" t="s">
        <v>1565</v>
      </c>
      <c r="M698" t="s">
        <v>1566</v>
      </c>
      <c r="Q698" t="str">
        <f t="shared" si="30"/>
        <v>Sep</v>
      </c>
      <c r="R698">
        <f t="shared" si="31"/>
        <v>2014</v>
      </c>
      <c r="S698" t="str">
        <f>VLOOKUP($W698,TBL_Categories,2,FALSE)</f>
        <v>Annual</v>
      </c>
      <c r="T698">
        <f>VLOOKUP($W698,TBL_Categories,3,FALSE)</f>
        <v>0</v>
      </c>
      <c r="U698" t="str">
        <f>VLOOKUP($W698,TBL_Categories,4,FALSE)</f>
        <v>No</v>
      </c>
      <c r="V698" t="str">
        <f>VLOOKUP($W698,TBL_Categories,5,FALSE)</f>
        <v>None</v>
      </c>
      <c r="W698" t="str">
        <f t="shared" si="32"/>
        <v>Shopping|Hobbies</v>
      </c>
    </row>
    <row r="699" spans="1:23" x14ac:dyDescent="0.25">
      <c r="A699" t="s">
        <v>291</v>
      </c>
      <c r="B699" s="5">
        <v>41890</v>
      </c>
      <c r="C699">
        <v>-127.85</v>
      </c>
      <c r="D699" t="s">
        <v>304</v>
      </c>
      <c r="E699" t="s">
        <v>400</v>
      </c>
      <c r="G699" t="s">
        <v>342</v>
      </c>
      <c r="K699" t="s">
        <v>61</v>
      </c>
      <c r="L699" t="s">
        <v>401</v>
      </c>
      <c r="Q699" t="str">
        <f t="shared" si="30"/>
        <v>Sep</v>
      </c>
      <c r="R699">
        <f t="shared" si="31"/>
        <v>2014</v>
      </c>
      <c r="S699" t="str">
        <f>VLOOKUP($W699,TBL_Categories,2,FALSE)</f>
        <v>Monthly</v>
      </c>
      <c r="T699">
        <f>VLOOKUP($W699,TBL_Categories,3,FALSE)</f>
        <v>0</v>
      </c>
      <c r="U699" t="str">
        <f>VLOOKUP($W699,TBL_Categories,4,FALSE)</f>
        <v>No</v>
      </c>
      <c r="V699" t="str">
        <f>VLOOKUP($W699,TBL_Categories,5,FALSE)</f>
        <v>None</v>
      </c>
      <c r="W699" t="str">
        <f t="shared" si="32"/>
        <v>Food &amp; Dining|Groceries</v>
      </c>
    </row>
    <row r="700" spans="1:23" x14ac:dyDescent="0.25">
      <c r="A700" t="s">
        <v>760</v>
      </c>
      <c r="B700" s="5">
        <v>41890</v>
      </c>
      <c r="C700">
        <v>0</v>
      </c>
      <c r="D700" t="s">
        <v>304</v>
      </c>
      <c r="E700" t="s">
        <v>634</v>
      </c>
      <c r="G700" t="s">
        <v>830</v>
      </c>
      <c r="K700" t="s">
        <v>830</v>
      </c>
      <c r="Q700" t="str">
        <f t="shared" si="30"/>
        <v>Sep</v>
      </c>
      <c r="R700">
        <f t="shared" si="31"/>
        <v>2014</v>
      </c>
      <c r="S700" t="e">
        <f>VLOOKUP($W700,TBL_Categories,2,FALSE)</f>
        <v>#N/A</v>
      </c>
      <c r="T700" t="e">
        <f>VLOOKUP($W700,TBL_Categories,3,FALSE)</f>
        <v>#N/A</v>
      </c>
      <c r="U700" t="e">
        <f>VLOOKUP($W700,TBL_Categories,4,FALSE)</f>
        <v>#N/A</v>
      </c>
      <c r="V700" t="e">
        <f>VLOOKUP($W700,TBL_Categories,5,FALSE)</f>
        <v>#N/A</v>
      </c>
      <c r="W700" t="str">
        <f t="shared" si="32"/>
        <v>[Chase Amazon (XX8482)]</v>
      </c>
    </row>
    <row r="701" spans="1:23" x14ac:dyDescent="0.25">
      <c r="A701" t="s">
        <v>296</v>
      </c>
      <c r="B701" s="5">
        <v>41889</v>
      </c>
      <c r="C701">
        <v>2.93</v>
      </c>
      <c r="D701" t="s">
        <v>304</v>
      </c>
      <c r="E701" t="s">
        <v>422</v>
      </c>
      <c r="F701" t="s">
        <v>1296</v>
      </c>
      <c r="G701" t="s">
        <v>611</v>
      </c>
      <c r="K701" t="s">
        <v>90</v>
      </c>
      <c r="L701" t="s">
        <v>1591</v>
      </c>
      <c r="Q701" t="str">
        <f t="shared" si="30"/>
        <v>Sep</v>
      </c>
      <c r="R701">
        <f t="shared" si="31"/>
        <v>2014</v>
      </c>
      <c r="S701" t="str">
        <f>VLOOKUP($W701,TBL_Categories,2,FALSE)</f>
        <v>Unplanned</v>
      </c>
      <c r="T701">
        <f>VLOOKUP($W701,TBL_Categories,3,FALSE)</f>
        <v>0</v>
      </c>
      <c r="U701" t="str">
        <f>VLOOKUP($W701,TBL_Categories,4,FALSE)</f>
        <v>No</v>
      </c>
      <c r="V701" t="str">
        <f>VLOOKUP($W701,TBL_Categories,5,FALSE)</f>
        <v>None</v>
      </c>
      <c r="W701" t="str">
        <f t="shared" si="32"/>
        <v>Projects|Electric Car Setup</v>
      </c>
    </row>
    <row r="702" spans="1:23" x14ac:dyDescent="0.25">
      <c r="A702" t="s">
        <v>296</v>
      </c>
      <c r="B702" s="5">
        <v>41889</v>
      </c>
      <c r="C702">
        <v>-36</v>
      </c>
      <c r="D702" t="s">
        <v>304</v>
      </c>
      <c r="E702" t="s">
        <v>1297</v>
      </c>
      <c r="G702" t="s">
        <v>316</v>
      </c>
      <c r="K702" t="s">
        <v>66</v>
      </c>
      <c r="L702" t="s">
        <v>1522</v>
      </c>
      <c r="Q702" t="str">
        <f t="shared" si="30"/>
        <v>Sep</v>
      </c>
      <c r="R702">
        <f t="shared" si="31"/>
        <v>2014</v>
      </c>
      <c r="S702" t="str">
        <f>VLOOKUP($W702,TBL_Categories,2,FALSE)</f>
        <v>Monthly</v>
      </c>
      <c r="T702">
        <f>VLOOKUP($W702,TBL_Categories,3,FALSE)</f>
        <v>0</v>
      </c>
      <c r="U702" t="str">
        <f>VLOOKUP($W702,TBL_Categories,4,FALSE)</f>
        <v>No</v>
      </c>
      <c r="V702" t="str">
        <f>VLOOKUP($W702,TBL_Categories,5,FALSE)</f>
        <v>None</v>
      </c>
      <c r="W702" t="str">
        <f t="shared" si="32"/>
        <v>Kids|Daycare</v>
      </c>
    </row>
    <row r="703" spans="1:23" x14ac:dyDescent="0.25">
      <c r="A703" t="s">
        <v>296</v>
      </c>
      <c r="B703" s="5">
        <v>41888</v>
      </c>
      <c r="C703">
        <v>-3.7</v>
      </c>
      <c r="D703" t="s">
        <v>304</v>
      </c>
      <c r="E703" t="s">
        <v>994</v>
      </c>
      <c r="G703" t="s">
        <v>432</v>
      </c>
      <c r="K703" t="s">
        <v>52</v>
      </c>
      <c r="L703" t="s">
        <v>1577</v>
      </c>
      <c r="Q703" t="str">
        <f t="shared" si="30"/>
        <v>Sep</v>
      </c>
      <c r="R703">
        <f t="shared" si="31"/>
        <v>2014</v>
      </c>
      <c r="S703" t="str">
        <f>VLOOKUP($W703,TBL_Categories,2,FALSE)</f>
        <v>Monthly</v>
      </c>
      <c r="T703">
        <f>VLOOKUP($W703,TBL_Categories,3,FALSE)</f>
        <v>0</v>
      </c>
      <c r="U703" t="str">
        <f>VLOOKUP($W703,TBL_Categories,4,FALSE)</f>
        <v>No</v>
      </c>
      <c r="V703" t="str">
        <f>VLOOKUP($W703,TBL_Categories,5,FALSE)</f>
        <v>None</v>
      </c>
      <c r="W703" t="str">
        <f t="shared" si="32"/>
        <v>Auto &amp; Transport|Parking</v>
      </c>
    </row>
    <row r="704" spans="1:23" x14ac:dyDescent="0.25">
      <c r="A704" t="s">
        <v>296</v>
      </c>
      <c r="B704" s="5">
        <v>41888</v>
      </c>
      <c r="C704">
        <v>-5.25</v>
      </c>
      <c r="D704" t="s">
        <v>304</v>
      </c>
      <c r="E704" t="s">
        <v>439</v>
      </c>
      <c r="G704" t="s">
        <v>887</v>
      </c>
      <c r="J704" t="s">
        <v>1550</v>
      </c>
      <c r="K704" t="s">
        <v>61</v>
      </c>
      <c r="L704" t="s">
        <v>401</v>
      </c>
      <c r="Q704" t="str">
        <f t="shared" si="30"/>
        <v>Sep</v>
      </c>
      <c r="R704">
        <f t="shared" si="31"/>
        <v>2014</v>
      </c>
      <c r="S704" t="str">
        <f>VLOOKUP($W704,TBL_Categories,2,FALSE)</f>
        <v>Monthly</v>
      </c>
      <c r="T704">
        <f>VLOOKUP($W704,TBL_Categories,3,FALSE)</f>
        <v>0</v>
      </c>
      <c r="U704" t="str">
        <f>VLOOKUP($W704,TBL_Categories,4,FALSE)</f>
        <v>No</v>
      </c>
      <c r="V704" t="str">
        <f>VLOOKUP($W704,TBL_Categories,5,FALSE)</f>
        <v>None</v>
      </c>
      <c r="W704" t="str">
        <f t="shared" si="32"/>
        <v>Food &amp; Dining|Groceries</v>
      </c>
    </row>
    <row r="705" spans="1:23" x14ac:dyDescent="0.25">
      <c r="A705" t="s">
        <v>296</v>
      </c>
      <c r="B705" s="5">
        <v>41888</v>
      </c>
      <c r="C705">
        <v>-26.99</v>
      </c>
      <c r="D705" t="s">
        <v>304</v>
      </c>
      <c r="E705" t="s">
        <v>1294</v>
      </c>
      <c r="G705" t="s">
        <v>333</v>
      </c>
      <c r="K705" t="s">
        <v>61</v>
      </c>
      <c r="L705" t="s">
        <v>1530</v>
      </c>
      <c r="Q705" t="str">
        <f t="shared" si="30"/>
        <v>Sep</v>
      </c>
      <c r="R705">
        <f t="shared" si="31"/>
        <v>2014</v>
      </c>
      <c r="S705" t="str">
        <f>VLOOKUP($W705,TBL_Categories,2,FALSE)</f>
        <v>Monthly</v>
      </c>
      <c r="T705">
        <f>VLOOKUP($W705,TBL_Categories,3,FALSE)</f>
        <v>0</v>
      </c>
      <c r="U705" t="str">
        <f>VLOOKUP($W705,TBL_Categories,4,FALSE)</f>
        <v>No</v>
      </c>
      <c r="V705" t="str">
        <f>VLOOKUP($W705,TBL_Categories,5,FALSE)</f>
        <v>None</v>
      </c>
      <c r="W705" t="str">
        <f t="shared" si="32"/>
        <v>Food &amp; Dining|Restaurants</v>
      </c>
    </row>
    <row r="706" spans="1:23" x14ac:dyDescent="0.25">
      <c r="A706" t="s">
        <v>296</v>
      </c>
      <c r="B706" s="5">
        <v>41888</v>
      </c>
      <c r="C706">
        <v>-30.45</v>
      </c>
      <c r="D706" t="s">
        <v>304</v>
      </c>
      <c r="E706" t="s">
        <v>1295</v>
      </c>
      <c r="G706" t="s">
        <v>887</v>
      </c>
      <c r="J706" t="s">
        <v>1550</v>
      </c>
      <c r="K706" t="s">
        <v>61</v>
      </c>
      <c r="L706" t="s">
        <v>401</v>
      </c>
      <c r="Q706" t="str">
        <f t="shared" ref="Q706:Q769" si="33">TEXT($B706,"MMM")</f>
        <v>Sep</v>
      </c>
      <c r="R706">
        <f t="shared" ref="R706:R769" si="34">YEAR($B706)</f>
        <v>2014</v>
      </c>
      <c r="S706" t="str">
        <f>VLOOKUP($W706,TBL_Categories,2,FALSE)</f>
        <v>Monthly</v>
      </c>
      <c r="T706">
        <f>VLOOKUP($W706,TBL_Categories,3,FALSE)</f>
        <v>0</v>
      </c>
      <c r="U706" t="str">
        <f>VLOOKUP($W706,TBL_Categories,4,FALSE)</f>
        <v>No</v>
      </c>
      <c r="V706" t="str">
        <f>VLOOKUP($W706,TBL_Categories,5,FALSE)</f>
        <v>None</v>
      </c>
      <c r="W706" t="str">
        <f t="shared" ref="W706:W769" si="35">IF(ISBLANK($L706),$K706,CONCATENATE($K706,"|",$L706))</f>
        <v>Food &amp; Dining|Groceries</v>
      </c>
    </row>
    <row r="707" spans="1:23" x14ac:dyDescent="0.25">
      <c r="A707" t="s">
        <v>296</v>
      </c>
      <c r="B707" s="5">
        <v>41888</v>
      </c>
      <c r="C707">
        <v>-98.08</v>
      </c>
      <c r="D707" t="s">
        <v>304</v>
      </c>
      <c r="E707" t="s">
        <v>653</v>
      </c>
      <c r="G707" t="s">
        <v>333</v>
      </c>
      <c r="K707" t="s">
        <v>61</v>
      </c>
      <c r="L707" t="s">
        <v>1530</v>
      </c>
      <c r="Q707" t="str">
        <f t="shared" si="33"/>
        <v>Sep</v>
      </c>
      <c r="R707">
        <f t="shared" si="34"/>
        <v>2014</v>
      </c>
      <c r="S707" t="str">
        <f>VLOOKUP($W707,TBL_Categories,2,FALSE)</f>
        <v>Monthly</v>
      </c>
      <c r="T707">
        <f>VLOOKUP($W707,TBL_Categories,3,FALSE)</f>
        <v>0</v>
      </c>
      <c r="U707" t="str">
        <f>VLOOKUP($W707,TBL_Categories,4,FALSE)</f>
        <v>No</v>
      </c>
      <c r="V707" t="str">
        <f>VLOOKUP($W707,TBL_Categories,5,FALSE)</f>
        <v>None</v>
      </c>
      <c r="W707" t="str">
        <f t="shared" si="35"/>
        <v>Food &amp; Dining|Restaurants</v>
      </c>
    </row>
    <row r="708" spans="1:23" x14ac:dyDescent="0.25">
      <c r="A708" t="s">
        <v>296</v>
      </c>
      <c r="B708" s="5">
        <v>41888</v>
      </c>
      <c r="C708">
        <v>-128.30000000000001</v>
      </c>
      <c r="D708" t="s">
        <v>304</v>
      </c>
      <c r="E708" t="s">
        <v>433</v>
      </c>
      <c r="G708" t="s">
        <v>887</v>
      </c>
      <c r="J708" t="s">
        <v>1550</v>
      </c>
      <c r="K708" t="s">
        <v>61</v>
      </c>
      <c r="L708" t="s">
        <v>401</v>
      </c>
      <c r="Q708" t="str">
        <f t="shared" si="33"/>
        <v>Sep</v>
      </c>
      <c r="R708">
        <f t="shared" si="34"/>
        <v>2014</v>
      </c>
      <c r="S708" t="str">
        <f>VLOOKUP($W708,TBL_Categories,2,FALSE)</f>
        <v>Monthly</v>
      </c>
      <c r="T708">
        <f>VLOOKUP($W708,TBL_Categories,3,FALSE)</f>
        <v>0</v>
      </c>
      <c r="U708" t="str">
        <f>VLOOKUP($W708,TBL_Categories,4,FALSE)</f>
        <v>No</v>
      </c>
      <c r="V708" t="str">
        <f>VLOOKUP($W708,TBL_Categories,5,FALSE)</f>
        <v>None</v>
      </c>
      <c r="W708" t="str">
        <f t="shared" si="35"/>
        <v>Food &amp; Dining|Groceries</v>
      </c>
    </row>
    <row r="709" spans="1:23" x14ac:dyDescent="0.25">
      <c r="A709" t="s">
        <v>284</v>
      </c>
      <c r="B709" s="5">
        <v>41887</v>
      </c>
      <c r="C709">
        <v>-53.25</v>
      </c>
      <c r="D709" t="s">
        <v>304</v>
      </c>
      <c r="E709" t="s">
        <v>823</v>
      </c>
      <c r="F709" t="s">
        <v>824</v>
      </c>
      <c r="G709" t="s">
        <v>585</v>
      </c>
      <c r="K709" t="s">
        <v>62</v>
      </c>
      <c r="L709" t="s">
        <v>1524</v>
      </c>
      <c r="Q709" t="str">
        <f t="shared" si="33"/>
        <v>Sep</v>
      </c>
      <c r="R709">
        <f t="shared" si="34"/>
        <v>2014</v>
      </c>
      <c r="S709" t="str">
        <f>VLOOKUP($W709,TBL_Categories,2,FALSE)</f>
        <v>Irregular</v>
      </c>
      <c r="T709">
        <f>VLOOKUP($W709,TBL_Categories,3,FALSE)</f>
        <v>0</v>
      </c>
      <c r="U709" t="str">
        <f>VLOOKUP($W709,TBL_Categories,4,FALSE)</f>
        <v>No</v>
      </c>
      <c r="V709" t="str">
        <f>VLOOKUP($W709,TBL_Categories,5,FALSE)</f>
        <v>None</v>
      </c>
      <c r="W709" t="str">
        <f t="shared" si="35"/>
        <v>Health &amp; Fitness|Dentist</v>
      </c>
    </row>
    <row r="710" spans="1:23" x14ac:dyDescent="0.25">
      <c r="A710" t="s">
        <v>284</v>
      </c>
      <c r="B710" s="5">
        <v>41887</v>
      </c>
      <c r="C710" s="4">
        <v>-3864.19</v>
      </c>
      <c r="D710" t="s">
        <v>304</v>
      </c>
      <c r="E710" t="s">
        <v>344</v>
      </c>
      <c r="F710" t="s">
        <v>349</v>
      </c>
      <c r="G710" t="s">
        <v>320</v>
      </c>
      <c r="K710" t="s">
        <v>63</v>
      </c>
      <c r="L710" t="s">
        <v>1526</v>
      </c>
      <c r="Q710" t="str">
        <f t="shared" si="33"/>
        <v>Sep</v>
      </c>
      <c r="R710">
        <f t="shared" si="34"/>
        <v>2014</v>
      </c>
      <c r="S710" t="str">
        <f>VLOOKUP($W710,TBL_Categories,2,FALSE)</f>
        <v>Monthly</v>
      </c>
      <c r="T710">
        <f>VLOOKUP($W710,TBL_Categories,3,FALSE)</f>
        <v>0</v>
      </c>
      <c r="U710" t="str">
        <f>VLOOKUP($W710,TBL_Categories,4,FALSE)</f>
        <v>No</v>
      </c>
      <c r="V710" t="str">
        <f>VLOOKUP($W710,TBL_Categories,5,FALSE)</f>
        <v>None</v>
      </c>
      <c r="W710" t="str">
        <f t="shared" si="35"/>
        <v>Home|Mortgage</v>
      </c>
    </row>
    <row r="711" spans="1:23" x14ac:dyDescent="0.25">
      <c r="A711" t="s">
        <v>296</v>
      </c>
      <c r="B711" s="5">
        <v>41887</v>
      </c>
      <c r="C711">
        <v>-7.04</v>
      </c>
      <c r="D711" t="s">
        <v>304</v>
      </c>
      <c r="E711" t="s">
        <v>679</v>
      </c>
      <c r="G711" t="s">
        <v>333</v>
      </c>
      <c r="K711" t="s">
        <v>61</v>
      </c>
      <c r="L711" t="s">
        <v>1530</v>
      </c>
      <c r="Q711" t="str">
        <f t="shared" si="33"/>
        <v>Sep</v>
      </c>
      <c r="R711">
        <f t="shared" si="34"/>
        <v>2014</v>
      </c>
      <c r="S711" t="str">
        <f>VLOOKUP($W711,TBL_Categories,2,FALSE)</f>
        <v>Monthly</v>
      </c>
      <c r="T711">
        <f>VLOOKUP($W711,TBL_Categories,3,FALSE)</f>
        <v>0</v>
      </c>
      <c r="U711" t="str">
        <f>VLOOKUP($W711,TBL_Categories,4,FALSE)</f>
        <v>No</v>
      </c>
      <c r="V711" t="str">
        <f>VLOOKUP($W711,TBL_Categories,5,FALSE)</f>
        <v>None</v>
      </c>
      <c r="W711" t="str">
        <f t="shared" si="35"/>
        <v>Food &amp; Dining|Restaurants</v>
      </c>
    </row>
    <row r="712" spans="1:23" x14ac:dyDescent="0.25">
      <c r="A712" t="s">
        <v>296</v>
      </c>
      <c r="B712" s="5">
        <v>41886</v>
      </c>
      <c r="C712">
        <v>-5.1100000000000003</v>
      </c>
      <c r="D712" t="s">
        <v>304</v>
      </c>
      <c r="E712" t="s">
        <v>1291</v>
      </c>
      <c r="G712" t="s">
        <v>333</v>
      </c>
      <c r="K712" t="s">
        <v>61</v>
      </c>
      <c r="L712" t="s">
        <v>1530</v>
      </c>
      <c r="Q712" t="str">
        <f t="shared" si="33"/>
        <v>Sep</v>
      </c>
      <c r="R712">
        <f t="shared" si="34"/>
        <v>2014</v>
      </c>
      <c r="S712" t="str">
        <f>VLOOKUP($W712,TBL_Categories,2,FALSE)</f>
        <v>Monthly</v>
      </c>
      <c r="T712">
        <f>VLOOKUP($W712,TBL_Categories,3,FALSE)</f>
        <v>0</v>
      </c>
      <c r="U712" t="str">
        <f>VLOOKUP($W712,TBL_Categories,4,FALSE)</f>
        <v>No</v>
      </c>
      <c r="V712" t="str">
        <f>VLOOKUP($W712,TBL_Categories,5,FALSE)</f>
        <v>None</v>
      </c>
      <c r="W712" t="str">
        <f t="shared" si="35"/>
        <v>Food &amp; Dining|Restaurants</v>
      </c>
    </row>
    <row r="713" spans="1:23" x14ac:dyDescent="0.25">
      <c r="A713" t="s">
        <v>296</v>
      </c>
      <c r="B713" s="5">
        <v>41886</v>
      </c>
      <c r="C713">
        <v>-32.03</v>
      </c>
      <c r="D713" t="s">
        <v>304</v>
      </c>
      <c r="E713" t="s">
        <v>669</v>
      </c>
      <c r="G713" t="s">
        <v>333</v>
      </c>
      <c r="K713" t="s">
        <v>61</v>
      </c>
      <c r="L713" t="s">
        <v>1530</v>
      </c>
      <c r="Q713" t="str">
        <f t="shared" si="33"/>
        <v>Sep</v>
      </c>
      <c r="R713">
        <f t="shared" si="34"/>
        <v>2014</v>
      </c>
      <c r="S713" t="str">
        <f>VLOOKUP($W713,TBL_Categories,2,FALSE)</f>
        <v>Monthly</v>
      </c>
      <c r="T713">
        <f>VLOOKUP($W713,TBL_Categories,3,FALSE)</f>
        <v>0</v>
      </c>
      <c r="U713" t="str">
        <f>VLOOKUP($W713,TBL_Categories,4,FALSE)</f>
        <v>No</v>
      </c>
      <c r="V713" t="str">
        <f>VLOOKUP($W713,TBL_Categories,5,FALSE)</f>
        <v>None</v>
      </c>
      <c r="W713" t="str">
        <f t="shared" si="35"/>
        <v>Food &amp; Dining|Restaurants</v>
      </c>
    </row>
    <row r="714" spans="1:23" x14ac:dyDescent="0.25">
      <c r="A714" t="s">
        <v>296</v>
      </c>
      <c r="B714" s="5">
        <v>41886</v>
      </c>
      <c r="C714">
        <v>-36</v>
      </c>
      <c r="D714" t="s">
        <v>304</v>
      </c>
      <c r="E714" t="s">
        <v>1292</v>
      </c>
      <c r="F714" t="s">
        <v>1293</v>
      </c>
      <c r="G714" t="s">
        <v>17</v>
      </c>
      <c r="K714" t="s">
        <v>17</v>
      </c>
      <c r="Q714" t="str">
        <f t="shared" si="33"/>
        <v>Sep</v>
      </c>
      <c r="R714">
        <f t="shared" si="34"/>
        <v>2014</v>
      </c>
      <c r="S714" t="str">
        <f>VLOOKUP($W714,TBL_Categories,2,FALSE)</f>
        <v>Monthly</v>
      </c>
      <c r="T714">
        <f>VLOOKUP($W714,TBL_Categories,3,FALSE)</f>
        <v>0</v>
      </c>
      <c r="U714" t="str">
        <f>VLOOKUP($W714,TBL_Categories,4,FALSE)</f>
        <v>No</v>
      </c>
      <c r="V714" t="str">
        <f>VLOOKUP($W714,TBL_Categories,5,FALSE)</f>
        <v>None</v>
      </c>
      <c r="W714" t="str">
        <f t="shared" si="35"/>
        <v>Entertainment</v>
      </c>
    </row>
    <row r="715" spans="1:23" x14ac:dyDescent="0.25">
      <c r="A715" t="s">
        <v>284</v>
      </c>
      <c r="B715" s="5">
        <v>41885</v>
      </c>
      <c r="C715">
        <v>-500</v>
      </c>
      <c r="D715" t="s">
        <v>304</v>
      </c>
      <c r="E715" t="s">
        <v>338</v>
      </c>
      <c r="F715" t="s">
        <v>339</v>
      </c>
      <c r="G715" t="s">
        <v>340</v>
      </c>
      <c r="K715" t="s">
        <v>66</v>
      </c>
      <c r="L715" t="s">
        <v>1533</v>
      </c>
      <c r="Q715" t="str">
        <f t="shared" si="33"/>
        <v>Sep</v>
      </c>
      <c r="R715">
        <f t="shared" si="34"/>
        <v>2014</v>
      </c>
      <c r="S715" t="str">
        <f>VLOOKUP($W715,TBL_Categories,2,FALSE)</f>
        <v>Monthly</v>
      </c>
      <c r="T715">
        <f>VLOOKUP($W715,TBL_Categories,3,FALSE)</f>
        <v>0</v>
      </c>
      <c r="U715" t="str">
        <f>VLOOKUP($W715,TBL_Categories,4,FALSE)</f>
        <v>No</v>
      </c>
      <c r="V715" t="str">
        <f>VLOOKUP($W715,TBL_Categories,5,FALSE)</f>
        <v>None</v>
      </c>
      <c r="W715" t="str">
        <f t="shared" si="35"/>
        <v>Kids|American Funds 529A</v>
      </c>
    </row>
    <row r="716" spans="1:23" x14ac:dyDescent="0.25">
      <c r="A716" t="s">
        <v>284</v>
      </c>
      <c r="B716" s="5">
        <v>41885</v>
      </c>
      <c r="C716" s="4">
        <v>-2033.91</v>
      </c>
      <c r="D716" t="s">
        <v>304</v>
      </c>
      <c r="E716" t="s">
        <v>318</v>
      </c>
      <c r="F716" t="s">
        <v>378</v>
      </c>
      <c r="G716" t="s">
        <v>379</v>
      </c>
      <c r="J716">
        <v>9602</v>
      </c>
      <c r="K716" t="s">
        <v>55</v>
      </c>
      <c r="L716" t="s">
        <v>1525</v>
      </c>
      <c r="Q716" t="str">
        <f t="shared" si="33"/>
        <v>Sep</v>
      </c>
      <c r="R716">
        <f t="shared" si="34"/>
        <v>2014</v>
      </c>
      <c r="S716" t="str">
        <f>VLOOKUP($W716,TBL_Categories,2,FALSE)</f>
        <v>Monthly</v>
      </c>
      <c r="T716">
        <f>VLOOKUP($W716,TBL_Categories,3,FALSE)</f>
        <v>0</v>
      </c>
      <c r="U716" t="str">
        <f>VLOOKUP($W716,TBL_Categories,4,FALSE)</f>
        <v>No</v>
      </c>
      <c r="V716" t="str">
        <f>VLOOKUP($W716,TBL_Categories,5,FALSE)</f>
        <v>None</v>
      </c>
      <c r="W716" t="str">
        <f t="shared" si="35"/>
        <v>Business Expenses (Koolikai)|Mortgage (Business)</v>
      </c>
    </row>
    <row r="717" spans="1:23" x14ac:dyDescent="0.25">
      <c r="A717" t="s">
        <v>284</v>
      </c>
      <c r="B717" s="5">
        <v>41885</v>
      </c>
      <c r="C717" s="4">
        <v>-3517.65</v>
      </c>
      <c r="D717" t="s">
        <v>304</v>
      </c>
      <c r="E717" t="s">
        <v>318</v>
      </c>
      <c r="F717" t="s">
        <v>378</v>
      </c>
      <c r="G717" t="s">
        <v>380</v>
      </c>
      <c r="J717">
        <v>7231</v>
      </c>
      <c r="K717" t="s">
        <v>55</v>
      </c>
      <c r="L717" t="s">
        <v>1525</v>
      </c>
      <c r="Q717" t="str">
        <f t="shared" si="33"/>
        <v>Sep</v>
      </c>
      <c r="R717">
        <f t="shared" si="34"/>
        <v>2014</v>
      </c>
      <c r="S717" t="str">
        <f>VLOOKUP($W717,TBL_Categories,2,FALSE)</f>
        <v>Monthly</v>
      </c>
      <c r="T717">
        <f>VLOOKUP($W717,TBL_Categories,3,FALSE)</f>
        <v>0</v>
      </c>
      <c r="U717" t="str">
        <f>VLOOKUP($W717,TBL_Categories,4,FALSE)</f>
        <v>No</v>
      </c>
      <c r="V717" t="str">
        <f>VLOOKUP($W717,TBL_Categories,5,FALSE)</f>
        <v>None</v>
      </c>
      <c r="W717" t="str">
        <f t="shared" si="35"/>
        <v>Business Expenses (Koolikai)|Mortgage (Business)</v>
      </c>
    </row>
    <row r="718" spans="1:23" x14ac:dyDescent="0.25">
      <c r="A718" t="s">
        <v>296</v>
      </c>
      <c r="B718" s="5">
        <v>41885</v>
      </c>
      <c r="C718">
        <v>-8.75</v>
      </c>
      <c r="D718" t="s">
        <v>304</v>
      </c>
      <c r="E718" t="s">
        <v>667</v>
      </c>
      <c r="G718" t="s">
        <v>416</v>
      </c>
      <c r="K718" t="s">
        <v>17</v>
      </c>
      <c r="L718" t="s">
        <v>1576</v>
      </c>
      <c r="Q718" t="str">
        <f t="shared" si="33"/>
        <v>Sep</v>
      </c>
      <c r="R718">
        <f t="shared" si="34"/>
        <v>2014</v>
      </c>
      <c r="S718" t="str">
        <f>VLOOKUP($W718,TBL_Categories,2,FALSE)</f>
        <v>Unplanned</v>
      </c>
      <c r="T718">
        <f>VLOOKUP($W718,TBL_Categories,3,FALSE)</f>
        <v>0</v>
      </c>
      <c r="U718" t="str">
        <f>VLOOKUP($W718,TBL_Categories,4,FALSE)</f>
        <v>No</v>
      </c>
      <c r="V718" t="str">
        <f>VLOOKUP($W718,TBL_Categories,5,FALSE)</f>
        <v>None</v>
      </c>
      <c r="W718" t="str">
        <f t="shared" si="35"/>
        <v>Entertainment|Movies &amp; DVDs</v>
      </c>
    </row>
    <row r="719" spans="1:23" x14ac:dyDescent="0.25">
      <c r="A719" t="s">
        <v>296</v>
      </c>
      <c r="B719" s="5">
        <v>41885</v>
      </c>
      <c r="C719">
        <v>-30</v>
      </c>
      <c r="D719" t="s">
        <v>304</v>
      </c>
      <c r="E719" t="s">
        <v>1290</v>
      </c>
      <c r="G719" t="s">
        <v>593</v>
      </c>
      <c r="K719" t="s">
        <v>56</v>
      </c>
      <c r="L719" t="s">
        <v>1547</v>
      </c>
      <c r="Q719" t="str">
        <f t="shared" si="33"/>
        <v>Sep</v>
      </c>
      <c r="R719">
        <f t="shared" si="34"/>
        <v>2014</v>
      </c>
      <c r="S719" t="str">
        <f>VLOOKUP($W719,TBL_Categories,2,FALSE)</f>
        <v>Annual</v>
      </c>
      <c r="T719">
        <f>VLOOKUP($W719,TBL_Categories,3,FALSE)</f>
        <v>0</v>
      </c>
      <c r="U719" t="str">
        <f>VLOOKUP($W719,TBL_Categories,4,FALSE)</f>
        <v>No</v>
      </c>
      <c r="V719" t="str">
        <f>VLOOKUP($W719,TBL_Categories,5,FALSE)</f>
        <v>None</v>
      </c>
      <c r="W719" t="str">
        <f t="shared" si="35"/>
        <v>Charity|Charity (Cash)</v>
      </c>
    </row>
    <row r="720" spans="1:23" x14ac:dyDescent="0.25">
      <c r="A720" t="s">
        <v>296</v>
      </c>
      <c r="B720" s="5">
        <v>41885</v>
      </c>
      <c r="C720">
        <v>-43.45</v>
      </c>
      <c r="D720" t="s">
        <v>304</v>
      </c>
      <c r="E720" t="s">
        <v>433</v>
      </c>
      <c r="G720" t="s">
        <v>887</v>
      </c>
      <c r="J720" t="s">
        <v>1550</v>
      </c>
      <c r="K720" t="s">
        <v>61</v>
      </c>
      <c r="L720" t="s">
        <v>401</v>
      </c>
      <c r="Q720" t="str">
        <f t="shared" si="33"/>
        <v>Sep</v>
      </c>
      <c r="R720">
        <f t="shared" si="34"/>
        <v>2014</v>
      </c>
      <c r="S720" t="str">
        <f>VLOOKUP($W720,TBL_Categories,2,FALSE)</f>
        <v>Monthly</v>
      </c>
      <c r="T720">
        <f>VLOOKUP($W720,TBL_Categories,3,FALSE)</f>
        <v>0</v>
      </c>
      <c r="U720" t="str">
        <f>VLOOKUP($W720,TBL_Categories,4,FALSE)</f>
        <v>No</v>
      </c>
      <c r="V720" t="str">
        <f>VLOOKUP($W720,TBL_Categories,5,FALSE)</f>
        <v>None</v>
      </c>
      <c r="W720" t="str">
        <f t="shared" si="35"/>
        <v>Food &amp; Dining|Groceries</v>
      </c>
    </row>
    <row r="721" spans="1:23" x14ac:dyDescent="0.25">
      <c r="A721" t="s">
        <v>284</v>
      </c>
      <c r="B721" s="5">
        <v>41884</v>
      </c>
      <c r="C721" s="4">
        <v>-2459.96</v>
      </c>
      <c r="D721" t="s">
        <v>304</v>
      </c>
      <c r="E721" t="s">
        <v>321</v>
      </c>
      <c r="F721" t="s">
        <v>365</v>
      </c>
      <c r="G721" t="s">
        <v>13</v>
      </c>
      <c r="K721" t="s">
        <v>13</v>
      </c>
      <c r="Q721" t="str">
        <f t="shared" si="33"/>
        <v>Sep</v>
      </c>
      <c r="R721">
        <f t="shared" si="34"/>
        <v>2014</v>
      </c>
      <c r="S721" t="str">
        <f>VLOOKUP($W721,TBL_Categories,2,FALSE)</f>
        <v>Account</v>
      </c>
      <c r="T721">
        <f>VLOOKUP($W721,TBL_Categories,3,FALSE)</f>
        <v>0</v>
      </c>
      <c r="U721" t="str">
        <f>VLOOKUP($W721,TBL_Categories,4,FALSE)</f>
        <v>No</v>
      </c>
      <c r="V721" t="str">
        <f>VLOOKUP($W721,TBL_Categories,5,FALSE)</f>
        <v>None</v>
      </c>
      <c r="W721" t="str">
        <f t="shared" si="35"/>
        <v>[MasterCard (Capital One)]</v>
      </c>
    </row>
    <row r="722" spans="1:23" x14ac:dyDescent="0.25">
      <c r="A722" t="s">
        <v>296</v>
      </c>
      <c r="B722" s="5">
        <v>41884</v>
      </c>
      <c r="C722" s="4">
        <v>2459.96</v>
      </c>
      <c r="D722" t="s">
        <v>304</v>
      </c>
      <c r="E722" t="s">
        <v>321</v>
      </c>
      <c r="F722" t="s">
        <v>365</v>
      </c>
      <c r="G722" t="s">
        <v>9</v>
      </c>
      <c r="K722" t="s">
        <v>9</v>
      </c>
      <c r="Q722" t="str">
        <f t="shared" si="33"/>
        <v>Sep</v>
      </c>
      <c r="R722">
        <f t="shared" si="34"/>
        <v>2014</v>
      </c>
      <c r="S722" t="str">
        <f>VLOOKUP($W722,TBL_Categories,2,FALSE)</f>
        <v>Account</v>
      </c>
      <c r="T722">
        <f>VLOOKUP($W722,TBL_Categories,3,FALSE)</f>
        <v>0</v>
      </c>
      <c r="U722" t="str">
        <f>VLOOKUP($W722,TBL_Categories,4,FALSE)</f>
        <v>No</v>
      </c>
      <c r="V722" t="str">
        <f>VLOOKUP($W722,TBL_Categories,5,FALSE)</f>
        <v>None</v>
      </c>
      <c r="W722" t="str">
        <f t="shared" si="35"/>
        <v>[First Tech - Checking (5544)]</v>
      </c>
    </row>
    <row r="723" spans="1:23" x14ac:dyDescent="0.25">
      <c r="A723" t="s">
        <v>296</v>
      </c>
      <c r="B723" s="5">
        <v>41884</v>
      </c>
      <c r="C723">
        <v>-4.37</v>
      </c>
      <c r="D723" t="s">
        <v>304</v>
      </c>
      <c r="E723" t="s">
        <v>439</v>
      </c>
      <c r="F723" t="s">
        <v>1289</v>
      </c>
      <c r="G723" t="s">
        <v>915</v>
      </c>
      <c r="J723" t="s">
        <v>1550</v>
      </c>
      <c r="K723" t="s">
        <v>20</v>
      </c>
      <c r="Q723" t="str">
        <f t="shared" si="33"/>
        <v>Sep</v>
      </c>
      <c r="R723">
        <f t="shared" si="34"/>
        <v>2014</v>
      </c>
      <c r="S723" t="str">
        <f>VLOOKUP($W723,TBL_Categories,2,FALSE)</f>
        <v>Monthly</v>
      </c>
      <c r="T723">
        <f>VLOOKUP($W723,TBL_Categories,3,FALSE)</f>
        <v>0</v>
      </c>
      <c r="U723" t="str">
        <f>VLOOKUP($W723,TBL_Categories,4,FALSE)</f>
        <v>No</v>
      </c>
      <c r="V723" t="str">
        <f>VLOOKUP($W723,TBL_Categories,5,FALSE)</f>
        <v>None</v>
      </c>
      <c r="W723" t="str">
        <f t="shared" si="35"/>
        <v>Gifts</v>
      </c>
    </row>
    <row r="724" spans="1:23" x14ac:dyDescent="0.25">
      <c r="A724" t="s">
        <v>296</v>
      </c>
      <c r="B724" s="5">
        <v>41884</v>
      </c>
      <c r="C724">
        <v>-9.3000000000000007</v>
      </c>
      <c r="D724" t="s">
        <v>304</v>
      </c>
      <c r="E724" t="s">
        <v>958</v>
      </c>
      <c r="G724" t="s">
        <v>333</v>
      </c>
      <c r="K724" t="s">
        <v>61</v>
      </c>
      <c r="L724" t="s">
        <v>1530</v>
      </c>
      <c r="Q724" t="str">
        <f t="shared" si="33"/>
        <v>Sep</v>
      </c>
      <c r="R724">
        <f t="shared" si="34"/>
        <v>2014</v>
      </c>
      <c r="S724" t="str">
        <f>VLOOKUP($W724,TBL_Categories,2,FALSE)</f>
        <v>Monthly</v>
      </c>
      <c r="T724">
        <f>VLOOKUP($W724,TBL_Categories,3,FALSE)</f>
        <v>0</v>
      </c>
      <c r="U724" t="str">
        <f>VLOOKUP($W724,TBL_Categories,4,FALSE)</f>
        <v>No</v>
      </c>
      <c r="V724" t="str">
        <f>VLOOKUP($W724,TBL_Categories,5,FALSE)</f>
        <v>None</v>
      </c>
      <c r="W724" t="str">
        <f t="shared" si="35"/>
        <v>Food &amp; Dining|Restaurants</v>
      </c>
    </row>
    <row r="725" spans="1:23" x14ac:dyDescent="0.25">
      <c r="A725" t="s">
        <v>296</v>
      </c>
      <c r="B725" s="5">
        <v>41884</v>
      </c>
      <c r="C725">
        <v>-20.98</v>
      </c>
      <c r="D725" t="s">
        <v>304</v>
      </c>
      <c r="E725" t="s">
        <v>443</v>
      </c>
      <c r="G725" t="s">
        <v>444</v>
      </c>
      <c r="I725" t="s">
        <v>272</v>
      </c>
      <c r="K725" t="s">
        <v>54</v>
      </c>
      <c r="L725" t="s">
        <v>1581</v>
      </c>
      <c r="Q725" t="str">
        <f t="shared" si="33"/>
        <v>Sep</v>
      </c>
      <c r="R725">
        <f t="shared" si="34"/>
        <v>2014</v>
      </c>
      <c r="S725" t="str">
        <f>VLOOKUP($W725,TBL_Categories,2,FALSE)</f>
        <v>Monthly</v>
      </c>
      <c r="T725">
        <f>VLOOKUP($W725,TBL_Categories,3,FALSE)</f>
        <v>0</v>
      </c>
      <c r="U725" t="str">
        <f>VLOOKUP($W725,TBL_Categories,4,FALSE)</f>
        <v>No</v>
      </c>
      <c r="V725" t="str">
        <f>VLOOKUP($W725,TBL_Categories,5,FALSE)</f>
        <v>None</v>
      </c>
      <c r="W725" t="str">
        <f t="shared" si="35"/>
        <v>Bills &amp; Utilities|Television</v>
      </c>
    </row>
    <row r="726" spans="1:23" x14ac:dyDescent="0.25">
      <c r="A726" t="s">
        <v>296</v>
      </c>
      <c r="B726" s="5">
        <v>41884</v>
      </c>
      <c r="C726">
        <v>-66.53</v>
      </c>
      <c r="D726" t="s">
        <v>304</v>
      </c>
      <c r="E726" t="s">
        <v>443</v>
      </c>
      <c r="G726" t="s">
        <v>445</v>
      </c>
      <c r="I726" t="s">
        <v>272</v>
      </c>
      <c r="K726" t="s">
        <v>55</v>
      </c>
      <c r="L726" t="s">
        <v>1582</v>
      </c>
      <c r="Q726" t="str">
        <f t="shared" si="33"/>
        <v>Sep</v>
      </c>
      <c r="R726">
        <f t="shared" si="34"/>
        <v>2014</v>
      </c>
      <c r="S726" t="str">
        <f>VLOOKUP($W726,TBL_Categories,2,FALSE)</f>
        <v>Monthly</v>
      </c>
      <c r="T726">
        <f>VLOOKUP($W726,TBL_Categories,3,FALSE)</f>
        <v>0</v>
      </c>
      <c r="U726" t="str">
        <f>VLOOKUP($W726,TBL_Categories,4,FALSE)</f>
        <v>No</v>
      </c>
      <c r="V726" t="str">
        <f>VLOOKUP($W726,TBL_Categories,5,FALSE)</f>
        <v>None</v>
      </c>
      <c r="W726" t="str">
        <f t="shared" si="35"/>
        <v>Business Expenses (Koolikai)|Internet</v>
      </c>
    </row>
    <row r="727" spans="1:23" x14ac:dyDescent="0.25">
      <c r="A727" t="s">
        <v>296</v>
      </c>
      <c r="B727" s="5">
        <v>41884</v>
      </c>
      <c r="C727">
        <v>-44.52</v>
      </c>
      <c r="D727" t="s">
        <v>304</v>
      </c>
      <c r="E727" t="s">
        <v>443</v>
      </c>
      <c r="G727" t="s">
        <v>446</v>
      </c>
      <c r="I727" t="s">
        <v>272</v>
      </c>
      <c r="K727" t="s">
        <v>54</v>
      </c>
      <c r="L727" t="s">
        <v>1583</v>
      </c>
      <c r="Q727" t="str">
        <f t="shared" si="33"/>
        <v>Sep</v>
      </c>
      <c r="R727">
        <f t="shared" si="34"/>
        <v>2014</v>
      </c>
      <c r="S727" t="str">
        <f>VLOOKUP($W727,TBL_Categories,2,FALSE)</f>
        <v>Monthly</v>
      </c>
      <c r="T727">
        <f>VLOOKUP($W727,TBL_Categories,3,FALSE)</f>
        <v>0</v>
      </c>
      <c r="U727" t="str">
        <f>VLOOKUP($W727,TBL_Categories,4,FALSE)</f>
        <v>No</v>
      </c>
      <c r="V727" t="str">
        <f>VLOOKUP($W727,TBL_Categories,5,FALSE)</f>
        <v>None</v>
      </c>
      <c r="W727" t="str">
        <f t="shared" si="35"/>
        <v>Bills &amp; Utilities|Home Phone</v>
      </c>
    </row>
    <row r="728" spans="1:23" x14ac:dyDescent="0.25">
      <c r="A728" t="s">
        <v>284</v>
      </c>
      <c r="B728" s="5">
        <v>41883</v>
      </c>
      <c r="C728" s="4">
        <v>-2052</v>
      </c>
      <c r="D728" t="s">
        <v>304</v>
      </c>
      <c r="E728" t="s">
        <v>314</v>
      </c>
      <c r="F728" t="s">
        <v>315</v>
      </c>
      <c r="G728" t="s">
        <v>316</v>
      </c>
      <c r="K728" t="s">
        <v>66</v>
      </c>
      <c r="L728" t="s">
        <v>1522</v>
      </c>
      <c r="Q728" t="str">
        <f t="shared" si="33"/>
        <v>Sep</v>
      </c>
      <c r="R728">
        <f t="shared" si="34"/>
        <v>2014</v>
      </c>
      <c r="S728" t="str">
        <f>VLOOKUP($W728,TBL_Categories,2,FALSE)</f>
        <v>Monthly</v>
      </c>
      <c r="T728">
        <f>VLOOKUP($W728,TBL_Categories,3,FALSE)</f>
        <v>0</v>
      </c>
      <c r="U728" t="str">
        <f>VLOOKUP($W728,TBL_Categories,4,FALSE)</f>
        <v>No</v>
      </c>
      <c r="V728" t="str">
        <f>VLOOKUP($W728,TBL_Categories,5,FALSE)</f>
        <v>None</v>
      </c>
      <c r="W728" t="str">
        <f t="shared" si="35"/>
        <v>Kids|Daycare</v>
      </c>
    </row>
    <row r="729" spans="1:23" x14ac:dyDescent="0.25">
      <c r="A729" t="s">
        <v>633</v>
      </c>
      <c r="B729" s="5">
        <v>41883</v>
      </c>
      <c r="C729">
        <v>-5.45</v>
      </c>
      <c r="D729" t="s">
        <v>304</v>
      </c>
      <c r="E729" t="s">
        <v>984</v>
      </c>
      <c r="G729" t="s">
        <v>333</v>
      </c>
      <c r="K729" t="s">
        <v>61</v>
      </c>
      <c r="L729" t="s">
        <v>1530</v>
      </c>
      <c r="Q729" t="str">
        <f t="shared" si="33"/>
        <v>Sep</v>
      </c>
      <c r="R729">
        <f t="shared" si="34"/>
        <v>2014</v>
      </c>
      <c r="S729" t="str">
        <f>VLOOKUP($W729,TBL_Categories,2,FALSE)</f>
        <v>Monthly</v>
      </c>
      <c r="T729">
        <f>VLOOKUP($W729,TBL_Categories,3,FALSE)</f>
        <v>0</v>
      </c>
      <c r="U729" t="str">
        <f>VLOOKUP($W729,TBL_Categories,4,FALSE)</f>
        <v>No</v>
      </c>
      <c r="V729" t="str">
        <f>VLOOKUP($W729,TBL_Categories,5,FALSE)</f>
        <v>None</v>
      </c>
      <c r="W729" t="str">
        <f t="shared" si="35"/>
        <v>Food &amp; Dining|Restaurants</v>
      </c>
    </row>
    <row r="730" spans="1:23" x14ac:dyDescent="0.25">
      <c r="A730" t="s">
        <v>289</v>
      </c>
      <c r="B730" s="5">
        <v>41882</v>
      </c>
      <c r="C730">
        <v>0.19</v>
      </c>
      <c r="D730" t="s">
        <v>304</v>
      </c>
      <c r="E730" t="s">
        <v>396</v>
      </c>
      <c r="F730" t="s">
        <v>595</v>
      </c>
      <c r="G730" t="s">
        <v>8</v>
      </c>
      <c r="K730" t="s">
        <v>8</v>
      </c>
      <c r="Q730" t="str">
        <f t="shared" si="33"/>
        <v>Aug</v>
      </c>
      <c r="R730">
        <f t="shared" si="34"/>
        <v>2014</v>
      </c>
      <c r="S730" t="str">
        <f>VLOOKUP($W730,TBL_Categories,2,FALSE)</f>
        <v>Monthly</v>
      </c>
      <c r="T730">
        <f>VLOOKUP($W730,TBL_Categories,3,FALSE)</f>
        <v>0</v>
      </c>
      <c r="U730" t="str">
        <f>VLOOKUP($W730,TBL_Categories,4,FALSE)</f>
        <v>No</v>
      </c>
      <c r="V730" t="str">
        <f>VLOOKUP($W730,TBL_Categories,5,FALSE)</f>
        <v>None</v>
      </c>
      <c r="W730" t="str">
        <f t="shared" si="35"/>
        <v>Interest Income</v>
      </c>
    </row>
    <row r="731" spans="1:23" x14ac:dyDescent="0.25">
      <c r="A731" t="s">
        <v>633</v>
      </c>
      <c r="B731" s="5">
        <v>41882</v>
      </c>
      <c r="C731">
        <v>-29.63</v>
      </c>
      <c r="D731" t="s">
        <v>304</v>
      </c>
      <c r="E731" t="s">
        <v>661</v>
      </c>
      <c r="F731" t="s">
        <v>983</v>
      </c>
      <c r="G731" t="s">
        <v>410</v>
      </c>
      <c r="K731" t="s">
        <v>75</v>
      </c>
      <c r="L731" t="s">
        <v>1570</v>
      </c>
      <c r="O731" t="s">
        <v>1606</v>
      </c>
      <c r="Q731" t="str">
        <f t="shared" si="33"/>
        <v>Aug</v>
      </c>
      <c r="R731">
        <f t="shared" si="34"/>
        <v>2014</v>
      </c>
      <c r="S731" t="str">
        <f>VLOOKUP($W731,TBL_Categories,2,FALSE)</f>
        <v>Irregular</v>
      </c>
      <c r="T731">
        <f>VLOOKUP($W731,TBL_Categories,3,FALSE)</f>
        <v>0</v>
      </c>
      <c r="U731" t="str">
        <f>VLOOKUP($W731,TBL_Categories,4,FALSE)</f>
        <v>No</v>
      </c>
      <c r="V731" t="str">
        <f>VLOOKUP($W731,TBL_Categories,5,FALSE)</f>
        <v>None</v>
      </c>
      <c r="W731" t="str">
        <f t="shared" si="35"/>
        <v>Vacation|Transportation</v>
      </c>
    </row>
    <row r="732" spans="1:23" x14ac:dyDescent="0.25">
      <c r="A732" t="s">
        <v>296</v>
      </c>
      <c r="B732" s="5">
        <v>41882</v>
      </c>
      <c r="C732">
        <v>21.79</v>
      </c>
      <c r="D732" t="s">
        <v>304</v>
      </c>
      <c r="E732" t="s">
        <v>437</v>
      </c>
      <c r="G732" t="s">
        <v>1020</v>
      </c>
      <c r="J732" t="s">
        <v>1550</v>
      </c>
      <c r="K732" t="s">
        <v>66</v>
      </c>
      <c r="L732" t="s">
        <v>1536</v>
      </c>
      <c r="Q732" t="str">
        <f t="shared" si="33"/>
        <v>Aug</v>
      </c>
      <c r="R732">
        <f t="shared" si="34"/>
        <v>2014</v>
      </c>
      <c r="S732" t="str">
        <f>VLOOKUP($W732,TBL_Categories,2,FALSE)</f>
        <v>Monthly</v>
      </c>
      <c r="T732">
        <f>VLOOKUP($W732,TBL_Categories,3,FALSE)</f>
        <v>0</v>
      </c>
      <c r="U732" t="str">
        <f>VLOOKUP($W732,TBL_Categories,4,FALSE)</f>
        <v>No</v>
      </c>
      <c r="V732" t="str">
        <f>VLOOKUP($W732,TBL_Categories,5,FALSE)</f>
        <v>None</v>
      </c>
      <c r="W732" t="str">
        <f t="shared" si="35"/>
        <v>Kids|Toys</v>
      </c>
    </row>
    <row r="733" spans="1:23" x14ac:dyDescent="0.25">
      <c r="A733" t="s">
        <v>296</v>
      </c>
      <c r="B733" s="5">
        <v>41882</v>
      </c>
      <c r="C733">
        <v>-1</v>
      </c>
      <c r="D733" t="s">
        <v>304</v>
      </c>
      <c r="E733" t="s">
        <v>630</v>
      </c>
      <c r="G733" t="s">
        <v>409</v>
      </c>
      <c r="K733" t="s">
        <v>52</v>
      </c>
      <c r="L733" t="s">
        <v>1568</v>
      </c>
      <c r="Q733" t="str">
        <f t="shared" si="33"/>
        <v>Aug</v>
      </c>
      <c r="R733">
        <f t="shared" si="34"/>
        <v>2014</v>
      </c>
      <c r="S733" t="str">
        <f>VLOOKUP($W733,TBL_Categories,2,FALSE)</f>
        <v>Monthly</v>
      </c>
      <c r="T733">
        <f>VLOOKUP($W733,TBL_Categories,3,FALSE)</f>
        <v>0</v>
      </c>
      <c r="U733" t="str">
        <f>VLOOKUP($W733,TBL_Categories,4,FALSE)</f>
        <v>No</v>
      </c>
      <c r="V733" t="str">
        <f>VLOOKUP($W733,TBL_Categories,5,FALSE)</f>
        <v>None</v>
      </c>
      <c r="W733" t="str">
        <f t="shared" si="35"/>
        <v>Auto &amp; Transport|Gas &amp; Fuel</v>
      </c>
    </row>
    <row r="734" spans="1:23" x14ac:dyDescent="0.25">
      <c r="A734" t="s">
        <v>296</v>
      </c>
      <c r="B734" s="5">
        <v>41882</v>
      </c>
      <c r="C734">
        <v>-3.82</v>
      </c>
      <c r="D734" t="s">
        <v>304</v>
      </c>
      <c r="E734" t="s">
        <v>1286</v>
      </c>
      <c r="G734" t="s">
        <v>20</v>
      </c>
      <c r="K734" t="s">
        <v>20</v>
      </c>
      <c r="Q734" t="str">
        <f t="shared" si="33"/>
        <v>Aug</v>
      </c>
      <c r="R734">
        <f t="shared" si="34"/>
        <v>2014</v>
      </c>
      <c r="S734" t="str">
        <f>VLOOKUP($W734,TBL_Categories,2,FALSE)</f>
        <v>Monthly</v>
      </c>
      <c r="T734">
        <f>VLOOKUP($W734,TBL_Categories,3,FALSE)</f>
        <v>0</v>
      </c>
      <c r="U734" t="str">
        <f>VLOOKUP($W734,TBL_Categories,4,FALSE)</f>
        <v>No</v>
      </c>
      <c r="V734" t="str">
        <f>VLOOKUP($W734,TBL_Categories,5,FALSE)</f>
        <v>None</v>
      </c>
      <c r="W734" t="str">
        <f t="shared" si="35"/>
        <v>Gifts</v>
      </c>
    </row>
    <row r="735" spans="1:23" x14ac:dyDescent="0.25">
      <c r="A735" t="s">
        <v>296</v>
      </c>
      <c r="B735" s="5">
        <v>41882</v>
      </c>
      <c r="C735">
        <v>-4.38</v>
      </c>
      <c r="D735" t="s">
        <v>304</v>
      </c>
      <c r="E735" t="s">
        <v>714</v>
      </c>
      <c r="G735" t="s">
        <v>333</v>
      </c>
      <c r="K735" t="s">
        <v>61</v>
      </c>
      <c r="L735" t="s">
        <v>1530</v>
      </c>
      <c r="Q735" t="str">
        <f t="shared" si="33"/>
        <v>Aug</v>
      </c>
      <c r="R735">
        <f t="shared" si="34"/>
        <v>2014</v>
      </c>
      <c r="S735" t="str">
        <f>VLOOKUP($W735,TBL_Categories,2,FALSE)</f>
        <v>Monthly</v>
      </c>
      <c r="T735">
        <f>VLOOKUP($W735,TBL_Categories,3,FALSE)</f>
        <v>0</v>
      </c>
      <c r="U735" t="str">
        <f>VLOOKUP($W735,TBL_Categories,4,FALSE)</f>
        <v>No</v>
      </c>
      <c r="V735" t="str">
        <f>VLOOKUP($W735,TBL_Categories,5,FALSE)</f>
        <v>None</v>
      </c>
      <c r="W735" t="str">
        <f t="shared" si="35"/>
        <v>Food &amp; Dining|Restaurants</v>
      </c>
    </row>
    <row r="736" spans="1:23" x14ac:dyDescent="0.25">
      <c r="A736" t="s">
        <v>296</v>
      </c>
      <c r="B736" s="5">
        <v>41882</v>
      </c>
      <c r="C736">
        <v>-4.93</v>
      </c>
      <c r="D736" t="s">
        <v>304</v>
      </c>
      <c r="E736" t="s">
        <v>714</v>
      </c>
      <c r="G736" t="s">
        <v>333</v>
      </c>
      <c r="K736" t="s">
        <v>61</v>
      </c>
      <c r="L736" t="s">
        <v>1530</v>
      </c>
      <c r="Q736" t="str">
        <f t="shared" si="33"/>
        <v>Aug</v>
      </c>
      <c r="R736">
        <f t="shared" si="34"/>
        <v>2014</v>
      </c>
      <c r="S736" t="str">
        <f>VLOOKUP($W736,TBL_Categories,2,FALSE)</f>
        <v>Monthly</v>
      </c>
      <c r="T736">
        <f>VLOOKUP($W736,TBL_Categories,3,FALSE)</f>
        <v>0</v>
      </c>
      <c r="U736" t="str">
        <f>VLOOKUP($W736,TBL_Categories,4,FALSE)</f>
        <v>No</v>
      </c>
      <c r="V736" t="str">
        <f>VLOOKUP($W736,TBL_Categories,5,FALSE)</f>
        <v>None</v>
      </c>
      <c r="W736" t="str">
        <f t="shared" si="35"/>
        <v>Food &amp; Dining|Restaurants</v>
      </c>
    </row>
    <row r="737" spans="1:23" x14ac:dyDescent="0.25">
      <c r="A737" t="s">
        <v>296</v>
      </c>
      <c r="B737" s="5">
        <v>41882</v>
      </c>
      <c r="C737">
        <v>-7.39</v>
      </c>
      <c r="D737" t="s">
        <v>304</v>
      </c>
      <c r="E737" t="s">
        <v>1287</v>
      </c>
      <c r="G737" t="s">
        <v>333</v>
      </c>
      <c r="K737" t="s">
        <v>61</v>
      </c>
      <c r="L737" t="s">
        <v>1530</v>
      </c>
      <c r="Q737" t="str">
        <f t="shared" si="33"/>
        <v>Aug</v>
      </c>
      <c r="R737">
        <f t="shared" si="34"/>
        <v>2014</v>
      </c>
      <c r="S737" t="str">
        <f>VLOOKUP($W737,TBL_Categories,2,FALSE)</f>
        <v>Monthly</v>
      </c>
      <c r="T737">
        <f>VLOOKUP($W737,TBL_Categories,3,FALSE)</f>
        <v>0</v>
      </c>
      <c r="U737" t="str">
        <f>VLOOKUP($W737,TBL_Categories,4,FALSE)</f>
        <v>No</v>
      </c>
      <c r="V737" t="str">
        <f>VLOOKUP($W737,TBL_Categories,5,FALSE)</f>
        <v>None</v>
      </c>
      <c r="W737" t="str">
        <f t="shared" si="35"/>
        <v>Food &amp; Dining|Restaurants</v>
      </c>
    </row>
    <row r="738" spans="1:23" x14ac:dyDescent="0.25">
      <c r="A738" t="s">
        <v>296</v>
      </c>
      <c r="B738" s="5">
        <v>41882</v>
      </c>
      <c r="C738">
        <v>-8.7899999999999991</v>
      </c>
      <c r="D738" t="s">
        <v>304</v>
      </c>
      <c r="E738" t="s">
        <v>440</v>
      </c>
      <c r="G738" t="s">
        <v>1037</v>
      </c>
      <c r="J738" t="s">
        <v>1550</v>
      </c>
      <c r="K738" t="s">
        <v>72</v>
      </c>
      <c r="L738" t="s">
        <v>460</v>
      </c>
      <c r="Q738" t="str">
        <f t="shared" si="33"/>
        <v>Aug</v>
      </c>
      <c r="R738">
        <f t="shared" si="34"/>
        <v>2014</v>
      </c>
      <c r="S738" t="str">
        <f>VLOOKUP($W738,TBL_Categories,2,FALSE)</f>
        <v>Unplanned</v>
      </c>
      <c r="T738">
        <f>VLOOKUP($W738,TBL_Categories,3,FALSE)</f>
        <v>0</v>
      </c>
      <c r="U738" t="str">
        <f>VLOOKUP($W738,TBL_Categories,4,FALSE)</f>
        <v>No</v>
      </c>
      <c r="V738" t="str">
        <f>VLOOKUP($W738,TBL_Categories,5,FALSE)</f>
        <v>None</v>
      </c>
      <c r="W738" t="str">
        <f t="shared" si="35"/>
        <v>Shopping|Books</v>
      </c>
    </row>
    <row r="739" spans="1:23" x14ac:dyDescent="0.25">
      <c r="A739" t="s">
        <v>296</v>
      </c>
      <c r="B739" s="5">
        <v>41882</v>
      </c>
      <c r="C739">
        <v>-21.66</v>
      </c>
      <c r="D739" t="s">
        <v>304</v>
      </c>
      <c r="E739" t="s">
        <v>433</v>
      </c>
      <c r="G739" t="s">
        <v>1042</v>
      </c>
      <c r="J739" t="s">
        <v>1550</v>
      </c>
      <c r="K739" t="s">
        <v>66</v>
      </c>
      <c r="L739" t="s">
        <v>1537</v>
      </c>
      <c r="Q739" t="str">
        <f t="shared" si="33"/>
        <v>Aug</v>
      </c>
      <c r="R739">
        <f t="shared" si="34"/>
        <v>2014</v>
      </c>
      <c r="S739" t="str">
        <f>VLOOKUP($W739,TBL_Categories,2,FALSE)</f>
        <v>Monthly</v>
      </c>
      <c r="T739">
        <f>VLOOKUP($W739,TBL_Categories,3,FALSE)</f>
        <v>0</v>
      </c>
      <c r="U739" t="str">
        <f>VLOOKUP($W739,TBL_Categories,4,FALSE)</f>
        <v>No</v>
      </c>
      <c r="V739" t="str">
        <f>VLOOKUP($W739,TBL_Categories,5,FALSE)</f>
        <v>None</v>
      </c>
      <c r="W739" t="str">
        <f t="shared" si="35"/>
        <v>Kids|Clothing</v>
      </c>
    </row>
    <row r="740" spans="1:23" x14ac:dyDescent="0.25">
      <c r="A740" t="s">
        <v>296</v>
      </c>
      <c r="B740" s="5">
        <v>41882</v>
      </c>
      <c r="C740">
        <v>-31.34</v>
      </c>
      <c r="D740" t="s">
        <v>304</v>
      </c>
      <c r="E740" t="s">
        <v>433</v>
      </c>
      <c r="G740" t="s">
        <v>1020</v>
      </c>
      <c r="J740" t="s">
        <v>1550</v>
      </c>
      <c r="K740" t="s">
        <v>66</v>
      </c>
      <c r="L740" t="s">
        <v>1536</v>
      </c>
      <c r="Q740" t="str">
        <f t="shared" si="33"/>
        <v>Aug</v>
      </c>
      <c r="R740">
        <f t="shared" si="34"/>
        <v>2014</v>
      </c>
      <c r="S740" t="str">
        <f>VLOOKUP($W740,TBL_Categories,2,FALSE)</f>
        <v>Monthly</v>
      </c>
      <c r="T740">
        <f>VLOOKUP($W740,TBL_Categories,3,FALSE)</f>
        <v>0</v>
      </c>
      <c r="U740" t="str">
        <f>VLOOKUP($W740,TBL_Categories,4,FALSE)</f>
        <v>No</v>
      </c>
      <c r="V740" t="str">
        <f>VLOOKUP($W740,TBL_Categories,5,FALSE)</f>
        <v>None</v>
      </c>
      <c r="W740" t="str">
        <f t="shared" si="35"/>
        <v>Kids|Toys</v>
      </c>
    </row>
    <row r="741" spans="1:23" x14ac:dyDescent="0.25">
      <c r="A741" t="s">
        <v>296</v>
      </c>
      <c r="B741" s="5">
        <v>41882</v>
      </c>
      <c r="C741">
        <v>-58.61</v>
      </c>
      <c r="D741" t="s">
        <v>304</v>
      </c>
      <c r="E741" t="s">
        <v>433</v>
      </c>
      <c r="G741" t="s">
        <v>887</v>
      </c>
      <c r="I741" t="s">
        <v>272</v>
      </c>
      <c r="J741" t="s">
        <v>1550</v>
      </c>
      <c r="K741" t="s">
        <v>61</v>
      </c>
      <c r="L741" t="s">
        <v>401</v>
      </c>
      <c r="Q741" t="str">
        <f t="shared" si="33"/>
        <v>Aug</v>
      </c>
      <c r="R741">
        <f t="shared" si="34"/>
        <v>2014</v>
      </c>
      <c r="S741" t="str">
        <f>VLOOKUP($W741,TBL_Categories,2,FALSE)</f>
        <v>Monthly</v>
      </c>
      <c r="T741">
        <f>VLOOKUP($W741,TBL_Categories,3,FALSE)</f>
        <v>0</v>
      </c>
      <c r="U741" t="str">
        <f>VLOOKUP($W741,TBL_Categories,4,FALSE)</f>
        <v>No</v>
      </c>
      <c r="V741" t="str">
        <f>VLOOKUP($W741,TBL_Categories,5,FALSE)</f>
        <v>None</v>
      </c>
      <c r="W741" t="str">
        <f t="shared" si="35"/>
        <v>Food &amp; Dining|Groceries</v>
      </c>
    </row>
    <row r="742" spans="1:23" x14ac:dyDescent="0.25">
      <c r="A742" t="s">
        <v>296</v>
      </c>
      <c r="B742" s="5">
        <v>41882</v>
      </c>
      <c r="C742">
        <v>-5.46</v>
      </c>
      <c r="D742" t="s">
        <v>304</v>
      </c>
      <c r="E742" t="s">
        <v>433</v>
      </c>
      <c r="F742" t="s">
        <v>1288</v>
      </c>
      <c r="G742" t="s">
        <v>888</v>
      </c>
      <c r="I742" t="s">
        <v>272</v>
      </c>
      <c r="J742" t="s">
        <v>1550</v>
      </c>
      <c r="K742" t="s">
        <v>63</v>
      </c>
      <c r="L742" t="s">
        <v>1546</v>
      </c>
      <c r="Q742" t="str">
        <f t="shared" si="33"/>
        <v>Aug</v>
      </c>
      <c r="R742">
        <f t="shared" si="34"/>
        <v>2014</v>
      </c>
      <c r="S742" t="str">
        <f>VLOOKUP($W742,TBL_Categories,2,FALSE)</f>
        <v>Monthly</v>
      </c>
      <c r="T742">
        <f>VLOOKUP($W742,TBL_Categories,3,FALSE)</f>
        <v>0</v>
      </c>
      <c r="U742" t="str">
        <f>VLOOKUP($W742,TBL_Categories,4,FALSE)</f>
        <v>No</v>
      </c>
      <c r="V742" t="str">
        <f>VLOOKUP($W742,TBL_Categories,5,FALSE)</f>
        <v>None</v>
      </c>
      <c r="W742" t="str">
        <f t="shared" si="35"/>
        <v>Home|Furnishings</v>
      </c>
    </row>
    <row r="743" spans="1:23" x14ac:dyDescent="0.25">
      <c r="A743" t="s">
        <v>288</v>
      </c>
      <c r="B743" s="5">
        <v>41881</v>
      </c>
      <c r="C743" s="4">
        <v>2195</v>
      </c>
      <c r="D743" t="s">
        <v>304</v>
      </c>
      <c r="E743" t="s">
        <v>875</v>
      </c>
      <c r="F743" t="s">
        <v>394</v>
      </c>
      <c r="G743" t="s">
        <v>876</v>
      </c>
      <c r="J743" t="s">
        <v>1560</v>
      </c>
      <c r="K743" t="s">
        <v>33</v>
      </c>
      <c r="L743" t="s">
        <v>1519</v>
      </c>
      <c r="Q743" t="str">
        <f t="shared" si="33"/>
        <v>Aug</v>
      </c>
      <c r="R743">
        <f t="shared" si="34"/>
        <v>2014</v>
      </c>
      <c r="S743" t="str">
        <f>VLOOKUP($W743,TBL_Categories,2,FALSE)</f>
        <v>Monthly</v>
      </c>
      <c r="T743">
        <f>VLOOKUP($W743,TBL_Categories,3,FALSE)</f>
        <v>0</v>
      </c>
      <c r="U743" t="str">
        <f>VLOOKUP($W743,TBL_Categories,4,FALSE)</f>
        <v>No</v>
      </c>
      <c r="V743" t="str">
        <f>VLOOKUP($W743,TBL_Categories,5,FALSE)</f>
        <v>None</v>
      </c>
      <c r="W743" t="str">
        <f t="shared" si="35"/>
        <v>Business Income (Koolikai)|Rent</v>
      </c>
    </row>
    <row r="744" spans="1:23" x14ac:dyDescent="0.25">
      <c r="A744" t="s">
        <v>296</v>
      </c>
      <c r="B744" s="5">
        <v>41881</v>
      </c>
      <c r="C744">
        <v>-7.06</v>
      </c>
      <c r="D744" t="s">
        <v>304</v>
      </c>
      <c r="E744" t="s">
        <v>451</v>
      </c>
      <c r="F744" t="s">
        <v>1004</v>
      </c>
      <c r="G744" t="s">
        <v>341</v>
      </c>
      <c r="K744" t="s">
        <v>72</v>
      </c>
      <c r="L744" t="s">
        <v>1534</v>
      </c>
      <c r="Q744" t="str">
        <f t="shared" si="33"/>
        <v>Aug</v>
      </c>
      <c r="R744">
        <f t="shared" si="34"/>
        <v>2014</v>
      </c>
      <c r="S744" t="str">
        <f>VLOOKUP($W744,TBL_Categories,2,FALSE)</f>
        <v>Annual</v>
      </c>
      <c r="T744">
        <f>VLOOKUP($W744,TBL_Categories,3,FALSE)</f>
        <v>0</v>
      </c>
      <c r="U744" t="str">
        <f>VLOOKUP($W744,TBL_Categories,4,FALSE)</f>
        <v>No</v>
      </c>
      <c r="V744" t="str">
        <f>VLOOKUP($W744,TBL_Categories,5,FALSE)</f>
        <v>None</v>
      </c>
      <c r="W744" t="str">
        <f t="shared" si="35"/>
        <v>Shopping|Electronics &amp; Software</v>
      </c>
    </row>
    <row r="745" spans="1:23" x14ac:dyDescent="0.25">
      <c r="A745" t="s">
        <v>296</v>
      </c>
      <c r="B745" s="5">
        <v>41881</v>
      </c>
      <c r="C745">
        <v>-19.23</v>
      </c>
      <c r="D745" t="s">
        <v>304</v>
      </c>
      <c r="E745" t="s">
        <v>1285</v>
      </c>
      <c r="G745" t="s">
        <v>333</v>
      </c>
      <c r="K745" t="s">
        <v>61</v>
      </c>
      <c r="L745" t="s">
        <v>1530</v>
      </c>
      <c r="Q745" t="str">
        <f t="shared" si="33"/>
        <v>Aug</v>
      </c>
      <c r="R745">
        <f t="shared" si="34"/>
        <v>2014</v>
      </c>
      <c r="S745" t="str">
        <f>VLOOKUP($W745,TBL_Categories,2,FALSE)</f>
        <v>Monthly</v>
      </c>
      <c r="T745">
        <f>VLOOKUP($W745,TBL_Categories,3,FALSE)</f>
        <v>0</v>
      </c>
      <c r="U745" t="str">
        <f>VLOOKUP($W745,TBL_Categories,4,FALSE)</f>
        <v>No</v>
      </c>
      <c r="V745" t="str">
        <f>VLOOKUP($W745,TBL_Categories,5,FALSE)</f>
        <v>None</v>
      </c>
      <c r="W745" t="str">
        <f t="shared" si="35"/>
        <v>Food &amp; Dining|Restaurants</v>
      </c>
    </row>
    <row r="746" spans="1:23" x14ac:dyDescent="0.25">
      <c r="A746" t="s">
        <v>280</v>
      </c>
      <c r="B746" s="5">
        <v>41880</v>
      </c>
      <c r="C746">
        <v>20.05</v>
      </c>
      <c r="D746" t="s">
        <v>304</v>
      </c>
      <c r="E746" t="s">
        <v>309</v>
      </c>
      <c r="G746" t="s">
        <v>8</v>
      </c>
      <c r="H746" t="s">
        <v>310</v>
      </c>
      <c r="K746" t="s">
        <v>8</v>
      </c>
      <c r="Q746" t="str">
        <f t="shared" si="33"/>
        <v>Aug</v>
      </c>
      <c r="R746">
        <f t="shared" si="34"/>
        <v>2014</v>
      </c>
      <c r="S746" t="str">
        <f>VLOOKUP($W746,TBL_Categories,2,FALSE)</f>
        <v>Monthly</v>
      </c>
      <c r="T746">
        <f>VLOOKUP($W746,TBL_Categories,3,FALSE)</f>
        <v>0</v>
      </c>
      <c r="U746" t="str">
        <f>VLOOKUP($W746,TBL_Categories,4,FALSE)</f>
        <v>No</v>
      </c>
      <c r="V746" t="str">
        <f>VLOOKUP($W746,TBL_Categories,5,FALSE)</f>
        <v>None</v>
      </c>
      <c r="W746" t="str">
        <f t="shared" si="35"/>
        <v>Interest Income</v>
      </c>
    </row>
    <row r="747" spans="1:23" x14ac:dyDescent="0.25">
      <c r="A747" t="s">
        <v>281</v>
      </c>
      <c r="B747" s="5">
        <v>41880</v>
      </c>
      <c r="C747">
        <v>50.32</v>
      </c>
      <c r="D747" t="s">
        <v>304</v>
      </c>
      <c r="E747" t="s">
        <v>309</v>
      </c>
      <c r="G747" t="s">
        <v>8</v>
      </c>
      <c r="H747" t="s">
        <v>310</v>
      </c>
      <c r="K747" t="s">
        <v>8</v>
      </c>
      <c r="Q747" t="str">
        <f t="shared" si="33"/>
        <v>Aug</v>
      </c>
      <c r="R747">
        <f t="shared" si="34"/>
        <v>2014</v>
      </c>
      <c r="S747" t="str">
        <f>VLOOKUP($W747,TBL_Categories,2,FALSE)</f>
        <v>Monthly</v>
      </c>
      <c r="T747">
        <f>VLOOKUP($W747,TBL_Categories,3,FALSE)</f>
        <v>0</v>
      </c>
      <c r="U747" t="str">
        <f>VLOOKUP($W747,TBL_Categories,4,FALSE)</f>
        <v>No</v>
      </c>
      <c r="V747" t="str">
        <f>VLOOKUP($W747,TBL_Categories,5,FALSE)</f>
        <v>None</v>
      </c>
      <c r="W747" t="str">
        <f t="shared" si="35"/>
        <v>Interest Income</v>
      </c>
    </row>
    <row r="748" spans="1:23" x14ac:dyDescent="0.25">
      <c r="A748" t="s">
        <v>282</v>
      </c>
      <c r="B748" s="5">
        <v>41880</v>
      </c>
      <c r="C748">
        <v>0.02</v>
      </c>
      <c r="D748" t="s">
        <v>304</v>
      </c>
      <c r="E748" t="s">
        <v>309</v>
      </c>
      <c r="G748" t="s">
        <v>8</v>
      </c>
      <c r="H748" t="s">
        <v>310</v>
      </c>
      <c r="K748" t="s">
        <v>8</v>
      </c>
      <c r="Q748" t="str">
        <f t="shared" si="33"/>
        <v>Aug</v>
      </c>
      <c r="R748">
        <f t="shared" si="34"/>
        <v>2014</v>
      </c>
      <c r="S748" t="str">
        <f>VLOOKUP($W748,TBL_Categories,2,FALSE)</f>
        <v>Monthly</v>
      </c>
      <c r="T748">
        <f>VLOOKUP($W748,TBL_Categories,3,FALSE)</f>
        <v>0</v>
      </c>
      <c r="U748" t="str">
        <f>VLOOKUP($W748,TBL_Categories,4,FALSE)</f>
        <v>No</v>
      </c>
      <c r="V748" t="str">
        <f>VLOOKUP($W748,TBL_Categories,5,FALSE)</f>
        <v>None</v>
      </c>
      <c r="W748" t="str">
        <f t="shared" si="35"/>
        <v>Interest Income</v>
      </c>
    </row>
    <row r="749" spans="1:23" x14ac:dyDescent="0.25">
      <c r="A749" t="s">
        <v>283</v>
      </c>
      <c r="B749" s="5">
        <v>41880</v>
      </c>
      <c r="C749">
        <v>2.13</v>
      </c>
      <c r="D749" t="s">
        <v>304</v>
      </c>
      <c r="E749" t="s">
        <v>309</v>
      </c>
      <c r="G749" t="s">
        <v>8</v>
      </c>
      <c r="H749" t="s">
        <v>310</v>
      </c>
      <c r="K749" t="s">
        <v>8</v>
      </c>
      <c r="Q749" t="str">
        <f t="shared" si="33"/>
        <v>Aug</v>
      </c>
      <c r="R749">
        <f t="shared" si="34"/>
        <v>2014</v>
      </c>
      <c r="S749" t="str">
        <f>VLOOKUP($W749,TBL_Categories,2,FALSE)</f>
        <v>Monthly</v>
      </c>
      <c r="T749">
        <f>VLOOKUP($W749,TBL_Categories,3,FALSE)</f>
        <v>0</v>
      </c>
      <c r="U749" t="str">
        <f>VLOOKUP($W749,TBL_Categories,4,FALSE)</f>
        <v>No</v>
      </c>
      <c r="V749" t="str">
        <f>VLOOKUP($W749,TBL_Categories,5,FALSE)</f>
        <v>None</v>
      </c>
      <c r="W749" t="str">
        <f t="shared" si="35"/>
        <v>Interest Income</v>
      </c>
    </row>
    <row r="750" spans="1:23" x14ac:dyDescent="0.25">
      <c r="A750" t="s">
        <v>284</v>
      </c>
      <c r="B750" s="5">
        <v>41880</v>
      </c>
      <c r="C750" s="4">
        <v>3649.46</v>
      </c>
      <c r="D750" t="s">
        <v>304</v>
      </c>
      <c r="E750" t="s">
        <v>361</v>
      </c>
      <c r="F750" t="s">
        <v>312</v>
      </c>
      <c r="G750" t="s">
        <v>12</v>
      </c>
      <c r="K750" t="s">
        <v>12</v>
      </c>
      <c r="Q750" t="str">
        <f t="shared" si="33"/>
        <v>Aug</v>
      </c>
      <c r="R750">
        <f t="shared" si="34"/>
        <v>2014</v>
      </c>
      <c r="S750" t="str">
        <f>VLOOKUP($W750,TBL_Categories,2,FALSE)</f>
        <v>Monthly</v>
      </c>
      <c r="T750">
        <f>VLOOKUP($W750,TBL_Categories,3,FALSE)</f>
        <v>0</v>
      </c>
      <c r="U750" t="str">
        <f>VLOOKUP($W750,TBL_Categories,4,FALSE)</f>
        <v>No</v>
      </c>
      <c r="V750" t="str">
        <f>VLOOKUP($W750,TBL_Categories,5,FALSE)</f>
        <v>None</v>
      </c>
      <c r="W750" t="str">
        <f t="shared" si="35"/>
        <v>Net Salary</v>
      </c>
    </row>
    <row r="751" spans="1:23" x14ac:dyDescent="0.25">
      <c r="A751" t="s">
        <v>284</v>
      </c>
      <c r="B751" s="5">
        <v>41880</v>
      </c>
      <c r="C751" s="4">
        <v>6058.12</v>
      </c>
      <c r="D751" t="s">
        <v>304</v>
      </c>
      <c r="E751" t="s">
        <v>363</v>
      </c>
      <c r="F751" t="s">
        <v>359</v>
      </c>
      <c r="G751" t="s">
        <v>12</v>
      </c>
      <c r="K751" t="s">
        <v>12</v>
      </c>
      <c r="Q751" t="str">
        <f t="shared" si="33"/>
        <v>Aug</v>
      </c>
      <c r="R751">
        <f t="shared" si="34"/>
        <v>2014</v>
      </c>
      <c r="S751" t="str">
        <f>VLOOKUP($W751,TBL_Categories,2,FALSE)</f>
        <v>Monthly</v>
      </c>
      <c r="T751">
        <f>VLOOKUP($W751,TBL_Categories,3,FALSE)</f>
        <v>0</v>
      </c>
      <c r="U751" t="str">
        <f>VLOOKUP($W751,TBL_Categories,4,FALSE)</f>
        <v>No</v>
      </c>
      <c r="V751" t="str">
        <f>VLOOKUP($W751,TBL_Categories,5,FALSE)</f>
        <v>None</v>
      </c>
      <c r="W751" t="str">
        <f t="shared" si="35"/>
        <v>Net Salary</v>
      </c>
    </row>
    <row r="752" spans="1:23" x14ac:dyDescent="0.25">
      <c r="A752" t="s">
        <v>284</v>
      </c>
      <c r="B752" s="5">
        <v>41880</v>
      </c>
      <c r="C752">
        <v>-252.79</v>
      </c>
      <c r="D752" t="s">
        <v>304</v>
      </c>
      <c r="E752" t="s">
        <v>582</v>
      </c>
      <c r="F752" t="s">
        <v>1659</v>
      </c>
      <c r="G752" t="s">
        <v>313</v>
      </c>
      <c r="K752" t="s">
        <v>54</v>
      </c>
      <c r="L752" t="s">
        <v>1521</v>
      </c>
      <c r="Q752" t="str">
        <f t="shared" si="33"/>
        <v>Aug</v>
      </c>
      <c r="R752">
        <f t="shared" si="34"/>
        <v>2014</v>
      </c>
      <c r="S752" t="str">
        <f>VLOOKUP($W752,TBL_Categories,2,FALSE)</f>
        <v>Monthly</v>
      </c>
      <c r="T752">
        <f>VLOOKUP($W752,TBL_Categories,3,FALSE)</f>
        <v>0</v>
      </c>
      <c r="U752" t="str">
        <f>VLOOKUP($W752,TBL_Categories,4,FALSE)</f>
        <v>No</v>
      </c>
      <c r="V752" t="str">
        <f>VLOOKUP($W752,TBL_Categories,5,FALSE)</f>
        <v>None</v>
      </c>
      <c r="W752" t="str">
        <f t="shared" si="35"/>
        <v>Bills &amp; Utilities|Utilities</v>
      </c>
    </row>
    <row r="753" spans="1:23" x14ac:dyDescent="0.25">
      <c r="A753" t="s">
        <v>290</v>
      </c>
      <c r="B753" s="5">
        <v>41880</v>
      </c>
      <c r="C753">
        <v>0.06</v>
      </c>
      <c r="D753" t="s">
        <v>304</v>
      </c>
      <c r="E753" t="s">
        <v>399</v>
      </c>
      <c r="G753" t="s">
        <v>8</v>
      </c>
      <c r="K753" t="s">
        <v>8</v>
      </c>
      <c r="Q753" t="str">
        <f t="shared" si="33"/>
        <v>Aug</v>
      </c>
      <c r="R753">
        <f t="shared" si="34"/>
        <v>2014</v>
      </c>
      <c r="S753" t="str">
        <f>VLOOKUP($W753,TBL_Categories,2,FALSE)</f>
        <v>Monthly</v>
      </c>
      <c r="T753">
        <f>VLOOKUP($W753,TBL_Categories,3,FALSE)</f>
        <v>0</v>
      </c>
      <c r="U753" t="str">
        <f>VLOOKUP($W753,TBL_Categories,4,FALSE)</f>
        <v>No</v>
      </c>
      <c r="V753" t="str">
        <f>VLOOKUP($W753,TBL_Categories,5,FALSE)</f>
        <v>None</v>
      </c>
      <c r="W753" t="str">
        <f t="shared" si="35"/>
        <v>Interest Income</v>
      </c>
    </row>
    <row r="754" spans="1:23" x14ac:dyDescent="0.25">
      <c r="A754" t="s">
        <v>633</v>
      </c>
      <c r="B754" s="5">
        <v>41880</v>
      </c>
      <c r="C754">
        <v>-28.28</v>
      </c>
      <c r="D754" t="s">
        <v>304</v>
      </c>
      <c r="E754" t="s">
        <v>705</v>
      </c>
      <c r="G754" t="s">
        <v>409</v>
      </c>
      <c r="K754" t="s">
        <v>52</v>
      </c>
      <c r="L754" t="s">
        <v>1568</v>
      </c>
      <c r="Q754" t="str">
        <f t="shared" si="33"/>
        <v>Aug</v>
      </c>
      <c r="R754">
        <f t="shared" si="34"/>
        <v>2014</v>
      </c>
      <c r="S754" t="str">
        <f>VLOOKUP($W754,TBL_Categories,2,FALSE)</f>
        <v>Monthly</v>
      </c>
      <c r="T754">
        <f>VLOOKUP($W754,TBL_Categories,3,FALSE)</f>
        <v>0</v>
      </c>
      <c r="U754" t="str">
        <f>VLOOKUP($W754,TBL_Categories,4,FALSE)</f>
        <v>No</v>
      </c>
      <c r="V754" t="str">
        <f>VLOOKUP($W754,TBL_Categories,5,FALSE)</f>
        <v>None</v>
      </c>
      <c r="W754" t="str">
        <f t="shared" si="35"/>
        <v>Auto &amp; Transport|Gas &amp; Fuel</v>
      </c>
    </row>
    <row r="755" spans="1:23" x14ac:dyDescent="0.25">
      <c r="A755" t="s">
        <v>633</v>
      </c>
      <c r="B755" s="5">
        <v>41880</v>
      </c>
      <c r="C755">
        <v>-95.85</v>
      </c>
      <c r="D755" t="s">
        <v>304</v>
      </c>
      <c r="E755" t="s">
        <v>982</v>
      </c>
      <c r="F755" t="s">
        <v>983</v>
      </c>
      <c r="G755" t="s">
        <v>599</v>
      </c>
      <c r="K755" t="s">
        <v>75</v>
      </c>
      <c r="L755" t="s">
        <v>1564</v>
      </c>
      <c r="O755" t="s">
        <v>1606</v>
      </c>
      <c r="Q755" t="str">
        <f t="shared" si="33"/>
        <v>Aug</v>
      </c>
      <c r="R755">
        <f t="shared" si="34"/>
        <v>2014</v>
      </c>
      <c r="S755" t="str">
        <f>VLOOKUP($W755,TBL_Categories,2,FALSE)</f>
        <v>Irregular</v>
      </c>
      <c r="T755">
        <f>VLOOKUP($W755,TBL_Categories,3,FALSE)</f>
        <v>0</v>
      </c>
      <c r="U755" t="str">
        <f>VLOOKUP($W755,TBL_Categories,4,FALSE)</f>
        <v>No</v>
      </c>
      <c r="V755" t="str">
        <f>VLOOKUP($W755,TBL_Categories,5,FALSE)</f>
        <v>None</v>
      </c>
      <c r="W755" t="str">
        <f t="shared" si="35"/>
        <v>Vacation|Food</v>
      </c>
    </row>
    <row r="756" spans="1:23" x14ac:dyDescent="0.25">
      <c r="A756" t="s">
        <v>296</v>
      </c>
      <c r="B756" s="5">
        <v>41880</v>
      </c>
      <c r="C756">
        <v>-9.9</v>
      </c>
      <c r="D756" t="s">
        <v>304</v>
      </c>
      <c r="E756" t="s">
        <v>451</v>
      </c>
      <c r="F756" t="s">
        <v>1278</v>
      </c>
      <c r="G756" t="s">
        <v>1142</v>
      </c>
      <c r="J756" t="s">
        <v>1550</v>
      </c>
      <c r="K756" t="s">
        <v>72</v>
      </c>
      <c r="L756" t="s">
        <v>1534</v>
      </c>
      <c r="Q756" t="str">
        <f t="shared" si="33"/>
        <v>Aug</v>
      </c>
      <c r="R756">
        <f t="shared" si="34"/>
        <v>2014</v>
      </c>
      <c r="S756" t="str">
        <f>VLOOKUP($W756,TBL_Categories,2,FALSE)</f>
        <v>Annual</v>
      </c>
      <c r="T756">
        <f>VLOOKUP($W756,TBL_Categories,3,FALSE)</f>
        <v>0</v>
      </c>
      <c r="U756" t="str">
        <f>VLOOKUP($W756,TBL_Categories,4,FALSE)</f>
        <v>No</v>
      </c>
      <c r="V756" t="str">
        <f>VLOOKUP($W756,TBL_Categories,5,FALSE)</f>
        <v>None</v>
      </c>
      <c r="W756" t="str">
        <f t="shared" si="35"/>
        <v>Shopping|Electronics &amp; Software</v>
      </c>
    </row>
    <row r="757" spans="1:23" x14ac:dyDescent="0.25">
      <c r="A757" t="s">
        <v>296</v>
      </c>
      <c r="B757" s="5">
        <v>41880</v>
      </c>
      <c r="C757">
        <v>-15</v>
      </c>
      <c r="D757" t="s">
        <v>304</v>
      </c>
      <c r="E757" t="s">
        <v>1279</v>
      </c>
      <c r="F757" t="s">
        <v>983</v>
      </c>
      <c r="G757" t="s">
        <v>607</v>
      </c>
      <c r="K757" t="s">
        <v>75</v>
      </c>
      <c r="L757" t="s">
        <v>1567</v>
      </c>
      <c r="O757" t="s">
        <v>1606</v>
      </c>
      <c r="Q757" t="str">
        <f t="shared" si="33"/>
        <v>Aug</v>
      </c>
      <c r="R757">
        <f t="shared" si="34"/>
        <v>2014</v>
      </c>
      <c r="S757" t="str">
        <f>VLOOKUP($W757,TBL_Categories,2,FALSE)</f>
        <v>Irregular</v>
      </c>
      <c r="T757">
        <f>VLOOKUP($W757,TBL_Categories,3,FALSE)</f>
        <v>0</v>
      </c>
      <c r="U757" t="str">
        <f>VLOOKUP($W757,TBL_Categories,4,FALSE)</f>
        <v>No</v>
      </c>
      <c r="V757" t="str">
        <f>VLOOKUP($W757,TBL_Categories,5,FALSE)</f>
        <v>None</v>
      </c>
      <c r="W757" t="str">
        <f t="shared" si="35"/>
        <v>Vacation|Activities</v>
      </c>
    </row>
    <row r="758" spans="1:23" x14ac:dyDescent="0.25">
      <c r="A758" t="s">
        <v>296</v>
      </c>
      <c r="B758" s="5">
        <v>41880</v>
      </c>
      <c r="C758">
        <v>-16.079999999999998</v>
      </c>
      <c r="D758" t="s">
        <v>304</v>
      </c>
      <c r="E758" t="s">
        <v>1280</v>
      </c>
      <c r="F758" t="s">
        <v>983</v>
      </c>
      <c r="G758" t="s">
        <v>599</v>
      </c>
      <c r="K758" t="s">
        <v>75</v>
      </c>
      <c r="L758" t="s">
        <v>1564</v>
      </c>
      <c r="O758" t="s">
        <v>1606</v>
      </c>
      <c r="Q758" t="str">
        <f t="shared" si="33"/>
        <v>Aug</v>
      </c>
      <c r="R758">
        <f t="shared" si="34"/>
        <v>2014</v>
      </c>
      <c r="S758" t="str">
        <f>VLOOKUP($W758,TBL_Categories,2,FALSE)</f>
        <v>Irregular</v>
      </c>
      <c r="T758">
        <f>VLOOKUP($W758,TBL_Categories,3,FALSE)</f>
        <v>0</v>
      </c>
      <c r="U758" t="str">
        <f>VLOOKUP($W758,TBL_Categories,4,FALSE)</f>
        <v>No</v>
      </c>
      <c r="V758" t="str">
        <f>VLOOKUP($W758,TBL_Categories,5,FALSE)</f>
        <v>None</v>
      </c>
      <c r="W758" t="str">
        <f t="shared" si="35"/>
        <v>Vacation|Food</v>
      </c>
    </row>
    <row r="759" spans="1:23" x14ac:dyDescent="0.25">
      <c r="A759" t="s">
        <v>296</v>
      </c>
      <c r="B759" s="5">
        <v>41880</v>
      </c>
      <c r="C759">
        <v>-21.53</v>
      </c>
      <c r="D759" t="s">
        <v>304</v>
      </c>
      <c r="E759" t="s">
        <v>1281</v>
      </c>
      <c r="F759" t="s">
        <v>1282</v>
      </c>
      <c r="G759" t="s">
        <v>1283</v>
      </c>
      <c r="J759" t="s">
        <v>1550</v>
      </c>
      <c r="K759" t="s">
        <v>75</v>
      </c>
      <c r="L759" t="s">
        <v>1589</v>
      </c>
      <c r="O759" t="s">
        <v>1606</v>
      </c>
      <c r="Q759" t="str">
        <f t="shared" si="33"/>
        <v>Aug</v>
      </c>
      <c r="R759">
        <f t="shared" si="34"/>
        <v>2014</v>
      </c>
      <c r="S759" t="str">
        <f>VLOOKUP($W759,TBL_Categories,2,FALSE)</f>
        <v>Irregular</v>
      </c>
      <c r="T759">
        <f>VLOOKUP($W759,TBL_Categories,3,FALSE)</f>
        <v>0</v>
      </c>
      <c r="U759" t="str">
        <f>VLOOKUP($W759,TBL_Categories,4,FALSE)</f>
        <v>No</v>
      </c>
      <c r="V759" t="str">
        <f>VLOOKUP($W759,TBL_Categories,5,FALSE)</f>
        <v>None</v>
      </c>
      <c r="W759" t="str">
        <f t="shared" si="35"/>
        <v>Vacation|Trinkets</v>
      </c>
    </row>
    <row r="760" spans="1:23" x14ac:dyDescent="0.25">
      <c r="A760" t="s">
        <v>296</v>
      </c>
      <c r="B760" s="5">
        <v>41880</v>
      </c>
      <c r="C760">
        <v>-25.9</v>
      </c>
      <c r="D760" t="s">
        <v>304</v>
      </c>
      <c r="E760" t="s">
        <v>1284</v>
      </c>
      <c r="G760" t="s">
        <v>598</v>
      </c>
      <c r="K760" t="s">
        <v>62</v>
      </c>
      <c r="L760" t="s">
        <v>1557</v>
      </c>
      <c r="Q760" t="str">
        <f t="shared" si="33"/>
        <v>Aug</v>
      </c>
      <c r="R760">
        <f t="shared" si="34"/>
        <v>2014</v>
      </c>
      <c r="S760" t="str">
        <f>VLOOKUP($W760,TBL_Categories,2,FALSE)</f>
        <v>Irregular</v>
      </c>
      <c r="T760">
        <f>VLOOKUP($W760,TBL_Categories,3,FALSE)</f>
        <v>0</v>
      </c>
      <c r="U760" t="str">
        <f>VLOOKUP($W760,TBL_Categories,4,FALSE)</f>
        <v>No</v>
      </c>
      <c r="V760" t="str">
        <f>VLOOKUP($W760,TBL_Categories,5,FALSE)</f>
        <v>None</v>
      </c>
      <c r="W760" t="str">
        <f t="shared" si="35"/>
        <v>Health &amp; Fitness|Eyecare</v>
      </c>
    </row>
    <row r="761" spans="1:23" x14ac:dyDescent="0.25">
      <c r="A761" t="s">
        <v>296</v>
      </c>
      <c r="B761" s="5">
        <v>41880</v>
      </c>
      <c r="C761">
        <v>-37.71</v>
      </c>
      <c r="D761" t="s">
        <v>304</v>
      </c>
      <c r="E761" t="s">
        <v>1280</v>
      </c>
      <c r="F761" t="s">
        <v>983</v>
      </c>
      <c r="G761" t="s">
        <v>599</v>
      </c>
      <c r="K761" t="s">
        <v>75</v>
      </c>
      <c r="L761" t="s">
        <v>1564</v>
      </c>
      <c r="O761" t="s">
        <v>1606</v>
      </c>
      <c r="Q761" t="str">
        <f t="shared" si="33"/>
        <v>Aug</v>
      </c>
      <c r="R761">
        <f t="shared" si="34"/>
        <v>2014</v>
      </c>
      <c r="S761" t="str">
        <f>VLOOKUP($W761,TBL_Categories,2,FALSE)</f>
        <v>Irregular</v>
      </c>
      <c r="T761">
        <f>VLOOKUP($W761,TBL_Categories,3,FALSE)</f>
        <v>0</v>
      </c>
      <c r="U761" t="str">
        <f>VLOOKUP($W761,TBL_Categories,4,FALSE)</f>
        <v>No</v>
      </c>
      <c r="V761" t="str">
        <f>VLOOKUP($W761,TBL_Categories,5,FALSE)</f>
        <v>None</v>
      </c>
      <c r="W761" t="str">
        <f t="shared" si="35"/>
        <v>Vacation|Food</v>
      </c>
    </row>
    <row r="762" spans="1:23" x14ac:dyDescent="0.25">
      <c r="A762" t="s">
        <v>296</v>
      </c>
      <c r="B762" s="5">
        <v>41880</v>
      </c>
      <c r="C762">
        <v>-73.84</v>
      </c>
      <c r="D762" t="s">
        <v>304</v>
      </c>
      <c r="E762" t="s">
        <v>1280</v>
      </c>
      <c r="F762" t="s">
        <v>983</v>
      </c>
      <c r="G762" t="s">
        <v>599</v>
      </c>
      <c r="K762" t="s">
        <v>75</v>
      </c>
      <c r="L762" t="s">
        <v>1564</v>
      </c>
      <c r="O762" t="s">
        <v>1606</v>
      </c>
      <c r="Q762" t="str">
        <f t="shared" si="33"/>
        <v>Aug</v>
      </c>
      <c r="R762">
        <f t="shared" si="34"/>
        <v>2014</v>
      </c>
      <c r="S762" t="str">
        <f>VLOOKUP($W762,TBL_Categories,2,FALSE)</f>
        <v>Irregular</v>
      </c>
      <c r="T762">
        <f>VLOOKUP($W762,TBL_Categories,3,FALSE)</f>
        <v>0</v>
      </c>
      <c r="U762" t="str">
        <f>VLOOKUP($W762,TBL_Categories,4,FALSE)</f>
        <v>No</v>
      </c>
      <c r="V762" t="str">
        <f>VLOOKUP($W762,TBL_Categories,5,FALSE)</f>
        <v>None</v>
      </c>
      <c r="W762" t="str">
        <f t="shared" si="35"/>
        <v>Vacation|Food</v>
      </c>
    </row>
    <row r="763" spans="1:23" x14ac:dyDescent="0.25">
      <c r="A763" t="s">
        <v>296</v>
      </c>
      <c r="B763" s="5">
        <v>41879</v>
      </c>
      <c r="C763">
        <v>-10.89</v>
      </c>
      <c r="D763" t="s">
        <v>304</v>
      </c>
      <c r="E763" t="s">
        <v>1276</v>
      </c>
      <c r="F763" t="s">
        <v>983</v>
      </c>
      <c r="G763" t="s">
        <v>599</v>
      </c>
      <c r="K763" t="s">
        <v>75</v>
      </c>
      <c r="L763" t="s">
        <v>1564</v>
      </c>
      <c r="O763" t="s">
        <v>1606</v>
      </c>
      <c r="Q763" t="str">
        <f t="shared" si="33"/>
        <v>Aug</v>
      </c>
      <c r="R763">
        <f t="shared" si="34"/>
        <v>2014</v>
      </c>
      <c r="S763" t="str">
        <f>VLOOKUP($W763,TBL_Categories,2,FALSE)</f>
        <v>Irregular</v>
      </c>
      <c r="T763">
        <f>VLOOKUP($W763,TBL_Categories,3,FALSE)</f>
        <v>0</v>
      </c>
      <c r="U763" t="str">
        <f>VLOOKUP($W763,TBL_Categories,4,FALSE)</f>
        <v>No</v>
      </c>
      <c r="V763" t="str">
        <f>VLOOKUP($W763,TBL_Categories,5,FALSE)</f>
        <v>None</v>
      </c>
      <c r="W763" t="str">
        <f t="shared" si="35"/>
        <v>Vacation|Food</v>
      </c>
    </row>
    <row r="764" spans="1:23" x14ac:dyDescent="0.25">
      <c r="A764" t="s">
        <v>296</v>
      </c>
      <c r="B764" s="5">
        <v>41879</v>
      </c>
      <c r="C764">
        <v>-21.58</v>
      </c>
      <c r="D764" t="s">
        <v>304</v>
      </c>
      <c r="E764" t="s">
        <v>1276</v>
      </c>
      <c r="F764" t="s">
        <v>1123</v>
      </c>
      <c r="G764" t="s">
        <v>1020</v>
      </c>
      <c r="J764" t="s">
        <v>1550</v>
      </c>
      <c r="K764" t="s">
        <v>66</v>
      </c>
      <c r="L764" t="s">
        <v>1536</v>
      </c>
      <c r="Q764" t="str">
        <f t="shared" si="33"/>
        <v>Aug</v>
      </c>
      <c r="R764">
        <f t="shared" si="34"/>
        <v>2014</v>
      </c>
      <c r="S764" t="str">
        <f>VLOOKUP($W764,TBL_Categories,2,FALSE)</f>
        <v>Monthly</v>
      </c>
      <c r="T764">
        <f>VLOOKUP($W764,TBL_Categories,3,FALSE)</f>
        <v>0</v>
      </c>
      <c r="U764" t="str">
        <f>VLOOKUP($W764,TBL_Categories,4,FALSE)</f>
        <v>No</v>
      </c>
      <c r="V764" t="str">
        <f>VLOOKUP($W764,TBL_Categories,5,FALSE)</f>
        <v>None</v>
      </c>
      <c r="W764" t="str">
        <f t="shared" si="35"/>
        <v>Kids|Toys</v>
      </c>
    </row>
    <row r="765" spans="1:23" x14ac:dyDescent="0.25">
      <c r="A765" t="s">
        <v>296</v>
      </c>
      <c r="B765" s="5">
        <v>41879</v>
      </c>
      <c r="C765">
        <v>-24.02</v>
      </c>
      <c r="D765" t="s">
        <v>304</v>
      </c>
      <c r="E765" t="s">
        <v>670</v>
      </c>
      <c r="G765" t="s">
        <v>357</v>
      </c>
      <c r="K765" t="s">
        <v>63</v>
      </c>
      <c r="L765" t="s">
        <v>1546</v>
      </c>
      <c r="Q765" t="str">
        <f t="shared" si="33"/>
        <v>Aug</v>
      </c>
      <c r="R765">
        <f t="shared" si="34"/>
        <v>2014</v>
      </c>
      <c r="S765" t="str">
        <f>VLOOKUP($W765,TBL_Categories,2,FALSE)</f>
        <v>Monthly</v>
      </c>
      <c r="T765">
        <f>VLOOKUP($W765,TBL_Categories,3,FALSE)</f>
        <v>0</v>
      </c>
      <c r="U765" t="str">
        <f>VLOOKUP($W765,TBL_Categories,4,FALSE)</f>
        <v>No</v>
      </c>
      <c r="V765" t="str">
        <f>VLOOKUP($W765,TBL_Categories,5,FALSE)</f>
        <v>None</v>
      </c>
      <c r="W765" t="str">
        <f t="shared" si="35"/>
        <v>Home|Furnishings</v>
      </c>
    </row>
    <row r="766" spans="1:23" x14ac:dyDescent="0.25">
      <c r="A766" t="s">
        <v>296</v>
      </c>
      <c r="B766" s="5">
        <v>41879</v>
      </c>
      <c r="C766">
        <v>-46</v>
      </c>
      <c r="D766" t="s">
        <v>304</v>
      </c>
      <c r="E766" t="s">
        <v>1277</v>
      </c>
      <c r="F766" t="s">
        <v>983</v>
      </c>
      <c r="G766" t="s">
        <v>607</v>
      </c>
      <c r="K766" t="s">
        <v>75</v>
      </c>
      <c r="L766" t="s">
        <v>1567</v>
      </c>
      <c r="O766" t="s">
        <v>1606</v>
      </c>
      <c r="Q766" t="str">
        <f t="shared" si="33"/>
        <v>Aug</v>
      </c>
      <c r="R766">
        <f t="shared" si="34"/>
        <v>2014</v>
      </c>
      <c r="S766" t="str">
        <f>VLOOKUP($W766,TBL_Categories,2,FALSE)</f>
        <v>Irregular</v>
      </c>
      <c r="T766">
        <f>VLOOKUP($W766,TBL_Categories,3,FALSE)</f>
        <v>0</v>
      </c>
      <c r="U766" t="str">
        <f>VLOOKUP($W766,TBL_Categories,4,FALSE)</f>
        <v>No</v>
      </c>
      <c r="V766" t="str">
        <f>VLOOKUP($W766,TBL_Categories,5,FALSE)</f>
        <v>None</v>
      </c>
      <c r="W766" t="str">
        <f t="shared" si="35"/>
        <v>Vacation|Activities</v>
      </c>
    </row>
    <row r="767" spans="1:23" x14ac:dyDescent="0.25">
      <c r="A767" t="s">
        <v>296</v>
      </c>
      <c r="B767" s="5">
        <v>41879</v>
      </c>
      <c r="C767">
        <v>-258.27</v>
      </c>
      <c r="D767" t="s">
        <v>304</v>
      </c>
      <c r="E767" t="s">
        <v>982</v>
      </c>
      <c r="F767" t="s">
        <v>983</v>
      </c>
      <c r="G767" t="s">
        <v>347</v>
      </c>
      <c r="K767" t="s">
        <v>75</v>
      </c>
      <c r="L767" t="s">
        <v>1540</v>
      </c>
      <c r="O767" t="s">
        <v>1606</v>
      </c>
      <c r="Q767" t="str">
        <f t="shared" si="33"/>
        <v>Aug</v>
      </c>
      <c r="R767">
        <f t="shared" si="34"/>
        <v>2014</v>
      </c>
      <c r="S767" t="str">
        <f>VLOOKUP($W767,TBL_Categories,2,FALSE)</f>
        <v>Irregular</v>
      </c>
      <c r="T767">
        <f>VLOOKUP($W767,TBL_Categories,3,FALSE)</f>
        <v>0</v>
      </c>
      <c r="U767" t="str">
        <f>VLOOKUP($W767,TBL_Categories,4,FALSE)</f>
        <v>No</v>
      </c>
      <c r="V767" t="str">
        <f>VLOOKUP($W767,TBL_Categories,5,FALSE)</f>
        <v>None</v>
      </c>
      <c r="W767" t="str">
        <f t="shared" si="35"/>
        <v>Vacation|Lodging</v>
      </c>
    </row>
    <row r="768" spans="1:23" x14ac:dyDescent="0.25">
      <c r="A768" t="s">
        <v>284</v>
      </c>
      <c r="B768" s="5">
        <v>41878</v>
      </c>
      <c r="C768">
        <v>-186.29</v>
      </c>
      <c r="D768" t="s">
        <v>304</v>
      </c>
      <c r="E768" t="s">
        <v>822</v>
      </c>
      <c r="F768" t="s">
        <v>636</v>
      </c>
      <c r="G768" t="s">
        <v>657</v>
      </c>
      <c r="K768" t="s">
        <v>657</v>
      </c>
      <c r="Q768" t="str">
        <f t="shared" si="33"/>
        <v>Aug</v>
      </c>
      <c r="R768">
        <f t="shared" si="34"/>
        <v>2014</v>
      </c>
      <c r="S768" t="e">
        <f>VLOOKUP($W768,TBL_Categories,2,FALSE)</f>
        <v>#N/A</v>
      </c>
      <c r="T768" t="e">
        <f>VLOOKUP($W768,TBL_Categories,3,FALSE)</f>
        <v>#N/A</v>
      </c>
      <c r="U768" t="e">
        <f>VLOOKUP($W768,TBL_Categories,4,FALSE)</f>
        <v>#N/A</v>
      </c>
      <c r="V768" t="e">
        <f>VLOOKUP($W768,TBL_Categories,5,FALSE)</f>
        <v>#N/A</v>
      </c>
      <c r="W768" t="str">
        <f t="shared" si="35"/>
        <v>[Chase Freedom XX9381]</v>
      </c>
    </row>
    <row r="769" spans="1:23" x14ac:dyDescent="0.25">
      <c r="A769" t="s">
        <v>633</v>
      </c>
      <c r="B769" s="5">
        <v>41878</v>
      </c>
      <c r="C769">
        <v>186.29</v>
      </c>
      <c r="D769" t="s">
        <v>304</v>
      </c>
      <c r="E769" t="s">
        <v>822</v>
      </c>
      <c r="F769" t="s">
        <v>636</v>
      </c>
      <c r="G769" t="s">
        <v>9</v>
      </c>
      <c r="K769" t="s">
        <v>9</v>
      </c>
      <c r="Q769" t="str">
        <f t="shared" si="33"/>
        <v>Aug</v>
      </c>
      <c r="R769">
        <f t="shared" si="34"/>
        <v>2014</v>
      </c>
      <c r="S769" t="str">
        <f>VLOOKUP($W769,TBL_Categories,2,FALSE)</f>
        <v>Account</v>
      </c>
      <c r="T769">
        <f>VLOOKUP($W769,TBL_Categories,3,FALSE)</f>
        <v>0</v>
      </c>
      <c r="U769" t="str">
        <f>VLOOKUP($W769,TBL_Categories,4,FALSE)</f>
        <v>No</v>
      </c>
      <c r="V769" t="str">
        <f>VLOOKUP($W769,TBL_Categories,5,FALSE)</f>
        <v>None</v>
      </c>
      <c r="W769" t="str">
        <f t="shared" si="35"/>
        <v>[First Tech - Checking (5544)]</v>
      </c>
    </row>
    <row r="770" spans="1:23" x14ac:dyDescent="0.25">
      <c r="A770" t="s">
        <v>296</v>
      </c>
      <c r="B770" s="5">
        <v>41878</v>
      </c>
      <c r="C770">
        <v>25</v>
      </c>
      <c r="D770" t="s">
        <v>304</v>
      </c>
      <c r="E770" t="s">
        <v>429</v>
      </c>
      <c r="G770" t="s">
        <v>14</v>
      </c>
      <c r="K770" t="s">
        <v>14</v>
      </c>
      <c r="Q770" t="str">
        <f t="shared" ref="Q770:Q833" si="36">TEXT($B770,"MMM")</f>
        <v>Aug</v>
      </c>
      <c r="R770">
        <f t="shared" ref="R770:R833" si="37">YEAR($B770)</f>
        <v>2014</v>
      </c>
      <c r="S770" t="str">
        <f>VLOOKUP($W770,TBL_Categories,2,FALSE)</f>
        <v>Monthly</v>
      </c>
      <c r="T770">
        <f>VLOOKUP($W770,TBL_Categories,3,FALSE)</f>
        <v>0</v>
      </c>
      <c r="U770" t="str">
        <f>VLOOKUP($W770,TBL_Categories,4,FALSE)</f>
        <v>No</v>
      </c>
      <c r="V770" t="str">
        <f>VLOOKUP($W770,TBL_Categories,5,FALSE)</f>
        <v>None</v>
      </c>
      <c r="W770" t="str">
        <f t="shared" ref="W770:W833" si="38">IF(ISBLANK($L770),$K770,CONCATENATE($K770,"|",$L770))</f>
        <v>Other Inc</v>
      </c>
    </row>
    <row r="771" spans="1:23" x14ac:dyDescent="0.25">
      <c r="A771" t="s">
        <v>296</v>
      </c>
      <c r="B771" s="5">
        <v>41878</v>
      </c>
      <c r="C771">
        <v>-4.37</v>
      </c>
      <c r="D771" t="s">
        <v>304</v>
      </c>
      <c r="E771" t="s">
        <v>433</v>
      </c>
      <c r="F771" t="s">
        <v>1274</v>
      </c>
      <c r="G771" t="s">
        <v>972</v>
      </c>
      <c r="J771" t="s">
        <v>1550</v>
      </c>
      <c r="K771" t="s">
        <v>75</v>
      </c>
      <c r="L771" t="s">
        <v>1564</v>
      </c>
      <c r="O771" t="s">
        <v>1613</v>
      </c>
      <c r="Q771" t="str">
        <f t="shared" si="36"/>
        <v>Aug</v>
      </c>
      <c r="R771">
        <f t="shared" si="37"/>
        <v>2014</v>
      </c>
      <c r="S771" t="str">
        <f>VLOOKUP($W771,TBL_Categories,2,FALSE)</f>
        <v>Irregular</v>
      </c>
      <c r="T771">
        <f>VLOOKUP($W771,TBL_Categories,3,FALSE)</f>
        <v>0</v>
      </c>
      <c r="U771" t="str">
        <f>VLOOKUP($W771,TBL_Categories,4,FALSE)</f>
        <v>No</v>
      </c>
      <c r="V771" t="str">
        <f>VLOOKUP($W771,TBL_Categories,5,FALSE)</f>
        <v>None</v>
      </c>
      <c r="W771" t="str">
        <f t="shared" si="38"/>
        <v>Vacation|Food</v>
      </c>
    </row>
    <row r="772" spans="1:23" x14ac:dyDescent="0.25">
      <c r="A772" t="s">
        <v>296</v>
      </c>
      <c r="B772" s="5">
        <v>41878</v>
      </c>
      <c r="C772">
        <v>-5.5</v>
      </c>
      <c r="D772" t="s">
        <v>304</v>
      </c>
      <c r="E772" t="s">
        <v>1275</v>
      </c>
      <c r="F772" t="s">
        <v>1268</v>
      </c>
      <c r="G772" t="s">
        <v>972</v>
      </c>
      <c r="J772" t="s">
        <v>1550</v>
      </c>
      <c r="K772" t="s">
        <v>75</v>
      </c>
      <c r="L772" t="s">
        <v>1564</v>
      </c>
      <c r="O772" t="s">
        <v>1615</v>
      </c>
      <c r="Q772" t="str">
        <f t="shared" si="36"/>
        <v>Aug</v>
      </c>
      <c r="R772">
        <f t="shared" si="37"/>
        <v>2014</v>
      </c>
      <c r="S772" t="str">
        <f>VLOOKUP($W772,TBL_Categories,2,FALSE)</f>
        <v>Irregular</v>
      </c>
      <c r="T772">
        <f>VLOOKUP($W772,TBL_Categories,3,FALSE)</f>
        <v>0</v>
      </c>
      <c r="U772" t="str">
        <f>VLOOKUP($W772,TBL_Categories,4,FALSE)</f>
        <v>No</v>
      </c>
      <c r="V772" t="str">
        <f>VLOOKUP($W772,TBL_Categories,5,FALSE)</f>
        <v>None</v>
      </c>
      <c r="W772" t="str">
        <f t="shared" si="38"/>
        <v>Vacation|Food</v>
      </c>
    </row>
    <row r="773" spans="1:23" x14ac:dyDescent="0.25">
      <c r="A773" t="s">
        <v>296</v>
      </c>
      <c r="B773" s="5">
        <v>41877</v>
      </c>
      <c r="C773">
        <v>-1.99</v>
      </c>
      <c r="D773" t="s">
        <v>304</v>
      </c>
      <c r="E773" t="s">
        <v>1271</v>
      </c>
      <c r="F773" t="s">
        <v>1272</v>
      </c>
      <c r="G773" t="s">
        <v>972</v>
      </c>
      <c r="J773" t="s">
        <v>1550</v>
      </c>
      <c r="K773" t="s">
        <v>75</v>
      </c>
      <c r="L773" t="s">
        <v>1564</v>
      </c>
      <c r="O773" t="s">
        <v>1615</v>
      </c>
      <c r="Q773" t="str">
        <f t="shared" si="36"/>
        <v>Aug</v>
      </c>
      <c r="R773">
        <f t="shared" si="37"/>
        <v>2014</v>
      </c>
      <c r="S773" t="str">
        <f>VLOOKUP($W773,TBL_Categories,2,FALSE)</f>
        <v>Irregular</v>
      </c>
      <c r="T773">
        <f>VLOOKUP($W773,TBL_Categories,3,FALSE)</f>
        <v>0</v>
      </c>
      <c r="U773" t="str">
        <f>VLOOKUP($W773,TBL_Categories,4,FALSE)</f>
        <v>No</v>
      </c>
      <c r="V773" t="str">
        <f>VLOOKUP($W773,TBL_Categories,5,FALSE)</f>
        <v>None</v>
      </c>
      <c r="W773" t="str">
        <f t="shared" si="38"/>
        <v>Vacation|Food</v>
      </c>
    </row>
    <row r="774" spans="1:23" x14ac:dyDescent="0.25">
      <c r="A774" t="s">
        <v>296</v>
      </c>
      <c r="B774" s="5">
        <v>41877</v>
      </c>
      <c r="C774">
        <v>-6.49</v>
      </c>
      <c r="D774" t="s">
        <v>304</v>
      </c>
      <c r="E774" t="s">
        <v>1273</v>
      </c>
      <c r="F774" t="s">
        <v>1268</v>
      </c>
      <c r="G774" t="s">
        <v>599</v>
      </c>
      <c r="K774" t="s">
        <v>75</v>
      </c>
      <c r="L774" t="s">
        <v>1564</v>
      </c>
      <c r="O774" t="s">
        <v>1615</v>
      </c>
      <c r="Q774" t="str">
        <f t="shared" si="36"/>
        <v>Aug</v>
      </c>
      <c r="R774">
        <f t="shared" si="37"/>
        <v>2014</v>
      </c>
      <c r="S774" t="str">
        <f>VLOOKUP($W774,TBL_Categories,2,FALSE)</f>
        <v>Irregular</v>
      </c>
      <c r="T774">
        <f>VLOOKUP($W774,TBL_Categories,3,FALSE)</f>
        <v>0</v>
      </c>
      <c r="U774" t="str">
        <f>VLOOKUP($W774,TBL_Categories,4,FALSE)</f>
        <v>No</v>
      </c>
      <c r="V774" t="str">
        <f>VLOOKUP($W774,TBL_Categories,5,FALSE)</f>
        <v>None</v>
      </c>
      <c r="W774" t="str">
        <f t="shared" si="38"/>
        <v>Vacation|Food</v>
      </c>
    </row>
    <row r="775" spans="1:23" x14ac:dyDescent="0.25">
      <c r="A775" t="s">
        <v>296</v>
      </c>
      <c r="B775" s="5">
        <v>41877</v>
      </c>
      <c r="C775">
        <v>-19.420000000000002</v>
      </c>
      <c r="D775" t="s">
        <v>304</v>
      </c>
      <c r="E775" t="s">
        <v>705</v>
      </c>
      <c r="F775" t="s">
        <v>1268</v>
      </c>
      <c r="G775" t="s">
        <v>410</v>
      </c>
      <c r="K775" t="s">
        <v>75</v>
      </c>
      <c r="L775" t="s">
        <v>1570</v>
      </c>
      <c r="O775" t="s">
        <v>1615</v>
      </c>
      <c r="Q775" t="str">
        <f t="shared" si="36"/>
        <v>Aug</v>
      </c>
      <c r="R775">
        <f t="shared" si="37"/>
        <v>2014</v>
      </c>
      <c r="S775" t="str">
        <f>VLOOKUP($W775,TBL_Categories,2,FALSE)</f>
        <v>Irregular</v>
      </c>
      <c r="T775">
        <f>VLOOKUP($W775,TBL_Categories,3,FALSE)</f>
        <v>0</v>
      </c>
      <c r="U775" t="str">
        <f>VLOOKUP($W775,TBL_Categories,4,FALSE)</f>
        <v>No</v>
      </c>
      <c r="V775" t="str">
        <f>VLOOKUP($W775,TBL_Categories,5,FALSE)</f>
        <v>None</v>
      </c>
      <c r="W775" t="str">
        <f t="shared" si="38"/>
        <v>Vacation|Transportation</v>
      </c>
    </row>
    <row r="776" spans="1:23" x14ac:dyDescent="0.25">
      <c r="A776" t="s">
        <v>296</v>
      </c>
      <c r="B776" s="5">
        <v>41877</v>
      </c>
      <c r="C776">
        <v>-32.69</v>
      </c>
      <c r="D776" t="s">
        <v>304</v>
      </c>
      <c r="E776" t="s">
        <v>1269</v>
      </c>
      <c r="F776" t="s">
        <v>1268</v>
      </c>
      <c r="G776" t="s">
        <v>599</v>
      </c>
      <c r="K776" t="s">
        <v>75</v>
      </c>
      <c r="L776" t="s">
        <v>1564</v>
      </c>
      <c r="O776" t="s">
        <v>1615</v>
      </c>
      <c r="Q776" t="str">
        <f t="shared" si="36"/>
        <v>Aug</v>
      </c>
      <c r="R776">
        <f t="shared" si="37"/>
        <v>2014</v>
      </c>
      <c r="S776" t="str">
        <f>VLOOKUP($W776,TBL_Categories,2,FALSE)</f>
        <v>Irregular</v>
      </c>
      <c r="T776">
        <f>VLOOKUP($W776,TBL_Categories,3,FALSE)</f>
        <v>0</v>
      </c>
      <c r="U776" t="str">
        <f>VLOOKUP($W776,TBL_Categories,4,FALSE)</f>
        <v>No</v>
      </c>
      <c r="V776" t="str">
        <f>VLOOKUP($W776,TBL_Categories,5,FALSE)</f>
        <v>None</v>
      </c>
      <c r="W776" t="str">
        <f t="shared" si="38"/>
        <v>Vacation|Food</v>
      </c>
    </row>
    <row r="777" spans="1:23" x14ac:dyDescent="0.25">
      <c r="A777" t="s">
        <v>284</v>
      </c>
      <c r="B777" s="5">
        <v>41876</v>
      </c>
      <c r="C777">
        <v>-88.17</v>
      </c>
      <c r="D777" t="s">
        <v>304</v>
      </c>
      <c r="E777" t="s">
        <v>362</v>
      </c>
      <c r="F777" t="s">
        <v>330</v>
      </c>
      <c r="G777" t="s">
        <v>15</v>
      </c>
      <c r="K777" t="s">
        <v>15</v>
      </c>
      <c r="Q777" t="str">
        <f t="shared" si="36"/>
        <v>Aug</v>
      </c>
      <c r="R777">
        <f t="shared" si="37"/>
        <v>2014</v>
      </c>
      <c r="S777" t="str">
        <f>VLOOKUP($W777,TBL_Categories,2,FALSE)</f>
        <v>Account</v>
      </c>
      <c r="T777">
        <f>VLOOKUP($W777,TBL_Categories,3,FALSE)</f>
        <v>0</v>
      </c>
      <c r="U777" t="str">
        <f>VLOOKUP($W777,TBL_Categories,4,FALSE)</f>
        <v>No</v>
      </c>
      <c r="V777" t="str">
        <f>VLOOKUP($W777,TBL_Categories,5,FALSE)</f>
        <v>None</v>
      </c>
      <c r="W777" t="str">
        <f t="shared" si="38"/>
        <v>[American Express (Costco)]</v>
      </c>
    </row>
    <row r="778" spans="1:23" x14ac:dyDescent="0.25">
      <c r="A778" t="s">
        <v>284</v>
      </c>
      <c r="B778" s="5">
        <v>41876</v>
      </c>
      <c r="C778">
        <v>-394.2</v>
      </c>
      <c r="D778" t="s">
        <v>304</v>
      </c>
      <c r="E778" t="s">
        <v>644</v>
      </c>
      <c r="F778" t="s">
        <v>647</v>
      </c>
      <c r="G778" t="s">
        <v>592</v>
      </c>
      <c r="K778" t="s">
        <v>90</v>
      </c>
      <c r="L778" t="s">
        <v>1543</v>
      </c>
      <c r="Q778" t="str">
        <f t="shared" si="36"/>
        <v>Aug</v>
      </c>
      <c r="R778">
        <f t="shared" si="37"/>
        <v>2014</v>
      </c>
      <c r="S778" t="str">
        <f>VLOOKUP($W778,TBL_Categories,2,FALSE)</f>
        <v>Unplanned</v>
      </c>
      <c r="T778">
        <f>VLOOKUP($W778,TBL_Categories,3,FALSE)</f>
        <v>0</v>
      </c>
      <c r="U778" t="str">
        <f>VLOOKUP($W778,TBL_Categories,4,FALSE)</f>
        <v>No</v>
      </c>
      <c r="V778" t="str">
        <f>VLOOKUP($W778,TBL_Categories,5,FALSE)</f>
        <v>None</v>
      </c>
      <c r="W778" t="str">
        <f t="shared" si="38"/>
        <v>Projects|Landscaping</v>
      </c>
    </row>
    <row r="779" spans="1:23" x14ac:dyDescent="0.25">
      <c r="A779" t="s">
        <v>288</v>
      </c>
      <c r="B779" s="5">
        <v>41876</v>
      </c>
      <c r="C779">
        <v>-146.97999999999999</v>
      </c>
      <c r="D779" t="s">
        <v>304</v>
      </c>
      <c r="E779" t="s">
        <v>391</v>
      </c>
      <c r="F779" t="s">
        <v>382</v>
      </c>
      <c r="G779" t="s">
        <v>31</v>
      </c>
      <c r="K779" t="s">
        <v>31</v>
      </c>
      <c r="Q779" t="str">
        <f t="shared" si="36"/>
        <v>Aug</v>
      </c>
      <c r="R779">
        <f t="shared" si="37"/>
        <v>2014</v>
      </c>
      <c r="S779" t="str">
        <f>VLOOKUP($W779,TBL_Categories,2,FALSE)</f>
        <v>Account</v>
      </c>
      <c r="T779">
        <f>VLOOKUP($W779,TBL_Categories,3,FALSE)</f>
        <v>0</v>
      </c>
      <c r="U779" t="str">
        <f>VLOOKUP($W779,TBL_Categories,4,FALSE)</f>
        <v>No</v>
      </c>
      <c r="V779" t="str">
        <f>VLOOKUP($W779,TBL_Categories,5,FALSE)</f>
        <v>None</v>
      </c>
      <c r="W779" t="str">
        <f t="shared" si="38"/>
        <v>[Koolikai Credit Card]</v>
      </c>
    </row>
    <row r="780" spans="1:23" x14ac:dyDescent="0.25">
      <c r="A780" t="s">
        <v>291</v>
      </c>
      <c r="B780" s="5">
        <v>41876</v>
      </c>
      <c r="C780">
        <v>88.17</v>
      </c>
      <c r="D780" t="s">
        <v>304</v>
      </c>
      <c r="E780" t="s">
        <v>362</v>
      </c>
      <c r="F780" t="s">
        <v>330</v>
      </c>
      <c r="G780" t="s">
        <v>9</v>
      </c>
      <c r="K780" t="s">
        <v>9</v>
      </c>
      <c r="Q780" t="str">
        <f t="shared" si="36"/>
        <v>Aug</v>
      </c>
      <c r="R780">
        <f t="shared" si="37"/>
        <v>2014</v>
      </c>
      <c r="S780" t="str">
        <f>VLOOKUP($W780,TBL_Categories,2,FALSE)</f>
        <v>Account</v>
      </c>
      <c r="T780">
        <f>VLOOKUP($W780,TBL_Categories,3,FALSE)</f>
        <v>0</v>
      </c>
      <c r="U780" t="str">
        <f>VLOOKUP($W780,TBL_Categories,4,FALSE)</f>
        <v>No</v>
      </c>
      <c r="V780" t="str">
        <f>VLOOKUP($W780,TBL_Categories,5,FALSE)</f>
        <v>None</v>
      </c>
      <c r="W780" t="str">
        <f t="shared" si="38"/>
        <v>[First Tech - Checking (5544)]</v>
      </c>
    </row>
    <row r="781" spans="1:23" x14ac:dyDescent="0.25">
      <c r="A781" t="s">
        <v>296</v>
      </c>
      <c r="B781" s="5">
        <v>41876</v>
      </c>
      <c r="C781">
        <v>-64.05</v>
      </c>
      <c r="D781" t="s">
        <v>304</v>
      </c>
      <c r="E781" t="s">
        <v>1267</v>
      </c>
      <c r="F781" t="s">
        <v>1268</v>
      </c>
      <c r="G781" t="s">
        <v>410</v>
      </c>
      <c r="K781" t="s">
        <v>75</v>
      </c>
      <c r="L781" t="s">
        <v>1570</v>
      </c>
      <c r="O781" t="s">
        <v>1615</v>
      </c>
      <c r="Q781" t="str">
        <f t="shared" si="36"/>
        <v>Aug</v>
      </c>
      <c r="R781">
        <f t="shared" si="37"/>
        <v>2014</v>
      </c>
      <c r="S781" t="str">
        <f>VLOOKUP($W781,TBL_Categories,2,FALSE)</f>
        <v>Irregular</v>
      </c>
      <c r="T781">
        <f>VLOOKUP($W781,TBL_Categories,3,FALSE)</f>
        <v>0</v>
      </c>
      <c r="U781" t="str">
        <f>VLOOKUP($W781,TBL_Categories,4,FALSE)</f>
        <v>No</v>
      </c>
      <c r="V781" t="str">
        <f>VLOOKUP($W781,TBL_Categories,5,FALSE)</f>
        <v>None</v>
      </c>
      <c r="W781" t="str">
        <f t="shared" si="38"/>
        <v>Vacation|Transportation</v>
      </c>
    </row>
    <row r="782" spans="1:23" x14ac:dyDescent="0.25">
      <c r="A782" t="s">
        <v>296</v>
      </c>
      <c r="B782" s="5">
        <v>41876</v>
      </c>
      <c r="C782">
        <v>-211.4</v>
      </c>
      <c r="D782" t="s">
        <v>304</v>
      </c>
      <c r="E782" t="s">
        <v>1269</v>
      </c>
      <c r="F782" t="s">
        <v>1268</v>
      </c>
      <c r="G782" t="s">
        <v>1270</v>
      </c>
      <c r="J782" t="s">
        <v>1550</v>
      </c>
      <c r="K782" t="s">
        <v>75</v>
      </c>
      <c r="L782" t="s">
        <v>1540</v>
      </c>
      <c r="O782" t="s">
        <v>1615</v>
      </c>
      <c r="Q782" t="str">
        <f t="shared" si="36"/>
        <v>Aug</v>
      </c>
      <c r="R782">
        <f t="shared" si="37"/>
        <v>2014</v>
      </c>
      <c r="S782" t="str">
        <f>VLOOKUP($W782,TBL_Categories,2,FALSE)</f>
        <v>Irregular</v>
      </c>
      <c r="T782">
        <f>VLOOKUP($W782,TBL_Categories,3,FALSE)</f>
        <v>0</v>
      </c>
      <c r="U782" t="str">
        <f>VLOOKUP($W782,TBL_Categories,4,FALSE)</f>
        <v>No</v>
      </c>
      <c r="V782" t="str">
        <f>VLOOKUP($W782,TBL_Categories,5,FALSE)</f>
        <v>None</v>
      </c>
      <c r="W782" t="str">
        <f t="shared" si="38"/>
        <v>Vacation|Lodging</v>
      </c>
    </row>
    <row r="783" spans="1:23" x14ac:dyDescent="0.25">
      <c r="A783" t="s">
        <v>296</v>
      </c>
      <c r="B783" s="5">
        <v>41875</v>
      </c>
      <c r="C783">
        <v>14.77</v>
      </c>
      <c r="D783" t="s">
        <v>304</v>
      </c>
      <c r="E783" t="s">
        <v>1263</v>
      </c>
      <c r="F783" t="s">
        <v>1264</v>
      </c>
      <c r="G783" t="s">
        <v>1037</v>
      </c>
      <c r="J783" t="s">
        <v>1550</v>
      </c>
      <c r="K783" t="s">
        <v>72</v>
      </c>
      <c r="L783" t="s">
        <v>460</v>
      </c>
      <c r="Q783" t="str">
        <f t="shared" si="36"/>
        <v>Aug</v>
      </c>
      <c r="R783">
        <f t="shared" si="37"/>
        <v>2014</v>
      </c>
      <c r="S783" t="str">
        <f>VLOOKUP($W783,TBL_Categories,2,FALSE)</f>
        <v>Unplanned</v>
      </c>
      <c r="T783">
        <f>VLOOKUP($W783,TBL_Categories,3,FALSE)</f>
        <v>0</v>
      </c>
      <c r="U783" t="str">
        <f>VLOOKUP($W783,TBL_Categories,4,FALSE)</f>
        <v>No</v>
      </c>
      <c r="V783" t="str">
        <f>VLOOKUP($W783,TBL_Categories,5,FALSE)</f>
        <v>None</v>
      </c>
      <c r="W783" t="str">
        <f t="shared" si="38"/>
        <v>Shopping|Books</v>
      </c>
    </row>
    <row r="784" spans="1:23" x14ac:dyDescent="0.25">
      <c r="A784" t="s">
        <v>296</v>
      </c>
      <c r="B784" s="5">
        <v>41875</v>
      </c>
      <c r="C784">
        <v>25.93</v>
      </c>
      <c r="D784" t="s">
        <v>304</v>
      </c>
      <c r="E784" t="s">
        <v>422</v>
      </c>
      <c r="F784" t="s">
        <v>1265</v>
      </c>
      <c r="G784" t="s">
        <v>944</v>
      </c>
      <c r="J784" t="s">
        <v>1561</v>
      </c>
      <c r="K784" t="s">
        <v>55</v>
      </c>
      <c r="L784" t="s">
        <v>1559</v>
      </c>
      <c r="Q784" t="str">
        <f t="shared" si="36"/>
        <v>Aug</v>
      </c>
      <c r="R784">
        <f t="shared" si="37"/>
        <v>2014</v>
      </c>
      <c r="S784" t="str">
        <f>VLOOKUP($W784,TBL_Categories,2,FALSE)</f>
        <v>Irregular</v>
      </c>
      <c r="T784">
        <f>VLOOKUP($W784,TBL_Categories,3,FALSE)</f>
        <v>0</v>
      </c>
      <c r="U784" t="str">
        <f>VLOOKUP($W784,TBL_Categories,4,FALSE)</f>
        <v>No</v>
      </c>
      <c r="V784" t="str">
        <f>VLOOKUP($W784,TBL_Categories,5,FALSE)</f>
        <v>None</v>
      </c>
      <c r="W784" t="str">
        <f t="shared" si="38"/>
        <v>Business Expenses (Koolikai)|Repairs</v>
      </c>
    </row>
    <row r="785" spans="1:23" x14ac:dyDescent="0.25">
      <c r="A785" t="s">
        <v>296</v>
      </c>
      <c r="B785" s="5">
        <v>41875</v>
      </c>
      <c r="C785">
        <v>-7.49</v>
      </c>
      <c r="D785" t="s">
        <v>304</v>
      </c>
      <c r="E785" t="s">
        <v>433</v>
      </c>
      <c r="G785" t="s">
        <v>887</v>
      </c>
      <c r="J785" t="s">
        <v>1550</v>
      </c>
      <c r="K785" t="s">
        <v>61</v>
      </c>
      <c r="L785" t="s">
        <v>401</v>
      </c>
      <c r="Q785" t="str">
        <f t="shared" si="36"/>
        <v>Aug</v>
      </c>
      <c r="R785">
        <f t="shared" si="37"/>
        <v>2014</v>
      </c>
      <c r="S785" t="str">
        <f>VLOOKUP($W785,TBL_Categories,2,FALSE)</f>
        <v>Monthly</v>
      </c>
      <c r="T785">
        <f>VLOOKUP($W785,TBL_Categories,3,FALSE)</f>
        <v>0</v>
      </c>
      <c r="U785" t="str">
        <f>VLOOKUP($W785,TBL_Categories,4,FALSE)</f>
        <v>No</v>
      </c>
      <c r="V785" t="str">
        <f>VLOOKUP($W785,TBL_Categories,5,FALSE)</f>
        <v>None</v>
      </c>
      <c r="W785" t="str">
        <f t="shared" si="38"/>
        <v>Food &amp; Dining|Groceries</v>
      </c>
    </row>
    <row r="786" spans="1:23" x14ac:dyDescent="0.25">
      <c r="A786" t="s">
        <v>296</v>
      </c>
      <c r="B786" s="5">
        <v>41875</v>
      </c>
      <c r="C786">
        <v>-14.77</v>
      </c>
      <c r="D786" t="s">
        <v>304</v>
      </c>
      <c r="E786" t="s">
        <v>1263</v>
      </c>
      <c r="F786" t="s">
        <v>1264</v>
      </c>
      <c r="G786" t="s">
        <v>1037</v>
      </c>
      <c r="J786" t="s">
        <v>1550</v>
      </c>
      <c r="K786" t="s">
        <v>72</v>
      </c>
      <c r="L786" t="s">
        <v>460</v>
      </c>
      <c r="Q786" t="str">
        <f t="shared" si="36"/>
        <v>Aug</v>
      </c>
      <c r="R786">
        <f t="shared" si="37"/>
        <v>2014</v>
      </c>
      <c r="S786" t="str">
        <f>VLOOKUP($W786,TBL_Categories,2,FALSE)</f>
        <v>Unplanned</v>
      </c>
      <c r="T786">
        <f>VLOOKUP($W786,TBL_Categories,3,FALSE)</f>
        <v>0</v>
      </c>
      <c r="U786" t="str">
        <f>VLOOKUP($W786,TBL_Categories,4,FALSE)</f>
        <v>No</v>
      </c>
      <c r="V786" t="str">
        <f>VLOOKUP($W786,TBL_Categories,5,FALSE)</f>
        <v>None</v>
      </c>
      <c r="W786" t="str">
        <f t="shared" si="38"/>
        <v>Shopping|Books</v>
      </c>
    </row>
    <row r="787" spans="1:23" x14ac:dyDescent="0.25">
      <c r="A787" t="s">
        <v>296</v>
      </c>
      <c r="B787" s="5">
        <v>41875</v>
      </c>
      <c r="C787">
        <v>-27.3</v>
      </c>
      <c r="D787" t="s">
        <v>304</v>
      </c>
      <c r="E787" t="s">
        <v>437</v>
      </c>
      <c r="G787" t="s">
        <v>915</v>
      </c>
      <c r="J787" t="s">
        <v>1550</v>
      </c>
      <c r="K787" t="s">
        <v>20</v>
      </c>
      <c r="Q787" t="str">
        <f t="shared" si="36"/>
        <v>Aug</v>
      </c>
      <c r="R787">
        <f t="shared" si="37"/>
        <v>2014</v>
      </c>
      <c r="S787" t="str">
        <f>VLOOKUP($W787,TBL_Categories,2,FALSE)</f>
        <v>Monthly</v>
      </c>
      <c r="T787">
        <f>VLOOKUP($W787,TBL_Categories,3,FALSE)</f>
        <v>0</v>
      </c>
      <c r="U787" t="str">
        <f>VLOOKUP($W787,TBL_Categories,4,FALSE)</f>
        <v>No</v>
      </c>
      <c r="V787" t="str">
        <f>VLOOKUP($W787,TBL_Categories,5,FALSE)</f>
        <v>None</v>
      </c>
      <c r="W787" t="str">
        <f t="shared" si="38"/>
        <v>Gifts</v>
      </c>
    </row>
    <row r="788" spans="1:23" x14ac:dyDescent="0.25">
      <c r="A788" t="s">
        <v>296</v>
      </c>
      <c r="B788" s="5">
        <v>41875</v>
      </c>
      <c r="C788">
        <v>-29.41</v>
      </c>
      <c r="D788" t="s">
        <v>304</v>
      </c>
      <c r="E788" t="s">
        <v>433</v>
      </c>
      <c r="G788" t="s">
        <v>588</v>
      </c>
      <c r="K788" t="s">
        <v>66</v>
      </c>
      <c r="L788" t="s">
        <v>1537</v>
      </c>
      <c r="Q788" t="str">
        <f t="shared" si="36"/>
        <v>Aug</v>
      </c>
      <c r="R788">
        <f t="shared" si="37"/>
        <v>2014</v>
      </c>
      <c r="S788" t="str">
        <f>VLOOKUP($W788,TBL_Categories,2,FALSE)</f>
        <v>Monthly</v>
      </c>
      <c r="T788">
        <f>VLOOKUP($W788,TBL_Categories,3,FALSE)</f>
        <v>0</v>
      </c>
      <c r="U788" t="str">
        <f>VLOOKUP($W788,TBL_Categories,4,FALSE)</f>
        <v>No</v>
      </c>
      <c r="V788" t="str">
        <f>VLOOKUP($W788,TBL_Categories,5,FALSE)</f>
        <v>None</v>
      </c>
      <c r="W788" t="str">
        <f t="shared" si="38"/>
        <v>Kids|Clothing</v>
      </c>
    </row>
    <row r="789" spans="1:23" x14ac:dyDescent="0.25">
      <c r="A789" t="s">
        <v>296</v>
      </c>
      <c r="B789" s="5">
        <v>41875</v>
      </c>
      <c r="C789">
        <v>-34</v>
      </c>
      <c r="D789" t="s">
        <v>304</v>
      </c>
      <c r="E789" t="s">
        <v>665</v>
      </c>
      <c r="G789" t="s">
        <v>398</v>
      </c>
      <c r="K789" t="s">
        <v>70</v>
      </c>
      <c r="L789" t="s">
        <v>1563</v>
      </c>
      <c r="Q789" t="str">
        <f t="shared" si="36"/>
        <v>Aug</v>
      </c>
      <c r="R789">
        <f t="shared" si="37"/>
        <v>2014</v>
      </c>
      <c r="S789" t="str">
        <f>VLOOKUP($W789,TBL_Categories,2,FALSE)</f>
        <v>Monthly</v>
      </c>
      <c r="T789">
        <f>VLOOKUP($W789,TBL_Categories,3,FALSE)</f>
        <v>0</v>
      </c>
      <c r="U789" t="str">
        <f>VLOOKUP($W789,TBL_Categories,4,FALSE)</f>
        <v>No</v>
      </c>
      <c r="V789" t="str">
        <f>VLOOKUP($W789,TBL_Categories,5,FALSE)</f>
        <v>None</v>
      </c>
      <c r="W789" t="str">
        <f t="shared" si="38"/>
        <v>Personal Care|Hair</v>
      </c>
    </row>
    <row r="790" spans="1:23" x14ac:dyDescent="0.25">
      <c r="A790" t="s">
        <v>296</v>
      </c>
      <c r="B790" s="5">
        <v>41875</v>
      </c>
      <c r="C790">
        <v>-45.53</v>
      </c>
      <c r="D790" t="s">
        <v>304</v>
      </c>
      <c r="E790" t="s">
        <v>422</v>
      </c>
      <c r="F790" t="s">
        <v>1266</v>
      </c>
      <c r="G790" t="s">
        <v>513</v>
      </c>
      <c r="J790">
        <v>7231</v>
      </c>
      <c r="K790" t="s">
        <v>55</v>
      </c>
      <c r="L790" t="s">
        <v>1559</v>
      </c>
      <c r="Q790" t="str">
        <f t="shared" si="36"/>
        <v>Aug</v>
      </c>
      <c r="R790">
        <f t="shared" si="37"/>
        <v>2014</v>
      </c>
      <c r="S790" t="str">
        <f>VLOOKUP($W790,TBL_Categories,2,FALSE)</f>
        <v>Irregular</v>
      </c>
      <c r="T790">
        <f>VLOOKUP($W790,TBL_Categories,3,FALSE)</f>
        <v>0</v>
      </c>
      <c r="U790" t="str">
        <f>VLOOKUP($W790,TBL_Categories,4,FALSE)</f>
        <v>No</v>
      </c>
      <c r="V790" t="str">
        <f>VLOOKUP($W790,TBL_Categories,5,FALSE)</f>
        <v>None</v>
      </c>
      <c r="W790" t="str">
        <f t="shared" si="38"/>
        <v>Business Expenses (Koolikai)|Repairs</v>
      </c>
    </row>
    <row r="791" spans="1:23" x14ac:dyDescent="0.25">
      <c r="A791" t="s">
        <v>296</v>
      </c>
      <c r="B791" s="5">
        <v>41874</v>
      </c>
      <c r="C791">
        <v>-2.74</v>
      </c>
      <c r="D791" t="s">
        <v>304</v>
      </c>
      <c r="E791" t="s">
        <v>433</v>
      </c>
      <c r="G791" t="s">
        <v>887</v>
      </c>
      <c r="J791" t="s">
        <v>1550</v>
      </c>
      <c r="K791" t="s">
        <v>61</v>
      </c>
      <c r="L791" t="s">
        <v>401</v>
      </c>
      <c r="Q791" t="str">
        <f t="shared" si="36"/>
        <v>Aug</v>
      </c>
      <c r="R791">
        <f t="shared" si="37"/>
        <v>2014</v>
      </c>
      <c r="S791" t="str">
        <f>VLOOKUP($W791,TBL_Categories,2,FALSE)</f>
        <v>Monthly</v>
      </c>
      <c r="T791">
        <f>VLOOKUP($W791,TBL_Categories,3,FALSE)</f>
        <v>0</v>
      </c>
      <c r="U791" t="str">
        <f>VLOOKUP($W791,TBL_Categories,4,FALSE)</f>
        <v>No</v>
      </c>
      <c r="V791" t="str">
        <f>VLOOKUP($W791,TBL_Categories,5,FALSE)</f>
        <v>None</v>
      </c>
      <c r="W791" t="str">
        <f t="shared" si="38"/>
        <v>Food &amp; Dining|Groceries</v>
      </c>
    </row>
    <row r="792" spans="1:23" x14ac:dyDescent="0.25">
      <c r="A792" t="s">
        <v>296</v>
      </c>
      <c r="B792" s="5">
        <v>41874</v>
      </c>
      <c r="C792">
        <v>-26.61</v>
      </c>
      <c r="D792" t="s">
        <v>304</v>
      </c>
      <c r="E792" t="s">
        <v>433</v>
      </c>
      <c r="G792" t="s">
        <v>887</v>
      </c>
      <c r="J792" t="s">
        <v>1550</v>
      </c>
      <c r="K792" t="s">
        <v>61</v>
      </c>
      <c r="L792" t="s">
        <v>401</v>
      </c>
      <c r="Q792" t="str">
        <f t="shared" si="36"/>
        <v>Aug</v>
      </c>
      <c r="R792">
        <f t="shared" si="37"/>
        <v>2014</v>
      </c>
      <c r="S792" t="str">
        <f>VLOOKUP($W792,TBL_Categories,2,FALSE)</f>
        <v>Monthly</v>
      </c>
      <c r="T792">
        <f>VLOOKUP($W792,TBL_Categories,3,FALSE)</f>
        <v>0</v>
      </c>
      <c r="U792" t="str">
        <f>VLOOKUP($W792,TBL_Categories,4,FALSE)</f>
        <v>No</v>
      </c>
      <c r="V792" t="str">
        <f>VLOOKUP($W792,TBL_Categories,5,FALSE)</f>
        <v>None</v>
      </c>
      <c r="W792" t="str">
        <f t="shared" si="38"/>
        <v>Food &amp; Dining|Groceries</v>
      </c>
    </row>
    <row r="793" spans="1:23" x14ac:dyDescent="0.25">
      <c r="A793" t="s">
        <v>296</v>
      </c>
      <c r="B793" s="5">
        <v>41874</v>
      </c>
      <c r="C793">
        <v>-104.63</v>
      </c>
      <c r="D793" t="s">
        <v>304</v>
      </c>
      <c r="E793" t="s">
        <v>433</v>
      </c>
      <c r="F793" t="s">
        <v>570</v>
      </c>
      <c r="G793" t="s">
        <v>972</v>
      </c>
      <c r="J793" t="s">
        <v>1550</v>
      </c>
      <c r="K793" t="s">
        <v>75</v>
      </c>
      <c r="L793" t="s">
        <v>1564</v>
      </c>
      <c r="O793" t="s">
        <v>1613</v>
      </c>
      <c r="Q793" t="str">
        <f t="shared" si="36"/>
        <v>Aug</v>
      </c>
      <c r="R793">
        <f t="shared" si="37"/>
        <v>2014</v>
      </c>
      <c r="S793" t="str">
        <f>VLOOKUP($W793,TBL_Categories,2,FALSE)</f>
        <v>Irregular</v>
      </c>
      <c r="T793">
        <f>VLOOKUP($W793,TBL_Categories,3,FALSE)</f>
        <v>0</v>
      </c>
      <c r="U793" t="str">
        <f>VLOOKUP($W793,TBL_Categories,4,FALSE)</f>
        <v>No</v>
      </c>
      <c r="V793" t="str">
        <f>VLOOKUP($W793,TBL_Categories,5,FALSE)</f>
        <v>None</v>
      </c>
      <c r="W793" t="str">
        <f t="shared" si="38"/>
        <v>Vacation|Food</v>
      </c>
    </row>
    <row r="794" spans="1:23" x14ac:dyDescent="0.25">
      <c r="A794" t="s">
        <v>294</v>
      </c>
      <c r="B794" s="5">
        <v>41873</v>
      </c>
      <c r="C794">
        <v>146.97999999999999</v>
      </c>
      <c r="D794" t="s">
        <v>304</v>
      </c>
      <c r="E794" t="s">
        <v>391</v>
      </c>
      <c r="G794" t="s">
        <v>24</v>
      </c>
      <c r="K794" t="s">
        <v>24</v>
      </c>
      <c r="Q794" t="str">
        <f t="shared" si="36"/>
        <v>Aug</v>
      </c>
      <c r="R794">
        <f t="shared" si="37"/>
        <v>2014</v>
      </c>
      <c r="S794" t="str">
        <f>VLOOKUP($W794,TBL_Categories,2,FALSE)</f>
        <v>Account</v>
      </c>
      <c r="T794">
        <f>VLOOKUP($W794,TBL_Categories,3,FALSE)</f>
        <v>0</v>
      </c>
      <c r="U794" t="str">
        <f>VLOOKUP($W794,TBL_Categories,4,FALSE)</f>
        <v>No</v>
      </c>
      <c r="V794" t="str">
        <f>VLOOKUP($W794,TBL_Categories,5,FALSE)</f>
        <v>None</v>
      </c>
      <c r="W794" t="str">
        <f t="shared" si="38"/>
        <v>[Koolikai - Checking XX2129]</v>
      </c>
    </row>
    <row r="795" spans="1:23" x14ac:dyDescent="0.25">
      <c r="A795" t="s">
        <v>284</v>
      </c>
      <c r="B795" s="5">
        <v>41872</v>
      </c>
      <c r="C795">
        <v>-183.85</v>
      </c>
      <c r="D795" t="s">
        <v>304</v>
      </c>
      <c r="E795" t="s">
        <v>352</v>
      </c>
      <c r="F795" t="s">
        <v>353</v>
      </c>
      <c r="G795" t="s">
        <v>354</v>
      </c>
      <c r="K795" t="s">
        <v>52</v>
      </c>
      <c r="L795" t="s">
        <v>1544</v>
      </c>
      <c r="Q795" t="str">
        <f t="shared" si="36"/>
        <v>Aug</v>
      </c>
      <c r="R795">
        <f t="shared" si="37"/>
        <v>2014</v>
      </c>
      <c r="S795" t="str">
        <f>VLOOKUP($W795,TBL_Categories,2,FALSE)</f>
        <v>Monthly</v>
      </c>
      <c r="T795">
        <f>VLOOKUP($W795,TBL_Categories,3,FALSE)</f>
        <v>0</v>
      </c>
      <c r="U795" t="str">
        <f>VLOOKUP($W795,TBL_Categories,4,FALSE)</f>
        <v>No</v>
      </c>
      <c r="V795" t="str">
        <f>VLOOKUP($W795,TBL_Categories,5,FALSE)</f>
        <v>None</v>
      </c>
      <c r="W795" t="str">
        <f t="shared" si="38"/>
        <v>Auto &amp; Transport|Auto Lease Payment</v>
      </c>
    </row>
    <row r="796" spans="1:23" x14ac:dyDescent="0.25">
      <c r="A796" t="s">
        <v>296</v>
      </c>
      <c r="B796" s="5">
        <v>41872</v>
      </c>
      <c r="C796">
        <v>-24.14</v>
      </c>
      <c r="D796" t="s">
        <v>304</v>
      </c>
      <c r="E796" t="s">
        <v>433</v>
      </c>
      <c r="F796" t="s">
        <v>1261</v>
      </c>
      <c r="G796" t="s">
        <v>938</v>
      </c>
      <c r="I796" t="s">
        <v>272</v>
      </c>
      <c r="J796" t="s">
        <v>1550</v>
      </c>
      <c r="K796" t="s">
        <v>29</v>
      </c>
      <c r="L796" t="s">
        <v>1573</v>
      </c>
      <c r="O796" t="s">
        <v>1614</v>
      </c>
      <c r="Q796" t="str">
        <f t="shared" si="36"/>
        <v>Aug</v>
      </c>
      <c r="R796">
        <f t="shared" si="37"/>
        <v>2014</v>
      </c>
      <c r="S796" t="str">
        <f>VLOOKUP($W796,TBL_Categories,2,FALSE)</f>
        <v>Irregular</v>
      </c>
      <c r="T796">
        <f>VLOOKUP($W796,TBL_Categories,3,FALSE)</f>
        <v>0</v>
      </c>
      <c r="U796" t="str">
        <f>VLOOKUP($W796,TBL_Categories,4,FALSE)</f>
        <v>No</v>
      </c>
      <c r="V796" t="str">
        <f>VLOOKUP($W796,TBL_Categories,5,FALSE)</f>
        <v>None</v>
      </c>
      <c r="W796" t="str">
        <f t="shared" si="38"/>
        <v>Work Expense|Reimbursable expense</v>
      </c>
    </row>
    <row r="797" spans="1:23" x14ac:dyDescent="0.25">
      <c r="A797" t="s">
        <v>296</v>
      </c>
      <c r="B797" s="5">
        <v>41872</v>
      </c>
      <c r="C797">
        <v>-1.27</v>
      </c>
      <c r="D797" t="s">
        <v>304</v>
      </c>
      <c r="E797" t="s">
        <v>433</v>
      </c>
      <c r="F797" t="s">
        <v>1262</v>
      </c>
      <c r="G797" t="s">
        <v>1020</v>
      </c>
      <c r="I797" t="s">
        <v>272</v>
      </c>
      <c r="J797" t="s">
        <v>1550</v>
      </c>
      <c r="K797" t="s">
        <v>66</v>
      </c>
      <c r="L797" t="s">
        <v>1536</v>
      </c>
      <c r="Q797" t="str">
        <f t="shared" si="36"/>
        <v>Aug</v>
      </c>
      <c r="R797">
        <f t="shared" si="37"/>
        <v>2014</v>
      </c>
      <c r="S797" t="str">
        <f>VLOOKUP($W797,TBL_Categories,2,FALSE)</f>
        <v>Monthly</v>
      </c>
      <c r="T797">
        <f>VLOOKUP($W797,TBL_Categories,3,FALSE)</f>
        <v>0</v>
      </c>
      <c r="U797" t="str">
        <f>VLOOKUP($W797,TBL_Categories,4,FALSE)</f>
        <v>No</v>
      </c>
      <c r="V797" t="str">
        <f>VLOOKUP($W797,TBL_Categories,5,FALSE)</f>
        <v>None</v>
      </c>
      <c r="W797" t="str">
        <f t="shared" si="38"/>
        <v>Kids|Toys</v>
      </c>
    </row>
    <row r="798" spans="1:23" x14ac:dyDescent="0.25">
      <c r="A798" t="s">
        <v>296</v>
      </c>
      <c r="B798" s="5">
        <v>41871</v>
      </c>
      <c r="C798">
        <v>-5.73</v>
      </c>
      <c r="D798" t="s">
        <v>304</v>
      </c>
      <c r="E798" t="s">
        <v>1001</v>
      </c>
      <c r="G798" t="s">
        <v>342</v>
      </c>
      <c r="K798" t="s">
        <v>61</v>
      </c>
      <c r="L798" t="s">
        <v>401</v>
      </c>
      <c r="Q798" t="str">
        <f t="shared" si="36"/>
        <v>Aug</v>
      </c>
      <c r="R798">
        <f t="shared" si="37"/>
        <v>2014</v>
      </c>
      <c r="S798" t="str">
        <f>VLOOKUP($W798,TBL_Categories,2,FALSE)</f>
        <v>Monthly</v>
      </c>
      <c r="T798">
        <f>VLOOKUP($W798,TBL_Categories,3,FALSE)</f>
        <v>0</v>
      </c>
      <c r="U798" t="str">
        <f>VLOOKUP($W798,TBL_Categories,4,FALSE)</f>
        <v>No</v>
      </c>
      <c r="V798" t="str">
        <f>VLOOKUP($W798,TBL_Categories,5,FALSE)</f>
        <v>None</v>
      </c>
      <c r="W798" t="str">
        <f t="shared" si="38"/>
        <v>Food &amp; Dining|Groceries</v>
      </c>
    </row>
    <row r="799" spans="1:23" x14ac:dyDescent="0.25">
      <c r="A799" t="s">
        <v>633</v>
      </c>
      <c r="B799" s="5">
        <v>41870</v>
      </c>
      <c r="C799">
        <v>-8.5299999999999994</v>
      </c>
      <c r="D799" t="s">
        <v>304</v>
      </c>
      <c r="E799" t="s">
        <v>451</v>
      </c>
      <c r="F799" t="s">
        <v>981</v>
      </c>
      <c r="G799" t="s">
        <v>341</v>
      </c>
      <c r="K799" t="s">
        <v>72</v>
      </c>
      <c r="L799" t="s">
        <v>1534</v>
      </c>
      <c r="Q799" t="str">
        <f t="shared" si="36"/>
        <v>Aug</v>
      </c>
      <c r="R799">
        <f t="shared" si="37"/>
        <v>2014</v>
      </c>
      <c r="S799" t="str">
        <f>VLOOKUP($W799,TBL_Categories,2,FALSE)</f>
        <v>Annual</v>
      </c>
      <c r="T799">
        <f>VLOOKUP($W799,TBL_Categories,3,FALSE)</f>
        <v>0</v>
      </c>
      <c r="U799" t="str">
        <f>VLOOKUP($W799,TBL_Categories,4,FALSE)</f>
        <v>No</v>
      </c>
      <c r="V799" t="str">
        <f>VLOOKUP($W799,TBL_Categories,5,FALSE)</f>
        <v>None</v>
      </c>
      <c r="W799" t="str">
        <f t="shared" si="38"/>
        <v>Shopping|Electronics &amp; Software</v>
      </c>
    </row>
    <row r="800" spans="1:23" x14ac:dyDescent="0.25">
      <c r="A800" t="s">
        <v>296</v>
      </c>
      <c r="B800" s="5">
        <v>41870</v>
      </c>
      <c r="C800">
        <v>-64</v>
      </c>
      <c r="D800" t="s">
        <v>304</v>
      </c>
      <c r="E800" t="s">
        <v>680</v>
      </c>
      <c r="F800" t="s">
        <v>1090</v>
      </c>
      <c r="G800" t="s">
        <v>398</v>
      </c>
      <c r="K800" t="s">
        <v>70</v>
      </c>
      <c r="L800" t="s">
        <v>1563</v>
      </c>
      <c r="Q800" t="str">
        <f t="shared" si="36"/>
        <v>Aug</v>
      </c>
      <c r="R800">
        <f t="shared" si="37"/>
        <v>2014</v>
      </c>
      <c r="S800" t="str">
        <f>VLOOKUP($W800,TBL_Categories,2,FALSE)</f>
        <v>Monthly</v>
      </c>
      <c r="T800">
        <f>VLOOKUP($W800,TBL_Categories,3,FALSE)</f>
        <v>0</v>
      </c>
      <c r="U800" t="str">
        <f>VLOOKUP($W800,TBL_Categories,4,FALSE)</f>
        <v>No</v>
      </c>
      <c r="V800" t="str">
        <f>VLOOKUP($W800,TBL_Categories,5,FALSE)</f>
        <v>None</v>
      </c>
      <c r="W800" t="str">
        <f t="shared" si="38"/>
        <v>Personal Care|Hair</v>
      </c>
    </row>
    <row r="801" spans="1:23" x14ac:dyDescent="0.25">
      <c r="A801" t="s">
        <v>284</v>
      </c>
      <c r="B801" s="5">
        <v>41869</v>
      </c>
      <c r="C801" s="4">
        <v>-10000</v>
      </c>
      <c r="D801" t="s">
        <v>304</v>
      </c>
      <c r="E801" t="s">
        <v>635</v>
      </c>
      <c r="F801" t="s">
        <v>821</v>
      </c>
      <c r="G801" t="s">
        <v>584</v>
      </c>
      <c r="K801" t="s">
        <v>74</v>
      </c>
      <c r="L801" t="s">
        <v>1523</v>
      </c>
      <c r="Q801" t="str">
        <f t="shared" si="36"/>
        <v>Aug</v>
      </c>
      <c r="R801">
        <f t="shared" si="37"/>
        <v>2014</v>
      </c>
      <c r="S801" t="str">
        <f>VLOOKUP($W801,TBL_Categories,2,FALSE)</f>
        <v>Unplanned</v>
      </c>
      <c r="T801">
        <f>VLOOKUP($W801,TBL_Categories,3,FALSE)</f>
        <v>0</v>
      </c>
      <c r="U801" t="str">
        <f>VLOOKUP($W801,TBL_Categories,4,FALSE)</f>
        <v>No</v>
      </c>
      <c r="V801" t="str">
        <f>VLOOKUP($W801,TBL_Categories,5,FALSE)</f>
        <v>None</v>
      </c>
      <c r="W801" t="str">
        <f t="shared" si="38"/>
        <v>Tax|Fed</v>
      </c>
    </row>
    <row r="802" spans="1:23" x14ac:dyDescent="0.25">
      <c r="A802" t="s">
        <v>296</v>
      </c>
      <c r="B802" s="5">
        <v>41869</v>
      </c>
      <c r="C802">
        <v>-4.8</v>
      </c>
      <c r="D802" t="s">
        <v>304</v>
      </c>
      <c r="E802" t="s">
        <v>451</v>
      </c>
      <c r="F802" t="s">
        <v>1259</v>
      </c>
      <c r="G802" t="s">
        <v>1142</v>
      </c>
      <c r="J802" t="s">
        <v>1550</v>
      </c>
      <c r="K802" t="s">
        <v>72</v>
      </c>
      <c r="L802" t="s">
        <v>1534</v>
      </c>
      <c r="Q802" t="str">
        <f t="shared" si="36"/>
        <v>Aug</v>
      </c>
      <c r="R802">
        <f t="shared" si="37"/>
        <v>2014</v>
      </c>
      <c r="S802" t="str">
        <f>VLOOKUP($W802,TBL_Categories,2,FALSE)</f>
        <v>Annual</v>
      </c>
      <c r="T802">
        <f>VLOOKUP($W802,TBL_Categories,3,FALSE)</f>
        <v>0</v>
      </c>
      <c r="U802" t="str">
        <f>VLOOKUP($W802,TBL_Categories,4,FALSE)</f>
        <v>No</v>
      </c>
      <c r="V802" t="str">
        <f>VLOOKUP($W802,TBL_Categories,5,FALSE)</f>
        <v>None</v>
      </c>
      <c r="W802" t="str">
        <f t="shared" si="38"/>
        <v>Shopping|Electronics &amp; Software</v>
      </c>
    </row>
    <row r="803" spans="1:23" x14ac:dyDescent="0.25">
      <c r="A803" t="s">
        <v>633</v>
      </c>
      <c r="B803" s="5">
        <v>41868</v>
      </c>
      <c r="C803">
        <v>-3.54</v>
      </c>
      <c r="D803" t="s">
        <v>304</v>
      </c>
      <c r="E803" t="s">
        <v>451</v>
      </c>
      <c r="F803" t="s">
        <v>979</v>
      </c>
      <c r="G803" t="s">
        <v>341</v>
      </c>
      <c r="K803" t="s">
        <v>72</v>
      </c>
      <c r="L803" t="s">
        <v>1534</v>
      </c>
      <c r="Q803" t="str">
        <f t="shared" si="36"/>
        <v>Aug</v>
      </c>
      <c r="R803">
        <f t="shared" si="37"/>
        <v>2014</v>
      </c>
      <c r="S803" t="str">
        <f>VLOOKUP($W803,TBL_Categories,2,FALSE)</f>
        <v>Annual</v>
      </c>
      <c r="T803">
        <f>VLOOKUP($W803,TBL_Categories,3,FALSE)</f>
        <v>0</v>
      </c>
      <c r="U803" t="str">
        <f>VLOOKUP($W803,TBL_Categories,4,FALSE)</f>
        <v>No</v>
      </c>
      <c r="V803" t="str">
        <f>VLOOKUP($W803,TBL_Categories,5,FALSE)</f>
        <v>None</v>
      </c>
      <c r="W803" t="str">
        <f t="shared" si="38"/>
        <v>Shopping|Electronics &amp; Software</v>
      </c>
    </row>
    <row r="804" spans="1:23" x14ac:dyDescent="0.25">
      <c r="A804" t="s">
        <v>633</v>
      </c>
      <c r="B804" s="5">
        <v>41868</v>
      </c>
      <c r="C804">
        <v>-15.01</v>
      </c>
      <c r="D804" t="s">
        <v>304</v>
      </c>
      <c r="E804" t="s">
        <v>451</v>
      </c>
      <c r="F804" t="s">
        <v>980</v>
      </c>
      <c r="G804" t="s">
        <v>341</v>
      </c>
      <c r="K804" t="s">
        <v>72</v>
      </c>
      <c r="L804" t="s">
        <v>1534</v>
      </c>
      <c r="Q804" t="str">
        <f t="shared" si="36"/>
        <v>Aug</v>
      </c>
      <c r="R804">
        <f t="shared" si="37"/>
        <v>2014</v>
      </c>
      <c r="S804" t="str">
        <f>VLOOKUP($W804,TBL_Categories,2,FALSE)</f>
        <v>Annual</v>
      </c>
      <c r="T804">
        <f>VLOOKUP($W804,TBL_Categories,3,FALSE)</f>
        <v>0</v>
      </c>
      <c r="U804" t="str">
        <f>VLOOKUP($W804,TBL_Categories,4,FALSE)</f>
        <v>No</v>
      </c>
      <c r="V804" t="str">
        <f>VLOOKUP($W804,TBL_Categories,5,FALSE)</f>
        <v>None</v>
      </c>
      <c r="W804" t="str">
        <f t="shared" si="38"/>
        <v>Shopping|Electronics &amp; Software</v>
      </c>
    </row>
    <row r="805" spans="1:23" x14ac:dyDescent="0.25">
      <c r="A805" t="s">
        <v>296</v>
      </c>
      <c r="B805" s="5">
        <v>41868</v>
      </c>
      <c r="C805">
        <v>27.34</v>
      </c>
      <c r="D805" t="s">
        <v>304</v>
      </c>
      <c r="E805" t="s">
        <v>422</v>
      </c>
      <c r="F805" t="s">
        <v>1257</v>
      </c>
      <c r="G805" t="s">
        <v>949</v>
      </c>
      <c r="J805" t="s">
        <v>1550</v>
      </c>
      <c r="K805" t="s">
        <v>63</v>
      </c>
      <c r="L805" t="s">
        <v>1574</v>
      </c>
      <c r="Q805" t="str">
        <f t="shared" si="36"/>
        <v>Aug</v>
      </c>
      <c r="R805">
        <f t="shared" si="37"/>
        <v>2014</v>
      </c>
      <c r="S805" t="str">
        <f>VLOOKUP($W805,TBL_Categories,2,FALSE)</f>
        <v>Irregular</v>
      </c>
      <c r="T805">
        <f>VLOOKUP($W805,TBL_Categories,3,FALSE)</f>
        <v>0</v>
      </c>
      <c r="U805" t="str">
        <f>VLOOKUP($W805,TBL_Categories,4,FALSE)</f>
        <v>No</v>
      </c>
      <c r="V805" t="str">
        <f>VLOOKUP($W805,TBL_Categories,5,FALSE)</f>
        <v>None</v>
      </c>
      <c r="W805" t="str">
        <f t="shared" si="38"/>
        <v>Home|Home Improvement</v>
      </c>
    </row>
    <row r="806" spans="1:23" x14ac:dyDescent="0.25">
      <c r="A806" t="s">
        <v>296</v>
      </c>
      <c r="B806" s="5">
        <v>41868</v>
      </c>
      <c r="C806">
        <v>-5.75</v>
      </c>
      <c r="D806" t="s">
        <v>304</v>
      </c>
      <c r="E806" t="s">
        <v>451</v>
      </c>
      <c r="F806" t="s">
        <v>1258</v>
      </c>
      <c r="G806" t="s">
        <v>1142</v>
      </c>
      <c r="J806" t="s">
        <v>1550</v>
      </c>
      <c r="K806" t="s">
        <v>72</v>
      </c>
      <c r="L806" t="s">
        <v>1534</v>
      </c>
      <c r="Q806" t="str">
        <f t="shared" si="36"/>
        <v>Aug</v>
      </c>
      <c r="R806">
        <f t="shared" si="37"/>
        <v>2014</v>
      </c>
      <c r="S806" t="str">
        <f>VLOOKUP($W806,TBL_Categories,2,FALSE)</f>
        <v>Annual</v>
      </c>
      <c r="T806">
        <f>VLOOKUP($W806,TBL_Categories,3,FALSE)</f>
        <v>0</v>
      </c>
      <c r="U806" t="str">
        <f>VLOOKUP($W806,TBL_Categories,4,FALSE)</f>
        <v>No</v>
      </c>
      <c r="V806" t="str">
        <f>VLOOKUP($W806,TBL_Categories,5,FALSE)</f>
        <v>None</v>
      </c>
      <c r="W806" t="str">
        <f t="shared" si="38"/>
        <v>Shopping|Electronics &amp; Software</v>
      </c>
    </row>
    <row r="807" spans="1:23" x14ac:dyDescent="0.25">
      <c r="A807" t="s">
        <v>296</v>
      </c>
      <c r="B807" s="5">
        <v>41868</v>
      </c>
      <c r="C807">
        <v>-8.19</v>
      </c>
      <c r="D807" t="s">
        <v>304</v>
      </c>
      <c r="E807" t="s">
        <v>451</v>
      </c>
      <c r="F807" t="s">
        <v>1259</v>
      </c>
      <c r="G807" t="s">
        <v>1142</v>
      </c>
      <c r="J807" t="s">
        <v>1550</v>
      </c>
      <c r="K807" t="s">
        <v>72</v>
      </c>
      <c r="L807" t="s">
        <v>1534</v>
      </c>
      <c r="Q807" t="str">
        <f t="shared" si="36"/>
        <v>Aug</v>
      </c>
      <c r="R807">
        <f t="shared" si="37"/>
        <v>2014</v>
      </c>
      <c r="S807" t="str">
        <f>VLOOKUP($W807,TBL_Categories,2,FALSE)</f>
        <v>Annual</v>
      </c>
      <c r="T807">
        <f>VLOOKUP($W807,TBL_Categories,3,FALSE)</f>
        <v>0</v>
      </c>
      <c r="U807" t="str">
        <f>VLOOKUP($W807,TBL_Categories,4,FALSE)</f>
        <v>No</v>
      </c>
      <c r="V807" t="str">
        <f>VLOOKUP($W807,TBL_Categories,5,FALSE)</f>
        <v>None</v>
      </c>
      <c r="W807" t="str">
        <f t="shared" si="38"/>
        <v>Shopping|Electronics &amp; Software</v>
      </c>
    </row>
    <row r="808" spans="1:23" x14ac:dyDescent="0.25">
      <c r="A808" t="s">
        <v>296</v>
      </c>
      <c r="B808" s="5">
        <v>41868</v>
      </c>
      <c r="C808">
        <v>-8.73</v>
      </c>
      <c r="D808" t="s">
        <v>304</v>
      </c>
      <c r="E808" t="s">
        <v>461</v>
      </c>
      <c r="G808" t="s">
        <v>333</v>
      </c>
      <c r="K808" t="s">
        <v>61</v>
      </c>
      <c r="L808" t="s">
        <v>1530</v>
      </c>
      <c r="Q808" t="str">
        <f t="shared" si="36"/>
        <v>Aug</v>
      </c>
      <c r="R808">
        <f t="shared" si="37"/>
        <v>2014</v>
      </c>
      <c r="S808" t="str">
        <f>VLOOKUP($W808,TBL_Categories,2,FALSE)</f>
        <v>Monthly</v>
      </c>
      <c r="T808">
        <f>VLOOKUP($W808,TBL_Categories,3,FALSE)</f>
        <v>0</v>
      </c>
      <c r="U808" t="str">
        <f>VLOOKUP($W808,TBL_Categories,4,FALSE)</f>
        <v>No</v>
      </c>
      <c r="V808" t="str">
        <f>VLOOKUP($W808,TBL_Categories,5,FALSE)</f>
        <v>None</v>
      </c>
      <c r="W808" t="str">
        <f t="shared" si="38"/>
        <v>Food &amp; Dining|Restaurants</v>
      </c>
    </row>
    <row r="809" spans="1:23" x14ac:dyDescent="0.25">
      <c r="A809" t="s">
        <v>296</v>
      </c>
      <c r="B809" s="5">
        <v>41868</v>
      </c>
      <c r="C809">
        <v>-105.25</v>
      </c>
      <c r="D809" t="s">
        <v>304</v>
      </c>
      <c r="E809" t="s">
        <v>422</v>
      </c>
      <c r="F809" t="s">
        <v>1260</v>
      </c>
      <c r="G809" t="s">
        <v>944</v>
      </c>
      <c r="J809" t="s">
        <v>1561</v>
      </c>
      <c r="K809" t="s">
        <v>55</v>
      </c>
      <c r="L809" t="s">
        <v>1559</v>
      </c>
      <c r="Q809" t="str">
        <f t="shared" si="36"/>
        <v>Aug</v>
      </c>
      <c r="R809">
        <f t="shared" si="37"/>
        <v>2014</v>
      </c>
      <c r="S809" t="str">
        <f>VLOOKUP($W809,TBL_Categories,2,FALSE)</f>
        <v>Irregular</v>
      </c>
      <c r="T809">
        <f>VLOOKUP($W809,TBL_Categories,3,FALSE)</f>
        <v>0</v>
      </c>
      <c r="U809" t="str">
        <f>VLOOKUP($W809,TBL_Categories,4,FALSE)</f>
        <v>No</v>
      </c>
      <c r="V809" t="str">
        <f>VLOOKUP($W809,TBL_Categories,5,FALSE)</f>
        <v>None</v>
      </c>
      <c r="W809" t="str">
        <f t="shared" si="38"/>
        <v>Business Expenses (Koolikai)|Repairs</v>
      </c>
    </row>
    <row r="810" spans="1:23" x14ac:dyDescent="0.25">
      <c r="A810" t="s">
        <v>296</v>
      </c>
      <c r="B810" s="5">
        <v>41867</v>
      </c>
      <c r="C810">
        <v>-7.78</v>
      </c>
      <c r="D810" t="s">
        <v>304</v>
      </c>
      <c r="E810" t="s">
        <v>1253</v>
      </c>
      <c r="F810" t="s">
        <v>1254</v>
      </c>
      <c r="G810" t="s">
        <v>1020</v>
      </c>
      <c r="J810" t="s">
        <v>1550</v>
      </c>
      <c r="K810" t="s">
        <v>66</v>
      </c>
      <c r="L810" t="s">
        <v>1536</v>
      </c>
      <c r="Q810" t="str">
        <f t="shared" si="36"/>
        <v>Aug</v>
      </c>
      <c r="R810">
        <f t="shared" si="37"/>
        <v>2014</v>
      </c>
      <c r="S810" t="str">
        <f>VLOOKUP($W810,TBL_Categories,2,FALSE)</f>
        <v>Monthly</v>
      </c>
      <c r="T810">
        <f>VLOOKUP($W810,TBL_Categories,3,FALSE)</f>
        <v>0</v>
      </c>
      <c r="U810" t="str">
        <f>VLOOKUP($W810,TBL_Categories,4,FALSE)</f>
        <v>No</v>
      </c>
      <c r="V810" t="str">
        <f>VLOOKUP($W810,TBL_Categories,5,FALSE)</f>
        <v>None</v>
      </c>
      <c r="W810" t="str">
        <f t="shared" si="38"/>
        <v>Kids|Toys</v>
      </c>
    </row>
    <row r="811" spans="1:23" x14ac:dyDescent="0.25">
      <c r="A811" t="s">
        <v>296</v>
      </c>
      <c r="B811" s="5">
        <v>41867</v>
      </c>
      <c r="C811">
        <v>-12.77</v>
      </c>
      <c r="D811" t="s">
        <v>304</v>
      </c>
      <c r="E811" t="s">
        <v>1255</v>
      </c>
      <c r="G811" t="s">
        <v>333</v>
      </c>
      <c r="K811" t="s">
        <v>61</v>
      </c>
      <c r="L811" t="s">
        <v>1530</v>
      </c>
      <c r="Q811" t="str">
        <f t="shared" si="36"/>
        <v>Aug</v>
      </c>
      <c r="R811">
        <f t="shared" si="37"/>
        <v>2014</v>
      </c>
      <c r="S811" t="str">
        <f>VLOOKUP($W811,TBL_Categories,2,FALSE)</f>
        <v>Monthly</v>
      </c>
      <c r="T811">
        <f>VLOOKUP($W811,TBL_Categories,3,FALSE)</f>
        <v>0</v>
      </c>
      <c r="U811" t="str">
        <f>VLOOKUP($W811,TBL_Categories,4,FALSE)</f>
        <v>No</v>
      </c>
      <c r="V811" t="str">
        <f>VLOOKUP($W811,TBL_Categories,5,FALSE)</f>
        <v>None</v>
      </c>
      <c r="W811" t="str">
        <f t="shared" si="38"/>
        <v>Food &amp; Dining|Restaurants</v>
      </c>
    </row>
    <row r="812" spans="1:23" x14ac:dyDescent="0.25">
      <c r="A812" t="s">
        <v>296</v>
      </c>
      <c r="B812" s="5">
        <v>41867</v>
      </c>
      <c r="C812">
        <v>-17.02</v>
      </c>
      <c r="D812" t="s">
        <v>304</v>
      </c>
      <c r="E812" t="s">
        <v>434</v>
      </c>
      <c r="G812" t="s">
        <v>887</v>
      </c>
      <c r="J812" t="s">
        <v>1550</v>
      </c>
      <c r="K812" t="s">
        <v>61</v>
      </c>
      <c r="L812" t="s">
        <v>401</v>
      </c>
      <c r="Q812" t="str">
        <f t="shared" si="36"/>
        <v>Aug</v>
      </c>
      <c r="R812">
        <f t="shared" si="37"/>
        <v>2014</v>
      </c>
      <c r="S812" t="str">
        <f>VLOOKUP($W812,TBL_Categories,2,FALSE)</f>
        <v>Monthly</v>
      </c>
      <c r="T812">
        <f>VLOOKUP($W812,TBL_Categories,3,FALSE)</f>
        <v>0</v>
      </c>
      <c r="U812" t="str">
        <f>VLOOKUP($W812,TBL_Categories,4,FALSE)</f>
        <v>No</v>
      </c>
      <c r="V812" t="str">
        <f>VLOOKUP($W812,TBL_Categories,5,FALSE)</f>
        <v>None</v>
      </c>
      <c r="W812" t="str">
        <f t="shared" si="38"/>
        <v>Food &amp; Dining|Groceries</v>
      </c>
    </row>
    <row r="813" spans="1:23" x14ac:dyDescent="0.25">
      <c r="A813" t="s">
        <v>296</v>
      </c>
      <c r="B813" s="5">
        <v>41867</v>
      </c>
      <c r="C813">
        <v>-24.93</v>
      </c>
      <c r="D813" t="s">
        <v>304</v>
      </c>
      <c r="E813" t="s">
        <v>1256</v>
      </c>
      <c r="G813" t="s">
        <v>333</v>
      </c>
      <c r="K813" t="s">
        <v>61</v>
      </c>
      <c r="L813" t="s">
        <v>1530</v>
      </c>
      <c r="Q813" t="str">
        <f t="shared" si="36"/>
        <v>Aug</v>
      </c>
      <c r="R813">
        <f t="shared" si="37"/>
        <v>2014</v>
      </c>
      <c r="S813" t="str">
        <f>VLOOKUP($W813,TBL_Categories,2,FALSE)</f>
        <v>Monthly</v>
      </c>
      <c r="T813">
        <f>VLOOKUP($W813,TBL_Categories,3,FALSE)</f>
        <v>0</v>
      </c>
      <c r="U813" t="str">
        <f>VLOOKUP($W813,TBL_Categories,4,FALSE)</f>
        <v>No</v>
      </c>
      <c r="V813" t="str">
        <f>VLOOKUP($W813,TBL_Categories,5,FALSE)</f>
        <v>None</v>
      </c>
      <c r="W813" t="str">
        <f t="shared" si="38"/>
        <v>Food &amp; Dining|Restaurants</v>
      </c>
    </row>
    <row r="814" spans="1:23" x14ac:dyDescent="0.25">
      <c r="A814" t="s">
        <v>296</v>
      </c>
      <c r="B814" s="5">
        <v>41867</v>
      </c>
      <c r="C814">
        <v>-71.05</v>
      </c>
      <c r="D814" t="s">
        <v>304</v>
      </c>
      <c r="E814" t="s">
        <v>433</v>
      </c>
      <c r="G814" t="s">
        <v>887</v>
      </c>
      <c r="J814" t="s">
        <v>1550</v>
      </c>
      <c r="K814" t="s">
        <v>61</v>
      </c>
      <c r="L814" t="s">
        <v>401</v>
      </c>
      <c r="Q814" t="str">
        <f t="shared" si="36"/>
        <v>Aug</v>
      </c>
      <c r="R814">
        <f t="shared" si="37"/>
        <v>2014</v>
      </c>
      <c r="S814" t="str">
        <f>VLOOKUP($W814,TBL_Categories,2,FALSE)</f>
        <v>Monthly</v>
      </c>
      <c r="T814">
        <f>VLOOKUP($W814,TBL_Categories,3,FALSE)</f>
        <v>0</v>
      </c>
      <c r="U814" t="str">
        <f>VLOOKUP($W814,TBL_Categories,4,FALSE)</f>
        <v>No</v>
      </c>
      <c r="V814" t="str">
        <f>VLOOKUP($W814,TBL_Categories,5,FALSE)</f>
        <v>None</v>
      </c>
      <c r="W814" t="str">
        <f t="shared" si="38"/>
        <v>Food &amp; Dining|Groceries</v>
      </c>
    </row>
    <row r="815" spans="1:23" x14ac:dyDescent="0.25">
      <c r="A815" t="s">
        <v>284</v>
      </c>
      <c r="B815" s="5">
        <v>41866</v>
      </c>
      <c r="C815" s="4">
        <v>3221.49</v>
      </c>
      <c r="D815" t="s">
        <v>304</v>
      </c>
      <c r="E815" t="s">
        <v>361</v>
      </c>
      <c r="F815" t="s">
        <v>312</v>
      </c>
      <c r="G815" t="s">
        <v>12</v>
      </c>
      <c r="K815" t="s">
        <v>12</v>
      </c>
      <c r="Q815" t="str">
        <f t="shared" si="36"/>
        <v>Aug</v>
      </c>
      <c r="R815">
        <f t="shared" si="37"/>
        <v>2014</v>
      </c>
      <c r="S815" t="str">
        <f>VLOOKUP($W815,TBL_Categories,2,FALSE)</f>
        <v>Monthly</v>
      </c>
      <c r="T815">
        <f>VLOOKUP($W815,TBL_Categories,3,FALSE)</f>
        <v>0</v>
      </c>
      <c r="U815" t="str">
        <f>VLOOKUP($W815,TBL_Categories,4,FALSE)</f>
        <v>No</v>
      </c>
      <c r="V815" t="str">
        <f>VLOOKUP($W815,TBL_Categories,5,FALSE)</f>
        <v>None</v>
      </c>
      <c r="W815" t="str">
        <f t="shared" si="38"/>
        <v>Net Salary</v>
      </c>
    </row>
    <row r="816" spans="1:23" x14ac:dyDescent="0.25">
      <c r="A816" t="s">
        <v>296</v>
      </c>
      <c r="B816" s="5">
        <v>41866</v>
      </c>
      <c r="C816">
        <v>-4.93</v>
      </c>
      <c r="D816" t="s">
        <v>304</v>
      </c>
      <c r="E816" t="s">
        <v>661</v>
      </c>
      <c r="G816" t="s">
        <v>333</v>
      </c>
      <c r="K816" t="s">
        <v>61</v>
      </c>
      <c r="L816" t="s">
        <v>1530</v>
      </c>
      <c r="Q816" t="str">
        <f t="shared" si="36"/>
        <v>Aug</v>
      </c>
      <c r="R816">
        <f t="shared" si="37"/>
        <v>2014</v>
      </c>
      <c r="S816" t="str">
        <f>VLOOKUP($W816,TBL_Categories,2,FALSE)</f>
        <v>Monthly</v>
      </c>
      <c r="T816">
        <f>VLOOKUP($W816,TBL_Categories,3,FALSE)</f>
        <v>0</v>
      </c>
      <c r="U816" t="str">
        <f>VLOOKUP($W816,TBL_Categories,4,FALSE)</f>
        <v>No</v>
      </c>
      <c r="V816" t="str">
        <f>VLOOKUP($W816,TBL_Categories,5,FALSE)</f>
        <v>None</v>
      </c>
      <c r="W816" t="str">
        <f t="shared" si="38"/>
        <v>Food &amp; Dining|Restaurants</v>
      </c>
    </row>
    <row r="817" spans="1:23" x14ac:dyDescent="0.25">
      <c r="A817" t="s">
        <v>296</v>
      </c>
      <c r="B817" s="5">
        <v>41866</v>
      </c>
      <c r="C817">
        <v>-6</v>
      </c>
      <c r="D817" t="s">
        <v>304</v>
      </c>
      <c r="E817" t="s">
        <v>994</v>
      </c>
      <c r="G817" t="s">
        <v>432</v>
      </c>
      <c r="K817" t="s">
        <v>52</v>
      </c>
      <c r="L817" t="s">
        <v>1577</v>
      </c>
      <c r="Q817" t="str">
        <f t="shared" si="36"/>
        <v>Aug</v>
      </c>
      <c r="R817">
        <f t="shared" si="37"/>
        <v>2014</v>
      </c>
      <c r="S817" t="str">
        <f>VLOOKUP($W817,TBL_Categories,2,FALSE)</f>
        <v>Monthly</v>
      </c>
      <c r="T817">
        <f>VLOOKUP($W817,TBL_Categories,3,FALSE)</f>
        <v>0</v>
      </c>
      <c r="U817" t="str">
        <f>VLOOKUP($W817,TBL_Categories,4,FALSE)</f>
        <v>No</v>
      </c>
      <c r="V817" t="str">
        <f>VLOOKUP($W817,TBL_Categories,5,FALSE)</f>
        <v>None</v>
      </c>
      <c r="W817" t="str">
        <f t="shared" si="38"/>
        <v>Auto &amp; Transport|Parking</v>
      </c>
    </row>
    <row r="818" spans="1:23" x14ac:dyDescent="0.25">
      <c r="A818" t="s">
        <v>296</v>
      </c>
      <c r="B818" s="5">
        <v>41866</v>
      </c>
      <c r="C818">
        <v>-8</v>
      </c>
      <c r="D818" t="s">
        <v>304</v>
      </c>
      <c r="E818" t="s">
        <v>1252</v>
      </c>
      <c r="G818" t="s">
        <v>432</v>
      </c>
      <c r="K818" t="s">
        <v>52</v>
      </c>
      <c r="L818" t="s">
        <v>1577</v>
      </c>
      <c r="Q818" t="str">
        <f t="shared" si="36"/>
        <v>Aug</v>
      </c>
      <c r="R818">
        <f t="shared" si="37"/>
        <v>2014</v>
      </c>
      <c r="S818" t="str">
        <f>VLOOKUP($W818,TBL_Categories,2,FALSE)</f>
        <v>Monthly</v>
      </c>
      <c r="T818">
        <f>VLOOKUP($W818,TBL_Categories,3,FALSE)</f>
        <v>0</v>
      </c>
      <c r="U818" t="str">
        <f>VLOOKUP($W818,TBL_Categories,4,FALSE)</f>
        <v>No</v>
      </c>
      <c r="V818" t="str">
        <f>VLOOKUP($W818,TBL_Categories,5,FALSE)</f>
        <v>None</v>
      </c>
      <c r="W818" t="str">
        <f t="shared" si="38"/>
        <v>Auto &amp; Transport|Parking</v>
      </c>
    </row>
    <row r="819" spans="1:23" x14ac:dyDescent="0.25">
      <c r="A819" t="s">
        <v>284</v>
      </c>
      <c r="B819" s="5">
        <v>41864</v>
      </c>
      <c r="C819">
        <v>-45.2</v>
      </c>
      <c r="D819" t="s">
        <v>304</v>
      </c>
      <c r="E819" t="s">
        <v>324</v>
      </c>
      <c r="F819" t="s">
        <v>820</v>
      </c>
      <c r="G819" t="s">
        <v>313</v>
      </c>
      <c r="K819" t="s">
        <v>54</v>
      </c>
      <c r="L819" t="s">
        <v>1521</v>
      </c>
      <c r="Q819" t="str">
        <f t="shared" si="36"/>
        <v>Aug</v>
      </c>
      <c r="R819">
        <f t="shared" si="37"/>
        <v>2014</v>
      </c>
      <c r="S819" t="str">
        <f>VLOOKUP($W819,TBL_Categories,2,FALSE)</f>
        <v>Monthly</v>
      </c>
      <c r="T819">
        <f>VLOOKUP($W819,TBL_Categories,3,FALSE)</f>
        <v>0</v>
      </c>
      <c r="U819" t="str">
        <f>VLOOKUP($W819,TBL_Categories,4,FALSE)</f>
        <v>No</v>
      </c>
      <c r="V819" t="str">
        <f>VLOOKUP($W819,TBL_Categories,5,FALSE)</f>
        <v>None</v>
      </c>
      <c r="W819" t="str">
        <f t="shared" si="38"/>
        <v>Bills &amp; Utilities|Utilities</v>
      </c>
    </row>
    <row r="820" spans="1:23" x14ac:dyDescent="0.25">
      <c r="A820" t="s">
        <v>296</v>
      </c>
      <c r="B820" s="5">
        <v>41864</v>
      </c>
      <c r="C820">
        <v>-12.95</v>
      </c>
      <c r="D820" t="s">
        <v>304</v>
      </c>
      <c r="E820" t="s">
        <v>1249</v>
      </c>
      <c r="G820" t="s">
        <v>333</v>
      </c>
      <c r="K820" t="s">
        <v>61</v>
      </c>
      <c r="L820" t="s">
        <v>1530</v>
      </c>
      <c r="Q820" t="str">
        <f t="shared" si="36"/>
        <v>Aug</v>
      </c>
      <c r="R820">
        <f t="shared" si="37"/>
        <v>2014</v>
      </c>
      <c r="S820" t="str">
        <f>VLOOKUP($W820,TBL_Categories,2,FALSE)</f>
        <v>Monthly</v>
      </c>
      <c r="T820">
        <f>VLOOKUP($W820,TBL_Categories,3,FALSE)</f>
        <v>0</v>
      </c>
      <c r="U820" t="str">
        <f>VLOOKUP($W820,TBL_Categories,4,FALSE)</f>
        <v>No</v>
      </c>
      <c r="V820" t="str">
        <f>VLOOKUP($W820,TBL_Categories,5,FALSE)</f>
        <v>None</v>
      </c>
      <c r="W820" t="str">
        <f t="shared" si="38"/>
        <v>Food &amp; Dining|Restaurants</v>
      </c>
    </row>
    <row r="821" spans="1:23" x14ac:dyDescent="0.25">
      <c r="A821" t="s">
        <v>296</v>
      </c>
      <c r="B821" s="5">
        <v>41864</v>
      </c>
      <c r="C821">
        <v>-42.13</v>
      </c>
      <c r="D821" t="s">
        <v>304</v>
      </c>
      <c r="E821" t="s">
        <v>664</v>
      </c>
      <c r="G821" t="s">
        <v>333</v>
      </c>
      <c r="K821" t="s">
        <v>61</v>
      </c>
      <c r="L821" t="s">
        <v>1530</v>
      </c>
      <c r="Q821" t="str">
        <f t="shared" si="36"/>
        <v>Aug</v>
      </c>
      <c r="R821">
        <f t="shared" si="37"/>
        <v>2014</v>
      </c>
      <c r="S821" t="str">
        <f>VLOOKUP($W821,TBL_Categories,2,FALSE)</f>
        <v>Monthly</v>
      </c>
      <c r="T821">
        <f>VLOOKUP($W821,TBL_Categories,3,FALSE)</f>
        <v>0</v>
      </c>
      <c r="U821" t="str">
        <f>VLOOKUP($W821,TBL_Categories,4,FALSE)</f>
        <v>No</v>
      </c>
      <c r="V821" t="str">
        <f>VLOOKUP($W821,TBL_Categories,5,FALSE)</f>
        <v>None</v>
      </c>
      <c r="W821" t="str">
        <f t="shared" si="38"/>
        <v>Food &amp; Dining|Restaurants</v>
      </c>
    </row>
    <row r="822" spans="1:23" x14ac:dyDescent="0.25">
      <c r="A822" t="s">
        <v>296</v>
      </c>
      <c r="B822" s="5">
        <v>41864</v>
      </c>
      <c r="C822">
        <v>-8.08</v>
      </c>
      <c r="D822" t="s">
        <v>304</v>
      </c>
      <c r="E822" t="s">
        <v>433</v>
      </c>
      <c r="G822" t="s">
        <v>915</v>
      </c>
      <c r="I822" t="s">
        <v>272</v>
      </c>
      <c r="J822" t="s">
        <v>1550</v>
      </c>
      <c r="K822" t="s">
        <v>20</v>
      </c>
      <c r="Q822" t="str">
        <f t="shared" si="36"/>
        <v>Aug</v>
      </c>
      <c r="R822">
        <f t="shared" si="37"/>
        <v>2014</v>
      </c>
      <c r="S822" t="str">
        <f>VLOOKUP($W822,TBL_Categories,2,FALSE)</f>
        <v>Monthly</v>
      </c>
      <c r="T822">
        <f>VLOOKUP($W822,TBL_Categories,3,FALSE)</f>
        <v>0</v>
      </c>
      <c r="U822" t="str">
        <f>VLOOKUP($W822,TBL_Categories,4,FALSE)</f>
        <v>No</v>
      </c>
      <c r="V822" t="str">
        <f>VLOOKUP($W822,TBL_Categories,5,FALSE)</f>
        <v>None</v>
      </c>
      <c r="W822" t="str">
        <f t="shared" si="38"/>
        <v>Gifts</v>
      </c>
    </row>
    <row r="823" spans="1:23" x14ac:dyDescent="0.25">
      <c r="A823" t="s">
        <v>296</v>
      </c>
      <c r="B823" s="5">
        <v>41864</v>
      </c>
      <c r="C823">
        <v>-81.5</v>
      </c>
      <c r="D823" t="s">
        <v>304</v>
      </c>
      <c r="E823" t="s">
        <v>433</v>
      </c>
      <c r="G823" t="s">
        <v>887</v>
      </c>
      <c r="I823" t="s">
        <v>272</v>
      </c>
      <c r="J823" t="s">
        <v>1550</v>
      </c>
      <c r="K823" t="s">
        <v>61</v>
      </c>
      <c r="L823" t="s">
        <v>401</v>
      </c>
      <c r="Q823" t="str">
        <f t="shared" si="36"/>
        <v>Aug</v>
      </c>
      <c r="R823">
        <f t="shared" si="37"/>
        <v>2014</v>
      </c>
      <c r="S823" t="str">
        <f>VLOOKUP($W823,TBL_Categories,2,FALSE)</f>
        <v>Monthly</v>
      </c>
      <c r="T823">
        <f>VLOOKUP($W823,TBL_Categories,3,FALSE)</f>
        <v>0</v>
      </c>
      <c r="U823" t="str">
        <f>VLOOKUP($W823,TBL_Categories,4,FALSE)</f>
        <v>No</v>
      </c>
      <c r="V823" t="str">
        <f>VLOOKUP($W823,TBL_Categories,5,FALSE)</f>
        <v>None</v>
      </c>
      <c r="W823" t="str">
        <f t="shared" si="38"/>
        <v>Food &amp; Dining|Groceries</v>
      </c>
    </row>
    <row r="824" spans="1:23" x14ac:dyDescent="0.25">
      <c r="A824" t="s">
        <v>296</v>
      </c>
      <c r="B824" s="5">
        <v>41864</v>
      </c>
      <c r="C824">
        <v>-3.93</v>
      </c>
      <c r="D824" t="s">
        <v>304</v>
      </c>
      <c r="E824" t="s">
        <v>602</v>
      </c>
      <c r="G824" t="s">
        <v>333</v>
      </c>
      <c r="K824" t="s">
        <v>61</v>
      </c>
      <c r="L824" t="s">
        <v>1530</v>
      </c>
      <c r="Q824" t="str">
        <f t="shared" si="36"/>
        <v>Aug</v>
      </c>
      <c r="R824">
        <f t="shared" si="37"/>
        <v>2014</v>
      </c>
      <c r="S824" t="str">
        <f>VLOOKUP($W824,TBL_Categories,2,FALSE)</f>
        <v>Monthly</v>
      </c>
      <c r="T824">
        <f>VLOOKUP($W824,TBL_Categories,3,FALSE)</f>
        <v>0</v>
      </c>
      <c r="U824" t="str">
        <f>VLOOKUP($W824,TBL_Categories,4,FALSE)</f>
        <v>No</v>
      </c>
      <c r="V824" t="str">
        <f>VLOOKUP($W824,TBL_Categories,5,FALSE)</f>
        <v>None</v>
      </c>
      <c r="W824" t="str">
        <f t="shared" si="38"/>
        <v>Food &amp; Dining|Restaurants</v>
      </c>
    </row>
    <row r="825" spans="1:23" x14ac:dyDescent="0.25">
      <c r="A825" t="s">
        <v>296</v>
      </c>
      <c r="B825" s="5">
        <v>41864</v>
      </c>
      <c r="C825">
        <v>-93</v>
      </c>
      <c r="D825" t="s">
        <v>304</v>
      </c>
      <c r="E825" t="s">
        <v>1250</v>
      </c>
      <c r="F825" t="s">
        <v>1251</v>
      </c>
      <c r="G825" t="s">
        <v>17</v>
      </c>
      <c r="K825" t="s">
        <v>17</v>
      </c>
      <c r="Q825" t="str">
        <f t="shared" si="36"/>
        <v>Aug</v>
      </c>
      <c r="R825">
        <f t="shared" si="37"/>
        <v>2014</v>
      </c>
      <c r="S825" t="str">
        <f>VLOOKUP($W825,TBL_Categories,2,FALSE)</f>
        <v>Monthly</v>
      </c>
      <c r="T825">
        <f>VLOOKUP($W825,TBL_Categories,3,FALSE)</f>
        <v>0</v>
      </c>
      <c r="U825" t="str">
        <f>VLOOKUP($W825,TBL_Categories,4,FALSE)</f>
        <v>No</v>
      </c>
      <c r="V825" t="str">
        <f>VLOOKUP($W825,TBL_Categories,5,FALSE)</f>
        <v>None</v>
      </c>
      <c r="W825" t="str">
        <f t="shared" si="38"/>
        <v>Entertainment</v>
      </c>
    </row>
    <row r="826" spans="1:23" x14ac:dyDescent="0.25">
      <c r="A826" t="s">
        <v>633</v>
      </c>
      <c r="B826" s="5">
        <v>41863</v>
      </c>
      <c r="C826">
        <v>-3.63</v>
      </c>
      <c r="D826" t="s">
        <v>304</v>
      </c>
      <c r="E826" t="s">
        <v>451</v>
      </c>
      <c r="F826" t="s">
        <v>977</v>
      </c>
      <c r="G826" t="s">
        <v>963</v>
      </c>
      <c r="K826" t="s">
        <v>63</v>
      </c>
      <c r="L826" t="s">
        <v>1574</v>
      </c>
      <c r="Q826" t="str">
        <f t="shared" si="36"/>
        <v>Aug</v>
      </c>
      <c r="R826">
        <f t="shared" si="37"/>
        <v>2014</v>
      </c>
      <c r="S826" t="str">
        <f>VLOOKUP($W826,TBL_Categories,2,FALSE)</f>
        <v>Irregular</v>
      </c>
      <c r="T826">
        <f>VLOOKUP($W826,TBL_Categories,3,FALSE)</f>
        <v>0</v>
      </c>
      <c r="U826" t="str">
        <f>VLOOKUP($W826,TBL_Categories,4,FALSE)</f>
        <v>No</v>
      </c>
      <c r="V826" t="str">
        <f>VLOOKUP($W826,TBL_Categories,5,FALSE)</f>
        <v>None</v>
      </c>
      <c r="W826" t="str">
        <f t="shared" si="38"/>
        <v>Home|Home Improvement</v>
      </c>
    </row>
    <row r="827" spans="1:23" x14ac:dyDescent="0.25">
      <c r="A827" t="s">
        <v>633</v>
      </c>
      <c r="B827" s="5">
        <v>41863</v>
      </c>
      <c r="C827">
        <v>-43.37</v>
      </c>
      <c r="D827" t="s">
        <v>304</v>
      </c>
      <c r="E827" t="s">
        <v>978</v>
      </c>
      <c r="G827" t="s">
        <v>409</v>
      </c>
      <c r="K827" t="s">
        <v>52</v>
      </c>
      <c r="L827" t="s">
        <v>1568</v>
      </c>
      <c r="Q827" t="str">
        <f t="shared" si="36"/>
        <v>Aug</v>
      </c>
      <c r="R827">
        <f t="shared" si="37"/>
        <v>2014</v>
      </c>
      <c r="S827" t="str">
        <f>VLOOKUP($W827,TBL_Categories,2,FALSE)</f>
        <v>Monthly</v>
      </c>
      <c r="T827">
        <f>VLOOKUP($W827,TBL_Categories,3,FALSE)</f>
        <v>0</v>
      </c>
      <c r="U827" t="str">
        <f>VLOOKUP($W827,TBL_Categories,4,FALSE)</f>
        <v>No</v>
      </c>
      <c r="V827" t="str">
        <f>VLOOKUP($W827,TBL_Categories,5,FALSE)</f>
        <v>None</v>
      </c>
      <c r="W827" t="str">
        <f t="shared" si="38"/>
        <v>Auto &amp; Transport|Gas &amp; Fuel</v>
      </c>
    </row>
    <row r="828" spans="1:23" x14ac:dyDescent="0.25">
      <c r="A828" t="s">
        <v>294</v>
      </c>
      <c r="B828" s="5">
        <v>41863</v>
      </c>
      <c r="C828">
        <v>-146.91999999999999</v>
      </c>
      <c r="D828" t="s">
        <v>304</v>
      </c>
      <c r="E828" t="s">
        <v>335</v>
      </c>
      <c r="G828" t="s">
        <v>336</v>
      </c>
      <c r="K828" t="s">
        <v>55</v>
      </c>
      <c r="L828" t="s">
        <v>1532</v>
      </c>
      <c r="Q828" t="str">
        <f t="shared" si="36"/>
        <v>Aug</v>
      </c>
      <c r="R828">
        <f t="shared" si="37"/>
        <v>2014</v>
      </c>
      <c r="S828" t="str">
        <f>VLOOKUP($W828,TBL_Categories,2,FALSE)</f>
        <v>Monthly</v>
      </c>
      <c r="T828">
        <f>VLOOKUP($W828,TBL_Categories,3,FALSE)</f>
        <v>0</v>
      </c>
      <c r="U828" t="str">
        <f>VLOOKUP($W828,TBL_Categories,4,FALSE)</f>
        <v>No</v>
      </c>
      <c r="V828" t="str">
        <f>VLOOKUP($W828,TBL_Categories,5,FALSE)</f>
        <v>None</v>
      </c>
      <c r="W828" t="str">
        <f t="shared" si="38"/>
        <v>Business Expenses (Koolikai)|Cell Phone</v>
      </c>
    </row>
    <row r="829" spans="1:23" x14ac:dyDescent="0.25">
      <c r="A829" t="s">
        <v>296</v>
      </c>
      <c r="B829" s="5">
        <v>41863</v>
      </c>
      <c r="C829">
        <v>-103.19</v>
      </c>
      <c r="D829" t="s">
        <v>304</v>
      </c>
      <c r="E829" t="s">
        <v>1247</v>
      </c>
      <c r="F829" t="s">
        <v>1248</v>
      </c>
      <c r="G829" t="s">
        <v>341</v>
      </c>
      <c r="K829" t="s">
        <v>72</v>
      </c>
      <c r="L829" t="s">
        <v>1534</v>
      </c>
      <c r="Q829" t="str">
        <f t="shared" si="36"/>
        <v>Aug</v>
      </c>
      <c r="R829">
        <f t="shared" si="37"/>
        <v>2014</v>
      </c>
      <c r="S829" t="str">
        <f>VLOOKUP($W829,TBL_Categories,2,FALSE)</f>
        <v>Annual</v>
      </c>
      <c r="T829">
        <f>VLOOKUP($W829,TBL_Categories,3,FALSE)</f>
        <v>0</v>
      </c>
      <c r="U829" t="str">
        <f>VLOOKUP($W829,TBL_Categories,4,FALSE)</f>
        <v>No</v>
      </c>
      <c r="V829" t="str">
        <f>VLOOKUP($W829,TBL_Categories,5,FALSE)</f>
        <v>None</v>
      </c>
      <c r="W829" t="str">
        <f t="shared" si="38"/>
        <v>Shopping|Electronics &amp; Software</v>
      </c>
    </row>
    <row r="830" spans="1:23" x14ac:dyDescent="0.25">
      <c r="A830" t="s">
        <v>296</v>
      </c>
      <c r="B830" s="5">
        <v>41862</v>
      </c>
      <c r="C830">
        <v>-37.72</v>
      </c>
      <c r="D830" t="s">
        <v>304</v>
      </c>
      <c r="E830" t="s">
        <v>433</v>
      </c>
      <c r="G830" t="s">
        <v>887</v>
      </c>
      <c r="J830" t="s">
        <v>1550</v>
      </c>
      <c r="K830" t="s">
        <v>61</v>
      </c>
      <c r="L830" t="s">
        <v>401</v>
      </c>
      <c r="Q830" t="str">
        <f t="shared" si="36"/>
        <v>Aug</v>
      </c>
      <c r="R830">
        <f t="shared" si="37"/>
        <v>2014</v>
      </c>
      <c r="S830" t="str">
        <f>VLOOKUP($W830,TBL_Categories,2,FALSE)</f>
        <v>Monthly</v>
      </c>
      <c r="T830">
        <f>VLOOKUP($W830,TBL_Categories,3,FALSE)</f>
        <v>0</v>
      </c>
      <c r="U830" t="str">
        <f>VLOOKUP($W830,TBL_Categories,4,FALSE)</f>
        <v>No</v>
      </c>
      <c r="V830" t="str">
        <f>VLOOKUP($W830,TBL_Categories,5,FALSE)</f>
        <v>None</v>
      </c>
      <c r="W830" t="str">
        <f t="shared" si="38"/>
        <v>Food &amp; Dining|Groceries</v>
      </c>
    </row>
    <row r="831" spans="1:23" x14ac:dyDescent="0.25">
      <c r="A831" t="s">
        <v>296</v>
      </c>
      <c r="B831" s="5">
        <v>41862</v>
      </c>
      <c r="C831">
        <v>-50</v>
      </c>
      <c r="D831" t="s">
        <v>304</v>
      </c>
      <c r="E831" t="s">
        <v>1245</v>
      </c>
      <c r="G831" t="s">
        <v>593</v>
      </c>
      <c r="K831" t="s">
        <v>56</v>
      </c>
      <c r="L831" t="s">
        <v>1547</v>
      </c>
      <c r="Q831" t="str">
        <f t="shared" si="36"/>
        <v>Aug</v>
      </c>
      <c r="R831">
        <f t="shared" si="37"/>
        <v>2014</v>
      </c>
      <c r="S831" t="str">
        <f>VLOOKUP($W831,TBL_Categories,2,FALSE)</f>
        <v>Annual</v>
      </c>
      <c r="T831">
        <f>VLOOKUP($W831,TBL_Categories,3,FALSE)</f>
        <v>0</v>
      </c>
      <c r="U831" t="str">
        <f>VLOOKUP($W831,TBL_Categories,4,FALSE)</f>
        <v>No</v>
      </c>
      <c r="V831" t="str">
        <f>VLOOKUP($W831,TBL_Categories,5,FALSE)</f>
        <v>None</v>
      </c>
      <c r="W831" t="str">
        <f t="shared" si="38"/>
        <v>Charity|Charity (Cash)</v>
      </c>
    </row>
    <row r="832" spans="1:23" x14ac:dyDescent="0.25">
      <c r="A832" t="s">
        <v>296</v>
      </c>
      <c r="B832" s="5">
        <v>41862</v>
      </c>
      <c r="C832">
        <v>-136</v>
      </c>
      <c r="D832" t="s">
        <v>304</v>
      </c>
      <c r="E832" t="s">
        <v>529</v>
      </c>
      <c r="F832" t="s">
        <v>1246</v>
      </c>
      <c r="G832" t="s">
        <v>449</v>
      </c>
      <c r="K832" t="s">
        <v>66</v>
      </c>
      <c r="L832" t="s">
        <v>1555</v>
      </c>
      <c r="Q832" t="str">
        <f t="shared" si="36"/>
        <v>Aug</v>
      </c>
      <c r="R832">
        <f t="shared" si="37"/>
        <v>2014</v>
      </c>
      <c r="S832" t="str">
        <f>VLOOKUP($W832,TBL_Categories,2,FALSE)</f>
        <v>Monthly</v>
      </c>
      <c r="T832">
        <f>VLOOKUP($W832,TBL_Categories,3,FALSE)</f>
        <v>0</v>
      </c>
      <c r="U832" t="str">
        <f>VLOOKUP($W832,TBL_Categories,4,FALSE)</f>
        <v>No</v>
      </c>
      <c r="V832" t="str">
        <f>VLOOKUP($W832,TBL_Categories,5,FALSE)</f>
        <v>None</v>
      </c>
      <c r="W832" t="str">
        <f t="shared" si="38"/>
        <v>Kids|Kids Activities</v>
      </c>
    </row>
    <row r="833" spans="1:23" x14ac:dyDescent="0.25">
      <c r="A833" t="s">
        <v>284</v>
      </c>
      <c r="B833" s="5">
        <v>41861</v>
      </c>
      <c r="C833">
        <v>100</v>
      </c>
      <c r="D833" t="s">
        <v>304</v>
      </c>
      <c r="E833" t="s">
        <v>817</v>
      </c>
      <c r="F833" t="s">
        <v>818</v>
      </c>
      <c r="G833" t="s">
        <v>819</v>
      </c>
      <c r="K833" t="s">
        <v>90</v>
      </c>
      <c r="L833" t="s">
        <v>1552</v>
      </c>
      <c r="Q833" t="str">
        <f t="shared" si="36"/>
        <v>Aug</v>
      </c>
      <c r="R833">
        <f t="shared" si="37"/>
        <v>2014</v>
      </c>
      <c r="S833" t="str">
        <f>VLOOKUP($W833,TBL_Categories,2,FALSE)</f>
        <v>Unplanned</v>
      </c>
      <c r="T833">
        <f>VLOOKUP($W833,TBL_Categories,3,FALSE)</f>
        <v>0</v>
      </c>
      <c r="U833" t="str">
        <f>VLOOKUP($W833,TBL_Categories,4,FALSE)</f>
        <v>No</v>
      </c>
      <c r="V833" t="str">
        <f>VLOOKUP($W833,TBL_Categories,5,FALSE)</f>
        <v>None</v>
      </c>
      <c r="W833" t="str">
        <f t="shared" si="38"/>
        <v>Projects|Appliances</v>
      </c>
    </row>
    <row r="834" spans="1:23" x14ac:dyDescent="0.25">
      <c r="A834" t="s">
        <v>633</v>
      </c>
      <c r="B834" s="5">
        <v>41861</v>
      </c>
      <c r="C834">
        <v>-36.78</v>
      </c>
      <c r="D834" t="s">
        <v>304</v>
      </c>
      <c r="E834" t="s">
        <v>705</v>
      </c>
      <c r="G834" t="s">
        <v>409</v>
      </c>
      <c r="K834" t="s">
        <v>52</v>
      </c>
      <c r="L834" t="s">
        <v>1568</v>
      </c>
      <c r="Q834" t="str">
        <f t="shared" ref="Q834:Q897" si="39">TEXT($B834,"MMM")</f>
        <v>Aug</v>
      </c>
      <c r="R834">
        <f t="shared" ref="R834:R897" si="40">YEAR($B834)</f>
        <v>2014</v>
      </c>
      <c r="S834" t="str">
        <f>VLOOKUP($W834,TBL_Categories,2,FALSE)</f>
        <v>Monthly</v>
      </c>
      <c r="T834">
        <f>VLOOKUP($W834,TBL_Categories,3,FALSE)</f>
        <v>0</v>
      </c>
      <c r="U834" t="str">
        <f>VLOOKUP($W834,TBL_Categories,4,FALSE)</f>
        <v>No</v>
      </c>
      <c r="V834" t="str">
        <f>VLOOKUP($W834,TBL_Categories,5,FALSE)</f>
        <v>None</v>
      </c>
      <c r="W834" t="str">
        <f t="shared" ref="W834:W897" si="41">IF(ISBLANK($L834),$K834,CONCATENATE($K834,"|",$L834))</f>
        <v>Auto &amp; Transport|Gas &amp; Fuel</v>
      </c>
    </row>
    <row r="835" spans="1:23" x14ac:dyDescent="0.25">
      <c r="A835" t="s">
        <v>296</v>
      </c>
      <c r="B835" s="5">
        <v>41861</v>
      </c>
      <c r="C835">
        <v>-20.420000000000002</v>
      </c>
      <c r="D835" t="s">
        <v>304</v>
      </c>
      <c r="E835" t="s">
        <v>438</v>
      </c>
      <c r="G835" t="s">
        <v>333</v>
      </c>
      <c r="K835" t="s">
        <v>61</v>
      </c>
      <c r="L835" t="s">
        <v>1530</v>
      </c>
      <c r="Q835" t="str">
        <f t="shared" si="39"/>
        <v>Aug</v>
      </c>
      <c r="R835">
        <f t="shared" si="40"/>
        <v>2014</v>
      </c>
      <c r="S835" t="str">
        <f>VLOOKUP($W835,TBL_Categories,2,FALSE)</f>
        <v>Monthly</v>
      </c>
      <c r="T835">
        <f>VLOOKUP($W835,TBL_Categories,3,FALSE)</f>
        <v>0</v>
      </c>
      <c r="U835" t="str">
        <f>VLOOKUP($W835,TBL_Categories,4,FALSE)</f>
        <v>No</v>
      </c>
      <c r="V835" t="str">
        <f>VLOOKUP($W835,TBL_Categories,5,FALSE)</f>
        <v>None</v>
      </c>
      <c r="W835" t="str">
        <f t="shared" si="41"/>
        <v>Food &amp; Dining|Restaurants</v>
      </c>
    </row>
    <row r="836" spans="1:23" x14ac:dyDescent="0.25">
      <c r="A836" t="s">
        <v>284</v>
      </c>
      <c r="B836" s="5">
        <v>41859</v>
      </c>
      <c r="C836">
        <v>-60.35</v>
      </c>
      <c r="D836" t="s">
        <v>304</v>
      </c>
      <c r="E836" t="s">
        <v>366</v>
      </c>
      <c r="F836" t="s">
        <v>350</v>
      </c>
      <c r="G836" t="s">
        <v>23</v>
      </c>
      <c r="K836" t="s">
        <v>23</v>
      </c>
      <c r="Q836" t="str">
        <f t="shared" si="39"/>
        <v>Aug</v>
      </c>
      <c r="R836">
        <f t="shared" si="40"/>
        <v>2014</v>
      </c>
      <c r="S836" t="str">
        <f>VLOOKUP($W836,TBL_Categories,2,FALSE)</f>
        <v>Account</v>
      </c>
      <c r="T836">
        <f>VLOOKUP($W836,TBL_Categories,3,FALSE)</f>
        <v>0</v>
      </c>
      <c r="U836" t="str">
        <f>VLOOKUP($W836,TBL_Categories,4,FALSE)</f>
        <v>No</v>
      </c>
      <c r="V836" t="str">
        <f>VLOOKUP($W836,TBL_Categories,5,FALSE)</f>
        <v>None</v>
      </c>
      <c r="W836" t="str">
        <f t="shared" si="41"/>
        <v>[Target Red Card]</v>
      </c>
    </row>
    <row r="837" spans="1:23" x14ac:dyDescent="0.25">
      <c r="A837" t="s">
        <v>633</v>
      </c>
      <c r="B837" s="5">
        <v>41859</v>
      </c>
      <c r="C837">
        <v>-20.329999999999998</v>
      </c>
      <c r="D837" t="s">
        <v>304</v>
      </c>
      <c r="E837" t="s">
        <v>451</v>
      </c>
      <c r="F837" t="s">
        <v>976</v>
      </c>
      <c r="G837" t="s">
        <v>345</v>
      </c>
      <c r="K837" t="s">
        <v>66</v>
      </c>
      <c r="L837" t="s">
        <v>1536</v>
      </c>
      <c r="Q837" t="str">
        <f t="shared" si="39"/>
        <v>Aug</v>
      </c>
      <c r="R837">
        <f t="shared" si="40"/>
        <v>2014</v>
      </c>
      <c r="S837" t="str">
        <f>VLOOKUP($W837,TBL_Categories,2,FALSE)</f>
        <v>Monthly</v>
      </c>
      <c r="T837">
        <f>VLOOKUP($W837,TBL_Categories,3,FALSE)</f>
        <v>0</v>
      </c>
      <c r="U837" t="str">
        <f>VLOOKUP($W837,TBL_Categories,4,FALSE)</f>
        <v>No</v>
      </c>
      <c r="V837" t="str">
        <f>VLOOKUP($W837,TBL_Categories,5,FALSE)</f>
        <v>None</v>
      </c>
      <c r="W837" t="str">
        <f t="shared" si="41"/>
        <v>Kids|Toys</v>
      </c>
    </row>
    <row r="838" spans="1:23" x14ac:dyDescent="0.25">
      <c r="A838" t="s">
        <v>299</v>
      </c>
      <c r="B838" s="5">
        <v>41859</v>
      </c>
      <c r="C838">
        <v>60.35</v>
      </c>
      <c r="D838" t="s">
        <v>304</v>
      </c>
      <c r="E838" t="s">
        <v>366</v>
      </c>
      <c r="F838" t="s">
        <v>350</v>
      </c>
      <c r="G838" t="s">
        <v>9</v>
      </c>
      <c r="K838" t="s">
        <v>9</v>
      </c>
      <c r="Q838" t="str">
        <f t="shared" si="39"/>
        <v>Aug</v>
      </c>
      <c r="R838">
        <f t="shared" si="40"/>
        <v>2014</v>
      </c>
      <c r="S838" t="str">
        <f>VLOOKUP($W838,TBL_Categories,2,FALSE)</f>
        <v>Account</v>
      </c>
      <c r="T838">
        <f>VLOOKUP($W838,TBL_Categories,3,FALSE)</f>
        <v>0</v>
      </c>
      <c r="U838" t="str">
        <f>VLOOKUP($W838,TBL_Categories,4,FALSE)</f>
        <v>No</v>
      </c>
      <c r="V838" t="str">
        <f>VLOOKUP($W838,TBL_Categories,5,FALSE)</f>
        <v>None</v>
      </c>
      <c r="W838" t="str">
        <f t="shared" si="41"/>
        <v>[First Tech - Checking (5544)]</v>
      </c>
    </row>
    <row r="839" spans="1:23" x14ac:dyDescent="0.25">
      <c r="A839" t="s">
        <v>296</v>
      </c>
      <c r="B839" s="5">
        <v>41858</v>
      </c>
      <c r="C839">
        <v>-7.65</v>
      </c>
      <c r="D839" t="s">
        <v>304</v>
      </c>
      <c r="E839" t="s">
        <v>433</v>
      </c>
      <c r="F839" t="s">
        <v>1242</v>
      </c>
      <c r="G839" t="s">
        <v>1020</v>
      </c>
      <c r="I839" t="s">
        <v>272</v>
      </c>
      <c r="J839" t="s">
        <v>1550</v>
      </c>
      <c r="K839" t="s">
        <v>66</v>
      </c>
      <c r="L839" t="s">
        <v>1536</v>
      </c>
      <c r="Q839" t="str">
        <f t="shared" si="39"/>
        <v>Aug</v>
      </c>
      <c r="R839">
        <f t="shared" si="40"/>
        <v>2014</v>
      </c>
      <c r="S839" t="str">
        <f>VLOOKUP($W839,TBL_Categories,2,FALSE)</f>
        <v>Monthly</v>
      </c>
      <c r="T839">
        <f>VLOOKUP($W839,TBL_Categories,3,FALSE)</f>
        <v>0</v>
      </c>
      <c r="U839" t="str">
        <f>VLOOKUP($W839,TBL_Categories,4,FALSE)</f>
        <v>No</v>
      </c>
      <c r="V839" t="str">
        <f>VLOOKUP($W839,TBL_Categories,5,FALSE)</f>
        <v>None</v>
      </c>
      <c r="W839" t="str">
        <f t="shared" si="41"/>
        <v>Kids|Toys</v>
      </c>
    </row>
    <row r="840" spans="1:23" x14ac:dyDescent="0.25">
      <c r="A840" t="s">
        <v>296</v>
      </c>
      <c r="B840" s="5">
        <v>41858</v>
      </c>
      <c r="C840">
        <v>-43.79</v>
      </c>
      <c r="D840" t="s">
        <v>304</v>
      </c>
      <c r="E840" t="s">
        <v>433</v>
      </c>
      <c r="F840" t="s">
        <v>1243</v>
      </c>
      <c r="G840" t="s">
        <v>900</v>
      </c>
      <c r="I840" t="s">
        <v>272</v>
      </c>
      <c r="J840" t="s">
        <v>1550</v>
      </c>
      <c r="K840" t="s">
        <v>72</v>
      </c>
      <c r="L840" t="s">
        <v>1565</v>
      </c>
      <c r="M840" t="s">
        <v>1566</v>
      </c>
      <c r="Q840" t="str">
        <f t="shared" si="39"/>
        <v>Aug</v>
      </c>
      <c r="R840">
        <f t="shared" si="40"/>
        <v>2014</v>
      </c>
      <c r="S840" t="str">
        <f>VLOOKUP($W840,TBL_Categories,2,FALSE)</f>
        <v>Annual</v>
      </c>
      <c r="T840">
        <f>VLOOKUP($W840,TBL_Categories,3,FALSE)</f>
        <v>0</v>
      </c>
      <c r="U840" t="str">
        <f>VLOOKUP($W840,TBL_Categories,4,FALSE)</f>
        <v>No</v>
      </c>
      <c r="V840" t="str">
        <f>VLOOKUP($W840,TBL_Categories,5,FALSE)</f>
        <v>None</v>
      </c>
      <c r="W840" t="str">
        <f t="shared" si="41"/>
        <v>Shopping|Hobbies</v>
      </c>
    </row>
    <row r="841" spans="1:23" x14ac:dyDescent="0.25">
      <c r="A841" t="s">
        <v>296</v>
      </c>
      <c r="B841" s="5">
        <v>41858</v>
      </c>
      <c r="C841">
        <v>-10.94</v>
      </c>
      <c r="D841" t="s">
        <v>304</v>
      </c>
      <c r="E841" t="s">
        <v>433</v>
      </c>
      <c r="F841" t="s">
        <v>1244</v>
      </c>
      <c r="G841" t="s">
        <v>1020</v>
      </c>
      <c r="I841" t="s">
        <v>272</v>
      </c>
      <c r="J841" t="s">
        <v>1550</v>
      </c>
      <c r="K841" t="s">
        <v>66</v>
      </c>
      <c r="L841" t="s">
        <v>1536</v>
      </c>
      <c r="Q841" t="str">
        <f t="shared" si="39"/>
        <v>Aug</v>
      </c>
      <c r="R841">
        <f t="shared" si="40"/>
        <v>2014</v>
      </c>
      <c r="S841" t="str">
        <f>VLOOKUP($W841,TBL_Categories,2,FALSE)</f>
        <v>Monthly</v>
      </c>
      <c r="T841">
        <f>VLOOKUP($W841,TBL_Categories,3,FALSE)</f>
        <v>0</v>
      </c>
      <c r="U841" t="str">
        <f>VLOOKUP($W841,TBL_Categories,4,FALSE)</f>
        <v>No</v>
      </c>
      <c r="V841" t="str">
        <f>VLOOKUP($W841,TBL_Categories,5,FALSE)</f>
        <v>None</v>
      </c>
      <c r="W841" t="str">
        <f t="shared" si="41"/>
        <v>Kids|Toys</v>
      </c>
    </row>
    <row r="842" spans="1:23" x14ac:dyDescent="0.25">
      <c r="A842" t="s">
        <v>296</v>
      </c>
      <c r="B842" s="5">
        <v>41858</v>
      </c>
      <c r="C842">
        <v>-10.86</v>
      </c>
      <c r="D842" t="s">
        <v>304</v>
      </c>
      <c r="E842" t="s">
        <v>673</v>
      </c>
      <c r="G842" t="s">
        <v>333</v>
      </c>
      <c r="K842" t="s">
        <v>61</v>
      </c>
      <c r="L842" t="s">
        <v>1530</v>
      </c>
      <c r="Q842" t="str">
        <f t="shared" si="39"/>
        <v>Aug</v>
      </c>
      <c r="R842">
        <f t="shared" si="40"/>
        <v>2014</v>
      </c>
      <c r="S842" t="str">
        <f>VLOOKUP($W842,TBL_Categories,2,FALSE)</f>
        <v>Monthly</v>
      </c>
      <c r="T842">
        <f>VLOOKUP($W842,TBL_Categories,3,FALSE)</f>
        <v>0</v>
      </c>
      <c r="U842" t="str">
        <f>VLOOKUP($W842,TBL_Categories,4,FALSE)</f>
        <v>No</v>
      </c>
      <c r="V842" t="str">
        <f>VLOOKUP($W842,TBL_Categories,5,FALSE)</f>
        <v>None</v>
      </c>
      <c r="W842" t="str">
        <f t="shared" si="41"/>
        <v>Food &amp; Dining|Restaurants</v>
      </c>
    </row>
    <row r="843" spans="1:23" x14ac:dyDescent="0.25">
      <c r="A843" t="s">
        <v>290</v>
      </c>
      <c r="B843" s="5">
        <v>41857</v>
      </c>
      <c r="C843">
        <v>-40</v>
      </c>
      <c r="D843" t="s">
        <v>304</v>
      </c>
      <c r="E843" t="s">
        <v>903</v>
      </c>
      <c r="F843" t="s">
        <v>904</v>
      </c>
      <c r="G843" t="s">
        <v>333</v>
      </c>
      <c r="K843" t="s">
        <v>61</v>
      </c>
      <c r="L843" t="s">
        <v>1530</v>
      </c>
      <c r="Q843" t="str">
        <f t="shared" si="39"/>
        <v>Aug</v>
      </c>
      <c r="R843">
        <f t="shared" si="40"/>
        <v>2014</v>
      </c>
      <c r="S843" t="str">
        <f>VLOOKUP($W843,TBL_Categories,2,FALSE)</f>
        <v>Monthly</v>
      </c>
      <c r="T843">
        <f>VLOOKUP($W843,TBL_Categories,3,FALSE)</f>
        <v>0</v>
      </c>
      <c r="U843" t="str">
        <f>VLOOKUP($W843,TBL_Categories,4,FALSE)</f>
        <v>No</v>
      </c>
      <c r="V843" t="str">
        <f>VLOOKUP($W843,TBL_Categories,5,FALSE)</f>
        <v>None</v>
      </c>
      <c r="W843" t="str">
        <f t="shared" si="41"/>
        <v>Food &amp; Dining|Restaurants</v>
      </c>
    </row>
    <row r="844" spans="1:23" x14ac:dyDescent="0.25">
      <c r="A844" t="s">
        <v>296</v>
      </c>
      <c r="B844" s="5">
        <v>41857</v>
      </c>
      <c r="C844">
        <v>-6</v>
      </c>
      <c r="D844" t="s">
        <v>304</v>
      </c>
      <c r="E844" t="s">
        <v>433</v>
      </c>
      <c r="F844" t="s">
        <v>1241</v>
      </c>
      <c r="G844" t="s">
        <v>900</v>
      </c>
      <c r="I844" t="s">
        <v>272</v>
      </c>
      <c r="J844" t="s">
        <v>1550</v>
      </c>
      <c r="K844" t="s">
        <v>72</v>
      </c>
      <c r="L844" t="s">
        <v>1565</v>
      </c>
      <c r="M844" t="s">
        <v>1566</v>
      </c>
      <c r="Q844" t="str">
        <f t="shared" si="39"/>
        <v>Aug</v>
      </c>
      <c r="R844">
        <f t="shared" si="40"/>
        <v>2014</v>
      </c>
      <c r="S844" t="str">
        <f>VLOOKUP($W844,TBL_Categories,2,FALSE)</f>
        <v>Annual</v>
      </c>
      <c r="T844">
        <f>VLOOKUP($W844,TBL_Categories,3,FALSE)</f>
        <v>0</v>
      </c>
      <c r="U844" t="str">
        <f>VLOOKUP($W844,TBL_Categories,4,FALSE)</f>
        <v>No</v>
      </c>
      <c r="V844" t="str">
        <f>VLOOKUP($W844,TBL_Categories,5,FALSE)</f>
        <v>None</v>
      </c>
      <c r="W844" t="str">
        <f t="shared" si="41"/>
        <v>Shopping|Hobbies</v>
      </c>
    </row>
    <row r="845" spans="1:23" x14ac:dyDescent="0.25">
      <c r="A845" t="s">
        <v>296</v>
      </c>
      <c r="B845" s="5">
        <v>41857</v>
      </c>
      <c r="C845">
        <v>-67.77</v>
      </c>
      <c r="D845" t="s">
        <v>304</v>
      </c>
      <c r="E845" t="s">
        <v>433</v>
      </c>
      <c r="G845" t="s">
        <v>887</v>
      </c>
      <c r="I845" t="s">
        <v>272</v>
      </c>
      <c r="J845" t="s">
        <v>1550</v>
      </c>
      <c r="K845" t="s">
        <v>61</v>
      </c>
      <c r="L845" t="s">
        <v>401</v>
      </c>
      <c r="Q845" t="str">
        <f t="shared" si="39"/>
        <v>Aug</v>
      </c>
      <c r="R845">
        <f t="shared" si="40"/>
        <v>2014</v>
      </c>
      <c r="S845" t="str">
        <f>VLOOKUP($W845,TBL_Categories,2,FALSE)</f>
        <v>Monthly</v>
      </c>
      <c r="T845">
        <f>VLOOKUP($W845,TBL_Categories,3,FALSE)</f>
        <v>0</v>
      </c>
      <c r="U845" t="str">
        <f>VLOOKUP($W845,TBL_Categories,4,FALSE)</f>
        <v>No</v>
      </c>
      <c r="V845" t="str">
        <f>VLOOKUP($W845,TBL_Categories,5,FALSE)</f>
        <v>None</v>
      </c>
      <c r="W845" t="str">
        <f t="shared" si="41"/>
        <v>Food &amp; Dining|Groceries</v>
      </c>
    </row>
    <row r="846" spans="1:23" x14ac:dyDescent="0.25">
      <c r="A846" t="s">
        <v>284</v>
      </c>
      <c r="B846" s="5">
        <v>41856</v>
      </c>
      <c r="C846">
        <v>-500</v>
      </c>
      <c r="D846" t="s">
        <v>304</v>
      </c>
      <c r="E846" t="s">
        <v>338</v>
      </c>
      <c r="F846" t="s">
        <v>339</v>
      </c>
      <c r="G846" t="s">
        <v>340</v>
      </c>
      <c r="K846" t="s">
        <v>66</v>
      </c>
      <c r="L846" t="s">
        <v>1533</v>
      </c>
      <c r="Q846" t="str">
        <f t="shared" si="39"/>
        <v>Aug</v>
      </c>
      <c r="R846">
        <f t="shared" si="40"/>
        <v>2014</v>
      </c>
      <c r="S846" t="str">
        <f>VLOOKUP($W846,TBL_Categories,2,FALSE)</f>
        <v>Monthly</v>
      </c>
      <c r="T846">
        <f>VLOOKUP($W846,TBL_Categories,3,FALSE)</f>
        <v>0</v>
      </c>
      <c r="U846" t="str">
        <f>VLOOKUP($W846,TBL_Categories,4,FALSE)</f>
        <v>No</v>
      </c>
      <c r="V846" t="str">
        <f>VLOOKUP($W846,TBL_Categories,5,FALSE)</f>
        <v>None</v>
      </c>
      <c r="W846" t="str">
        <f t="shared" si="41"/>
        <v>Kids|American Funds 529A</v>
      </c>
    </row>
    <row r="847" spans="1:23" x14ac:dyDescent="0.25">
      <c r="A847" t="s">
        <v>284</v>
      </c>
      <c r="B847" s="5">
        <v>41856</v>
      </c>
      <c r="C847" s="4">
        <v>-3864.19</v>
      </c>
      <c r="D847" t="s">
        <v>304</v>
      </c>
      <c r="E847" t="s">
        <v>344</v>
      </c>
      <c r="F847" t="s">
        <v>349</v>
      </c>
      <c r="G847" t="s">
        <v>320</v>
      </c>
      <c r="K847" t="s">
        <v>63</v>
      </c>
      <c r="L847" t="s">
        <v>1526</v>
      </c>
      <c r="Q847" t="str">
        <f t="shared" si="39"/>
        <v>Aug</v>
      </c>
      <c r="R847">
        <f t="shared" si="40"/>
        <v>2014</v>
      </c>
      <c r="S847" t="str">
        <f>VLOOKUP($W847,TBL_Categories,2,FALSE)</f>
        <v>Monthly</v>
      </c>
      <c r="T847">
        <f>VLOOKUP($W847,TBL_Categories,3,FALSE)</f>
        <v>0</v>
      </c>
      <c r="U847" t="str">
        <f>VLOOKUP($W847,TBL_Categories,4,FALSE)</f>
        <v>No</v>
      </c>
      <c r="V847" t="str">
        <f>VLOOKUP($W847,TBL_Categories,5,FALSE)</f>
        <v>None</v>
      </c>
      <c r="W847" t="str">
        <f t="shared" si="41"/>
        <v>Home|Mortgage</v>
      </c>
    </row>
    <row r="848" spans="1:23" x14ac:dyDescent="0.25">
      <c r="A848" t="s">
        <v>284</v>
      </c>
      <c r="B848" s="5">
        <v>41856</v>
      </c>
      <c r="C848">
        <v>-70</v>
      </c>
      <c r="D848" t="s">
        <v>304</v>
      </c>
      <c r="E848" t="s">
        <v>586</v>
      </c>
      <c r="F848" t="s">
        <v>334</v>
      </c>
      <c r="G848" t="s">
        <v>322</v>
      </c>
      <c r="H848">
        <v>2133</v>
      </c>
      <c r="K848" t="s">
        <v>66</v>
      </c>
      <c r="L848" t="s">
        <v>1527</v>
      </c>
      <c r="Q848" t="str">
        <f t="shared" si="39"/>
        <v>Aug</v>
      </c>
      <c r="R848">
        <f t="shared" si="40"/>
        <v>2014</v>
      </c>
      <c r="S848" t="str">
        <f>VLOOKUP($W848,TBL_Categories,2,FALSE)</f>
        <v>Monthly</v>
      </c>
      <c r="T848">
        <f>VLOOKUP($W848,TBL_Categories,3,FALSE)</f>
        <v>0</v>
      </c>
      <c r="U848" t="str">
        <f>VLOOKUP($W848,TBL_Categories,4,FALSE)</f>
        <v>No</v>
      </c>
      <c r="V848" t="str">
        <f>VLOOKUP($W848,TBL_Categories,5,FALSE)</f>
        <v>None</v>
      </c>
      <c r="W848" t="str">
        <f t="shared" si="41"/>
        <v>Kids|Babysitter</v>
      </c>
    </row>
    <row r="849" spans="1:23" x14ac:dyDescent="0.25">
      <c r="A849" t="s">
        <v>296</v>
      </c>
      <c r="B849" s="5">
        <v>41856</v>
      </c>
      <c r="C849">
        <v>25</v>
      </c>
      <c r="D849" t="s">
        <v>304</v>
      </c>
      <c r="E849" t="s">
        <v>429</v>
      </c>
      <c r="F849" t="s">
        <v>427</v>
      </c>
      <c r="G849" t="s">
        <v>14</v>
      </c>
      <c r="K849" t="s">
        <v>14</v>
      </c>
      <c r="Q849" t="str">
        <f t="shared" si="39"/>
        <v>Aug</v>
      </c>
      <c r="R849">
        <f t="shared" si="40"/>
        <v>2014</v>
      </c>
      <c r="S849" t="str">
        <f>VLOOKUP($W849,TBL_Categories,2,FALSE)</f>
        <v>Monthly</v>
      </c>
      <c r="T849">
        <f>VLOOKUP($W849,TBL_Categories,3,FALSE)</f>
        <v>0</v>
      </c>
      <c r="U849" t="str">
        <f>VLOOKUP($W849,TBL_Categories,4,FALSE)</f>
        <v>No</v>
      </c>
      <c r="V849" t="str">
        <f>VLOOKUP($W849,TBL_Categories,5,FALSE)</f>
        <v>None</v>
      </c>
      <c r="W849" t="str">
        <f t="shared" si="41"/>
        <v>Other Inc</v>
      </c>
    </row>
    <row r="850" spans="1:23" x14ac:dyDescent="0.25">
      <c r="A850" t="s">
        <v>296</v>
      </c>
      <c r="B850" s="5">
        <v>41856</v>
      </c>
      <c r="C850">
        <v>-14.22</v>
      </c>
      <c r="D850" t="s">
        <v>304</v>
      </c>
      <c r="E850" t="s">
        <v>451</v>
      </c>
      <c r="F850" t="s">
        <v>1239</v>
      </c>
      <c r="G850" t="s">
        <v>900</v>
      </c>
      <c r="J850" t="s">
        <v>1550</v>
      </c>
      <c r="K850" t="s">
        <v>72</v>
      </c>
      <c r="L850" t="s">
        <v>1565</v>
      </c>
      <c r="M850" t="s">
        <v>1566</v>
      </c>
      <c r="Q850" t="str">
        <f t="shared" si="39"/>
        <v>Aug</v>
      </c>
      <c r="R850">
        <f t="shared" si="40"/>
        <v>2014</v>
      </c>
      <c r="S850" t="str">
        <f>VLOOKUP($W850,TBL_Categories,2,FALSE)</f>
        <v>Annual</v>
      </c>
      <c r="T850">
        <f>VLOOKUP($W850,TBL_Categories,3,FALSE)</f>
        <v>0</v>
      </c>
      <c r="U850" t="str">
        <f>VLOOKUP($W850,TBL_Categories,4,FALSE)</f>
        <v>No</v>
      </c>
      <c r="V850" t="str">
        <f>VLOOKUP($W850,TBL_Categories,5,FALSE)</f>
        <v>None</v>
      </c>
      <c r="W850" t="str">
        <f t="shared" si="41"/>
        <v>Shopping|Hobbies</v>
      </c>
    </row>
    <row r="851" spans="1:23" x14ac:dyDescent="0.25">
      <c r="A851" t="s">
        <v>296</v>
      </c>
      <c r="B851" s="5">
        <v>41856</v>
      </c>
      <c r="C851">
        <v>-2.25</v>
      </c>
      <c r="D851" t="s">
        <v>304</v>
      </c>
      <c r="E851" t="s">
        <v>994</v>
      </c>
      <c r="G851" t="s">
        <v>432</v>
      </c>
      <c r="K851" t="s">
        <v>52</v>
      </c>
      <c r="L851" t="s">
        <v>1577</v>
      </c>
      <c r="Q851" t="str">
        <f t="shared" si="39"/>
        <v>Aug</v>
      </c>
      <c r="R851">
        <f t="shared" si="40"/>
        <v>2014</v>
      </c>
      <c r="S851" t="str">
        <f>VLOOKUP($W851,TBL_Categories,2,FALSE)</f>
        <v>Monthly</v>
      </c>
      <c r="T851">
        <f>VLOOKUP($W851,TBL_Categories,3,FALSE)</f>
        <v>0</v>
      </c>
      <c r="U851" t="str">
        <f>VLOOKUP($W851,TBL_Categories,4,FALSE)</f>
        <v>No</v>
      </c>
      <c r="V851" t="str">
        <f>VLOOKUP($W851,TBL_Categories,5,FALSE)</f>
        <v>None</v>
      </c>
      <c r="W851" t="str">
        <f t="shared" si="41"/>
        <v>Auto &amp; Transport|Parking</v>
      </c>
    </row>
    <row r="852" spans="1:23" x14ac:dyDescent="0.25">
      <c r="A852" t="s">
        <v>296</v>
      </c>
      <c r="B852" s="5">
        <v>41856</v>
      </c>
      <c r="C852">
        <v>-29.09</v>
      </c>
      <c r="D852" t="s">
        <v>304</v>
      </c>
      <c r="E852" t="s">
        <v>1240</v>
      </c>
      <c r="G852" t="s">
        <v>333</v>
      </c>
      <c r="K852" t="s">
        <v>61</v>
      </c>
      <c r="L852" t="s">
        <v>1530</v>
      </c>
      <c r="Q852" t="str">
        <f t="shared" si="39"/>
        <v>Aug</v>
      </c>
      <c r="R852">
        <f t="shared" si="40"/>
        <v>2014</v>
      </c>
      <c r="S852" t="str">
        <f>VLOOKUP($W852,TBL_Categories,2,FALSE)</f>
        <v>Monthly</v>
      </c>
      <c r="T852">
        <f>VLOOKUP($W852,TBL_Categories,3,FALSE)</f>
        <v>0</v>
      </c>
      <c r="U852" t="str">
        <f>VLOOKUP($W852,TBL_Categories,4,FALSE)</f>
        <v>No</v>
      </c>
      <c r="V852" t="str">
        <f>VLOOKUP($W852,TBL_Categories,5,FALSE)</f>
        <v>None</v>
      </c>
      <c r="W852" t="str">
        <f t="shared" si="41"/>
        <v>Food &amp; Dining|Restaurants</v>
      </c>
    </row>
    <row r="853" spans="1:23" x14ac:dyDescent="0.25">
      <c r="A853" t="s">
        <v>284</v>
      </c>
      <c r="B853" s="5">
        <v>41855</v>
      </c>
      <c r="C853">
        <v>632.09</v>
      </c>
      <c r="D853" t="s">
        <v>304</v>
      </c>
      <c r="E853" t="s">
        <v>813</v>
      </c>
      <c r="F853" t="s">
        <v>394</v>
      </c>
      <c r="G853" t="s">
        <v>814</v>
      </c>
      <c r="J853">
        <v>7231</v>
      </c>
      <c r="K853" t="s">
        <v>90</v>
      </c>
      <c r="L853" t="s">
        <v>1551</v>
      </c>
      <c r="Q853" t="str">
        <f t="shared" si="39"/>
        <v>Aug</v>
      </c>
      <c r="R853">
        <f t="shared" si="40"/>
        <v>2014</v>
      </c>
      <c r="S853" t="str">
        <f>VLOOKUP($W853,TBL_Categories,2,FALSE)</f>
        <v>Unplanned</v>
      </c>
      <c r="T853">
        <f>VLOOKUP($W853,TBL_Categories,3,FALSE)</f>
        <v>0</v>
      </c>
      <c r="U853" t="str">
        <f>VLOOKUP($W853,TBL_Categories,4,FALSE)</f>
        <v>No</v>
      </c>
      <c r="V853" t="str">
        <f>VLOOKUP($W853,TBL_Categories,5,FALSE)</f>
        <v>None</v>
      </c>
      <c r="W853" t="str">
        <f t="shared" si="41"/>
        <v>Projects|Fence</v>
      </c>
    </row>
    <row r="854" spans="1:23" x14ac:dyDescent="0.25">
      <c r="A854" t="s">
        <v>284</v>
      </c>
      <c r="B854" s="5">
        <v>41855</v>
      </c>
      <c r="C854" s="4">
        <v>1000</v>
      </c>
      <c r="D854" t="s">
        <v>304</v>
      </c>
      <c r="E854" t="s">
        <v>815</v>
      </c>
      <c r="F854" t="s">
        <v>816</v>
      </c>
      <c r="G854" t="s">
        <v>14</v>
      </c>
      <c r="K854" t="s">
        <v>14</v>
      </c>
      <c r="Q854" t="str">
        <f t="shared" si="39"/>
        <v>Aug</v>
      </c>
      <c r="R854">
        <f t="shared" si="40"/>
        <v>2014</v>
      </c>
      <c r="S854" t="str">
        <f>VLOOKUP($W854,TBL_Categories,2,FALSE)</f>
        <v>Monthly</v>
      </c>
      <c r="T854">
        <f>VLOOKUP($W854,TBL_Categories,3,FALSE)</f>
        <v>0</v>
      </c>
      <c r="U854" t="str">
        <f>VLOOKUP($W854,TBL_Categories,4,FALSE)</f>
        <v>No</v>
      </c>
      <c r="V854" t="str">
        <f>VLOOKUP($W854,TBL_Categories,5,FALSE)</f>
        <v>None</v>
      </c>
      <c r="W854" t="str">
        <f t="shared" si="41"/>
        <v>Other Inc</v>
      </c>
    </row>
    <row r="855" spans="1:23" x14ac:dyDescent="0.25">
      <c r="A855" t="s">
        <v>284</v>
      </c>
      <c r="B855" s="5">
        <v>41855</v>
      </c>
      <c r="C855" s="4">
        <v>-2033.91</v>
      </c>
      <c r="D855" t="s">
        <v>304</v>
      </c>
      <c r="E855" t="s">
        <v>318</v>
      </c>
      <c r="F855" t="s">
        <v>378</v>
      </c>
      <c r="G855" t="s">
        <v>379</v>
      </c>
      <c r="J855">
        <v>9602</v>
      </c>
      <c r="K855" t="s">
        <v>55</v>
      </c>
      <c r="L855" t="s">
        <v>1525</v>
      </c>
      <c r="Q855" t="str">
        <f t="shared" si="39"/>
        <v>Aug</v>
      </c>
      <c r="R855">
        <f t="shared" si="40"/>
        <v>2014</v>
      </c>
      <c r="S855" t="str">
        <f>VLOOKUP($W855,TBL_Categories,2,FALSE)</f>
        <v>Monthly</v>
      </c>
      <c r="T855">
        <f>VLOOKUP($W855,TBL_Categories,3,FALSE)</f>
        <v>0</v>
      </c>
      <c r="U855" t="str">
        <f>VLOOKUP($W855,TBL_Categories,4,FALSE)</f>
        <v>No</v>
      </c>
      <c r="V855" t="str">
        <f>VLOOKUP($W855,TBL_Categories,5,FALSE)</f>
        <v>None</v>
      </c>
      <c r="W855" t="str">
        <f t="shared" si="41"/>
        <v>Business Expenses (Koolikai)|Mortgage (Business)</v>
      </c>
    </row>
    <row r="856" spans="1:23" x14ac:dyDescent="0.25">
      <c r="A856" t="s">
        <v>284</v>
      </c>
      <c r="B856" s="5">
        <v>41855</v>
      </c>
      <c r="C856" s="4">
        <v>-2837.01</v>
      </c>
      <c r="D856" t="s">
        <v>304</v>
      </c>
      <c r="E856" t="s">
        <v>321</v>
      </c>
      <c r="F856" t="s">
        <v>365</v>
      </c>
      <c r="G856" t="s">
        <v>13</v>
      </c>
      <c r="K856" t="s">
        <v>13</v>
      </c>
      <c r="Q856" t="str">
        <f t="shared" si="39"/>
        <v>Aug</v>
      </c>
      <c r="R856">
        <f t="shared" si="40"/>
        <v>2014</v>
      </c>
      <c r="S856" t="str">
        <f>VLOOKUP($W856,TBL_Categories,2,FALSE)</f>
        <v>Account</v>
      </c>
      <c r="T856">
        <f>VLOOKUP($W856,TBL_Categories,3,FALSE)</f>
        <v>0</v>
      </c>
      <c r="U856" t="str">
        <f>VLOOKUP($W856,TBL_Categories,4,FALSE)</f>
        <v>No</v>
      </c>
      <c r="V856" t="str">
        <f>VLOOKUP($W856,TBL_Categories,5,FALSE)</f>
        <v>None</v>
      </c>
      <c r="W856" t="str">
        <f t="shared" si="41"/>
        <v>[MasterCard (Capital One)]</v>
      </c>
    </row>
    <row r="857" spans="1:23" x14ac:dyDescent="0.25">
      <c r="A857" t="s">
        <v>284</v>
      </c>
      <c r="B857" s="5">
        <v>41855</v>
      </c>
      <c r="C857" s="4">
        <v>-3517.65</v>
      </c>
      <c r="D857" t="s">
        <v>304</v>
      </c>
      <c r="E857" t="s">
        <v>318</v>
      </c>
      <c r="F857" t="s">
        <v>378</v>
      </c>
      <c r="G857" t="s">
        <v>380</v>
      </c>
      <c r="J857">
        <v>7231</v>
      </c>
      <c r="K857" t="s">
        <v>55</v>
      </c>
      <c r="L857" t="s">
        <v>1525</v>
      </c>
      <c r="Q857" t="str">
        <f t="shared" si="39"/>
        <v>Aug</v>
      </c>
      <c r="R857">
        <f t="shared" si="40"/>
        <v>2014</v>
      </c>
      <c r="S857" t="str">
        <f>VLOOKUP($W857,TBL_Categories,2,FALSE)</f>
        <v>Monthly</v>
      </c>
      <c r="T857">
        <f>VLOOKUP($W857,TBL_Categories,3,FALSE)</f>
        <v>0</v>
      </c>
      <c r="U857" t="str">
        <f>VLOOKUP($W857,TBL_Categories,4,FALSE)</f>
        <v>No</v>
      </c>
      <c r="V857" t="str">
        <f>VLOOKUP($W857,TBL_Categories,5,FALSE)</f>
        <v>None</v>
      </c>
      <c r="W857" t="str">
        <f t="shared" si="41"/>
        <v>Business Expenses (Koolikai)|Mortgage (Business)</v>
      </c>
    </row>
    <row r="858" spans="1:23" x14ac:dyDescent="0.25">
      <c r="A858" t="s">
        <v>288</v>
      </c>
      <c r="B858" s="5">
        <v>41855</v>
      </c>
      <c r="C858" s="4">
        <v>2295</v>
      </c>
      <c r="D858" t="s">
        <v>304</v>
      </c>
      <c r="E858" t="s">
        <v>383</v>
      </c>
      <c r="F858" t="s">
        <v>394</v>
      </c>
      <c r="G858" t="s">
        <v>877</v>
      </c>
      <c r="J858" t="s">
        <v>1561</v>
      </c>
      <c r="K858" t="s">
        <v>33</v>
      </c>
      <c r="L858" t="s">
        <v>1519</v>
      </c>
      <c r="Q858" t="str">
        <f t="shared" si="39"/>
        <v>Aug</v>
      </c>
      <c r="R858">
        <f t="shared" si="40"/>
        <v>2014</v>
      </c>
      <c r="S858" t="str">
        <f>VLOOKUP($W858,TBL_Categories,2,FALSE)</f>
        <v>Monthly</v>
      </c>
      <c r="T858">
        <f>VLOOKUP($W858,TBL_Categories,3,FALSE)</f>
        <v>0</v>
      </c>
      <c r="U858" t="str">
        <f>VLOOKUP($W858,TBL_Categories,4,FALSE)</f>
        <v>No</v>
      </c>
      <c r="V858" t="str">
        <f>VLOOKUP($W858,TBL_Categories,5,FALSE)</f>
        <v>None</v>
      </c>
      <c r="W858" t="str">
        <f t="shared" si="41"/>
        <v>Business Income (Koolikai)|Rent</v>
      </c>
    </row>
    <row r="859" spans="1:23" x14ac:dyDescent="0.25">
      <c r="A859" t="s">
        <v>296</v>
      </c>
      <c r="B859" s="5">
        <v>41855</v>
      </c>
      <c r="C859">
        <v>-23.9</v>
      </c>
      <c r="D859" t="s">
        <v>304</v>
      </c>
      <c r="E859" t="s">
        <v>451</v>
      </c>
      <c r="F859" t="s">
        <v>1237</v>
      </c>
      <c r="G859" t="s">
        <v>900</v>
      </c>
      <c r="J859" t="s">
        <v>1550</v>
      </c>
      <c r="K859" t="s">
        <v>72</v>
      </c>
      <c r="L859" t="s">
        <v>1565</v>
      </c>
      <c r="M859" t="s">
        <v>1566</v>
      </c>
      <c r="Q859" t="str">
        <f t="shared" si="39"/>
        <v>Aug</v>
      </c>
      <c r="R859">
        <f t="shared" si="40"/>
        <v>2014</v>
      </c>
      <c r="S859" t="str">
        <f>VLOOKUP($W859,TBL_Categories,2,FALSE)</f>
        <v>Annual</v>
      </c>
      <c r="T859">
        <f>VLOOKUP($W859,TBL_Categories,3,FALSE)</f>
        <v>0</v>
      </c>
      <c r="U859" t="str">
        <f>VLOOKUP($W859,TBL_Categories,4,FALSE)</f>
        <v>No</v>
      </c>
      <c r="V859" t="str">
        <f>VLOOKUP($W859,TBL_Categories,5,FALSE)</f>
        <v>None</v>
      </c>
      <c r="W859" t="str">
        <f t="shared" si="41"/>
        <v>Shopping|Hobbies</v>
      </c>
    </row>
    <row r="860" spans="1:23" x14ac:dyDescent="0.25">
      <c r="A860" t="s">
        <v>296</v>
      </c>
      <c r="B860" s="5">
        <v>41855</v>
      </c>
      <c r="C860">
        <v>-32.85</v>
      </c>
      <c r="D860" t="s">
        <v>304</v>
      </c>
      <c r="E860" t="s">
        <v>707</v>
      </c>
      <c r="F860" t="s">
        <v>1238</v>
      </c>
      <c r="G860" t="s">
        <v>1031</v>
      </c>
      <c r="K860" t="s">
        <v>72</v>
      </c>
      <c r="L860" t="s">
        <v>1565</v>
      </c>
      <c r="Q860" t="str">
        <f t="shared" si="39"/>
        <v>Aug</v>
      </c>
      <c r="R860">
        <f t="shared" si="40"/>
        <v>2014</v>
      </c>
      <c r="S860" t="str">
        <f>VLOOKUP($W860,TBL_Categories,2,FALSE)</f>
        <v>Annual</v>
      </c>
      <c r="T860">
        <f>VLOOKUP($W860,TBL_Categories,3,FALSE)</f>
        <v>0</v>
      </c>
      <c r="U860" t="str">
        <f>VLOOKUP($W860,TBL_Categories,4,FALSE)</f>
        <v>No</v>
      </c>
      <c r="V860" t="str">
        <f>VLOOKUP($W860,TBL_Categories,5,FALSE)</f>
        <v>None</v>
      </c>
      <c r="W860" t="str">
        <f t="shared" si="41"/>
        <v>Shopping|Hobbies</v>
      </c>
    </row>
    <row r="861" spans="1:23" x14ac:dyDescent="0.25">
      <c r="A861" t="s">
        <v>633</v>
      </c>
      <c r="B861" s="5">
        <v>41854</v>
      </c>
      <c r="C861">
        <v>-249.21</v>
      </c>
      <c r="D861" t="s">
        <v>304</v>
      </c>
      <c r="E861" t="s">
        <v>451</v>
      </c>
      <c r="F861" t="s">
        <v>975</v>
      </c>
      <c r="G861" t="s">
        <v>963</v>
      </c>
      <c r="K861" t="s">
        <v>63</v>
      </c>
      <c r="L861" t="s">
        <v>1574</v>
      </c>
      <c r="Q861" t="str">
        <f t="shared" si="39"/>
        <v>Aug</v>
      </c>
      <c r="R861">
        <f t="shared" si="40"/>
        <v>2014</v>
      </c>
      <c r="S861" t="str">
        <f>VLOOKUP($W861,TBL_Categories,2,FALSE)</f>
        <v>Irregular</v>
      </c>
      <c r="T861">
        <f>VLOOKUP($W861,TBL_Categories,3,FALSE)</f>
        <v>0</v>
      </c>
      <c r="U861" t="str">
        <f>VLOOKUP($W861,TBL_Categories,4,FALSE)</f>
        <v>No</v>
      </c>
      <c r="V861" t="str">
        <f>VLOOKUP($W861,TBL_Categories,5,FALSE)</f>
        <v>None</v>
      </c>
      <c r="W861" t="str">
        <f t="shared" si="41"/>
        <v>Home|Home Improvement</v>
      </c>
    </row>
    <row r="862" spans="1:23" x14ac:dyDescent="0.25">
      <c r="A862" t="s">
        <v>296</v>
      </c>
      <c r="B862" s="5">
        <v>41854</v>
      </c>
      <c r="C862">
        <v>-8.75</v>
      </c>
      <c r="D862" t="s">
        <v>304</v>
      </c>
      <c r="E862" t="s">
        <v>667</v>
      </c>
      <c r="F862" t="s">
        <v>1108</v>
      </c>
      <c r="G862" t="s">
        <v>416</v>
      </c>
      <c r="K862" t="s">
        <v>17</v>
      </c>
      <c r="L862" t="s">
        <v>1576</v>
      </c>
      <c r="Q862" t="str">
        <f t="shared" si="39"/>
        <v>Aug</v>
      </c>
      <c r="R862">
        <f t="shared" si="40"/>
        <v>2014</v>
      </c>
      <c r="S862" t="str">
        <f>VLOOKUP($W862,TBL_Categories,2,FALSE)</f>
        <v>Unplanned</v>
      </c>
      <c r="T862">
        <f>VLOOKUP($W862,TBL_Categories,3,FALSE)</f>
        <v>0</v>
      </c>
      <c r="U862" t="str">
        <f>VLOOKUP($W862,TBL_Categories,4,FALSE)</f>
        <v>No</v>
      </c>
      <c r="V862" t="str">
        <f>VLOOKUP($W862,TBL_Categories,5,FALSE)</f>
        <v>None</v>
      </c>
      <c r="W862" t="str">
        <f t="shared" si="41"/>
        <v>Entertainment|Movies &amp; DVDs</v>
      </c>
    </row>
    <row r="863" spans="1:23" x14ac:dyDescent="0.25">
      <c r="A863" t="s">
        <v>296</v>
      </c>
      <c r="B863" s="5">
        <v>41854</v>
      </c>
      <c r="C863">
        <v>-12.97</v>
      </c>
      <c r="D863" t="s">
        <v>304</v>
      </c>
      <c r="E863" t="s">
        <v>679</v>
      </c>
      <c r="F863" t="s">
        <v>941</v>
      </c>
      <c r="G863" t="s">
        <v>333</v>
      </c>
      <c r="K863" t="s">
        <v>61</v>
      </c>
      <c r="L863" t="s">
        <v>1530</v>
      </c>
      <c r="Q863" t="str">
        <f t="shared" si="39"/>
        <v>Aug</v>
      </c>
      <c r="R863">
        <f t="shared" si="40"/>
        <v>2014</v>
      </c>
      <c r="S863" t="str">
        <f>VLOOKUP($W863,TBL_Categories,2,FALSE)</f>
        <v>Monthly</v>
      </c>
      <c r="T863">
        <f>VLOOKUP($W863,TBL_Categories,3,FALSE)</f>
        <v>0</v>
      </c>
      <c r="U863" t="str">
        <f>VLOOKUP($W863,TBL_Categories,4,FALSE)</f>
        <v>No</v>
      </c>
      <c r="V863" t="str">
        <f>VLOOKUP($W863,TBL_Categories,5,FALSE)</f>
        <v>None</v>
      </c>
      <c r="W863" t="str">
        <f t="shared" si="41"/>
        <v>Food &amp; Dining|Restaurants</v>
      </c>
    </row>
    <row r="864" spans="1:23" x14ac:dyDescent="0.25">
      <c r="A864" t="s">
        <v>296</v>
      </c>
      <c r="B864" s="5">
        <v>41854</v>
      </c>
      <c r="C864">
        <v>-37.04</v>
      </c>
      <c r="D864" t="s">
        <v>304</v>
      </c>
      <c r="E864" t="s">
        <v>434</v>
      </c>
      <c r="F864" t="s">
        <v>476</v>
      </c>
      <c r="G864" t="s">
        <v>887</v>
      </c>
      <c r="J864" t="s">
        <v>1550</v>
      </c>
      <c r="K864" t="s">
        <v>61</v>
      </c>
      <c r="L864" t="s">
        <v>401</v>
      </c>
      <c r="Q864" t="str">
        <f t="shared" si="39"/>
        <v>Aug</v>
      </c>
      <c r="R864">
        <f t="shared" si="40"/>
        <v>2014</v>
      </c>
      <c r="S864" t="str">
        <f>VLOOKUP($W864,TBL_Categories,2,FALSE)</f>
        <v>Monthly</v>
      </c>
      <c r="T864">
        <f>VLOOKUP($W864,TBL_Categories,3,FALSE)</f>
        <v>0</v>
      </c>
      <c r="U864" t="str">
        <f>VLOOKUP($W864,TBL_Categories,4,FALSE)</f>
        <v>No</v>
      </c>
      <c r="V864" t="str">
        <f>VLOOKUP($W864,TBL_Categories,5,FALSE)</f>
        <v>None</v>
      </c>
      <c r="W864" t="str">
        <f t="shared" si="41"/>
        <v>Food &amp; Dining|Groceries</v>
      </c>
    </row>
    <row r="865" spans="1:23" x14ac:dyDescent="0.25">
      <c r="A865" t="s">
        <v>296</v>
      </c>
      <c r="B865" s="5">
        <v>41854</v>
      </c>
      <c r="C865">
        <v>-78.959999999999994</v>
      </c>
      <c r="D865" t="s">
        <v>304</v>
      </c>
      <c r="E865" t="s">
        <v>433</v>
      </c>
      <c r="G865" t="s">
        <v>887</v>
      </c>
      <c r="J865" t="s">
        <v>1550</v>
      </c>
      <c r="K865" t="s">
        <v>61</v>
      </c>
      <c r="L865" t="s">
        <v>401</v>
      </c>
      <c r="Q865" t="str">
        <f t="shared" si="39"/>
        <v>Aug</v>
      </c>
      <c r="R865">
        <f t="shared" si="40"/>
        <v>2014</v>
      </c>
      <c r="S865" t="str">
        <f>VLOOKUP($W865,TBL_Categories,2,FALSE)</f>
        <v>Monthly</v>
      </c>
      <c r="T865">
        <f>VLOOKUP($W865,TBL_Categories,3,FALSE)</f>
        <v>0</v>
      </c>
      <c r="U865" t="str">
        <f>VLOOKUP($W865,TBL_Categories,4,FALSE)</f>
        <v>No</v>
      </c>
      <c r="V865" t="str">
        <f>VLOOKUP($W865,TBL_Categories,5,FALSE)</f>
        <v>None</v>
      </c>
      <c r="W865" t="str">
        <f t="shared" si="41"/>
        <v>Food &amp; Dining|Groceries</v>
      </c>
    </row>
    <row r="866" spans="1:23" x14ac:dyDescent="0.25">
      <c r="A866" t="s">
        <v>296</v>
      </c>
      <c r="B866" s="5">
        <v>41853</v>
      </c>
      <c r="C866">
        <v>-0.6</v>
      </c>
      <c r="D866" t="s">
        <v>304</v>
      </c>
      <c r="E866" t="s">
        <v>453</v>
      </c>
      <c r="F866" t="s">
        <v>474</v>
      </c>
      <c r="G866" t="s">
        <v>432</v>
      </c>
      <c r="K866" t="s">
        <v>52</v>
      </c>
      <c r="L866" t="s">
        <v>1577</v>
      </c>
      <c r="Q866" t="str">
        <f t="shared" si="39"/>
        <v>Aug</v>
      </c>
      <c r="R866">
        <f t="shared" si="40"/>
        <v>2014</v>
      </c>
      <c r="S866" t="str">
        <f>VLOOKUP($W866,TBL_Categories,2,FALSE)</f>
        <v>Monthly</v>
      </c>
      <c r="T866">
        <f>VLOOKUP($W866,TBL_Categories,3,FALSE)</f>
        <v>0</v>
      </c>
      <c r="U866" t="str">
        <f>VLOOKUP($W866,TBL_Categories,4,FALSE)</f>
        <v>No</v>
      </c>
      <c r="V866" t="str">
        <f>VLOOKUP($W866,TBL_Categories,5,FALSE)</f>
        <v>None</v>
      </c>
      <c r="W866" t="str">
        <f t="shared" si="41"/>
        <v>Auto &amp; Transport|Parking</v>
      </c>
    </row>
    <row r="867" spans="1:23" x14ac:dyDescent="0.25">
      <c r="A867" t="s">
        <v>296</v>
      </c>
      <c r="B867" s="5">
        <v>41853</v>
      </c>
      <c r="C867">
        <v>-8.15</v>
      </c>
      <c r="D867" t="s">
        <v>304</v>
      </c>
      <c r="E867" t="s">
        <v>1230</v>
      </c>
      <c r="F867" t="s">
        <v>1231</v>
      </c>
      <c r="G867" t="s">
        <v>333</v>
      </c>
      <c r="K867" t="s">
        <v>61</v>
      </c>
      <c r="L867" t="s">
        <v>1530</v>
      </c>
      <c r="Q867" t="str">
        <f t="shared" si="39"/>
        <v>Aug</v>
      </c>
      <c r="R867">
        <f t="shared" si="40"/>
        <v>2014</v>
      </c>
      <c r="S867" t="str">
        <f>VLOOKUP($W867,TBL_Categories,2,FALSE)</f>
        <v>Monthly</v>
      </c>
      <c r="T867">
        <f>VLOOKUP($W867,TBL_Categories,3,FALSE)</f>
        <v>0</v>
      </c>
      <c r="U867" t="str">
        <f>VLOOKUP($W867,TBL_Categories,4,FALSE)</f>
        <v>No</v>
      </c>
      <c r="V867" t="str">
        <f>VLOOKUP($W867,TBL_Categories,5,FALSE)</f>
        <v>None</v>
      </c>
      <c r="W867" t="str">
        <f t="shared" si="41"/>
        <v>Food &amp; Dining|Restaurants</v>
      </c>
    </row>
    <row r="868" spans="1:23" x14ac:dyDescent="0.25">
      <c r="A868" t="s">
        <v>296</v>
      </c>
      <c r="B868" s="5">
        <v>41853</v>
      </c>
      <c r="C868">
        <v>-16</v>
      </c>
      <c r="D868" t="s">
        <v>304</v>
      </c>
      <c r="E868" t="s">
        <v>1232</v>
      </c>
      <c r="F868" t="s">
        <v>1233</v>
      </c>
      <c r="G868" t="s">
        <v>449</v>
      </c>
      <c r="K868" t="s">
        <v>66</v>
      </c>
      <c r="L868" t="s">
        <v>1555</v>
      </c>
      <c r="Q868" t="str">
        <f t="shared" si="39"/>
        <v>Aug</v>
      </c>
      <c r="R868">
        <f t="shared" si="40"/>
        <v>2014</v>
      </c>
      <c r="S868" t="str">
        <f>VLOOKUP($W868,TBL_Categories,2,FALSE)</f>
        <v>Monthly</v>
      </c>
      <c r="T868">
        <f>VLOOKUP($W868,TBL_Categories,3,FALSE)</f>
        <v>0</v>
      </c>
      <c r="U868" t="str">
        <f>VLOOKUP($W868,TBL_Categories,4,FALSE)</f>
        <v>No</v>
      </c>
      <c r="V868" t="str">
        <f>VLOOKUP($W868,TBL_Categories,5,FALSE)</f>
        <v>None</v>
      </c>
      <c r="W868" t="str">
        <f t="shared" si="41"/>
        <v>Kids|Kids Activities</v>
      </c>
    </row>
    <row r="869" spans="1:23" x14ac:dyDescent="0.25">
      <c r="A869" t="s">
        <v>296</v>
      </c>
      <c r="B869" s="5">
        <v>41853</v>
      </c>
      <c r="C869">
        <v>-20</v>
      </c>
      <c r="D869" t="s">
        <v>304</v>
      </c>
      <c r="E869" t="s">
        <v>428</v>
      </c>
      <c r="F869" t="s">
        <v>472</v>
      </c>
      <c r="G869" t="s">
        <v>342</v>
      </c>
      <c r="K869" t="s">
        <v>61</v>
      </c>
      <c r="L869" t="s">
        <v>401</v>
      </c>
      <c r="Q869" t="str">
        <f t="shared" si="39"/>
        <v>Aug</v>
      </c>
      <c r="R869">
        <f t="shared" si="40"/>
        <v>2014</v>
      </c>
      <c r="S869" t="str">
        <f>VLOOKUP($W869,TBL_Categories,2,FALSE)</f>
        <v>Monthly</v>
      </c>
      <c r="T869">
        <f>VLOOKUP($W869,TBL_Categories,3,FALSE)</f>
        <v>0</v>
      </c>
      <c r="U869" t="str">
        <f>VLOOKUP($W869,TBL_Categories,4,FALSE)</f>
        <v>No</v>
      </c>
      <c r="V869" t="str">
        <f>VLOOKUP($W869,TBL_Categories,5,FALSE)</f>
        <v>None</v>
      </c>
      <c r="W869" t="str">
        <f t="shared" si="41"/>
        <v>Food &amp; Dining|Groceries</v>
      </c>
    </row>
    <row r="870" spans="1:23" x14ac:dyDescent="0.25">
      <c r="A870" t="s">
        <v>296</v>
      </c>
      <c r="B870" s="5">
        <v>41853</v>
      </c>
      <c r="C870">
        <v>-20.98</v>
      </c>
      <c r="D870" t="s">
        <v>304</v>
      </c>
      <c r="E870" t="s">
        <v>443</v>
      </c>
      <c r="F870" t="s">
        <v>1234</v>
      </c>
      <c r="G870" t="s">
        <v>444</v>
      </c>
      <c r="I870" t="s">
        <v>272</v>
      </c>
      <c r="K870" t="s">
        <v>54</v>
      </c>
      <c r="L870" t="s">
        <v>1581</v>
      </c>
      <c r="Q870" t="str">
        <f t="shared" si="39"/>
        <v>Aug</v>
      </c>
      <c r="R870">
        <f t="shared" si="40"/>
        <v>2014</v>
      </c>
      <c r="S870" t="str">
        <f>VLOOKUP($W870,TBL_Categories,2,FALSE)</f>
        <v>Monthly</v>
      </c>
      <c r="T870">
        <f>VLOOKUP($W870,TBL_Categories,3,FALSE)</f>
        <v>0</v>
      </c>
      <c r="U870" t="str">
        <f>VLOOKUP($W870,TBL_Categories,4,FALSE)</f>
        <v>No</v>
      </c>
      <c r="V870" t="str">
        <f>VLOOKUP($W870,TBL_Categories,5,FALSE)</f>
        <v>None</v>
      </c>
      <c r="W870" t="str">
        <f t="shared" si="41"/>
        <v>Bills &amp; Utilities|Television</v>
      </c>
    </row>
    <row r="871" spans="1:23" x14ac:dyDescent="0.25">
      <c r="A871" t="s">
        <v>296</v>
      </c>
      <c r="B871" s="5">
        <v>41853</v>
      </c>
      <c r="C871">
        <v>-66.53</v>
      </c>
      <c r="D871" t="s">
        <v>304</v>
      </c>
      <c r="E871" t="s">
        <v>443</v>
      </c>
      <c r="G871" t="s">
        <v>445</v>
      </c>
      <c r="I871" t="s">
        <v>272</v>
      </c>
      <c r="K871" t="s">
        <v>55</v>
      </c>
      <c r="L871" t="s">
        <v>1582</v>
      </c>
      <c r="Q871" t="str">
        <f t="shared" si="39"/>
        <v>Aug</v>
      </c>
      <c r="R871">
        <f t="shared" si="40"/>
        <v>2014</v>
      </c>
      <c r="S871" t="str">
        <f>VLOOKUP($W871,TBL_Categories,2,FALSE)</f>
        <v>Monthly</v>
      </c>
      <c r="T871">
        <f>VLOOKUP($W871,TBL_Categories,3,FALSE)</f>
        <v>0</v>
      </c>
      <c r="U871" t="str">
        <f>VLOOKUP($W871,TBL_Categories,4,FALSE)</f>
        <v>No</v>
      </c>
      <c r="V871" t="str">
        <f>VLOOKUP($W871,TBL_Categories,5,FALSE)</f>
        <v>None</v>
      </c>
      <c r="W871" t="str">
        <f t="shared" si="41"/>
        <v>Business Expenses (Koolikai)|Internet</v>
      </c>
    </row>
    <row r="872" spans="1:23" x14ac:dyDescent="0.25">
      <c r="A872" t="s">
        <v>296</v>
      </c>
      <c r="B872" s="5">
        <v>41853</v>
      </c>
      <c r="C872">
        <v>-44.54</v>
      </c>
      <c r="D872" t="s">
        <v>304</v>
      </c>
      <c r="E872" t="s">
        <v>443</v>
      </c>
      <c r="G872" t="s">
        <v>446</v>
      </c>
      <c r="I872" t="s">
        <v>272</v>
      </c>
      <c r="K872" t="s">
        <v>54</v>
      </c>
      <c r="L872" t="s">
        <v>1583</v>
      </c>
      <c r="Q872" t="str">
        <f t="shared" si="39"/>
        <v>Aug</v>
      </c>
      <c r="R872">
        <f t="shared" si="40"/>
        <v>2014</v>
      </c>
      <c r="S872" t="str">
        <f>VLOOKUP($W872,TBL_Categories,2,FALSE)</f>
        <v>Monthly</v>
      </c>
      <c r="T872">
        <f>VLOOKUP($W872,TBL_Categories,3,FALSE)</f>
        <v>0</v>
      </c>
      <c r="U872" t="str">
        <f>VLOOKUP($W872,TBL_Categories,4,FALSE)</f>
        <v>No</v>
      </c>
      <c r="V872" t="str">
        <f>VLOOKUP($W872,TBL_Categories,5,FALSE)</f>
        <v>None</v>
      </c>
      <c r="W872" t="str">
        <f t="shared" si="41"/>
        <v>Bills &amp; Utilities|Home Phone</v>
      </c>
    </row>
    <row r="873" spans="1:23" x14ac:dyDescent="0.25">
      <c r="A873" t="s">
        <v>296</v>
      </c>
      <c r="B873" s="5">
        <v>41853</v>
      </c>
      <c r="C873">
        <v>-149.38</v>
      </c>
      <c r="D873" t="s">
        <v>304</v>
      </c>
      <c r="E873" t="s">
        <v>1235</v>
      </c>
      <c r="F873" t="s">
        <v>1236</v>
      </c>
      <c r="G873" t="s">
        <v>333</v>
      </c>
      <c r="K873" t="s">
        <v>61</v>
      </c>
      <c r="L873" t="s">
        <v>1530</v>
      </c>
      <c r="Q873" t="str">
        <f t="shared" si="39"/>
        <v>Aug</v>
      </c>
      <c r="R873">
        <f t="shared" si="40"/>
        <v>2014</v>
      </c>
      <c r="S873" t="str">
        <f>VLOOKUP($W873,TBL_Categories,2,FALSE)</f>
        <v>Monthly</v>
      </c>
      <c r="T873">
        <f>VLOOKUP($W873,TBL_Categories,3,FALSE)</f>
        <v>0</v>
      </c>
      <c r="U873" t="str">
        <f>VLOOKUP($W873,TBL_Categories,4,FALSE)</f>
        <v>No</v>
      </c>
      <c r="V873" t="str">
        <f>VLOOKUP($W873,TBL_Categories,5,FALSE)</f>
        <v>None</v>
      </c>
      <c r="W873" t="str">
        <f t="shared" si="41"/>
        <v>Food &amp; Dining|Restaurants</v>
      </c>
    </row>
    <row r="874" spans="1:23" x14ac:dyDescent="0.25">
      <c r="A874" t="s">
        <v>284</v>
      </c>
      <c r="B874" s="5">
        <v>41852</v>
      </c>
      <c r="C874" s="4">
        <v>-1976</v>
      </c>
      <c r="D874" t="s">
        <v>304</v>
      </c>
      <c r="E874" t="s">
        <v>812</v>
      </c>
      <c r="F874" t="s">
        <v>315</v>
      </c>
      <c r="G874" t="s">
        <v>316</v>
      </c>
      <c r="K874" t="s">
        <v>66</v>
      </c>
      <c r="L874" t="s">
        <v>1522</v>
      </c>
      <c r="Q874" t="str">
        <f t="shared" si="39"/>
        <v>Aug</v>
      </c>
      <c r="R874">
        <f t="shared" si="40"/>
        <v>2014</v>
      </c>
      <c r="S874" t="str">
        <f>VLOOKUP($W874,TBL_Categories,2,FALSE)</f>
        <v>Monthly</v>
      </c>
      <c r="T874">
        <f>VLOOKUP($W874,TBL_Categories,3,FALSE)</f>
        <v>0</v>
      </c>
      <c r="U874" t="str">
        <f>VLOOKUP($W874,TBL_Categories,4,FALSE)</f>
        <v>No</v>
      </c>
      <c r="V874" t="str">
        <f>VLOOKUP($W874,TBL_Categories,5,FALSE)</f>
        <v>None</v>
      </c>
      <c r="W874" t="str">
        <f t="shared" si="41"/>
        <v>Kids|Daycare</v>
      </c>
    </row>
    <row r="875" spans="1:23" x14ac:dyDescent="0.25">
      <c r="A875" t="s">
        <v>296</v>
      </c>
      <c r="B875" s="5">
        <v>41852</v>
      </c>
      <c r="C875" s="4">
        <v>2837.01</v>
      </c>
      <c r="D875" t="s">
        <v>304</v>
      </c>
      <c r="E875" t="s">
        <v>321</v>
      </c>
      <c r="F875" t="s">
        <v>1229</v>
      </c>
      <c r="G875" t="s">
        <v>9</v>
      </c>
      <c r="K875" t="s">
        <v>9</v>
      </c>
      <c r="Q875" t="str">
        <f t="shared" si="39"/>
        <v>Aug</v>
      </c>
      <c r="R875">
        <f t="shared" si="40"/>
        <v>2014</v>
      </c>
      <c r="S875" t="str">
        <f>VLOOKUP($W875,TBL_Categories,2,FALSE)</f>
        <v>Account</v>
      </c>
      <c r="T875">
        <f>VLOOKUP($W875,TBL_Categories,3,FALSE)</f>
        <v>0</v>
      </c>
      <c r="U875" t="str">
        <f>VLOOKUP($W875,TBL_Categories,4,FALSE)</f>
        <v>No</v>
      </c>
      <c r="V875" t="str">
        <f>VLOOKUP($W875,TBL_Categories,5,FALSE)</f>
        <v>None</v>
      </c>
      <c r="W875" t="str">
        <f t="shared" si="41"/>
        <v>[First Tech - Checking (5544)]</v>
      </c>
    </row>
    <row r="876" spans="1:23" x14ac:dyDescent="0.25">
      <c r="A876" t="s">
        <v>280</v>
      </c>
      <c r="B876" s="5">
        <v>41851</v>
      </c>
      <c r="C876">
        <v>20.04</v>
      </c>
      <c r="D876" t="s">
        <v>304</v>
      </c>
      <c r="E876" t="s">
        <v>309</v>
      </c>
      <c r="G876" t="s">
        <v>8</v>
      </c>
      <c r="H876" t="s">
        <v>310</v>
      </c>
      <c r="K876" t="s">
        <v>8</v>
      </c>
      <c r="Q876" t="str">
        <f t="shared" si="39"/>
        <v>Jul</v>
      </c>
      <c r="R876">
        <f t="shared" si="40"/>
        <v>2014</v>
      </c>
      <c r="S876" t="str">
        <f>VLOOKUP($W876,TBL_Categories,2,FALSE)</f>
        <v>Monthly</v>
      </c>
      <c r="T876">
        <f>VLOOKUP($W876,TBL_Categories,3,FALSE)</f>
        <v>0</v>
      </c>
      <c r="U876" t="str">
        <f>VLOOKUP($W876,TBL_Categories,4,FALSE)</f>
        <v>No</v>
      </c>
      <c r="V876" t="str">
        <f>VLOOKUP($W876,TBL_Categories,5,FALSE)</f>
        <v>None</v>
      </c>
      <c r="W876" t="str">
        <f t="shared" si="41"/>
        <v>Interest Income</v>
      </c>
    </row>
    <row r="877" spans="1:23" x14ac:dyDescent="0.25">
      <c r="A877" t="s">
        <v>281</v>
      </c>
      <c r="B877" s="5">
        <v>41851</v>
      </c>
      <c r="C877">
        <v>50.3</v>
      </c>
      <c r="D877" t="s">
        <v>304</v>
      </c>
      <c r="E877" t="s">
        <v>309</v>
      </c>
      <c r="G877" t="s">
        <v>8</v>
      </c>
      <c r="H877" t="s">
        <v>310</v>
      </c>
      <c r="K877" t="s">
        <v>8</v>
      </c>
      <c r="Q877" t="str">
        <f t="shared" si="39"/>
        <v>Jul</v>
      </c>
      <c r="R877">
        <f t="shared" si="40"/>
        <v>2014</v>
      </c>
      <c r="S877" t="str">
        <f>VLOOKUP($W877,TBL_Categories,2,FALSE)</f>
        <v>Monthly</v>
      </c>
      <c r="T877">
        <f>VLOOKUP($W877,TBL_Categories,3,FALSE)</f>
        <v>0</v>
      </c>
      <c r="U877" t="str">
        <f>VLOOKUP($W877,TBL_Categories,4,FALSE)</f>
        <v>No</v>
      </c>
      <c r="V877" t="str">
        <f>VLOOKUP($W877,TBL_Categories,5,FALSE)</f>
        <v>None</v>
      </c>
      <c r="W877" t="str">
        <f t="shared" si="41"/>
        <v>Interest Income</v>
      </c>
    </row>
    <row r="878" spans="1:23" x14ac:dyDescent="0.25">
      <c r="A878" t="s">
        <v>282</v>
      </c>
      <c r="B878" s="5">
        <v>41851</v>
      </c>
      <c r="C878">
        <v>0.02</v>
      </c>
      <c r="D878" t="s">
        <v>304</v>
      </c>
      <c r="E878" t="s">
        <v>309</v>
      </c>
      <c r="G878" t="s">
        <v>8</v>
      </c>
      <c r="H878" t="s">
        <v>310</v>
      </c>
      <c r="K878" t="s">
        <v>8</v>
      </c>
      <c r="Q878" t="str">
        <f t="shared" si="39"/>
        <v>Jul</v>
      </c>
      <c r="R878">
        <f t="shared" si="40"/>
        <v>2014</v>
      </c>
      <c r="S878" t="str">
        <f>VLOOKUP($W878,TBL_Categories,2,FALSE)</f>
        <v>Monthly</v>
      </c>
      <c r="T878">
        <f>VLOOKUP($W878,TBL_Categories,3,FALSE)</f>
        <v>0</v>
      </c>
      <c r="U878" t="str">
        <f>VLOOKUP($W878,TBL_Categories,4,FALSE)</f>
        <v>No</v>
      </c>
      <c r="V878" t="str">
        <f>VLOOKUP($W878,TBL_Categories,5,FALSE)</f>
        <v>None</v>
      </c>
      <c r="W878" t="str">
        <f t="shared" si="41"/>
        <v>Interest Income</v>
      </c>
    </row>
    <row r="879" spans="1:23" x14ac:dyDescent="0.25">
      <c r="A879" t="s">
        <v>283</v>
      </c>
      <c r="B879" s="5">
        <v>41851</v>
      </c>
      <c r="C879">
        <v>2.13</v>
      </c>
      <c r="D879" t="s">
        <v>304</v>
      </c>
      <c r="E879" t="s">
        <v>309</v>
      </c>
      <c r="G879" t="s">
        <v>8</v>
      </c>
      <c r="H879" t="s">
        <v>310</v>
      </c>
      <c r="K879" t="s">
        <v>8</v>
      </c>
      <c r="Q879" t="str">
        <f t="shared" si="39"/>
        <v>Jul</v>
      </c>
      <c r="R879">
        <f t="shared" si="40"/>
        <v>2014</v>
      </c>
      <c r="S879" t="str">
        <f>VLOOKUP($W879,TBL_Categories,2,FALSE)</f>
        <v>Monthly</v>
      </c>
      <c r="T879">
        <f>VLOOKUP($W879,TBL_Categories,3,FALSE)</f>
        <v>0</v>
      </c>
      <c r="U879" t="str">
        <f>VLOOKUP($W879,TBL_Categories,4,FALSE)</f>
        <v>No</v>
      </c>
      <c r="V879" t="str">
        <f>VLOOKUP($W879,TBL_Categories,5,FALSE)</f>
        <v>None</v>
      </c>
      <c r="W879" t="str">
        <f t="shared" si="41"/>
        <v>Interest Income</v>
      </c>
    </row>
    <row r="880" spans="1:23" x14ac:dyDescent="0.25">
      <c r="A880" t="s">
        <v>288</v>
      </c>
      <c r="B880" s="5">
        <v>41851</v>
      </c>
      <c r="C880" s="4">
        <v>2195</v>
      </c>
      <c r="D880" t="s">
        <v>304</v>
      </c>
      <c r="E880" t="s">
        <v>875</v>
      </c>
      <c r="F880" t="s">
        <v>394</v>
      </c>
      <c r="G880" t="s">
        <v>876</v>
      </c>
      <c r="J880" t="s">
        <v>1560</v>
      </c>
      <c r="K880" t="s">
        <v>33</v>
      </c>
      <c r="L880" t="s">
        <v>1519</v>
      </c>
      <c r="Q880" t="str">
        <f t="shared" si="39"/>
        <v>Jul</v>
      </c>
      <c r="R880">
        <f t="shared" si="40"/>
        <v>2014</v>
      </c>
      <c r="S880" t="str">
        <f>VLOOKUP($W880,TBL_Categories,2,FALSE)</f>
        <v>Monthly</v>
      </c>
      <c r="T880">
        <f>VLOOKUP($W880,TBL_Categories,3,FALSE)</f>
        <v>0</v>
      </c>
      <c r="U880" t="str">
        <f>VLOOKUP($W880,TBL_Categories,4,FALSE)</f>
        <v>No</v>
      </c>
      <c r="V880" t="str">
        <f>VLOOKUP($W880,TBL_Categories,5,FALSE)</f>
        <v>None</v>
      </c>
      <c r="W880" t="str">
        <f t="shared" si="41"/>
        <v>Business Income (Koolikai)|Rent</v>
      </c>
    </row>
    <row r="881" spans="1:23" x14ac:dyDescent="0.25">
      <c r="A881" t="s">
        <v>289</v>
      </c>
      <c r="B881" s="5">
        <v>41851</v>
      </c>
      <c r="C881">
        <v>0.19</v>
      </c>
      <c r="D881" t="s">
        <v>304</v>
      </c>
      <c r="E881" t="s">
        <v>396</v>
      </c>
      <c r="F881" t="s">
        <v>595</v>
      </c>
      <c r="G881" t="s">
        <v>8</v>
      </c>
      <c r="K881" t="s">
        <v>8</v>
      </c>
      <c r="Q881" t="str">
        <f t="shared" si="39"/>
        <v>Jul</v>
      </c>
      <c r="R881">
        <f t="shared" si="40"/>
        <v>2014</v>
      </c>
      <c r="S881" t="str">
        <f>VLOOKUP($W881,TBL_Categories,2,FALSE)</f>
        <v>Monthly</v>
      </c>
      <c r="T881">
        <f>VLOOKUP($W881,TBL_Categories,3,FALSE)</f>
        <v>0</v>
      </c>
      <c r="U881" t="str">
        <f>VLOOKUP($W881,TBL_Categories,4,FALSE)</f>
        <v>No</v>
      </c>
      <c r="V881" t="str">
        <f>VLOOKUP($W881,TBL_Categories,5,FALSE)</f>
        <v>None</v>
      </c>
      <c r="W881" t="str">
        <f t="shared" si="41"/>
        <v>Interest Income</v>
      </c>
    </row>
    <row r="882" spans="1:23" x14ac:dyDescent="0.25">
      <c r="A882" t="s">
        <v>290</v>
      </c>
      <c r="B882" s="5">
        <v>41851</v>
      </c>
      <c r="C882">
        <v>7.0000000000000007E-2</v>
      </c>
      <c r="D882" t="s">
        <v>304</v>
      </c>
      <c r="E882" t="s">
        <v>399</v>
      </c>
      <c r="G882" t="s">
        <v>8</v>
      </c>
      <c r="K882" t="s">
        <v>8</v>
      </c>
      <c r="Q882" t="str">
        <f t="shared" si="39"/>
        <v>Jul</v>
      </c>
      <c r="R882">
        <f t="shared" si="40"/>
        <v>2014</v>
      </c>
      <c r="S882" t="str">
        <f>VLOOKUP($W882,TBL_Categories,2,FALSE)</f>
        <v>Monthly</v>
      </c>
      <c r="T882">
        <f>VLOOKUP($W882,TBL_Categories,3,FALSE)</f>
        <v>0</v>
      </c>
      <c r="U882" t="str">
        <f>VLOOKUP($W882,TBL_Categories,4,FALSE)</f>
        <v>No</v>
      </c>
      <c r="V882" t="str">
        <f>VLOOKUP($W882,TBL_Categories,5,FALSE)</f>
        <v>None</v>
      </c>
      <c r="W882" t="str">
        <f t="shared" si="41"/>
        <v>Interest Income</v>
      </c>
    </row>
    <row r="883" spans="1:23" x14ac:dyDescent="0.25">
      <c r="A883" t="s">
        <v>290</v>
      </c>
      <c r="B883" s="5">
        <v>41851</v>
      </c>
      <c r="C883">
        <v>5</v>
      </c>
      <c r="D883" t="s">
        <v>304</v>
      </c>
      <c r="E883" t="s">
        <v>403</v>
      </c>
      <c r="G883" t="s">
        <v>397</v>
      </c>
      <c r="K883" t="s">
        <v>53</v>
      </c>
      <c r="L883" t="s">
        <v>1562</v>
      </c>
      <c r="Q883" t="str">
        <f t="shared" si="39"/>
        <v>Jul</v>
      </c>
      <c r="R883">
        <f t="shared" si="40"/>
        <v>2014</v>
      </c>
      <c r="S883" t="str">
        <f>VLOOKUP($W883,TBL_Categories,2,FALSE)</f>
        <v>Monthly</v>
      </c>
      <c r="T883">
        <f>VLOOKUP($W883,TBL_Categories,3,FALSE)</f>
        <v>0</v>
      </c>
      <c r="U883" t="str">
        <f>VLOOKUP($W883,TBL_Categories,4,FALSE)</f>
        <v>No</v>
      </c>
      <c r="V883" t="str">
        <f>VLOOKUP($W883,TBL_Categories,5,FALSE)</f>
        <v>None</v>
      </c>
      <c r="W883" t="str">
        <f t="shared" si="41"/>
        <v>Bank Fees &amp; Charges|ATM Fee</v>
      </c>
    </row>
    <row r="884" spans="1:23" x14ac:dyDescent="0.25">
      <c r="A884" t="s">
        <v>291</v>
      </c>
      <c r="B884" s="5">
        <v>41851</v>
      </c>
      <c r="C884">
        <v>-26.27</v>
      </c>
      <c r="D884" t="s">
        <v>304</v>
      </c>
      <c r="E884" t="s">
        <v>400</v>
      </c>
      <c r="F884" t="s">
        <v>924</v>
      </c>
      <c r="G884" t="s">
        <v>605</v>
      </c>
      <c r="I884" t="s">
        <v>272</v>
      </c>
      <c r="K884" t="s">
        <v>72</v>
      </c>
      <c r="L884" t="s">
        <v>1565</v>
      </c>
      <c r="M884" t="s">
        <v>1566</v>
      </c>
      <c r="Q884" t="str">
        <f t="shared" si="39"/>
        <v>Jul</v>
      </c>
      <c r="R884">
        <f t="shared" si="40"/>
        <v>2014</v>
      </c>
      <c r="S884" t="str">
        <f>VLOOKUP($W884,TBL_Categories,2,FALSE)</f>
        <v>Annual</v>
      </c>
      <c r="T884">
        <f>VLOOKUP($W884,TBL_Categories,3,FALSE)</f>
        <v>0</v>
      </c>
      <c r="U884" t="str">
        <f>VLOOKUP($W884,TBL_Categories,4,FALSE)</f>
        <v>No</v>
      </c>
      <c r="V884" t="str">
        <f>VLOOKUP($W884,TBL_Categories,5,FALSE)</f>
        <v>None</v>
      </c>
      <c r="W884" t="str">
        <f t="shared" si="41"/>
        <v>Shopping|Hobbies</v>
      </c>
    </row>
    <row r="885" spans="1:23" x14ac:dyDescent="0.25">
      <c r="A885" t="s">
        <v>291</v>
      </c>
      <c r="B885" s="5">
        <v>41851</v>
      </c>
      <c r="C885">
        <v>-61.9</v>
      </c>
      <c r="D885" t="s">
        <v>304</v>
      </c>
      <c r="E885" t="s">
        <v>400</v>
      </c>
      <c r="G885" t="s">
        <v>342</v>
      </c>
      <c r="I885" t="s">
        <v>272</v>
      </c>
      <c r="K885" t="s">
        <v>61</v>
      </c>
      <c r="L885" t="s">
        <v>401</v>
      </c>
      <c r="Q885" t="str">
        <f t="shared" si="39"/>
        <v>Jul</v>
      </c>
      <c r="R885">
        <f t="shared" si="40"/>
        <v>2014</v>
      </c>
      <c r="S885" t="str">
        <f>VLOOKUP($W885,TBL_Categories,2,FALSE)</f>
        <v>Monthly</v>
      </c>
      <c r="T885">
        <f>VLOOKUP($W885,TBL_Categories,3,FALSE)</f>
        <v>0</v>
      </c>
      <c r="U885" t="str">
        <f>VLOOKUP($W885,TBL_Categories,4,FALSE)</f>
        <v>No</v>
      </c>
      <c r="V885" t="str">
        <f>VLOOKUP($W885,TBL_Categories,5,FALSE)</f>
        <v>None</v>
      </c>
      <c r="W885" t="str">
        <f t="shared" si="41"/>
        <v>Food &amp; Dining|Groceries</v>
      </c>
    </row>
    <row r="886" spans="1:23" x14ac:dyDescent="0.25">
      <c r="A886" t="s">
        <v>633</v>
      </c>
      <c r="B886" s="5">
        <v>41851</v>
      </c>
      <c r="C886">
        <v>-35.520000000000003</v>
      </c>
      <c r="D886" t="s">
        <v>304</v>
      </c>
      <c r="E886" t="s">
        <v>973</v>
      </c>
      <c r="F886" t="s">
        <v>974</v>
      </c>
      <c r="G886" t="s">
        <v>963</v>
      </c>
      <c r="K886" t="s">
        <v>63</v>
      </c>
      <c r="L886" t="s">
        <v>1574</v>
      </c>
      <c r="Q886" t="str">
        <f t="shared" si="39"/>
        <v>Jul</v>
      </c>
      <c r="R886">
        <f t="shared" si="40"/>
        <v>2014</v>
      </c>
      <c r="S886" t="str">
        <f>VLOOKUP($W886,TBL_Categories,2,FALSE)</f>
        <v>Irregular</v>
      </c>
      <c r="T886">
        <f>VLOOKUP($W886,TBL_Categories,3,FALSE)</f>
        <v>0</v>
      </c>
      <c r="U886" t="str">
        <f>VLOOKUP($W886,TBL_Categories,4,FALSE)</f>
        <v>No</v>
      </c>
      <c r="V886" t="str">
        <f>VLOOKUP($W886,TBL_Categories,5,FALSE)</f>
        <v>None</v>
      </c>
      <c r="W886" t="str">
        <f t="shared" si="41"/>
        <v>Home|Home Improvement</v>
      </c>
    </row>
    <row r="887" spans="1:23" x14ac:dyDescent="0.25">
      <c r="A887" t="s">
        <v>284</v>
      </c>
      <c r="B887" s="5">
        <v>41850</v>
      </c>
      <c r="C887" s="4">
        <v>3159.33</v>
      </c>
      <c r="D887" t="s">
        <v>304</v>
      </c>
      <c r="E887" t="s">
        <v>361</v>
      </c>
      <c r="F887" t="s">
        <v>312</v>
      </c>
      <c r="G887" t="s">
        <v>12</v>
      </c>
      <c r="K887" t="s">
        <v>12</v>
      </c>
      <c r="Q887" t="str">
        <f t="shared" si="39"/>
        <v>Jul</v>
      </c>
      <c r="R887">
        <f t="shared" si="40"/>
        <v>2014</v>
      </c>
      <c r="S887" t="str">
        <f>VLOOKUP($W887,TBL_Categories,2,FALSE)</f>
        <v>Monthly</v>
      </c>
      <c r="T887">
        <f>VLOOKUP($W887,TBL_Categories,3,FALSE)</f>
        <v>0</v>
      </c>
      <c r="U887" t="str">
        <f>VLOOKUP($W887,TBL_Categories,4,FALSE)</f>
        <v>No</v>
      </c>
      <c r="V887" t="str">
        <f>VLOOKUP($W887,TBL_Categories,5,FALSE)</f>
        <v>None</v>
      </c>
      <c r="W887" t="str">
        <f t="shared" si="41"/>
        <v>Net Salary</v>
      </c>
    </row>
    <row r="888" spans="1:23" x14ac:dyDescent="0.25">
      <c r="A888" t="s">
        <v>284</v>
      </c>
      <c r="B888" s="5">
        <v>41850</v>
      </c>
      <c r="C888" s="4">
        <v>6058.12</v>
      </c>
      <c r="D888" t="s">
        <v>304</v>
      </c>
      <c r="E888" t="s">
        <v>363</v>
      </c>
      <c r="F888" t="s">
        <v>1659</v>
      </c>
      <c r="G888" t="s">
        <v>12</v>
      </c>
      <c r="K888" t="s">
        <v>12</v>
      </c>
      <c r="Q888" t="str">
        <f t="shared" si="39"/>
        <v>Jul</v>
      </c>
      <c r="R888">
        <f t="shared" si="40"/>
        <v>2014</v>
      </c>
      <c r="S888" t="str">
        <f>VLOOKUP($W888,TBL_Categories,2,FALSE)</f>
        <v>Monthly</v>
      </c>
      <c r="T888">
        <f>VLOOKUP($W888,TBL_Categories,3,FALSE)</f>
        <v>0</v>
      </c>
      <c r="U888" t="str">
        <f>VLOOKUP($W888,TBL_Categories,4,FALSE)</f>
        <v>No</v>
      </c>
      <c r="V888" t="str">
        <f>VLOOKUP($W888,TBL_Categories,5,FALSE)</f>
        <v>None</v>
      </c>
      <c r="W888" t="str">
        <f t="shared" si="41"/>
        <v>Net Salary</v>
      </c>
    </row>
    <row r="889" spans="1:23" x14ac:dyDescent="0.25">
      <c r="A889" t="s">
        <v>296</v>
      </c>
      <c r="B889" s="5">
        <v>41850</v>
      </c>
      <c r="C889">
        <v>-1</v>
      </c>
      <c r="D889" t="s">
        <v>304</v>
      </c>
      <c r="E889" t="s">
        <v>433</v>
      </c>
      <c r="F889" t="s">
        <v>475</v>
      </c>
      <c r="G889" t="s">
        <v>887</v>
      </c>
      <c r="I889" t="s">
        <v>272</v>
      </c>
      <c r="J889" t="s">
        <v>1550</v>
      </c>
      <c r="K889" t="s">
        <v>61</v>
      </c>
      <c r="L889" t="s">
        <v>401</v>
      </c>
      <c r="Q889" t="str">
        <f t="shared" si="39"/>
        <v>Jul</v>
      </c>
      <c r="R889">
        <f t="shared" si="40"/>
        <v>2014</v>
      </c>
      <c r="S889" t="str">
        <f>VLOOKUP($W889,TBL_Categories,2,FALSE)</f>
        <v>Monthly</v>
      </c>
      <c r="T889">
        <f>VLOOKUP($W889,TBL_Categories,3,FALSE)</f>
        <v>0</v>
      </c>
      <c r="U889" t="str">
        <f>VLOOKUP($W889,TBL_Categories,4,FALSE)</f>
        <v>No</v>
      </c>
      <c r="V889" t="str">
        <f>VLOOKUP($W889,TBL_Categories,5,FALSE)</f>
        <v>None</v>
      </c>
      <c r="W889" t="str">
        <f t="shared" si="41"/>
        <v>Food &amp; Dining|Groceries</v>
      </c>
    </row>
    <row r="890" spans="1:23" x14ac:dyDescent="0.25">
      <c r="A890" t="s">
        <v>296</v>
      </c>
      <c r="B890" s="5">
        <v>41850</v>
      </c>
      <c r="C890">
        <v>-21.9</v>
      </c>
      <c r="D890" t="s">
        <v>304</v>
      </c>
      <c r="E890" t="s">
        <v>433</v>
      </c>
      <c r="G890" t="s">
        <v>1042</v>
      </c>
      <c r="I890" t="s">
        <v>272</v>
      </c>
      <c r="J890" t="s">
        <v>1550</v>
      </c>
      <c r="K890" t="s">
        <v>66</v>
      </c>
      <c r="L890" t="s">
        <v>1537</v>
      </c>
      <c r="Q890" t="str">
        <f t="shared" si="39"/>
        <v>Jul</v>
      </c>
      <c r="R890">
        <f t="shared" si="40"/>
        <v>2014</v>
      </c>
      <c r="S890" t="str">
        <f>VLOOKUP($W890,TBL_Categories,2,FALSE)</f>
        <v>Monthly</v>
      </c>
      <c r="T890">
        <f>VLOOKUP($W890,TBL_Categories,3,FALSE)</f>
        <v>0</v>
      </c>
      <c r="U890" t="str">
        <f>VLOOKUP($W890,TBL_Categories,4,FALSE)</f>
        <v>No</v>
      </c>
      <c r="V890" t="str">
        <f>VLOOKUP($W890,TBL_Categories,5,FALSE)</f>
        <v>None</v>
      </c>
      <c r="W890" t="str">
        <f t="shared" si="41"/>
        <v>Kids|Clothing</v>
      </c>
    </row>
    <row r="891" spans="1:23" x14ac:dyDescent="0.25">
      <c r="A891" t="s">
        <v>284</v>
      </c>
      <c r="B891" s="5">
        <v>41848</v>
      </c>
      <c r="C891">
        <v>-115</v>
      </c>
      <c r="D891" t="s">
        <v>304</v>
      </c>
      <c r="E891" t="s">
        <v>325</v>
      </c>
      <c r="F891" t="s">
        <v>351</v>
      </c>
      <c r="G891" t="s">
        <v>326</v>
      </c>
      <c r="K891" t="s">
        <v>63</v>
      </c>
      <c r="L891" t="s">
        <v>1528</v>
      </c>
      <c r="Q891" t="str">
        <f t="shared" si="39"/>
        <v>Jul</v>
      </c>
      <c r="R891">
        <f t="shared" si="40"/>
        <v>2014</v>
      </c>
      <c r="S891" t="str">
        <f>VLOOKUP($W891,TBL_Categories,2,FALSE)</f>
        <v>Monthly</v>
      </c>
      <c r="T891">
        <f>VLOOKUP($W891,TBL_Categories,3,FALSE)</f>
        <v>0</v>
      </c>
      <c r="U891" t="str">
        <f>VLOOKUP($W891,TBL_Categories,4,FALSE)</f>
        <v>No</v>
      </c>
      <c r="V891" t="str">
        <f>VLOOKUP($W891,TBL_Categories,5,FALSE)</f>
        <v>None</v>
      </c>
      <c r="W891" t="str">
        <f t="shared" si="41"/>
        <v>Home|Home Services</v>
      </c>
    </row>
    <row r="892" spans="1:23" x14ac:dyDescent="0.25">
      <c r="A892" t="s">
        <v>284</v>
      </c>
      <c r="B892" s="5">
        <v>41848</v>
      </c>
      <c r="C892">
        <v>-968.25</v>
      </c>
      <c r="D892" t="s">
        <v>304</v>
      </c>
      <c r="E892" t="s">
        <v>377</v>
      </c>
      <c r="F892" t="s">
        <v>636</v>
      </c>
      <c r="G892" t="s">
        <v>657</v>
      </c>
      <c r="K892" t="s">
        <v>657</v>
      </c>
      <c r="Q892" t="str">
        <f t="shared" si="39"/>
        <v>Jul</v>
      </c>
      <c r="R892">
        <f t="shared" si="40"/>
        <v>2014</v>
      </c>
      <c r="S892" t="e">
        <f>VLOOKUP($W892,TBL_Categories,2,FALSE)</f>
        <v>#N/A</v>
      </c>
      <c r="T892" t="e">
        <f>VLOOKUP($W892,TBL_Categories,3,FALSE)</f>
        <v>#N/A</v>
      </c>
      <c r="U892" t="e">
        <f>VLOOKUP($W892,TBL_Categories,4,FALSE)</f>
        <v>#N/A</v>
      </c>
      <c r="V892" t="e">
        <f>VLOOKUP($W892,TBL_Categories,5,FALSE)</f>
        <v>#N/A</v>
      </c>
      <c r="W892" t="str">
        <f t="shared" si="41"/>
        <v>[Chase Freedom XX9381]</v>
      </c>
    </row>
    <row r="893" spans="1:23" x14ac:dyDescent="0.25">
      <c r="A893" t="s">
        <v>633</v>
      </c>
      <c r="B893" s="5">
        <v>41848</v>
      </c>
      <c r="C893">
        <v>-20</v>
      </c>
      <c r="D893" t="s">
        <v>304</v>
      </c>
      <c r="E893" t="s">
        <v>424</v>
      </c>
      <c r="G893" t="s">
        <v>342</v>
      </c>
      <c r="K893" t="s">
        <v>61</v>
      </c>
      <c r="L893" t="s">
        <v>401</v>
      </c>
      <c r="Q893" t="str">
        <f t="shared" si="39"/>
        <v>Jul</v>
      </c>
      <c r="R893">
        <f t="shared" si="40"/>
        <v>2014</v>
      </c>
      <c r="S893" t="str">
        <f>VLOOKUP($W893,TBL_Categories,2,FALSE)</f>
        <v>Monthly</v>
      </c>
      <c r="T893">
        <f>VLOOKUP($W893,TBL_Categories,3,FALSE)</f>
        <v>0</v>
      </c>
      <c r="U893" t="str">
        <f>VLOOKUP($W893,TBL_Categories,4,FALSE)</f>
        <v>No</v>
      </c>
      <c r="V893" t="str">
        <f>VLOOKUP($W893,TBL_Categories,5,FALSE)</f>
        <v>None</v>
      </c>
      <c r="W893" t="str">
        <f t="shared" si="41"/>
        <v>Food &amp; Dining|Groceries</v>
      </c>
    </row>
    <row r="894" spans="1:23" x14ac:dyDescent="0.25">
      <c r="A894" t="s">
        <v>633</v>
      </c>
      <c r="B894" s="5">
        <v>41848</v>
      </c>
      <c r="C894">
        <v>-47.4</v>
      </c>
      <c r="D894" t="s">
        <v>304</v>
      </c>
      <c r="E894" t="s">
        <v>424</v>
      </c>
      <c r="F894" t="s">
        <v>971</v>
      </c>
      <c r="G894" t="s">
        <v>972</v>
      </c>
      <c r="J894" t="s">
        <v>1550</v>
      </c>
      <c r="K894" t="s">
        <v>75</v>
      </c>
      <c r="L894" t="s">
        <v>1564</v>
      </c>
      <c r="O894" t="s">
        <v>1605</v>
      </c>
      <c r="Q894" t="str">
        <f t="shared" si="39"/>
        <v>Jul</v>
      </c>
      <c r="R894">
        <f t="shared" si="40"/>
        <v>2014</v>
      </c>
      <c r="S894" t="str">
        <f>VLOOKUP($W894,TBL_Categories,2,FALSE)</f>
        <v>Irregular</v>
      </c>
      <c r="T894">
        <f>VLOOKUP($W894,TBL_Categories,3,FALSE)</f>
        <v>0</v>
      </c>
      <c r="U894" t="str">
        <f>VLOOKUP($W894,TBL_Categories,4,FALSE)</f>
        <v>No</v>
      </c>
      <c r="V894" t="str">
        <f>VLOOKUP($W894,TBL_Categories,5,FALSE)</f>
        <v>None</v>
      </c>
      <c r="W894" t="str">
        <f t="shared" si="41"/>
        <v>Vacation|Food</v>
      </c>
    </row>
    <row r="895" spans="1:23" x14ac:dyDescent="0.25">
      <c r="A895" t="s">
        <v>296</v>
      </c>
      <c r="B895" s="5">
        <v>41848</v>
      </c>
      <c r="C895">
        <v>-53.65</v>
      </c>
      <c r="D895" t="s">
        <v>304</v>
      </c>
      <c r="E895" t="s">
        <v>433</v>
      </c>
      <c r="F895" t="s">
        <v>475</v>
      </c>
      <c r="G895" t="s">
        <v>887</v>
      </c>
      <c r="I895" t="s">
        <v>272</v>
      </c>
      <c r="J895" t="s">
        <v>1550</v>
      </c>
      <c r="K895" t="s">
        <v>61</v>
      </c>
      <c r="L895" t="s">
        <v>401</v>
      </c>
      <c r="Q895" t="str">
        <f t="shared" si="39"/>
        <v>Jul</v>
      </c>
      <c r="R895">
        <f t="shared" si="40"/>
        <v>2014</v>
      </c>
      <c r="S895" t="str">
        <f>VLOOKUP($W895,TBL_Categories,2,FALSE)</f>
        <v>Monthly</v>
      </c>
      <c r="T895">
        <f>VLOOKUP($W895,TBL_Categories,3,FALSE)</f>
        <v>0</v>
      </c>
      <c r="U895" t="str">
        <f>VLOOKUP($W895,TBL_Categories,4,FALSE)</f>
        <v>No</v>
      </c>
      <c r="V895" t="str">
        <f>VLOOKUP($W895,TBL_Categories,5,FALSE)</f>
        <v>None</v>
      </c>
      <c r="W895" t="str">
        <f t="shared" si="41"/>
        <v>Food &amp; Dining|Groceries</v>
      </c>
    </row>
    <row r="896" spans="1:23" x14ac:dyDescent="0.25">
      <c r="A896" t="s">
        <v>296</v>
      </c>
      <c r="B896" s="5">
        <v>41848</v>
      </c>
      <c r="C896">
        <v>-9.84</v>
      </c>
      <c r="D896" t="s">
        <v>304</v>
      </c>
      <c r="E896" t="s">
        <v>433</v>
      </c>
      <c r="F896" t="s">
        <v>1228</v>
      </c>
      <c r="G896" t="s">
        <v>972</v>
      </c>
      <c r="I896" t="s">
        <v>272</v>
      </c>
      <c r="J896" t="s">
        <v>1550</v>
      </c>
      <c r="K896" t="s">
        <v>75</v>
      </c>
      <c r="L896" t="s">
        <v>1564</v>
      </c>
      <c r="O896" t="s">
        <v>1613</v>
      </c>
      <c r="Q896" t="str">
        <f t="shared" si="39"/>
        <v>Jul</v>
      </c>
      <c r="R896">
        <f t="shared" si="40"/>
        <v>2014</v>
      </c>
      <c r="S896" t="str">
        <f>VLOOKUP($W896,TBL_Categories,2,FALSE)</f>
        <v>Irregular</v>
      </c>
      <c r="T896">
        <f>VLOOKUP($W896,TBL_Categories,3,FALSE)</f>
        <v>0</v>
      </c>
      <c r="U896" t="str">
        <f>VLOOKUP($W896,TBL_Categories,4,FALSE)</f>
        <v>No</v>
      </c>
      <c r="V896" t="str">
        <f>VLOOKUP($W896,TBL_Categories,5,FALSE)</f>
        <v>None</v>
      </c>
      <c r="W896" t="str">
        <f t="shared" si="41"/>
        <v>Vacation|Food</v>
      </c>
    </row>
    <row r="897" spans="1:23" x14ac:dyDescent="0.25">
      <c r="A897" t="s">
        <v>281</v>
      </c>
      <c r="B897" s="5">
        <v>41845</v>
      </c>
      <c r="C897">
        <v>14.75</v>
      </c>
      <c r="D897" t="s">
        <v>304</v>
      </c>
      <c r="E897" t="s">
        <v>767</v>
      </c>
      <c r="G897" t="s">
        <v>8</v>
      </c>
      <c r="K897" t="s">
        <v>8</v>
      </c>
      <c r="Q897" t="str">
        <f t="shared" si="39"/>
        <v>Jul</v>
      </c>
      <c r="R897">
        <f t="shared" si="40"/>
        <v>2014</v>
      </c>
      <c r="S897" t="str">
        <f>VLOOKUP($W897,TBL_Categories,2,FALSE)</f>
        <v>Monthly</v>
      </c>
      <c r="T897">
        <f>VLOOKUP($W897,TBL_Categories,3,FALSE)</f>
        <v>0</v>
      </c>
      <c r="U897" t="str">
        <f>VLOOKUP($W897,TBL_Categories,4,FALSE)</f>
        <v>No</v>
      </c>
      <c r="V897" t="str">
        <f>VLOOKUP($W897,TBL_Categories,5,FALSE)</f>
        <v>None</v>
      </c>
      <c r="W897" t="str">
        <f t="shared" si="41"/>
        <v>Interest Income</v>
      </c>
    </row>
    <row r="898" spans="1:23" x14ac:dyDescent="0.25">
      <c r="A898" t="s">
        <v>633</v>
      </c>
      <c r="B898" s="5">
        <v>41845</v>
      </c>
      <c r="C898">
        <v>968.25</v>
      </c>
      <c r="D898" t="s">
        <v>304</v>
      </c>
      <c r="E898" t="s">
        <v>822</v>
      </c>
      <c r="G898" t="s">
        <v>9</v>
      </c>
      <c r="K898" t="s">
        <v>9</v>
      </c>
      <c r="Q898" t="str">
        <f t="shared" ref="Q898:Q961" si="42">TEXT($B898,"MMM")</f>
        <v>Jul</v>
      </c>
      <c r="R898">
        <f t="shared" ref="R898:R961" si="43">YEAR($B898)</f>
        <v>2014</v>
      </c>
      <c r="S898" t="str">
        <f>VLOOKUP($W898,TBL_Categories,2,FALSE)</f>
        <v>Account</v>
      </c>
      <c r="T898">
        <f>VLOOKUP($W898,TBL_Categories,3,FALSE)</f>
        <v>0</v>
      </c>
      <c r="U898" t="str">
        <f>VLOOKUP($W898,TBL_Categories,4,FALSE)</f>
        <v>No</v>
      </c>
      <c r="V898" t="str">
        <f>VLOOKUP($W898,TBL_Categories,5,FALSE)</f>
        <v>None</v>
      </c>
      <c r="W898" t="str">
        <f t="shared" ref="W898:W961" si="44">IF(ISBLANK($L898),$K898,CONCATENATE($K898,"|",$L898))</f>
        <v>[First Tech - Checking (5544)]</v>
      </c>
    </row>
    <row r="899" spans="1:23" x14ac:dyDescent="0.25">
      <c r="A899" t="s">
        <v>284</v>
      </c>
      <c r="B899" s="5">
        <v>41844</v>
      </c>
      <c r="C899">
        <v>16.41</v>
      </c>
      <c r="D899" t="s">
        <v>304</v>
      </c>
      <c r="E899" t="s">
        <v>772</v>
      </c>
      <c r="F899" t="s">
        <v>811</v>
      </c>
      <c r="G899" t="s">
        <v>356</v>
      </c>
      <c r="K899" t="s">
        <v>62</v>
      </c>
      <c r="L899" t="s">
        <v>1545</v>
      </c>
      <c r="O899" t="s">
        <v>1600</v>
      </c>
      <c r="Q899" t="str">
        <f t="shared" si="42"/>
        <v>Jul</v>
      </c>
      <c r="R899">
        <f t="shared" si="43"/>
        <v>2014</v>
      </c>
      <c r="S899" t="str">
        <f>VLOOKUP($W899,TBL_Categories,2,FALSE)</f>
        <v>Irregular</v>
      </c>
      <c r="T899">
        <f>VLOOKUP($W899,TBL_Categories,3,FALSE)</f>
        <v>0</v>
      </c>
      <c r="U899" t="str">
        <f>VLOOKUP($W899,TBL_Categories,4,FALSE)</f>
        <v>No</v>
      </c>
      <c r="V899" t="str">
        <f>VLOOKUP($W899,TBL_Categories,5,FALSE)</f>
        <v>None</v>
      </c>
      <c r="W899" t="str">
        <f t="shared" si="44"/>
        <v>Health &amp; Fitness|Sports</v>
      </c>
    </row>
    <row r="900" spans="1:23" x14ac:dyDescent="0.25">
      <c r="A900" t="s">
        <v>288</v>
      </c>
      <c r="B900" s="5">
        <v>41844</v>
      </c>
      <c r="C900">
        <v>-231.67</v>
      </c>
      <c r="D900" t="s">
        <v>304</v>
      </c>
      <c r="E900" t="s">
        <v>391</v>
      </c>
      <c r="F900" t="s">
        <v>382</v>
      </c>
      <c r="G900" t="s">
        <v>31</v>
      </c>
      <c r="K900" t="s">
        <v>31</v>
      </c>
      <c r="Q900" t="str">
        <f t="shared" si="42"/>
        <v>Jul</v>
      </c>
      <c r="R900">
        <f t="shared" si="43"/>
        <v>2014</v>
      </c>
      <c r="S900" t="str">
        <f>VLOOKUP($W900,TBL_Categories,2,FALSE)</f>
        <v>Account</v>
      </c>
      <c r="T900">
        <f>VLOOKUP($W900,TBL_Categories,3,FALSE)</f>
        <v>0</v>
      </c>
      <c r="U900" t="str">
        <f>VLOOKUP($W900,TBL_Categories,4,FALSE)</f>
        <v>No</v>
      </c>
      <c r="V900" t="str">
        <f>VLOOKUP($W900,TBL_Categories,5,FALSE)</f>
        <v>None</v>
      </c>
      <c r="W900" t="str">
        <f t="shared" si="44"/>
        <v>[Koolikai Credit Card]</v>
      </c>
    </row>
    <row r="901" spans="1:23" x14ac:dyDescent="0.25">
      <c r="A901" t="s">
        <v>296</v>
      </c>
      <c r="B901" s="5">
        <v>41844</v>
      </c>
      <c r="C901">
        <v>-122.1</v>
      </c>
      <c r="D901" t="s">
        <v>304</v>
      </c>
      <c r="E901" t="s">
        <v>433</v>
      </c>
      <c r="F901" t="s">
        <v>475</v>
      </c>
      <c r="G901" t="s">
        <v>342</v>
      </c>
      <c r="I901" t="s">
        <v>272</v>
      </c>
      <c r="K901" t="s">
        <v>61</v>
      </c>
      <c r="L901" t="s">
        <v>401</v>
      </c>
      <c r="Q901" t="str">
        <f t="shared" si="42"/>
        <v>Jul</v>
      </c>
      <c r="R901">
        <f t="shared" si="43"/>
        <v>2014</v>
      </c>
      <c r="S901" t="str">
        <f>VLOOKUP($W901,TBL_Categories,2,FALSE)</f>
        <v>Monthly</v>
      </c>
      <c r="T901">
        <f>VLOOKUP($W901,TBL_Categories,3,FALSE)</f>
        <v>0</v>
      </c>
      <c r="U901" t="str">
        <f>VLOOKUP($W901,TBL_Categories,4,FALSE)</f>
        <v>No</v>
      </c>
      <c r="V901" t="str">
        <f>VLOOKUP($W901,TBL_Categories,5,FALSE)</f>
        <v>None</v>
      </c>
      <c r="W901" t="str">
        <f t="shared" si="44"/>
        <v>Food &amp; Dining|Groceries</v>
      </c>
    </row>
    <row r="902" spans="1:23" x14ac:dyDescent="0.25">
      <c r="A902" t="s">
        <v>296</v>
      </c>
      <c r="B902" s="5">
        <v>41844</v>
      </c>
      <c r="C902">
        <v>-5.46</v>
      </c>
      <c r="D902" t="s">
        <v>304</v>
      </c>
      <c r="E902" t="s">
        <v>433</v>
      </c>
      <c r="F902" t="s">
        <v>1227</v>
      </c>
      <c r="G902" t="s">
        <v>1020</v>
      </c>
      <c r="I902" t="s">
        <v>272</v>
      </c>
      <c r="J902" t="s">
        <v>1550</v>
      </c>
      <c r="K902" t="s">
        <v>66</v>
      </c>
      <c r="L902" t="s">
        <v>1536</v>
      </c>
      <c r="Q902" t="str">
        <f t="shared" si="42"/>
        <v>Jul</v>
      </c>
      <c r="R902">
        <f t="shared" si="43"/>
        <v>2014</v>
      </c>
      <c r="S902" t="str">
        <f>VLOOKUP($W902,TBL_Categories,2,FALSE)</f>
        <v>Monthly</v>
      </c>
      <c r="T902">
        <f>VLOOKUP($W902,TBL_Categories,3,FALSE)</f>
        <v>0</v>
      </c>
      <c r="U902" t="str">
        <f>VLOOKUP($W902,TBL_Categories,4,FALSE)</f>
        <v>No</v>
      </c>
      <c r="V902" t="str">
        <f>VLOOKUP($W902,TBL_Categories,5,FALSE)</f>
        <v>None</v>
      </c>
      <c r="W902" t="str">
        <f t="shared" si="44"/>
        <v>Kids|Toys</v>
      </c>
    </row>
    <row r="903" spans="1:23" x14ac:dyDescent="0.25">
      <c r="A903" t="s">
        <v>284</v>
      </c>
      <c r="B903" s="5">
        <v>41843</v>
      </c>
      <c r="C903">
        <v>-75.19</v>
      </c>
      <c r="D903" t="s">
        <v>304</v>
      </c>
      <c r="E903" t="s">
        <v>362</v>
      </c>
      <c r="F903" t="s">
        <v>330</v>
      </c>
      <c r="G903" t="s">
        <v>15</v>
      </c>
      <c r="K903" t="s">
        <v>15</v>
      </c>
      <c r="Q903" t="str">
        <f t="shared" si="42"/>
        <v>Jul</v>
      </c>
      <c r="R903">
        <f t="shared" si="43"/>
        <v>2014</v>
      </c>
      <c r="S903" t="str">
        <f>VLOOKUP($W903,TBL_Categories,2,FALSE)</f>
        <v>Account</v>
      </c>
      <c r="T903">
        <f>VLOOKUP($W903,TBL_Categories,3,FALSE)</f>
        <v>0</v>
      </c>
      <c r="U903" t="str">
        <f>VLOOKUP($W903,TBL_Categories,4,FALSE)</f>
        <v>No</v>
      </c>
      <c r="V903" t="str">
        <f>VLOOKUP($W903,TBL_Categories,5,FALSE)</f>
        <v>None</v>
      </c>
      <c r="W903" t="str">
        <f t="shared" si="44"/>
        <v>[American Express (Costco)]</v>
      </c>
    </row>
    <row r="904" spans="1:23" x14ac:dyDescent="0.25">
      <c r="A904" t="s">
        <v>284</v>
      </c>
      <c r="B904" s="5">
        <v>41843</v>
      </c>
      <c r="C904">
        <v>-183.85</v>
      </c>
      <c r="D904" t="s">
        <v>304</v>
      </c>
      <c r="E904" t="s">
        <v>352</v>
      </c>
      <c r="F904" t="s">
        <v>353</v>
      </c>
      <c r="G904" t="s">
        <v>354</v>
      </c>
      <c r="K904" t="s">
        <v>52</v>
      </c>
      <c r="L904" t="s">
        <v>1544</v>
      </c>
      <c r="Q904" t="str">
        <f t="shared" si="42"/>
        <v>Jul</v>
      </c>
      <c r="R904">
        <f t="shared" si="43"/>
        <v>2014</v>
      </c>
      <c r="S904" t="str">
        <f>VLOOKUP($W904,TBL_Categories,2,FALSE)</f>
        <v>Monthly</v>
      </c>
      <c r="T904">
        <f>VLOOKUP($W904,TBL_Categories,3,FALSE)</f>
        <v>0</v>
      </c>
      <c r="U904" t="str">
        <f>VLOOKUP($W904,TBL_Categories,4,FALSE)</f>
        <v>No</v>
      </c>
      <c r="V904" t="str">
        <f>VLOOKUP($W904,TBL_Categories,5,FALSE)</f>
        <v>None</v>
      </c>
      <c r="W904" t="str">
        <f t="shared" si="44"/>
        <v>Auto &amp; Transport|Auto Lease Payment</v>
      </c>
    </row>
    <row r="905" spans="1:23" x14ac:dyDescent="0.25">
      <c r="A905" t="s">
        <v>291</v>
      </c>
      <c r="B905" s="5">
        <v>41843</v>
      </c>
      <c r="C905">
        <v>75.19</v>
      </c>
      <c r="D905" t="s">
        <v>304</v>
      </c>
      <c r="E905" t="s">
        <v>362</v>
      </c>
      <c r="F905" t="s">
        <v>330</v>
      </c>
      <c r="G905" t="s">
        <v>9</v>
      </c>
      <c r="K905" t="s">
        <v>9</v>
      </c>
      <c r="Q905" t="str">
        <f t="shared" si="42"/>
        <v>Jul</v>
      </c>
      <c r="R905">
        <f t="shared" si="43"/>
        <v>2014</v>
      </c>
      <c r="S905" t="str">
        <f>VLOOKUP($W905,TBL_Categories,2,FALSE)</f>
        <v>Account</v>
      </c>
      <c r="T905">
        <f>VLOOKUP($W905,TBL_Categories,3,FALSE)</f>
        <v>0</v>
      </c>
      <c r="U905" t="str">
        <f>VLOOKUP($W905,TBL_Categories,4,FALSE)</f>
        <v>No</v>
      </c>
      <c r="V905" t="str">
        <f>VLOOKUP($W905,TBL_Categories,5,FALSE)</f>
        <v>None</v>
      </c>
      <c r="W905" t="str">
        <f t="shared" si="44"/>
        <v>[First Tech - Checking (5544)]</v>
      </c>
    </row>
    <row r="906" spans="1:23" x14ac:dyDescent="0.25">
      <c r="A906" t="s">
        <v>294</v>
      </c>
      <c r="B906" s="5">
        <v>41843</v>
      </c>
      <c r="C906">
        <v>231.67</v>
      </c>
      <c r="D906" t="s">
        <v>304</v>
      </c>
      <c r="E906" t="s">
        <v>391</v>
      </c>
      <c r="G906" t="s">
        <v>24</v>
      </c>
      <c r="K906" t="s">
        <v>24</v>
      </c>
      <c r="Q906" t="str">
        <f t="shared" si="42"/>
        <v>Jul</v>
      </c>
      <c r="R906">
        <f t="shared" si="43"/>
        <v>2014</v>
      </c>
      <c r="S906" t="str">
        <f>VLOOKUP($W906,TBL_Categories,2,FALSE)</f>
        <v>Account</v>
      </c>
      <c r="T906">
        <f>VLOOKUP($W906,TBL_Categories,3,FALSE)</f>
        <v>0</v>
      </c>
      <c r="U906" t="str">
        <f>VLOOKUP($W906,TBL_Categories,4,FALSE)</f>
        <v>No</v>
      </c>
      <c r="V906" t="str">
        <f>VLOOKUP($W906,TBL_Categories,5,FALSE)</f>
        <v>None</v>
      </c>
      <c r="W906" t="str">
        <f t="shared" si="44"/>
        <v>[Koolikai - Checking XX2129]</v>
      </c>
    </row>
    <row r="907" spans="1:23" x14ac:dyDescent="0.25">
      <c r="A907" t="s">
        <v>290</v>
      </c>
      <c r="B907" s="5">
        <v>41842</v>
      </c>
      <c r="C907">
        <v>-26.66</v>
      </c>
      <c r="D907" t="s">
        <v>304</v>
      </c>
      <c r="E907" t="s">
        <v>433</v>
      </c>
      <c r="G907" t="s">
        <v>887</v>
      </c>
      <c r="I907" t="s">
        <v>272</v>
      </c>
      <c r="J907" t="s">
        <v>1550</v>
      </c>
      <c r="K907" t="s">
        <v>61</v>
      </c>
      <c r="L907" t="s">
        <v>401</v>
      </c>
      <c r="Q907" t="str">
        <f t="shared" si="42"/>
        <v>Jul</v>
      </c>
      <c r="R907">
        <f t="shared" si="43"/>
        <v>2014</v>
      </c>
      <c r="S907" t="str">
        <f>VLOOKUP($W907,TBL_Categories,2,FALSE)</f>
        <v>Monthly</v>
      </c>
      <c r="T907">
        <f>VLOOKUP($W907,TBL_Categories,3,FALSE)</f>
        <v>0</v>
      </c>
      <c r="U907" t="str">
        <f>VLOOKUP($W907,TBL_Categories,4,FALSE)</f>
        <v>No</v>
      </c>
      <c r="V907" t="str">
        <f>VLOOKUP($W907,TBL_Categories,5,FALSE)</f>
        <v>None</v>
      </c>
      <c r="W907" t="str">
        <f t="shared" si="44"/>
        <v>Food &amp; Dining|Groceries</v>
      </c>
    </row>
    <row r="908" spans="1:23" x14ac:dyDescent="0.25">
      <c r="A908" t="s">
        <v>290</v>
      </c>
      <c r="B908" s="5">
        <v>41842</v>
      </c>
      <c r="C908">
        <v>-20</v>
      </c>
      <c r="D908" t="s">
        <v>304</v>
      </c>
      <c r="E908" t="s">
        <v>433</v>
      </c>
      <c r="F908" t="s">
        <v>902</v>
      </c>
      <c r="G908" t="s">
        <v>773</v>
      </c>
      <c r="I908" t="s">
        <v>272</v>
      </c>
      <c r="J908" t="s">
        <v>1550</v>
      </c>
      <c r="K908" t="s">
        <v>61</v>
      </c>
      <c r="L908" t="s">
        <v>1530</v>
      </c>
      <c r="Q908" t="str">
        <f t="shared" si="42"/>
        <v>Jul</v>
      </c>
      <c r="R908">
        <f t="shared" si="43"/>
        <v>2014</v>
      </c>
      <c r="S908" t="str">
        <f>VLOOKUP($W908,TBL_Categories,2,FALSE)</f>
        <v>Monthly</v>
      </c>
      <c r="T908">
        <f>VLOOKUP($W908,TBL_Categories,3,FALSE)</f>
        <v>0</v>
      </c>
      <c r="U908" t="str">
        <f>VLOOKUP($W908,TBL_Categories,4,FALSE)</f>
        <v>No</v>
      </c>
      <c r="V908" t="str">
        <f>VLOOKUP($W908,TBL_Categories,5,FALSE)</f>
        <v>None</v>
      </c>
      <c r="W908" t="str">
        <f t="shared" si="44"/>
        <v>Food &amp; Dining|Restaurants</v>
      </c>
    </row>
    <row r="909" spans="1:23" x14ac:dyDescent="0.25">
      <c r="A909" t="s">
        <v>296</v>
      </c>
      <c r="B909" s="5">
        <v>41840</v>
      </c>
      <c r="C909">
        <v>-11.83</v>
      </c>
      <c r="D909" t="s">
        <v>304</v>
      </c>
      <c r="E909" t="s">
        <v>457</v>
      </c>
      <c r="F909" t="s">
        <v>479</v>
      </c>
      <c r="G909" t="s">
        <v>333</v>
      </c>
      <c r="K909" t="s">
        <v>61</v>
      </c>
      <c r="L909" t="s">
        <v>1530</v>
      </c>
      <c r="Q909" t="str">
        <f t="shared" si="42"/>
        <v>Jul</v>
      </c>
      <c r="R909">
        <f t="shared" si="43"/>
        <v>2014</v>
      </c>
      <c r="S909" t="str">
        <f>VLOOKUP($W909,TBL_Categories,2,FALSE)</f>
        <v>Monthly</v>
      </c>
      <c r="T909">
        <f>VLOOKUP($W909,TBL_Categories,3,FALSE)</f>
        <v>0</v>
      </c>
      <c r="U909" t="str">
        <f>VLOOKUP($W909,TBL_Categories,4,FALSE)</f>
        <v>No</v>
      </c>
      <c r="V909" t="str">
        <f>VLOOKUP($W909,TBL_Categories,5,FALSE)</f>
        <v>None</v>
      </c>
      <c r="W909" t="str">
        <f t="shared" si="44"/>
        <v>Food &amp; Dining|Restaurants</v>
      </c>
    </row>
    <row r="910" spans="1:23" x14ac:dyDescent="0.25">
      <c r="A910" t="s">
        <v>296</v>
      </c>
      <c r="B910" s="5">
        <v>41840</v>
      </c>
      <c r="C910">
        <v>-12</v>
      </c>
      <c r="D910" t="s">
        <v>304</v>
      </c>
      <c r="E910" t="s">
        <v>731</v>
      </c>
      <c r="F910" t="s">
        <v>732</v>
      </c>
      <c r="G910" t="s">
        <v>449</v>
      </c>
      <c r="K910" t="s">
        <v>66</v>
      </c>
      <c r="L910" t="s">
        <v>1555</v>
      </c>
      <c r="Q910" t="str">
        <f t="shared" si="42"/>
        <v>Jul</v>
      </c>
      <c r="R910">
        <f t="shared" si="43"/>
        <v>2014</v>
      </c>
      <c r="S910" t="str">
        <f>VLOOKUP($W910,TBL_Categories,2,FALSE)</f>
        <v>Monthly</v>
      </c>
      <c r="T910">
        <f>VLOOKUP($W910,TBL_Categories,3,FALSE)</f>
        <v>0</v>
      </c>
      <c r="U910" t="str">
        <f>VLOOKUP($W910,TBL_Categories,4,FALSE)</f>
        <v>No</v>
      </c>
      <c r="V910" t="str">
        <f>VLOOKUP($W910,TBL_Categories,5,FALSE)</f>
        <v>None</v>
      </c>
      <c r="W910" t="str">
        <f t="shared" si="44"/>
        <v>Kids|Kids Activities</v>
      </c>
    </row>
    <row r="911" spans="1:23" x14ac:dyDescent="0.25">
      <c r="A911" t="s">
        <v>296</v>
      </c>
      <c r="B911" s="5">
        <v>41840</v>
      </c>
      <c r="C911">
        <v>-18.23</v>
      </c>
      <c r="D911" t="s">
        <v>304</v>
      </c>
      <c r="E911" t="s">
        <v>727</v>
      </c>
      <c r="F911" t="s">
        <v>1226</v>
      </c>
      <c r="G911" t="s">
        <v>333</v>
      </c>
      <c r="K911" t="s">
        <v>61</v>
      </c>
      <c r="L911" t="s">
        <v>1530</v>
      </c>
      <c r="Q911" t="str">
        <f t="shared" si="42"/>
        <v>Jul</v>
      </c>
      <c r="R911">
        <f t="shared" si="43"/>
        <v>2014</v>
      </c>
      <c r="S911" t="str">
        <f>VLOOKUP($W911,TBL_Categories,2,FALSE)</f>
        <v>Monthly</v>
      </c>
      <c r="T911">
        <f>VLOOKUP($W911,TBL_Categories,3,FALSE)</f>
        <v>0</v>
      </c>
      <c r="U911" t="str">
        <f>VLOOKUP($W911,TBL_Categories,4,FALSE)</f>
        <v>No</v>
      </c>
      <c r="V911" t="str">
        <f>VLOOKUP($W911,TBL_Categories,5,FALSE)</f>
        <v>None</v>
      </c>
      <c r="W911" t="str">
        <f t="shared" si="44"/>
        <v>Food &amp; Dining|Restaurants</v>
      </c>
    </row>
    <row r="912" spans="1:23" x14ac:dyDescent="0.25">
      <c r="A912" t="s">
        <v>296</v>
      </c>
      <c r="B912" s="5">
        <v>41839</v>
      </c>
      <c r="C912">
        <v>-31.68</v>
      </c>
      <c r="D912" t="s">
        <v>304</v>
      </c>
      <c r="E912" t="s">
        <v>422</v>
      </c>
      <c r="F912" t="s">
        <v>1222</v>
      </c>
      <c r="G912" t="s">
        <v>1046</v>
      </c>
      <c r="J912" t="s">
        <v>1550</v>
      </c>
      <c r="K912" t="s">
        <v>55</v>
      </c>
      <c r="L912" t="s">
        <v>1553</v>
      </c>
      <c r="Q912" t="str">
        <f t="shared" si="42"/>
        <v>Jul</v>
      </c>
      <c r="R912">
        <f t="shared" si="43"/>
        <v>2014</v>
      </c>
      <c r="S912" t="str">
        <f>VLOOKUP($W912,TBL_Categories,2,FALSE)</f>
        <v>Monthly</v>
      </c>
      <c r="T912">
        <f>VLOOKUP($W912,TBL_Categories,3,FALSE)</f>
        <v>0</v>
      </c>
      <c r="U912" t="str">
        <f>VLOOKUP($W912,TBL_Categories,4,FALSE)</f>
        <v>No</v>
      </c>
      <c r="V912" t="str">
        <f>VLOOKUP($W912,TBL_Categories,5,FALSE)</f>
        <v>None</v>
      </c>
      <c r="W912" t="str">
        <f t="shared" si="44"/>
        <v>Business Expenses (Koolikai)|Office Expenses (Business)</v>
      </c>
    </row>
    <row r="913" spans="1:23" x14ac:dyDescent="0.25">
      <c r="A913" t="s">
        <v>296</v>
      </c>
      <c r="B913" s="5">
        <v>41839</v>
      </c>
      <c r="C913">
        <v>-50.03</v>
      </c>
      <c r="D913" t="s">
        <v>304</v>
      </c>
      <c r="E913" t="s">
        <v>1223</v>
      </c>
      <c r="F913" t="s">
        <v>1224</v>
      </c>
      <c r="G913" t="s">
        <v>333</v>
      </c>
      <c r="K913" t="s">
        <v>61</v>
      </c>
      <c r="L913" t="s">
        <v>1530</v>
      </c>
      <c r="Q913" t="str">
        <f t="shared" si="42"/>
        <v>Jul</v>
      </c>
      <c r="R913">
        <f t="shared" si="43"/>
        <v>2014</v>
      </c>
      <c r="S913" t="str">
        <f>VLOOKUP($W913,TBL_Categories,2,FALSE)</f>
        <v>Monthly</v>
      </c>
      <c r="T913">
        <f>VLOOKUP($W913,TBL_Categories,3,FALSE)</f>
        <v>0</v>
      </c>
      <c r="U913" t="str">
        <f>VLOOKUP($W913,TBL_Categories,4,FALSE)</f>
        <v>No</v>
      </c>
      <c r="V913" t="str">
        <f>VLOOKUP($W913,TBL_Categories,5,FALSE)</f>
        <v>None</v>
      </c>
      <c r="W913" t="str">
        <f t="shared" si="44"/>
        <v>Food &amp; Dining|Restaurants</v>
      </c>
    </row>
    <row r="914" spans="1:23" x14ac:dyDescent="0.25">
      <c r="A914" t="s">
        <v>296</v>
      </c>
      <c r="B914" s="5">
        <v>41839</v>
      </c>
      <c r="C914">
        <v>-2.6</v>
      </c>
      <c r="D914" t="s">
        <v>304</v>
      </c>
      <c r="E914" t="s">
        <v>433</v>
      </c>
      <c r="F914" t="s">
        <v>1225</v>
      </c>
      <c r="G914" t="s">
        <v>1020</v>
      </c>
      <c r="I914" t="s">
        <v>272</v>
      </c>
      <c r="J914" t="s">
        <v>1550</v>
      </c>
      <c r="K914" t="s">
        <v>66</v>
      </c>
      <c r="L914" t="s">
        <v>1536</v>
      </c>
      <c r="Q914" t="str">
        <f t="shared" si="42"/>
        <v>Jul</v>
      </c>
      <c r="R914">
        <f t="shared" si="43"/>
        <v>2014</v>
      </c>
      <c r="S914" t="str">
        <f>VLOOKUP($W914,TBL_Categories,2,FALSE)</f>
        <v>Monthly</v>
      </c>
      <c r="T914">
        <f>VLOOKUP($W914,TBL_Categories,3,FALSE)</f>
        <v>0</v>
      </c>
      <c r="U914" t="str">
        <f>VLOOKUP($W914,TBL_Categories,4,FALSE)</f>
        <v>No</v>
      </c>
      <c r="V914" t="str">
        <f>VLOOKUP($W914,TBL_Categories,5,FALSE)</f>
        <v>None</v>
      </c>
      <c r="W914" t="str">
        <f t="shared" si="44"/>
        <v>Kids|Toys</v>
      </c>
    </row>
    <row r="915" spans="1:23" x14ac:dyDescent="0.25">
      <c r="A915" t="s">
        <v>296</v>
      </c>
      <c r="B915" s="5">
        <v>41839</v>
      </c>
      <c r="C915">
        <v>-70.73</v>
      </c>
      <c r="D915" t="s">
        <v>304</v>
      </c>
      <c r="E915" t="s">
        <v>433</v>
      </c>
      <c r="G915" t="s">
        <v>887</v>
      </c>
      <c r="I915" t="s">
        <v>272</v>
      </c>
      <c r="J915" t="s">
        <v>1550</v>
      </c>
      <c r="K915" t="s">
        <v>61</v>
      </c>
      <c r="L915" t="s">
        <v>401</v>
      </c>
      <c r="Q915" t="str">
        <f t="shared" si="42"/>
        <v>Jul</v>
      </c>
      <c r="R915">
        <f t="shared" si="43"/>
        <v>2014</v>
      </c>
      <c r="S915" t="str">
        <f>VLOOKUP($W915,TBL_Categories,2,FALSE)</f>
        <v>Monthly</v>
      </c>
      <c r="T915">
        <f>VLOOKUP($W915,TBL_Categories,3,FALSE)</f>
        <v>0</v>
      </c>
      <c r="U915" t="str">
        <f>VLOOKUP($W915,TBL_Categories,4,FALSE)</f>
        <v>No</v>
      </c>
      <c r="V915" t="str">
        <f>VLOOKUP($W915,TBL_Categories,5,FALSE)</f>
        <v>None</v>
      </c>
      <c r="W915" t="str">
        <f t="shared" si="44"/>
        <v>Food &amp; Dining|Groceries</v>
      </c>
    </row>
    <row r="916" spans="1:23" x14ac:dyDescent="0.25">
      <c r="A916" t="s">
        <v>296</v>
      </c>
      <c r="B916" s="5">
        <v>41838</v>
      </c>
      <c r="C916">
        <v>-6.56</v>
      </c>
      <c r="D916" t="s">
        <v>304</v>
      </c>
      <c r="E916" t="s">
        <v>675</v>
      </c>
      <c r="F916" t="s">
        <v>1221</v>
      </c>
      <c r="G916" t="s">
        <v>592</v>
      </c>
      <c r="K916" t="s">
        <v>90</v>
      </c>
      <c r="L916" t="s">
        <v>1543</v>
      </c>
      <c r="Q916" t="str">
        <f t="shared" si="42"/>
        <v>Jul</v>
      </c>
      <c r="R916">
        <f t="shared" si="43"/>
        <v>2014</v>
      </c>
      <c r="S916" t="str">
        <f>VLOOKUP($W916,TBL_Categories,2,FALSE)</f>
        <v>Unplanned</v>
      </c>
      <c r="T916">
        <f>VLOOKUP($W916,TBL_Categories,3,FALSE)</f>
        <v>0</v>
      </c>
      <c r="U916" t="str">
        <f>VLOOKUP($W916,TBL_Categories,4,FALSE)</f>
        <v>No</v>
      </c>
      <c r="V916" t="str">
        <f>VLOOKUP($W916,TBL_Categories,5,FALSE)</f>
        <v>None</v>
      </c>
      <c r="W916" t="str">
        <f t="shared" si="44"/>
        <v>Projects|Landscaping</v>
      </c>
    </row>
    <row r="917" spans="1:23" x14ac:dyDescent="0.25">
      <c r="A917" t="s">
        <v>296</v>
      </c>
      <c r="B917" s="5">
        <v>41837</v>
      </c>
      <c r="C917">
        <v>-21.9</v>
      </c>
      <c r="D917" t="s">
        <v>304</v>
      </c>
      <c r="E917" t="s">
        <v>1217</v>
      </c>
      <c r="F917" t="s">
        <v>1218</v>
      </c>
      <c r="G917" t="s">
        <v>894</v>
      </c>
      <c r="J917" t="s">
        <v>1550</v>
      </c>
      <c r="K917" t="s">
        <v>62</v>
      </c>
      <c r="L917" t="s">
        <v>1545</v>
      </c>
      <c r="O917" t="s">
        <v>1600</v>
      </c>
      <c r="Q917" t="str">
        <f t="shared" si="42"/>
        <v>Jul</v>
      </c>
      <c r="R917">
        <f t="shared" si="43"/>
        <v>2014</v>
      </c>
      <c r="S917" t="str">
        <f>VLOOKUP($W917,TBL_Categories,2,FALSE)</f>
        <v>Irregular</v>
      </c>
      <c r="T917">
        <f>VLOOKUP($W917,TBL_Categories,3,FALSE)</f>
        <v>0</v>
      </c>
      <c r="U917" t="str">
        <f>VLOOKUP($W917,TBL_Categories,4,FALSE)</f>
        <v>No</v>
      </c>
      <c r="V917" t="str">
        <f>VLOOKUP($W917,TBL_Categories,5,FALSE)</f>
        <v>None</v>
      </c>
      <c r="W917" t="str">
        <f t="shared" si="44"/>
        <v>Health &amp; Fitness|Sports</v>
      </c>
    </row>
    <row r="918" spans="1:23" x14ac:dyDescent="0.25">
      <c r="A918" t="s">
        <v>296</v>
      </c>
      <c r="B918" s="5">
        <v>41837</v>
      </c>
      <c r="C918">
        <v>-42.14</v>
      </c>
      <c r="D918" t="s">
        <v>304</v>
      </c>
      <c r="E918" t="s">
        <v>722</v>
      </c>
      <c r="F918" t="s">
        <v>744</v>
      </c>
      <c r="G918" t="s">
        <v>333</v>
      </c>
      <c r="K918" t="s">
        <v>61</v>
      </c>
      <c r="L918" t="s">
        <v>1530</v>
      </c>
      <c r="Q918" t="str">
        <f t="shared" si="42"/>
        <v>Jul</v>
      </c>
      <c r="R918">
        <f t="shared" si="43"/>
        <v>2014</v>
      </c>
      <c r="S918" t="str">
        <f>VLOOKUP($W918,TBL_Categories,2,FALSE)</f>
        <v>Monthly</v>
      </c>
      <c r="T918">
        <f>VLOOKUP($W918,TBL_Categories,3,FALSE)</f>
        <v>0</v>
      </c>
      <c r="U918" t="str">
        <f>VLOOKUP($W918,TBL_Categories,4,FALSE)</f>
        <v>No</v>
      </c>
      <c r="V918" t="str">
        <f>VLOOKUP($W918,TBL_Categories,5,FALSE)</f>
        <v>None</v>
      </c>
      <c r="W918" t="str">
        <f t="shared" si="44"/>
        <v>Food &amp; Dining|Restaurants</v>
      </c>
    </row>
    <row r="919" spans="1:23" x14ac:dyDescent="0.25">
      <c r="A919" t="s">
        <v>296</v>
      </c>
      <c r="B919" s="5">
        <v>41837</v>
      </c>
      <c r="C919">
        <v>-46.87</v>
      </c>
      <c r="D919" t="s">
        <v>304</v>
      </c>
      <c r="E919" t="s">
        <v>669</v>
      </c>
      <c r="F919" t="s">
        <v>1219</v>
      </c>
      <c r="G919" t="s">
        <v>773</v>
      </c>
      <c r="J919" t="s">
        <v>1550</v>
      </c>
      <c r="K919" t="s">
        <v>61</v>
      </c>
      <c r="L919" t="s">
        <v>1530</v>
      </c>
      <c r="Q919" t="str">
        <f t="shared" si="42"/>
        <v>Jul</v>
      </c>
      <c r="R919">
        <f t="shared" si="43"/>
        <v>2014</v>
      </c>
      <c r="S919" t="str">
        <f>VLOOKUP($W919,TBL_Categories,2,FALSE)</f>
        <v>Monthly</v>
      </c>
      <c r="T919">
        <f>VLOOKUP($W919,TBL_Categories,3,FALSE)</f>
        <v>0</v>
      </c>
      <c r="U919" t="str">
        <f>VLOOKUP($W919,TBL_Categories,4,FALSE)</f>
        <v>No</v>
      </c>
      <c r="V919" t="str">
        <f>VLOOKUP($W919,TBL_Categories,5,FALSE)</f>
        <v>None</v>
      </c>
      <c r="W919" t="str">
        <f t="shared" si="44"/>
        <v>Food &amp; Dining|Restaurants</v>
      </c>
    </row>
    <row r="920" spans="1:23" x14ac:dyDescent="0.25">
      <c r="A920" t="s">
        <v>296</v>
      </c>
      <c r="B920" s="5">
        <v>41837</v>
      </c>
      <c r="C920">
        <v>-100</v>
      </c>
      <c r="D920" t="s">
        <v>304</v>
      </c>
      <c r="E920" t="s">
        <v>331</v>
      </c>
      <c r="F920" t="s">
        <v>628</v>
      </c>
      <c r="G920" t="s">
        <v>773</v>
      </c>
      <c r="J920" t="s">
        <v>1550</v>
      </c>
      <c r="K920" t="s">
        <v>61</v>
      </c>
      <c r="L920" t="s">
        <v>1530</v>
      </c>
      <c r="Q920" t="str">
        <f t="shared" si="42"/>
        <v>Jul</v>
      </c>
      <c r="R920">
        <f t="shared" si="43"/>
        <v>2014</v>
      </c>
      <c r="S920" t="str">
        <f>VLOOKUP($W920,TBL_Categories,2,FALSE)</f>
        <v>Monthly</v>
      </c>
      <c r="T920">
        <f>VLOOKUP($W920,TBL_Categories,3,FALSE)</f>
        <v>0</v>
      </c>
      <c r="U920" t="str">
        <f>VLOOKUP($W920,TBL_Categories,4,FALSE)</f>
        <v>No</v>
      </c>
      <c r="V920" t="str">
        <f>VLOOKUP($W920,TBL_Categories,5,FALSE)</f>
        <v>None</v>
      </c>
      <c r="W920" t="str">
        <f t="shared" si="44"/>
        <v>Food &amp; Dining|Restaurants</v>
      </c>
    </row>
    <row r="921" spans="1:23" x14ac:dyDescent="0.25">
      <c r="A921" t="s">
        <v>296</v>
      </c>
      <c r="B921" s="5">
        <v>41837</v>
      </c>
      <c r="C921">
        <v>-170.77</v>
      </c>
      <c r="D921" t="s">
        <v>304</v>
      </c>
      <c r="E921" t="s">
        <v>1220</v>
      </c>
      <c r="F921" t="s">
        <v>1216</v>
      </c>
      <c r="G921" t="s">
        <v>410</v>
      </c>
      <c r="K921" t="s">
        <v>75</v>
      </c>
      <c r="L921" t="s">
        <v>1570</v>
      </c>
      <c r="O921" t="s">
        <v>1612</v>
      </c>
      <c r="Q921" t="str">
        <f t="shared" si="42"/>
        <v>Jul</v>
      </c>
      <c r="R921">
        <f t="shared" si="43"/>
        <v>2014</v>
      </c>
      <c r="S921" t="str">
        <f>VLOOKUP($W921,TBL_Categories,2,FALSE)</f>
        <v>Irregular</v>
      </c>
      <c r="T921">
        <f>VLOOKUP($W921,TBL_Categories,3,FALSE)</f>
        <v>0</v>
      </c>
      <c r="U921" t="str">
        <f>VLOOKUP($W921,TBL_Categories,4,FALSE)</f>
        <v>No</v>
      </c>
      <c r="V921" t="str">
        <f>VLOOKUP($W921,TBL_Categories,5,FALSE)</f>
        <v>None</v>
      </c>
      <c r="W921" t="str">
        <f t="shared" si="44"/>
        <v>Vacation|Transportation</v>
      </c>
    </row>
    <row r="922" spans="1:23" x14ac:dyDescent="0.25">
      <c r="A922" t="s">
        <v>284</v>
      </c>
      <c r="B922" s="5">
        <v>41836</v>
      </c>
      <c r="C922">
        <v>-65</v>
      </c>
      <c r="D922" t="s">
        <v>304</v>
      </c>
      <c r="E922" t="s">
        <v>810</v>
      </c>
      <c r="F922" t="s">
        <v>334</v>
      </c>
      <c r="G922" t="s">
        <v>322</v>
      </c>
      <c r="H922">
        <v>2132</v>
      </c>
      <c r="K922" t="s">
        <v>66</v>
      </c>
      <c r="L922" t="s">
        <v>1527</v>
      </c>
      <c r="Q922" t="str">
        <f t="shared" si="42"/>
        <v>Jul</v>
      </c>
      <c r="R922">
        <f t="shared" si="43"/>
        <v>2014</v>
      </c>
      <c r="S922" t="str">
        <f>VLOOKUP($W922,TBL_Categories,2,FALSE)</f>
        <v>Monthly</v>
      </c>
      <c r="T922">
        <f>VLOOKUP($W922,TBL_Categories,3,FALSE)</f>
        <v>0</v>
      </c>
      <c r="U922" t="str">
        <f>VLOOKUP($W922,TBL_Categories,4,FALSE)</f>
        <v>No</v>
      </c>
      <c r="V922" t="str">
        <f>VLOOKUP($W922,TBL_Categories,5,FALSE)</f>
        <v>None</v>
      </c>
      <c r="W922" t="str">
        <f t="shared" si="44"/>
        <v>Kids|Babysitter</v>
      </c>
    </row>
    <row r="923" spans="1:23" x14ac:dyDescent="0.25">
      <c r="A923" t="s">
        <v>284</v>
      </c>
      <c r="B923" s="5">
        <v>41835</v>
      </c>
      <c r="C923">
        <v>-51.08</v>
      </c>
      <c r="D923" t="s">
        <v>304</v>
      </c>
      <c r="E923" t="s">
        <v>324</v>
      </c>
      <c r="F923" t="s">
        <v>809</v>
      </c>
      <c r="G923" t="s">
        <v>313</v>
      </c>
      <c r="K923" t="s">
        <v>54</v>
      </c>
      <c r="L923" t="s">
        <v>1521</v>
      </c>
      <c r="Q923" t="str">
        <f t="shared" si="42"/>
        <v>Jul</v>
      </c>
      <c r="R923">
        <f t="shared" si="43"/>
        <v>2014</v>
      </c>
      <c r="S923" t="str">
        <f>VLOOKUP($W923,TBL_Categories,2,FALSE)</f>
        <v>Monthly</v>
      </c>
      <c r="T923">
        <f>VLOOKUP($W923,TBL_Categories,3,FALSE)</f>
        <v>0</v>
      </c>
      <c r="U923" t="str">
        <f>VLOOKUP($W923,TBL_Categories,4,FALSE)</f>
        <v>No</v>
      </c>
      <c r="V923" t="str">
        <f>VLOOKUP($W923,TBL_Categories,5,FALSE)</f>
        <v>None</v>
      </c>
      <c r="W923" t="str">
        <f t="shared" si="44"/>
        <v>Bills &amp; Utilities|Utilities</v>
      </c>
    </row>
    <row r="924" spans="1:23" x14ac:dyDescent="0.25">
      <c r="A924" t="s">
        <v>296</v>
      </c>
      <c r="B924" s="5">
        <v>41835</v>
      </c>
      <c r="C924">
        <v>25</v>
      </c>
      <c r="D924" t="s">
        <v>304</v>
      </c>
      <c r="E924" t="s">
        <v>429</v>
      </c>
      <c r="F924" t="s">
        <v>427</v>
      </c>
      <c r="G924" t="s">
        <v>14</v>
      </c>
      <c r="K924" t="s">
        <v>14</v>
      </c>
      <c r="Q924" t="str">
        <f t="shared" si="42"/>
        <v>Jul</v>
      </c>
      <c r="R924">
        <f t="shared" si="43"/>
        <v>2014</v>
      </c>
      <c r="S924" t="str">
        <f>VLOOKUP($W924,TBL_Categories,2,FALSE)</f>
        <v>Monthly</v>
      </c>
      <c r="T924">
        <f>VLOOKUP($W924,TBL_Categories,3,FALSE)</f>
        <v>0</v>
      </c>
      <c r="U924" t="str">
        <f>VLOOKUP($W924,TBL_Categories,4,FALSE)</f>
        <v>No</v>
      </c>
      <c r="V924" t="str">
        <f>VLOOKUP($W924,TBL_Categories,5,FALSE)</f>
        <v>None</v>
      </c>
      <c r="W924" t="str">
        <f t="shared" si="44"/>
        <v>Other Inc</v>
      </c>
    </row>
    <row r="925" spans="1:23" x14ac:dyDescent="0.25">
      <c r="A925" t="s">
        <v>296</v>
      </c>
      <c r="B925" s="5">
        <v>41835</v>
      </c>
      <c r="C925">
        <v>-298</v>
      </c>
      <c r="D925" t="s">
        <v>304</v>
      </c>
      <c r="E925" t="s">
        <v>600</v>
      </c>
      <c r="F925" t="s">
        <v>1216</v>
      </c>
      <c r="G925" t="s">
        <v>410</v>
      </c>
      <c r="K925" t="s">
        <v>75</v>
      </c>
      <c r="L925" t="s">
        <v>1570</v>
      </c>
      <c r="O925" t="s">
        <v>1612</v>
      </c>
      <c r="Q925" t="str">
        <f t="shared" si="42"/>
        <v>Jul</v>
      </c>
      <c r="R925">
        <f t="shared" si="43"/>
        <v>2014</v>
      </c>
      <c r="S925" t="str">
        <f>VLOOKUP($W925,TBL_Categories,2,FALSE)</f>
        <v>Irregular</v>
      </c>
      <c r="T925">
        <f>VLOOKUP($W925,TBL_Categories,3,FALSE)</f>
        <v>0</v>
      </c>
      <c r="U925" t="str">
        <f>VLOOKUP($W925,TBL_Categories,4,FALSE)</f>
        <v>No</v>
      </c>
      <c r="V925" t="str">
        <f>VLOOKUP($W925,TBL_Categories,5,FALSE)</f>
        <v>None</v>
      </c>
      <c r="W925" t="str">
        <f t="shared" si="44"/>
        <v>Vacation|Transportation</v>
      </c>
    </row>
    <row r="926" spans="1:23" x14ac:dyDescent="0.25">
      <c r="A926" t="s">
        <v>284</v>
      </c>
      <c r="B926" s="5">
        <v>41834</v>
      </c>
      <c r="C926" s="4">
        <v>3165.2</v>
      </c>
      <c r="D926" t="s">
        <v>304</v>
      </c>
      <c r="E926" t="s">
        <v>361</v>
      </c>
      <c r="F926" t="s">
        <v>312</v>
      </c>
      <c r="G926" t="s">
        <v>12</v>
      </c>
      <c r="K926" t="s">
        <v>12</v>
      </c>
      <c r="Q926" t="str">
        <f t="shared" si="42"/>
        <v>Jul</v>
      </c>
      <c r="R926">
        <f t="shared" si="43"/>
        <v>2014</v>
      </c>
      <c r="S926" t="str">
        <f>VLOOKUP($W926,TBL_Categories,2,FALSE)</f>
        <v>Monthly</v>
      </c>
      <c r="T926">
        <f>VLOOKUP($W926,TBL_Categories,3,FALSE)</f>
        <v>0</v>
      </c>
      <c r="U926" t="str">
        <f>VLOOKUP($W926,TBL_Categories,4,FALSE)</f>
        <v>No</v>
      </c>
      <c r="V926" t="str">
        <f>VLOOKUP($W926,TBL_Categories,5,FALSE)</f>
        <v>None</v>
      </c>
      <c r="W926" t="str">
        <f t="shared" si="44"/>
        <v>Net Salary</v>
      </c>
    </row>
    <row r="927" spans="1:23" x14ac:dyDescent="0.25">
      <c r="A927" t="s">
        <v>284</v>
      </c>
      <c r="B927" s="5">
        <v>41834</v>
      </c>
      <c r="C927">
        <v>-105.38</v>
      </c>
      <c r="D927" t="s">
        <v>304</v>
      </c>
      <c r="E927" t="s">
        <v>323</v>
      </c>
      <c r="F927" t="s">
        <v>343</v>
      </c>
      <c r="G927" t="s">
        <v>313</v>
      </c>
      <c r="K927" t="s">
        <v>54</v>
      </c>
      <c r="L927" t="s">
        <v>1521</v>
      </c>
      <c r="Q927" t="str">
        <f t="shared" si="42"/>
        <v>Jul</v>
      </c>
      <c r="R927">
        <f t="shared" si="43"/>
        <v>2014</v>
      </c>
      <c r="S927" t="str">
        <f>VLOOKUP($W927,TBL_Categories,2,FALSE)</f>
        <v>Monthly</v>
      </c>
      <c r="T927">
        <f>VLOOKUP($W927,TBL_Categories,3,FALSE)</f>
        <v>0</v>
      </c>
      <c r="U927" t="str">
        <f>VLOOKUP($W927,TBL_Categories,4,FALSE)</f>
        <v>No</v>
      </c>
      <c r="V927" t="str">
        <f>VLOOKUP($W927,TBL_Categories,5,FALSE)</f>
        <v>None</v>
      </c>
      <c r="W927" t="str">
        <f t="shared" si="44"/>
        <v>Bills &amp; Utilities|Utilities</v>
      </c>
    </row>
    <row r="928" spans="1:23" x14ac:dyDescent="0.25">
      <c r="A928" t="s">
        <v>296</v>
      </c>
      <c r="B928" s="5">
        <v>41834</v>
      </c>
      <c r="C928">
        <v>-15.86</v>
      </c>
      <c r="D928" t="s">
        <v>304</v>
      </c>
      <c r="E928" t="s">
        <v>431</v>
      </c>
      <c r="F928" t="s">
        <v>492</v>
      </c>
      <c r="G928" t="s">
        <v>432</v>
      </c>
      <c r="K928" t="s">
        <v>52</v>
      </c>
      <c r="L928" t="s">
        <v>1577</v>
      </c>
      <c r="Q928" t="str">
        <f t="shared" si="42"/>
        <v>Jul</v>
      </c>
      <c r="R928">
        <f t="shared" si="43"/>
        <v>2014</v>
      </c>
      <c r="S928" t="str">
        <f>VLOOKUP($W928,TBL_Categories,2,FALSE)</f>
        <v>Monthly</v>
      </c>
      <c r="T928">
        <f>VLOOKUP($W928,TBL_Categories,3,FALSE)</f>
        <v>0</v>
      </c>
      <c r="U928" t="str">
        <f>VLOOKUP($W928,TBL_Categories,4,FALSE)</f>
        <v>No</v>
      </c>
      <c r="V928" t="str">
        <f>VLOOKUP($W928,TBL_Categories,5,FALSE)</f>
        <v>None</v>
      </c>
      <c r="W928" t="str">
        <f t="shared" si="44"/>
        <v>Auto &amp; Transport|Parking</v>
      </c>
    </row>
    <row r="929" spans="1:23" x14ac:dyDescent="0.25">
      <c r="A929" t="s">
        <v>294</v>
      </c>
      <c r="B929" s="5">
        <v>41833</v>
      </c>
      <c r="C929">
        <v>-146.97999999999999</v>
      </c>
      <c r="D929" t="s">
        <v>304</v>
      </c>
      <c r="E929" t="s">
        <v>335</v>
      </c>
      <c r="G929" t="s">
        <v>336</v>
      </c>
      <c r="K929" t="s">
        <v>55</v>
      </c>
      <c r="L929" t="s">
        <v>1532</v>
      </c>
      <c r="Q929" t="str">
        <f t="shared" si="42"/>
        <v>Jul</v>
      </c>
      <c r="R929">
        <f t="shared" si="43"/>
        <v>2014</v>
      </c>
      <c r="S929" t="str">
        <f>VLOOKUP($W929,TBL_Categories,2,FALSE)</f>
        <v>Monthly</v>
      </c>
      <c r="T929">
        <f>VLOOKUP($W929,TBL_Categories,3,FALSE)</f>
        <v>0</v>
      </c>
      <c r="U929" t="str">
        <f>VLOOKUP($W929,TBL_Categories,4,FALSE)</f>
        <v>No</v>
      </c>
      <c r="V929" t="str">
        <f>VLOOKUP($W929,TBL_Categories,5,FALSE)</f>
        <v>None</v>
      </c>
      <c r="W929" t="str">
        <f t="shared" si="44"/>
        <v>Business Expenses (Koolikai)|Cell Phone</v>
      </c>
    </row>
    <row r="930" spans="1:23" x14ac:dyDescent="0.25">
      <c r="A930" t="s">
        <v>296</v>
      </c>
      <c r="B930" s="5">
        <v>41833</v>
      </c>
      <c r="C930">
        <v>-13.13</v>
      </c>
      <c r="D930" t="s">
        <v>304</v>
      </c>
      <c r="E930" t="s">
        <v>439</v>
      </c>
      <c r="F930" t="s">
        <v>1212</v>
      </c>
      <c r="G930" t="s">
        <v>887</v>
      </c>
      <c r="J930" t="s">
        <v>1550</v>
      </c>
      <c r="K930" t="s">
        <v>61</v>
      </c>
      <c r="L930" t="s">
        <v>401</v>
      </c>
      <c r="Q930" t="str">
        <f t="shared" si="42"/>
        <v>Jul</v>
      </c>
      <c r="R930">
        <f t="shared" si="43"/>
        <v>2014</v>
      </c>
      <c r="S930" t="str">
        <f>VLOOKUP($W930,TBL_Categories,2,FALSE)</f>
        <v>Monthly</v>
      </c>
      <c r="T930">
        <f>VLOOKUP($W930,TBL_Categories,3,FALSE)</f>
        <v>0</v>
      </c>
      <c r="U930" t="str">
        <f>VLOOKUP($W930,TBL_Categories,4,FALSE)</f>
        <v>No</v>
      </c>
      <c r="V930" t="str">
        <f>VLOOKUP($W930,TBL_Categories,5,FALSE)</f>
        <v>None</v>
      </c>
      <c r="W930" t="str">
        <f t="shared" si="44"/>
        <v>Food &amp; Dining|Groceries</v>
      </c>
    </row>
    <row r="931" spans="1:23" x14ac:dyDescent="0.25">
      <c r="A931" t="s">
        <v>296</v>
      </c>
      <c r="B931" s="5">
        <v>41833</v>
      </c>
      <c r="C931">
        <v>-16.43</v>
      </c>
      <c r="D931" t="s">
        <v>304</v>
      </c>
      <c r="E931" t="s">
        <v>433</v>
      </c>
      <c r="F931" t="s">
        <v>475</v>
      </c>
      <c r="G931" t="s">
        <v>887</v>
      </c>
      <c r="J931" t="s">
        <v>1550</v>
      </c>
      <c r="K931" t="s">
        <v>61</v>
      </c>
      <c r="L931" t="s">
        <v>401</v>
      </c>
      <c r="Q931" t="str">
        <f t="shared" si="42"/>
        <v>Jul</v>
      </c>
      <c r="R931">
        <f t="shared" si="43"/>
        <v>2014</v>
      </c>
      <c r="S931" t="str">
        <f>VLOOKUP($W931,TBL_Categories,2,FALSE)</f>
        <v>Monthly</v>
      </c>
      <c r="T931">
        <f>VLOOKUP($W931,TBL_Categories,3,FALSE)</f>
        <v>0</v>
      </c>
      <c r="U931" t="str">
        <f>VLOOKUP($W931,TBL_Categories,4,FALSE)</f>
        <v>No</v>
      </c>
      <c r="V931" t="str">
        <f>VLOOKUP($W931,TBL_Categories,5,FALSE)</f>
        <v>None</v>
      </c>
      <c r="W931" t="str">
        <f t="shared" si="44"/>
        <v>Food &amp; Dining|Groceries</v>
      </c>
    </row>
    <row r="932" spans="1:23" x14ac:dyDescent="0.25">
      <c r="A932" t="s">
        <v>296</v>
      </c>
      <c r="B932" s="5">
        <v>41833</v>
      </c>
      <c r="C932">
        <v>-19.510000000000002</v>
      </c>
      <c r="D932" t="s">
        <v>304</v>
      </c>
      <c r="E932" t="s">
        <v>461</v>
      </c>
      <c r="F932" t="s">
        <v>1213</v>
      </c>
      <c r="G932" t="s">
        <v>333</v>
      </c>
      <c r="K932" t="s">
        <v>61</v>
      </c>
      <c r="L932" t="s">
        <v>1530</v>
      </c>
      <c r="Q932" t="str">
        <f t="shared" si="42"/>
        <v>Jul</v>
      </c>
      <c r="R932">
        <f t="shared" si="43"/>
        <v>2014</v>
      </c>
      <c r="S932" t="str">
        <f>VLOOKUP($W932,TBL_Categories,2,FALSE)</f>
        <v>Monthly</v>
      </c>
      <c r="T932">
        <f>VLOOKUP($W932,TBL_Categories,3,FALSE)</f>
        <v>0</v>
      </c>
      <c r="U932" t="str">
        <f>VLOOKUP($W932,TBL_Categories,4,FALSE)</f>
        <v>No</v>
      </c>
      <c r="V932" t="str">
        <f>VLOOKUP($W932,TBL_Categories,5,FALSE)</f>
        <v>None</v>
      </c>
      <c r="W932" t="str">
        <f t="shared" si="44"/>
        <v>Food &amp; Dining|Restaurants</v>
      </c>
    </row>
    <row r="933" spans="1:23" x14ac:dyDescent="0.25">
      <c r="A933" t="s">
        <v>296</v>
      </c>
      <c r="B933" s="5">
        <v>41833</v>
      </c>
      <c r="C933">
        <v>-21.88</v>
      </c>
      <c r="D933" t="s">
        <v>304</v>
      </c>
      <c r="E933" t="s">
        <v>531</v>
      </c>
      <c r="F933" t="s">
        <v>1214</v>
      </c>
      <c r="G933" t="s">
        <v>1046</v>
      </c>
      <c r="J933" t="s">
        <v>1550</v>
      </c>
      <c r="K933" t="s">
        <v>55</v>
      </c>
      <c r="L933" t="s">
        <v>1553</v>
      </c>
      <c r="Q933" t="str">
        <f t="shared" si="42"/>
        <v>Jul</v>
      </c>
      <c r="R933">
        <f t="shared" si="43"/>
        <v>2014</v>
      </c>
      <c r="S933" t="str">
        <f>VLOOKUP($W933,TBL_Categories,2,FALSE)</f>
        <v>Monthly</v>
      </c>
      <c r="T933">
        <f>VLOOKUP($W933,TBL_Categories,3,FALSE)</f>
        <v>0</v>
      </c>
      <c r="U933" t="str">
        <f>VLOOKUP($W933,TBL_Categories,4,FALSE)</f>
        <v>No</v>
      </c>
      <c r="V933" t="str">
        <f>VLOOKUP($W933,TBL_Categories,5,FALSE)</f>
        <v>None</v>
      </c>
      <c r="W933" t="str">
        <f t="shared" si="44"/>
        <v>Business Expenses (Koolikai)|Office Expenses (Business)</v>
      </c>
    </row>
    <row r="934" spans="1:23" x14ac:dyDescent="0.25">
      <c r="A934" t="s">
        <v>296</v>
      </c>
      <c r="B934" s="5">
        <v>41833</v>
      </c>
      <c r="C934">
        <v>-24.16</v>
      </c>
      <c r="D934" t="s">
        <v>304</v>
      </c>
      <c r="E934" t="s">
        <v>434</v>
      </c>
      <c r="F934" t="s">
        <v>476</v>
      </c>
      <c r="G934" t="s">
        <v>887</v>
      </c>
      <c r="J934" t="s">
        <v>1550</v>
      </c>
      <c r="K934" t="s">
        <v>61</v>
      </c>
      <c r="L934" t="s">
        <v>401</v>
      </c>
      <c r="Q934" t="str">
        <f t="shared" si="42"/>
        <v>Jul</v>
      </c>
      <c r="R934">
        <f t="shared" si="43"/>
        <v>2014</v>
      </c>
      <c r="S934" t="str">
        <f>VLOOKUP($W934,TBL_Categories,2,FALSE)</f>
        <v>Monthly</v>
      </c>
      <c r="T934">
        <f>VLOOKUP($W934,TBL_Categories,3,FALSE)</f>
        <v>0</v>
      </c>
      <c r="U934" t="str">
        <f>VLOOKUP($W934,TBL_Categories,4,FALSE)</f>
        <v>No</v>
      </c>
      <c r="V934" t="str">
        <f>VLOOKUP($W934,TBL_Categories,5,FALSE)</f>
        <v>None</v>
      </c>
      <c r="W934" t="str">
        <f t="shared" si="44"/>
        <v>Food &amp; Dining|Groceries</v>
      </c>
    </row>
    <row r="935" spans="1:23" x14ac:dyDescent="0.25">
      <c r="A935" t="s">
        <v>296</v>
      </c>
      <c r="B935" s="5">
        <v>41833</v>
      </c>
      <c r="C935">
        <v>-4.92</v>
      </c>
      <c r="D935" t="s">
        <v>304</v>
      </c>
      <c r="E935" t="s">
        <v>433</v>
      </c>
      <c r="F935" t="s">
        <v>481</v>
      </c>
      <c r="G935" t="s">
        <v>1020</v>
      </c>
      <c r="I935" t="s">
        <v>272</v>
      </c>
      <c r="J935" t="s">
        <v>1550</v>
      </c>
      <c r="K935" t="s">
        <v>66</v>
      </c>
      <c r="L935" t="s">
        <v>1536</v>
      </c>
      <c r="Q935" t="str">
        <f t="shared" si="42"/>
        <v>Jul</v>
      </c>
      <c r="R935">
        <f t="shared" si="43"/>
        <v>2014</v>
      </c>
      <c r="S935" t="str">
        <f>VLOOKUP($W935,TBL_Categories,2,FALSE)</f>
        <v>Monthly</v>
      </c>
      <c r="T935">
        <f>VLOOKUP($W935,TBL_Categories,3,FALSE)</f>
        <v>0</v>
      </c>
      <c r="U935" t="str">
        <f>VLOOKUP($W935,TBL_Categories,4,FALSE)</f>
        <v>No</v>
      </c>
      <c r="V935" t="str">
        <f>VLOOKUP($W935,TBL_Categories,5,FALSE)</f>
        <v>None</v>
      </c>
      <c r="W935" t="str">
        <f t="shared" si="44"/>
        <v>Kids|Toys</v>
      </c>
    </row>
    <row r="936" spans="1:23" x14ac:dyDescent="0.25">
      <c r="A936" t="s">
        <v>296</v>
      </c>
      <c r="B936" s="5">
        <v>41833</v>
      </c>
      <c r="C936">
        <v>-3.27</v>
      </c>
      <c r="D936" t="s">
        <v>304</v>
      </c>
      <c r="E936" t="s">
        <v>433</v>
      </c>
      <c r="F936" t="s">
        <v>1215</v>
      </c>
      <c r="G936" t="s">
        <v>888</v>
      </c>
      <c r="I936" t="s">
        <v>272</v>
      </c>
      <c r="J936" t="s">
        <v>1550</v>
      </c>
      <c r="K936" t="s">
        <v>63</v>
      </c>
      <c r="L936" t="s">
        <v>1546</v>
      </c>
      <c r="Q936" t="str">
        <f t="shared" si="42"/>
        <v>Jul</v>
      </c>
      <c r="R936">
        <f t="shared" si="43"/>
        <v>2014</v>
      </c>
      <c r="S936" t="str">
        <f>VLOOKUP($W936,TBL_Categories,2,FALSE)</f>
        <v>Monthly</v>
      </c>
      <c r="T936">
        <f>VLOOKUP($W936,TBL_Categories,3,FALSE)</f>
        <v>0</v>
      </c>
      <c r="U936" t="str">
        <f>VLOOKUP($W936,TBL_Categories,4,FALSE)</f>
        <v>No</v>
      </c>
      <c r="V936" t="str">
        <f>VLOOKUP($W936,TBL_Categories,5,FALSE)</f>
        <v>None</v>
      </c>
      <c r="W936" t="str">
        <f t="shared" si="44"/>
        <v>Home|Furnishings</v>
      </c>
    </row>
    <row r="937" spans="1:23" x14ac:dyDescent="0.25">
      <c r="A937" t="s">
        <v>296</v>
      </c>
      <c r="B937" s="5">
        <v>41833</v>
      </c>
      <c r="C937">
        <v>-69.760000000000005</v>
      </c>
      <c r="D937" t="s">
        <v>304</v>
      </c>
      <c r="E937" t="s">
        <v>433</v>
      </c>
      <c r="G937" t="s">
        <v>887</v>
      </c>
      <c r="I937" t="s">
        <v>272</v>
      </c>
      <c r="J937" t="s">
        <v>1550</v>
      </c>
      <c r="K937" t="s">
        <v>61</v>
      </c>
      <c r="L937" t="s">
        <v>401</v>
      </c>
      <c r="Q937" t="str">
        <f t="shared" si="42"/>
        <v>Jul</v>
      </c>
      <c r="R937">
        <f t="shared" si="43"/>
        <v>2014</v>
      </c>
      <c r="S937" t="str">
        <f>VLOOKUP($W937,TBL_Categories,2,FALSE)</f>
        <v>Monthly</v>
      </c>
      <c r="T937">
        <f>VLOOKUP($W937,TBL_Categories,3,FALSE)</f>
        <v>0</v>
      </c>
      <c r="U937" t="str">
        <f>VLOOKUP($W937,TBL_Categories,4,FALSE)</f>
        <v>No</v>
      </c>
      <c r="V937" t="str">
        <f>VLOOKUP($W937,TBL_Categories,5,FALSE)</f>
        <v>None</v>
      </c>
      <c r="W937" t="str">
        <f t="shared" si="44"/>
        <v>Food &amp; Dining|Groceries</v>
      </c>
    </row>
    <row r="938" spans="1:23" x14ac:dyDescent="0.25">
      <c r="A938" t="s">
        <v>290</v>
      </c>
      <c r="B938" s="5">
        <v>41832</v>
      </c>
      <c r="C938">
        <v>-2</v>
      </c>
      <c r="D938" t="s">
        <v>304</v>
      </c>
      <c r="E938" t="s">
        <v>428</v>
      </c>
      <c r="G938" t="s">
        <v>882</v>
      </c>
      <c r="I938" t="s">
        <v>272</v>
      </c>
      <c r="J938" t="s">
        <v>1550</v>
      </c>
      <c r="K938" t="s">
        <v>53</v>
      </c>
      <c r="L938" t="s">
        <v>1562</v>
      </c>
      <c r="Q938" t="str">
        <f t="shared" si="42"/>
        <v>Jul</v>
      </c>
      <c r="R938">
        <f t="shared" si="43"/>
        <v>2014</v>
      </c>
      <c r="S938" t="str">
        <f>VLOOKUP($W938,TBL_Categories,2,FALSE)</f>
        <v>Monthly</v>
      </c>
      <c r="T938">
        <f>VLOOKUP($W938,TBL_Categories,3,FALSE)</f>
        <v>0</v>
      </c>
      <c r="U938" t="str">
        <f>VLOOKUP($W938,TBL_Categories,4,FALSE)</f>
        <v>No</v>
      </c>
      <c r="V938" t="str">
        <f>VLOOKUP($W938,TBL_Categories,5,FALSE)</f>
        <v>None</v>
      </c>
      <c r="W938" t="str">
        <f t="shared" si="44"/>
        <v>Bank Fees &amp; Charges|ATM Fee</v>
      </c>
    </row>
    <row r="939" spans="1:23" x14ac:dyDescent="0.25">
      <c r="A939" t="s">
        <v>290</v>
      </c>
      <c r="B939" s="5">
        <v>41832</v>
      </c>
      <c r="C939">
        <v>-15</v>
      </c>
      <c r="D939" t="s">
        <v>304</v>
      </c>
      <c r="E939" t="s">
        <v>428</v>
      </c>
      <c r="F939" t="s">
        <v>899</v>
      </c>
      <c r="G939" t="s">
        <v>900</v>
      </c>
      <c r="I939" t="s">
        <v>272</v>
      </c>
      <c r="J939" t="s">
        <v>1550</v>
      </c>
      <c r="K939" t="s">
        <v>72</v>
      </c>
      <c r="L939" t="s">
        <v>1565</v>
      </c>
      <c r="M939" t="s">
        <v>1566</v>
      </c>
      <c r="Q939" t="str">
        <f t="shared" si="42"/>
        <v>Jul</v>
      </c>
      <c r="R939">
        <f t="shared" si="43"/>
        <v>2014</v>
      </c>
      <c r="S939" t="str">
        <f>VLOOKUP($W939,TBL_Categories,2,FALSE)</f>
        <v>Annual</v>
      </c>
      <c r="T939">
        <f>VLOOKUP($W939,TBL_Categories,3,FALSE)</f>
        <v>0</v>
      </c>
      <c r="U939" t="str">
        <f>VLOOKUP($W939,TBL_Categories,4,FALSE)</f>
        <v>No</v>
      </c>
      <c r="V939" t="str">
        <f>VLOOKUP($W939,TBL_Categories,5,FALSE)</f>
        <v>None</v>
      </c>
      <c r="W939" t="str">
        <f t="shared" si="44"/>
        <v>Shopping|Hobbies</v>
      </c>
    </row>
    <row r="940" spans="1:23" x14ac:dyDescent="0.25">
      <c r="A940" t="s">
        <v>290</v>
      </c>
      <c r="B940" s="5">
        <v>41832</v>
      </c>
      <c r="C940">
        <v>-5</v>
      </c>
      <c r="D940" t="s">
        <v>304</v>
      </c>
      <c r="E940" t="s">
        <v>428</v>
      </c>
      <c r="G940" t="s">
        <v>773</v>
      </c>
      <c r="I940" t="s">
        <v>272</v>
      </c>
      <c r="J940" t="s">
        <v>1550</v>
      </c>
      <c r="K940" t="s">
        <v>61</v>
      </c>
      <c r="L940" t="s">
        <v>1530</v>
      </c>
      <c r="Q940" t="str">
        <f t="shared" si="42"/>
        <v>Jul</v>
      </c>
      <c r="R940">
        <f t="shared" si="43"/>
        <v>2014</v>
      </c>
      <c r="S940" t="str">
        <f>VLOOKUP($W940,TBL_Categories,2,FALSE)</f>
        <v>Monthly</v>
      </c>
      <c r="T940">
        <f>VLOOKUP($W940,TBL_Categories,3,FALSE)</f>
        <v>0</v>
      </c>
      <c r="U940" t="str">
        <f>VLOOKUP($W940,TBL_Categories,4,FALSE)</f>
        <v>No</v>
      </c>
      <c r="V940" t="str">
        <f>VLOOKUP($W940,TBL_Categories,5,FALSE)</f>
        <v>None</v>
      </c>
      <c r="W940" t="str">
        <f t="shared" si="44"/>
        <v>Food &amp; Dining|Restaurants</v>
      </c>
    </row>
    <row r="941" spans="1:23" x14ac:dyDescent="0.25">
      <c r="A941" t="s">
        <v>290</v>
      </c>
      <c r="B941" s="5">
        <v>41832</v>
      </c>
      <c r="C941">
        <v>-40</v>
      </c>
      <c r="D941" t="s">
        <v>304</v>
      </c>
      <c r="E941" t="s">
        <v>651</v>
      </c>
      <c r="F941" t="s">
        <v>901</v>
      </c>
      <c r="G941" t="s">
        <v>333</v>
      </c>
      <c r="I941" t="s">
        <v>272</v>
      </c>
      <c r="K941" t="s">
        <v>61</v>
      </c>
      <c r="L941" t="s">
        <v>1530</v>
      </c>
      <c r="Q941" t="str">
        <f t="shared" si="42"/>
        <v>Jul</v>
      </c>
      <c r="R941">
        <f t="shared" si="43"/>
        <v>2014</v>
      </c>
      <c r="S941" t="str">
        <f>VLOOKUP($W941,TBL_Categories,2,FALSE)</f>
        <v>Monthly</v>
      </c>
      <c r="T941">
        <f>VLOOKUP($W941,TBL_Categories,3,FALSE)</f>
        <v>0</v>
      </c>
      <c r="U941" t="str">
        <f>VLOOKUP($W941,TBL_Categories,4,FALSE)</f>
        <v>No</v>
      </c>
      <c r="V941" t="str">
        <f>VLOOKUP($W941,TBL_Categories,5,FALSE)</f>
        <v>None</v>
      </c>
      <c r="W941" t="str">
        <f t="shared" si="44"/>
        <v>Food &amp; Dining|Restaurants</v>
      </c>
    </row>
    <row r="942" spans="1:23" x14ac:dyDescent="0.25">
      <c r="A942" t="s">
        <v>290</v>
      </c>
      <c r="B942" s="5">
        <v>41832</v>
      </c>
      <c r="C942">
        <v>-3</v>
      </c>
      <c r="D942" t="s">
        <v>304</v>
      </c>
      <c r="E942" t="s">
        <v>651</v>
      </c>
      <c r="G942" t="s">
        <v>397</v>
      </c>
      <c r="I942" t="s">
        <v>272</v>
      </c>
      <c r="K942" t="s">
        <v>53</v>
      </c>
      <c r="L942" t="s">
        <v>1562</v>
      </c>
      <c r="Q942" t="str">
        <f t="shared" si="42"/>
        <v>Jul</v>
      </c>
      <c r="R942">
        <f t="shared" si="43"/>
        <v>2014</v>
      </c>
      <c r="S942" t="str">
        <f>VLOOKUP($W942,TBL_Categories,2,FALSE)</f>
        <v>Monthly</v>
      </c>
      <c r="T942">
        <f>VLOOKUP($W942,TBL_Categories,3,FALSE)</f>
        <v>0</v>
      </c>
      <c r="U942" t="str">
        <f>VLOOKUP($W942,TBL_Categories,4,FALSE)</f>
        <v>No</v>
      </c>
      <c r="V942" t="str">
        <f>VLOOKUP($W942,TBL_Categories,5,FALSE)</f>
        <v>None</v>
      </c>
      <c r="W942" t="str">
        <f t="shared" si="44"/>
        <v>Bank Fees &amp; Charges|ATM Fee</v>
      </c>
    </row>
    <row r="943" spans="1:23" x14ac:dyDescent="0.25">
      <c r="A943" t="s">
        <v>296</v>
      </c>
      <c r="B943" s="5">
        <v>41832</v>
      </c>
      <c r="C943">
        <v>-1.1000000000000001</v>
      </c>
      <c r="D943" t="s">
        <v>304</v>
      </c>
      <c r="E943" t="s">
        <v>1208</v>
      </c>
      <c r="F943" t="s">
        <v>1209</v>
      </c>
      <c r="G943" t="s">
        <v>432</v>
      </c>
      <c r="K943" t="s">
        <v>52</v>
      </c>
      <c r="L943" t="s">
        <v>1577</v>
      </c>
      <c r="Q943" t="str">
        <f t="shared" si="42"/>
        <v>Jul</v>
      </c>
      <c r="R943">
        <f t="shared" si="43"/>
        <v>2014</v>
      </c>
      <c r="S943" t="str">
        <f>VLOOKUP($W943,TBL_Categories,2,FALSE)</f>
        <v>Monthly</v>
      </c>
      <c r="T943">
        <f>VLOOKUP($W943,TBL_Categories,3,FALSE)</f>
        <v>0</v>
      </c>
      <c r="U943" t="str">
        <f>VLOOKUP($W943,TBL_Categories,4,FALSE)</f>
        <v>No</v>
      </c>
      <c r="V943" t="str">
        <f>VLOOKUP($W943,TBL_Categories,5,FALSE)</f>
        <v>None</v>
      </c>
      <c r="W943" t="str">
        <f t="shared" si="44"/>
        <v>Auto &amp; Transport|Parking</v>
      </c>
    </row>
    <row r="944" spans="1:23" x14ac:dyDescent="0.25">
      <c r="A944" t="s">
        <v>296</v>
      </c>
      <c r="B944" s="5">
        <v>41832</v>
      </c>
      <c r="C944">
        <v>-3.85</v>
      </c>
      <c r="D944" t="s">
        <v>304</v>
      </c>
      <c r="E944" t="s">
        <v>697</v>
      </c>
      <c r="F944" t="s">
        <v>734</v>
      </c>
      <c r="G944" t="s">
        <v>333</v>
      </c>
      <c r="K944" t="s">
        <v>61</v>
      </c>
      <c r="L944" t="s">
        <v>1530</v>
      </c>
      <c r="Q944" t="str">
        <f t="shared" si="42"/>
        <v>Jul</v>
      </c>
      <c r="R944">
        <f t="shared" si="43"/>
        <v>2014</v>
      </c>
      <c r="S944" t="str">
        <f>VLOOKUP($W944,TBL_Categories,2,FALSE)</f>
        <v>Monthly</v>
      </c>
      <c r="T944">
        <f>VLOOKUP($W944,TBL_Categories,3,FALSE)</f>
        <v>0</v>
      </c>
      <c r="U944" t="str">
        <f>VLOOKUP($W944,TBL_Categories,4,FALSE)</f>
        <v>No</v>
      </c>
      <c r="V944" t="str">
        <f>VLOOKUP($W944,TBL_Categories,5,FALSE)</f>
        <v>None</v>
      </c>
      <c r="W944" t="str">
        <f t="shared" si="44"/>
        <v>Food &amp; Dining|Restaurants</v>
      </c>
    </row>
    <row r="945" spans="1:23" x14ac:dyDescent="0.25">
      <c r="A945" t="s">
        <v>296</v>
      </c>
      <c r="B945" s="5">
        <v>41832</v>
      </c>
      <c r="C945">
        <v>-85.47</v>
      </c>
      <c r="D945" t="s">
        <v>304</v>
      </c>
      <c r="E945" t="s">
        <v>991</v>
      </c>
      <c r="F945" t="s">
        <v>1096</v>
      </c>
      <c r="G945" t="s">
        <v>398</v>
      </c>
      <c r="K945" t="s">
        <v>70</v>
      </c>
      <c r="L945" t="s">
        <v>1563</v>
      </c>
      <c r="Q945" t="str">
        <f t="shared" si="42"/>
        <v>Jul</v>
      </c>
      <c r="R945">
        <f t="shared" si="43"/>
        <v>2014</v>
      </c>
      <c r="S945" t="str">
        <f>VLOOKUP($W945,TBL_Categories,2,FALSE)</f>
        <v>Monthly</v>
      </c>
      <c r="T945">
        <f>VLOOKUP($W945,TBL_Categories,3,FALSE)</f>
        <v>0</v>
      </c>
      <c r="U945" t="str">
        <f>VLOOKUP($W945,TBL_Categories,4,FALSE)</f>
        <v>No</v>
      </c>
      <c r="V945" t="str">
        <f>VLOOKUP($W945,TBL_Categories,5,FALSE)</f>
        <v>None</v>
      </c>
      <c r="W945" t="str">
        <f t="shared" si="44"/>
        <v>Personal Care|Hair</v>
      </c>
    </row>
    <row r="946" spans="1:23" x14ac:dyDescent="0.25">
      <c r="A946" t="s">
        <v>296</v>
      </c>
      <c r="B946" s="5">
        <v>41832</v>
      </c>
      <c r="C946">
        <v>-115.45</v>
      </c>
      <c r="D946" t="s">
        <v>304</v>
      </c>
      <c r="E946" t="s">
        <v>1210</v>
      </c>
      <c r="F946" t="s">
        <v>1211</v>
      </c>
      <c r="G946" t="s">
        <v>773</v>
      </c>
      <c r="J946" t="s">
        <v>1550</v>
      </c>
      <c r="K946" t="s">
        <v>61</v>
      </c>
      <c r="L946" t="s">
        <v>1530</v>
      </c>
      <c r="Q946" t="str">
        <f t="shared" si="42"/>
        <v>Jul</v>
      </c>
      <c r="R946">
        <f t="shared" si="43"/>
        <v>2014</v>
      </c>
      <c r="S946" t="str">
        <f>VLOOKUP($W946,TBL_Categories,2,FALSE)</f>
        <v>Monthly</v>
      </c>
      <c r="T946">
        <f>VLOOKUP($W946,TBL_Categories,3,FALSE)</f>
        <v>0</v>
      </c>
      <c r="U946" t="str">
        <f>VLOOKUP($W946,TBL_Categories,4,FALSE)</f>
        <v>No</v>
      </c>
      <c r="V946" t="str">
        <f>VLOOKUP($W946,TBL_Categories,5,FALSE)</f>
        <v>None</v>
      </c>
      <c r="W946" t="str">
        <f t="shared" si="44"/>
        <v>Food &amp; Dining|Restaurants</v>
      </c>
    </row>
    <row r="947" spans="1:23" x14ac:dyDescent="0.25">
      <c r="A947" t="s">
        <v>296</v>
      </c>
      <c r="B947" s="5">
        <v>41831</v>
      </c>
      <c r="C947">
        <v>-7.2</v>
      </c>
      <c r="D947" t="s">
        <v>304</v>
      </c>
      <c r="E947" t="s">
        <v>1204</v>
      </c>
      <c r="F947" t="s">
        <v>1205</v>
      </c>
      <c r="G947" t="s">
        <v>448</v>
      </c>
      <c r="K947" t="s">
        <v>52</v>
      </c>
      <c r="L947" t="s">
        <v>1585</v>
      </c>
      <c r="Q947" t="str">
        <f t="shared" si="42"/>
        <v>Jul</v>
      </c>
      <c r="R947">
        <f t="shared" si="43"/>
        <v>2014</v>
      </c>
      <c r="S947" t="str">
        <f>VLOOKUP($W947,TBL_Categories,2,FALSE)</f>
        <v>Irregular</v>
      </c>
      <c r="T947">
        <f>VLOOKUP($W947,TBL_Categories,3,FALSE)</f>
        <v>0</v>
      </c>
      <c r="U947" t="str">
        <f>VLOOKUP($W947,TBL_Categories,4,FALSE)</f>
        <v>No</v>
      </c>
      <c r="V947" t="str">
        <f>VLOOKUP($W947,TBL_Categories,5,FALSE)</f>
        <v>None</v>
      </c>
      <c r="W947" t="str">
        <f t="shared" si="44"/>
        <v>Auto &amp; Transport|Tolls</v>
      </c>
    </row>
    <row r="948" spans="1:23" x14ac:dyDescent="0.25">
      <c r="A948" t="s">
        <v>296</v>
      </c>
      <c r="B948" s="5">
        <v>41831</v>
      </c>
      <c r="C948">
        <v>-17</v>
      </c>
      <c r="D948" t="s">
        <v>304</v>
      </c>
      <c r="E948" t="s">
        <v>1206</v>
      </c>
      <c r="F948" t="s">
        <v>1207</v>
      </c>
      <c r="G948" t="s">
        <v>333</v>
      </c>
      <c r="K948" t="s">
        <v>61</v>
      </c>
      <c r="L948" t="s">
        <v>1530</v>
      </c>
      <c r="Q948" t="str">
        <f t="shared" si="42"/>
        <v>Jul</v>
      </c>
      <c r="R948">
        <f t="shared" si="43"/>
        <v>2014</v>
      </c>
      <c r="S948" t="str">
        <f>VLOOKUP($W948,TBL_Categories,2,FALSE)</f>
        <v>Monthly</v>
      </c>
      <c r="T948">
        <f>VLOOKUP($W948,TBL_Categories,3,FALSE)</f>
        <v>0</v>
      </c>
      <c r="U948" t="str">
        <f>VLOOKUP($W948,TBL_Categories,4,FALSE)</f>
        <v>No</v>
      </c>
      <c r="V948" t="str">
        <f>VLOOKUP($W948,TBL_Categories,5,FALSE)</f>
        <v>None</v>
      </c>
      <c r="W948" t="str">
        <f t="shared" si="44"/>
        <v>Food &amp; Dining|Restaurants</v>
      </c>
    </row>
    <row r="949" spans="1:23" x14ac:dyDescent="0.25">
      <c r="A949" t="s">
        <v>284</v>
      </c>
      <c r="B949" s="5">
        <v>41830</v>
      </c>
      <c r="C949">
        <v>-115</v>
      </c>
      <c r="D949" t="s">
        <v>304</v>
      </c>
      <c r="E949" t="s">
        <v>325</v>
      </c>
      <c r="F949" t="s">
        <v>351</v>
      </c>
      <c r="G949" t="s">
        <v>326</v>
      </c>
      <c r="K949" t="s">
        <v>63</v>
      </c>
      <c r="L949" t="s">
        <v>1528</v>
      </c>
      <c r="Q949" t="str">
        <f t="shared" si="42"/>
        <v>Jul</v>
      </c>
      <c r="R949">
        <f t="shared" si="43"/>
        <v>2014</v>
      </c>
      <c r="S949" t="str">
        <f>VLOOKUP($W949,TBL_Categories,2,FALSE)</f>
        <v>Monthly</v>
      </c>
      <c r="T949">
        <f>VLOOKUP($W949,TBL_Categories,3,FALSE)</f>
        <v>0</v>
      </c>
      <c r="U949" t="str">
        <f>VLOOKUP($W949,TBL_Categories,4,FALSE)</f>
        <v>No</v>
      </c>
      <c r="V949" t="str">
        <f>VLOOKUP($W949,TBL_Categories,5,FALSE)</f>
        <v>None</v>
      </c>
      <c r="W949" t="str">
        <f t="shared" si="44"/>
        <v>Home|Home Services</v>
      </c>
    </row>
    <row r="950" spans="1:23" x14ac:dyDescent="0.25">
      <c r="A950" t="s">
        <v>288</v>
      </c>
      <c r="B950" s="5">
        <v>41829</v>
      </c>
      <c r="C950" s="4">
        <v>2295</v>
      </c>
      <c r="D950" t="s">
        <v>304</v>
      </c>
      <c r="E950" t="s">
        <v>383</v>
      </c>
      <c r="F950" t="s">
        <v>394</v>
      </c>
      <c r="G950" t="s">
        <v>386</v>
      </c>
      <c r="J950">
        <v>7231</v>
      </c>
      <c r="K950" t="s">
        <v>33</v>
      </c>
      <c r="L950" t="s">
        <v>1519</v>
      </c>
      <c r="Q950" t="str">
        <f t="shared" si="42"/>
        <v>Jul</v>
      </c>
      <c r="R950">
        <f t="shared" si="43"/>
        <v>2014</v>
      </c>
      <c r="S950" t="str">
        <f>VLOOKUP($W950,TBL_Categories,2,FALSE)</f>
        <v>Monthly</v>
      </c>
      <c r="T950">
        <f>VLOOKUP($W950,TBL_Categories,3,FALSE)</f>
        <v>0</v>
      </c>
      <c r="U950" t="str">
        <f>VLOOKUP($W950,TBL_Categories,4,FALSE)</f>
        <v>No</v>
      </c>
      <c r="V950" t="str">
        <f>VLOOKUP($W950,TBL_Categories,5,FALSE)</f>
        <v>None</v>
      </c>
      <c r="W950" t="str">
        <f t="shared" si="44"/>
        <v>Business Income (Koolikai)|Rent</v>
      </c>
    </row>
    <row r="951" spans="1:23" x14ac:dyDescent="0.25">
      <c r="A951" t="s">
        <v>296</v>
      </c>
      <c r="B951" s="5">
        <v>41829</v>
      </c>
      <c r="C951">
        <v>-6.55</v>
      </c>
      <c r="D951" t="s">
        <v>304</v>
      </c>
      <c r="E951" t="s">
        <v>675</v>
      </c>
      <c r="F951" t="s">
        <v>1203</v>
      </c>
      <c r="G951" t="s">
        <v>425</v>
      </c>
      <c r="K951" t="s">
        <v>55</v>
      </c>
      <c r="L951" t="s">
        <v>1553</v>
      </c>
      <c r="Q951" t="str">
        <f t="shared" si="42"/>
        <v>Jul</v>
      </c>
      <c r="R951">
        <f t="shared" si="43"/>
        <v>2014</v>
      </c>
      <c r="S951" t="str">
        <f>VLOOKUP($W951,TBL_Categories,2,FALSE)</f>
        <v>Monthly</v>
      </c>
      <c r="T951">
        <f>VLOOKUP($W951,TBL_Categories,3,FALSE)</f>
        <v>0</v>
      </c>
      <c r="U951" t="str">
        <f>VLOOKUP($W951,TBL_Categories,4,FALSE)</f>
        <v>No</v>
      </c>
      <c r="V951" t="str">
        <f>VLOOKUP($W951,TBL_Categories,5,FALSE)</f>
        <v>None</v>
      </c>
      <c r="W951" t="str">
        <f t="shared" si="44"/>
        <v>Business Expenses (Koolikai)|Office Expenses (Business)</v>
      </c>
    </row>
    <row r="952" spans="1:23" x14ac:dyDescent="0.25">
      <c r="A952" t="s">
        <v>284</v>
      </c>
      <c r="B952" s="5">
        <v>41828</v>
      </c>
      <c r="C952">
        <v>-109.06</v>
      </c>
      <c r="D952" t="s">
        <v>304</v>
      </c>
      <c r="E952" t="s">
        <v>366</v>
      </c>
      <c r="F952" t="s">
        <v>350</v>
      </c>
      <c r="G952" t="s">
        <v>23</v>
      </c>
      <c r="K952" t="s">
        <v>23</v>
      </c>
      <c r="Q952" t="str">
        <f t="shared" si="42"/>
        <v>Jul</v>
      </c>
      <c r="R952">
        <f t="shared" si="43"/>
        <v>2014</v>
      </c>
      <c r="S952" t="str">
        <f>VLOOKUP($W952,TBL_Categories,2,FALSE)</f>
        <v>Account</v>
      </c>
      <c r="T952">
        <f>VLOOKUP($W952,TBL_Categories,3,FALSE)</f>
        <v>0</v>
      </c>
      <c r="U952" t="str">
        <f>VLOOKUP($W952,TBL_Categories,4,FALSE)</f>
        <v>No</v>
      </c>
      <c r="V952" t="str">
        <f>VLOOKUP($W952,TBL_Categories,5,FALSE)</f>
        <v>None</v>
      </c>
      <c r="W952" t="str">
        <f t="shared" si="44"/>
        <v>[Target Red Card]</v>
      </c>
    </row>
    <row r="953" spans="1:23" x14ac:dyDescent="0.25">
      <c r="A953" t="s">
        <v>284</v>
      </c>
      <c r="B953" s="5">
        <v>41828</v>
      </c>
      <c r="C953" s="4">
        <v>-3748.69</v>
      </c>
      <c r="D953" t="s">
        <v>304</v>
      </c>
      <c r="E953" t="s">
        <v>344</v>
      </c>
      <c r="F953" t="s">
        <v>349</v>
      </c>
      <c r="G953" t="s">
        <v>320</v>
      </c>
      <c r="K953" t="s">
        <v>63</v>
      </c>
      <c r="L953" t="s">
        <v>1526</v>
      </c>
      <c r="Q953" t="str">
        <f t="shared" si="42"/>
        <v>Jul</v>
      </c>
      <c r="R953">
        <f t="shared" si="43"/>
        <v>2014</v>
      </c>
      <c r="S953" t="str">
        <f>VLOOKUP($W953,TBL_Categories,2,FALSE)</f>
        <v>Monthly</v>
      </c>
      <c r="T953">
        <f>VLOOKUP($W953,TBL_Categories,3,FALSE)</f>
        <v>0</v>
      </c>
      <c r="U953" t="str">
        <f>VLOOKUP($W953,TBL_Categories,4,FALSE)</f>
        <v>No</v>
      </c>
      <c r="V953" t="str">
        <f>VLOOKUP($W953,TBL_Categories,5,FALSE)</f>
        <v>None</v>
      </c>
      <c r="W953" t="str">
        <f t="shared" si="44"/>
        <v>Home|Mortgage</v>
      </c>
    </row>
    <row r="954" spans="1:23" x14ac:dyDescent="0.25">
      <c r="A954" t="s">
        <v>633</v>
      </c>
      <c r="B954" s="5">
        <v>41828</v>
      </c>
      <c r="C954">
        <v>-5.1100000000000003</v>
      </c>
      <c r="D954" t="s">
        <v>304</v>
      </c>
      <c r="E954" t="s">
        <v>705</v>
      </c>
      <c r="F954" t="s">
        <v>970</v>
      </c>
      <c r="G954" t="s">
        <v>599</v>
      </c>
      <c r="K954" t="s">
        <v>75</v>
      </c>
      <c r="L954" t="s">
        <v>1564</v>
      </c>
      <c r="O954" t="s">
        <v>1604</v>
      </c>
      <c r="Q954" t="str">
        <f t="shared" si="42"/>
        <v>Jul</v>
      </c>
      <c r="R954">
        <f t="shared" si="43"/>
        <v>2014</v>
      </c>
      <c r="S954" t="str">
        <f>VLOOKUP($W954,TBL_Categories,2,FALSE)</f>
        <v>Irregular</v>
      </c>
      <c r="T954">
        <f>VLOOKUP($W954,TBL_Categories,3,FALSE)</f>
        <v>0</v>
      </c>
      <c r="U954" t="str">
        <f>VLOOKUP($W954,TBL_Categories,4,FALSE)</f>
        <v>No</v>
      </c>
      <c r="V954" t="str">
        <f>VLOOKUP($W954,TBL_Categories,5,FALSE)</f>
        <v>None</v>
      </c>
      <c r="W954" t="str">
        <f t="shared" si="44"/>
        <v>Vacation|Food</v>
      </c>
    </row>
    <row r="955" spans="1:23" x14ac:dyDescent="0.25">
      <c r="A955" t="s">
        <v>633</v>
      </c>
      <c r="B955" s="5">
        <v>41828</v>
      </c>
      <c r="C955">
        <v>-23.44</v>
      </c>
      <c r="D955" t="s">
        <v>304</v>
      </c>
      <c r="E955" t="s">
        <v>705</v>
      </c>
      <c r="F955" t="s">
        <v>970</v>
      </c>
      <c r="G955" t="s">
        <v>410</v>
      </c>
      <c r="K955" t="s">
        <v>75</v>
      </c>
      <c r="L955" t="s">
        <v>1570</v>
      </c>
      <c r="O955" t="s">
        <v>1604</v>
      </c>
      <c r="Q955" t="str">
        <f t="shared" si="42"/>
        <v>Jul</v>
      </c>
      <c r="R955">
        <f t="shared" si="43"/>
        <v>2014</v>
      </c>
      <c r="S955" t="str">
        <f>VLOOKUP($W955,TBL_Categories,2,FALSE)</f>
        <v>Irregular</v>
      </c>
      <c r="T955">
        <f>VLOOKUP($W955,TBL_Categories,3,FALSE)</f>
        <v>0</v>
      </c>
      <c r="U955" t="str">
        <f>VLOOKUP($W955,TBL_Categories,4,FALSE)</f>
        <v>No</v>
      </c>
      <c r="V955" t="str">
        <f>VLOOKUP($W955,TBL_Categories,5,FALSE)</f>
        <v>None</v>
      </c>
      <c r="W955" t="str">
        <f t="shared" si="44"/>
        <v>Vacation|Transportation</v>
      </c>
    </row>
    <row r="956" spans="1:23" x14ac:dyDescent="0.25">
      <c r="A956" t="s">
        <v>296</v>
      </c>
      <c r="B956" s="5">
        <v>41828</v>
      </c>
      <c r="C956">
        <v>-6.13</v>
      </c>
      <c r="D956" t="s">
        <v>304</v>
      </c>
      <c r="E956" t="s">
        <v>1200</v>
      </c>
      <c r="F956" t="s">
        <v>1201</v>
      </c>
      <c r="G956" t="s">
        <v>435</v>
      </c>
      <c r="K956" t="s">
        <v>72</v>
      </c>
      <c r="L956" t="s">
        <v>1537</v>
      </c>
      <c r="Q956" t="str">
        <f t="shared" si="42"/>
        <v>Jul</v>
      </c>
      <c r="R956">
        <f t="shared" si="43"/>
        <v>2014</v>
      </c>
      <c r="S956" t="str">
        <f>VLOOKUP($W956,TBL_Categories,2,FALSE)</f>
        <v>Annual</v>
      </c>
      <c r="T956">
        <f>VLOOKUP($W956,TBL_Categories,3,FALSE)</f>
        <v>0</v>
      </c>
      <c r="U956" t="str">
        <f>VLOOKUP($W956,TBL_Categories,4,FALSE)</f>
        <v>No</v>
      </c>
      <c r="V956" t="str">
        <f>VLOOKUP($W956,TBL_Categories,5,FALSE)</f>
        <v>None</v>
      </c>
      <c r="W956" t="str">
        <f t="shared" si="44"/>
        <v>Shopping|Clothing</v>
      </c>
    </row>
    <row r="957" spans="1:23" x14ac:dyDescent="0.25">
      <c r="A957" t="s">
        <v>296</v>
      </c>
      <c r="B957" s="5">
        <v>41828</v>
      </c>
      <c r="C957">
        <v>-258.27</v>
      </c>
      <c r="D957" t="s">
        <v>304</v>
      </c>
      <c r="E957" t="s">
        <v>1202</v>
      </c>
      <c r="F957" t="s">
        <v>983</v>
      </c>
      <c r="G957" t="s">
        <v>347</v>
      </c>
      <c r="K957" t="s">
        <v>75</v>
      </c>
      <c r="L957" t="s">
        <v>1540</v>
      </c>
      <c r="O957" t="s">
        <v>1606</v>
      </c>
      <c r="Q957" t="str">
        <f t="shared" si="42"/>
        <v>Jul</v>
      </c>
      <c r="R957">
        <f t="shared" si="43"/>
        <v>2014</v>
      </c>
      <c r="S957" t="str">
        <f>VLOOKUP($W957,TBL_Categories,2,FALSE)</f>
        <v>Irregular</v>
      </c>
      <c r="T957">
        <f>VLOOKUP($W957,TBL_Categories,3,FALSE)</f>
        <v>0</v>
      </c>
      <c r="U957" t="str">
        <f>VLOOKUP($W957,TBL_Categories,4,FALSE)</f>
        <v>No</v>
      </c>
      <c r="V957" t="str">
        <f>VLOOKUP($W957,TBL_Categories,5,FALSE)</f>
        <v>None</v>
      </c>
      <c r="W957" t="str">
        <f t="shared" si="44"/>
        <v>Vacation|Lodging</v>
      </c>
    </row>
    <row r="958" spans="1:23" x14ac:dyDescent="0.25">
      <c r="A958" t="s">
        <v>633</v>
      </c>
      <c r="B958" s="5">
        <v>41827</v>
      </c>
      <c r="C958">
        <v>-1.31</v>
      </c>
      <c r="D958" t="s">
        <v>304</v>
      </c>
      <c r="E958" t="s">
        <v>969</v>
      </c>
      <c r="G958" t="s">
        <v>416</v>
      </c>
      <c r="K958" t="s">
        <v>17</v>
      </c>
      <c r="L958" t="s">
        <v>1576</v>
      </c>
      <c r="Q958" t="str">
        <f t="shared" si="42"/>
        <v>Jul</v>
      </c>
      <c r="R958">
        <f t="shared" si="43"/>
        <v>2014</v>
      </c>
      <c r="S958" t="str">
        <f>VLOOKUP($W958,TBL_Categories,2,FALSE)</f>
        <v>Unplanned</v>
      </c>
      <c r="T958">
        <f>VLOOKUP($W958,TBL_Categories,3,FALSE)</f>
        <v>0</v>
      </c>
      <c r="U958" t="str">
        <f>VLOOKUP($W958,TBL_Categories,4,FALSE)</f>
        <v>No</v>
      </c>
      <c r="V958" t="str">
        <f>VLOOKUP($W958,TBL_Categories,5,FALSE)</f>
        <v>None</v>
      </c>
      <c r="W958" t="str">
        <f t="shared" si="44"/>
        <v>Entertainment|Movies &amp; DVDs</v>
      </c>
    </row>
    <row r="959" spans="1:23" x14ac:dyDescent="0.25">
      <c r="A959" t="s">
        <v>633</v>
      </c>
      <c r="B959" s="5">
        <v>41827</v>
      </c>
      <c r="C959">
        <v>-49.58</v>
      </c>
      <c r="D959" t="s">
        <v>304</v>
      </c>
      <c r="E959" t="s">
        <v>705</v>
      </c>
      <c r="F959" t="s">
        <v>970</v>
      </c>
      <c r="G959" t="s">
        <v>410</v>
      </c>
      <c r="K959" t="s">
        <v>75</v>
      </c>
      <c r="L959" t="s">
        <v>1570</v>
      </c>
      <c r="O959" t="s">
        <v>1604</v>
      </c>
      <c r="Q959" t="str">
        <f t="shared" si="42"/>
        <v>Jul</v>
      </c>
      <c r="R959">
        <f t="shared" si="43"/>
        <v>2014</v>
      </c>
      <c r="S959" t="str">
        <f>VLOOKUP($W959,TBL_Categories,2,FALSE)</f>
        <v>Irregular</v>
      </c>
      <c r="T959">
        <f>VLOOKUP($W959,TBL_Categories,3,FALSE)</f>
        <v>0</v>
      </c>
      <c r="U959" t="str">
        <f>VLOOKUP($W959,TBL_Categories,4,FALSE)</f>
        <v>No</v>
      </c>
      <c r="V959" t="str">
        <f>VLOOKUP($W959,TBL_Categories,5,FALSE)</f>
        <v>None</v>
      </c>
      <c r="W959" t="str">
        <f t="shared" si="44"/>
        <v>Vacation|Transportation</v>
      </c>
    </row>
    <row r="960" spans="1:23" x14ac:dyDescent="0.25">
      <c r="A960" t="s">
        <v>763</v>
      </c>
      <c r="B960" s="5">
        <v>41827</v>
      </c>
      <c r="C960">
        <v>28.8</v>
      </c>
      <c r="D960" t="s">
        <v>1497</v>
      </c>
      <c r="F960" t="s">
        <v>1498</v>
      </c>
      <c r="H960" t="s">
        <v>1499</v>
      </c>
      <c r="Q960" t="str">
        <f t="shared" si="42"/>
        <v>Jul</v>
      </c>
      <c r="R960">
        <f t="shared" si="43"/>
        <v>2014</v>
      </c>
      <c r="S960" t="e">
        <f>VLOOKUP($W960,TBL_Categories,2,FALSE)</f>
        <v>#N/A</v>
      </c>
      <c r="T960" t="e">
        <f>VLOOKUP($W960,TBL_Categories,3,FALSE)</f>
        <v>#N/A</v>
      </c>
      <c r="U960" t="e">
        <f>VLOOKUP($W960,TBL_Categories,4,FALSE)</f>
        <v>#N/A</v>
      </c>
      <c r="V960" t="e">
        <f>VLOOKUP($W960,TBL_Categories,5,FALSE)</f>
        <v>#N/A</v>
      </c>
      <c r="W960">
        <f t="shared" si="44"/>
        <v>0</v>
      </c>
    </row>
    <row r="961" spans="1:23" x14ac:dyDescent="0.25">
      <c r="A961" t="s">
        <v>633</v>
      </c>
      <c r="B961" s="5">
        <v>41826</v>
      </c>
      <c r="C961">
        <v>-3.93</v>
      </c>
      <c r="D961" t="s">
        <v>304</v>
      </c>
      <c r="E961" t="s">
        <v>654</v>
      </c>
      <c r="G961" t="s">
        <v>409</v>
      </c>
      <c r="K961" t="s">
        <v>52</v>
      </c>
      <c r="L961" t="s">
        <v>1568</v>
      </c>
      <c r="Q961" t="str">
        <f t="shared" si="42"/>
        <v>Jul</v>
      </c>
      <c r="R961">
        <f t="shared" si="43"/>
        <v>2014</v>
      </c>
      <c r="S961" t="str">
        <f>VLOOKUP($W961,TBL_Categories,2,FALSE)</f>
        <v>Monthly</v>
      </c>
      <c r="T961">
        <f>VLOOKUP($W961,TBL_Categories,3,FALSE)</f>
        <v>0</v>
      </c>
      <c r="U961" t="str">
        <f>VLOOKUP($W961,TBL_Categories,4,FALSE)</f>
        <v>No</v>
      </c>
      <c r="V961" t="str">
        <f>VLOOKUP($W961,TBL_Categories,5,FALSE)</f>
        <v>None</v>
      </c>
      <c r="W961" t="str">
        <f t="shared" si="44"/>
        <v>Auto &amp; Transport|Gas &amp; Fuel</v>
      </c>
    </row>
    <row r="962" spans="1:23" x14ac:dyDescent="0.25">
      <c r="A962" t="s">
        <v>296</v>
      </c>
      <c r="B962" s="5">
        <v>41826</v>
      </c>
      <c r="C962">
        <v>-5</v>
      </c>
      <c r="D962" t="s">
        <v>304</v>
      </c>
      <c r="E962" t="s">
        <v>1197</v>
      </c>
      <c r="F962" t="s">
        <v>1198</v>
      </c>
      <c r="G962" t="s">
        <v>607</v>
      </c>
      <c r="K962" t="s">
        <v>75</v>
      </c>
      <c r="L962" t="s">
        <v>1567</v>
      </c>
      <c r="O962" t="s">
        <v>1604</v>
      </c>
      <c r="Q962" t="str">
        <f t="shared" ref="Q962:Q1025" si="45">TEXT($B962,"MMM")</f>
        <v>Jul</v>
      </c>
      <c r="R962">
        <f t="shared" ref="R962:R1025" si="46">YEAR($B962)</f>
        <v>2014</v>
      </c>
      <c r="S962" t="str">
        <f>VLOOKUP($W962,TBL_Categories,2,FALSE)</f>
        <v>Irregular</v>
      </c>
      <c r="T962">
        <f>VLOOKUP($W962,TBL_Categories,3,FALSE)</f>
        <v>0</v>
      </c>
      <c r="U962" t="str">
        <f>VLOOKUP($W962,TBL_Categories,4,FALSE)</f>
        <v>No</v>
      </c>
      <c r="V962" t="str">
        <f>VLOOKUP($W962,TBL_Categories,5,FALSE)</f>
        <v>None</v>
      </c>
      <c r="W962" t="str">
        <f t="shared" ref="W962:W1025" si="47">IF(ISBLANK($L962),$K962,CONCATENATE($K962,"|",$L962))</f>
        <v>Vacation|Activities</v>
      </c>
    </row>
    <row r="963" spans="1:23" x14ac:dyDescent="0.25">
      <c r="A963" t="s">
        <v>296</v>
      </c>
      <c r="B963" s="5">
        <v>41826</v>
      </c>
      <c r="C963">
        <v>-6.3</v>
      </c>
      <c r="D963" t="s">
        <v>304</v>
      </c>
      <c r="E963" t="s">
        <v>463</v>
      </c>
      <c r="F963" t="s">
        <v>1199</v>
      </c>
      <c r="G963" t="s">
        <v>333</v>
      </c>
      <c r="K963" t="s">
        <v>61</v>
      </c>
      <c r="L963" t="s">
        <v>1530</v>
      </c>
      <c r="Q963" t="str">
        <f t="shared" si="45"/>
        <v>Jul</v>
      </c>
      <c r="R963">
        <f t="shared" si="46"/>
        <v>2014</v>
      </c>
      <c r="S963" t="str">
        <f>VLOOKUP($W963,TBL_Categories,2,FALSE)</f>
        <v>Monthly</v>
      </c>
      <c r="T963">
        <f>VLOOKUP($W963,TBL_Categories,3,FALSE)</f>
        <v>0</v>
      </c>
      <c r="U963" t="str">
        <f>VLOOKUP($W963,TBL_Categories,4,FALSE)</f>
        <v>No</v>
      </c>
      <c r="V963" t="str">
        <f>VLOOKUP($W963,TBL_Categories,5,FALSE)</f>
        <v>None</v>
      </c>
      <c r="W963" t="str">
        <f t="shared" si="47"/>
        <v>Food &amp; Dining|Restaurants</v>
      </c>
    </row>
    <row r="964" spans="1:23" x14ac:dyDescent="0.25">
      <c r="A964" t="s">
        <v>299</v>
      </c>
      <c r="B964" s="5">
        <v>41826</v>
      </c>
      <c r="C964">
        <v>109.06</v>
      </c>
      <c r="D964" t="s">
        <v>304</v>
      </c>
      <c r="E964" t="s">
        <v>366</v>
      </c>
      <c r="G964" t="s">
        <v>9</v>
      </c>
      <c r="K964" t="s">
        <v>9</v>
      </c>
      <c r="Q964" t="str">
        <f t="shared" si="45"/>
        <v>Jul</v>
      </c>
      <c r="R964">
        <f t="shared" si="46"/>
        <v>2014</v>
      </c>
      <c r="S964" t="str">
        <f>VLOOKUP($W964,TBL_Categories,2,FALSE)</f>
        <v>Account</v>
      </c>
      <c r="T964">
        <f>VLOOKUP($W964,TBL_Categories,3,FALSE)</f>
        <v>0</v>
      </c>
      <c r="U964" t="str">
        <f>VLOOKUP($W964,TBL_Categories,4,FALSE)</f>
        <v>No</v>
      </c>
      <c r="V964" t="str">
        <f>VLOOKUP($W964,TBL_Categories,5,FALSE)</f>
        <v>None</v>
      </c>
      <c r="W964" t="str">
        <f t="shared" si="47"/>
        <v>[First Tech - Checking (5544)]</v>
      </c>
    </row>
    <row r="965" spans="1:23" x14ac:dyDescent="0.25">
      <c r="A965" t="s">
        <v>296</v>
      </c>
      <c r="B965" s="5">
        <v>41825</v>
      </c>
      <c r="C965">
        <v>19.68</v>
      </c>
      <c r="D965" t="s">
        <v>304</v>
      </c>
      <c r="E965" t="s">
        <v>422</v>
      </c>
      <c r="F965" t="s">
        <v>1660</v>
      </c>
      <c r="G965" t="s">
        <v>944</v>
      </c>
      <c r="J965" t="s">
        <v>1561</v>
      </c>
      <c r="K965" t="s">
        <v>55</v>
      </c>
      <c r="L965" t="s">
        <v>1559</v>
      </c>
      <c r="Q965" t="str">
        <f t="shared" si="45"/>
        <v>Jul</v>
      </c>
      <c r="R965">
        <f t="shared" si="46"/>
        <v>2014</v>
      </c>
      <c r="S965" t="str">
        <f>VLOOKUP($W965,TBL_Categories,2,FALSE)</f>
        <v>Irregular</v>
      </c>
      <c r="T965">
        <f>VLOOKUP($W965,TBL_Categories,3,FALSE)</f>
        <v>0</v>
      </c>
      <c r="U965" t="str">
        <f>VLOOKUP($W965,TBL_Categories,4,FALSE)</f>
        <v>No</v>
      </c>
      <c r="V965" t="str">
        <f>VLOOKUP($W965,TBL_Categories,5,FALSE)</f>
        <v>None</v>
      </c>
      <c r="W965" t="str">
        <f t="shared" si="47"/>
        <v>Business Expenses (Koolikai)|Repairs</v>
      </c>
    </row>
    <row r="966" spans="1:23" x14ac:dyDescent="0.25">
      <c r="A966" t="s">
        <v>296</v>
      </c>
      <c r="B966" s="5">
        <v>41825</v>
      </c>
      <c r="C966">
        <v>-6.76</v>
      </c>
      <c r="D966" t="s">
        <v>304</v>
      </c>
      <c r="E966" t="s">
        <v>1000</v>
      </c>
      <c r="F966" t="s">
        <v>486</v>
      </c>
      <c r="G966" t="s">
        <v>333</v>
      </c>
      <c r="K966" t="s">
        <v>61</v>
      </c>
      <c r="L966" t="s">
        <v>1530</v>
      </c>
      <c r="Q966" t="str">
        <f t="shared" si="45"/>
        <v>Jul</v>
      </c>
      <c r="R966">
        <f t="shared" si="46"/>
        <v>2014</v>
      </c>
      <c r="S966" t="str">
        <f>VLOOKUP($W966,TBL_Categories,2,FALSE)</f>
        <v>Monthly</v>
      </c>
      <c r="T966">
        <f>VLOOKUP($W966,TBL_Categories,3,FALSE)</f>
        <v>0</v>
      </c>
      <c r="U966" t="str">
        <f>VLOOKUP($W966,TBL_Categories,4,FALSE)</f>
        <v>No</v>
      </c>
      <c r="V966" t="str">
        <f>VLOOKUP($W966,TBL_Categories,5,FALSE)</f>
        <v>None</v>
      </c>
      <c r="W966" t="str">
        <f t="shared" si="47"/>
        <v>Food &amp; Dining|Restaurants</v>
      </c>
    </row>
    <row r="967" spans="1:23" x14ac:dyDescent="0.25">
      <c r="A967" t="s">
        <v>296</v>
      </c>
      <c r="B967" s="5">
        <v>41825</v>
      </c>
      <c r="C967">
        <v>-8.48</v>
      </c>
      <c r="D967" t="s">
        <v>304</v>
      </c>
      <c r="E967" t="s">
        <v>422</v>
      </c>
      <c r="F967" t="s">
        <v>1194</v>
      </c>
      <c r="G967" t="s">
        <v>1046</v>
      </c>
      <c r="J967" t="s">
        <v>1550</v>
      </c>
      <c r="K967" t="s">
        <v>55</v>
      </c>
      <c r="L967" t="s">
        <v>1553</v>
      </c>
      <c r="Q967" t="str">
        <f t="shared" si="45"/>
        <v>Jul</v>
      </c>
      <c r="R967">
        <f t="shared" si="46"/>
        <v>2014</v>
      </c>
      <c r="S967" t="str">
        <f>VLOOKUP($W967,TBL_Categories,2,FALSE)</f>
        <v>Monthly</v>
      </c>
      <c r="T967">
        <f>VLOOKUP($W967,TBL_Categories,3,FALSE)</f>
        <v>0</v>
      </c>
      <c r="U967" t="str">
        <f>VLOOKUP($W967,TBL_Categories,4,FALSE)</f>
        <v>No</v>
      </c>
      <c r="V967" t="str">
        <f>VLOOKUP($W967,TBL_Categories,5,FALSE)</f>
        <v>None</v>
      </c>
      <c r="W967" t="str">
        <f t="shared" si="47"/>
        <v>Business Expenses (Koolikai)|Office Expenses (Business)</v>
      </c>
    </row>
    <row r="968" spans="1:23" x14ac:dyDescent="0.25">
      <c r="A968" t="s">
        <v>296</v>
      </c>
      <c r="B968" s="5">
        <v>41825</v>
      </c>
      <c r="C968">
        <v>-8.67</v>
      </c>
      <c r="D968" t="s">
        <v>304</v>
      </c>
      <c r="E968" t="s">
        <v>422</v>
      </c>
      <c r="F968" t="s">
        <v>1004</v>
      </c>
      <c r="G968" t="s">
        <v>949</v>
      </c>
      <c r="J968" t="s">
        <v>1550</v>
      </c>
      <c r="K968" t="s">
        <v>63</v>
      </c>
      <c r="L968" t="s">
        <v>1574</v>
      </c>
      <c r="Q968" t="str">
        <f t="shared" si="45"/>
        <v>Jul</v>
      </c>
      <c r="R968">
        <f t="shared" si="46"/>
        <v>2014</v>
      </c>
      <c r="S968" t="str">
        <f>VLOOKUP($W968,TBL_Categories,2,FALSE)</f>
        <v>Irregular</v>
      </c>
      <c r="T968">
        <f>VLOOKUP($W968,TBL_Categories,3,FALSE)</f>
        <v>0</v>
      </c>
      <c r="U968" t="str">
        <f>VLOOKUP($W968,TBL_Categories,4,FALSE)</f>
        <v>No</v>
      </c>
      <c r="V968" t="str">
        <f>VLOOKUP($W968,TBL_Categories,5,FALSE)</f>
        <v>None</v>
      </c>
      <c r="W968" t="str">
        <f t="shared" si="47"/>
        <v>Home|Home Improvement</v>
      </c>
    </row>
    <row r="969" spans="1:23" x14ac:dyDescent="0.25">
      <c r="A969" t="s">
        <v>296</v>
      </c>
      <c r="B969" s="5">
        <v>41825</v>
      </c>
      <c r="C969">
        <v>-26.15</v>
      </c>
      <c r="D969" t="s">
        <v>304</v>
      </c>
      <c r="E969" t="s">
        <v>1195</v>
      </c>
      <c r="F969" t="s">
        <v>1196</v>
      </c>
      <c r="G969" t="s">
        <v>333</v>
      </c>
      <c r="K969" t="s">
        <v>61</v>
      </c>
      <c r="L969" t="s">
        <v>1530</v>
      </c>
      <c r="Q969" t="str">
        <f t="shared" si="45"/>
        <v>Jul</v>
      </c>
      <c r="R969">
        <f t="shared" si="46"/>
        <v>2014</v>
      </c>
      <c r="S969" t="str">
        <f>VLOOKUP($W969,TBL_Categories,2,FALSE)</f>
        <v>Monthly</v>
      </c>
      <c r="T969">
        <f>VLOOKUP($W969,TBL_Categories,3,FALSE)</f>
        <v>0</v>
      </c>
      <c r="U969" t="str">
        <f>VLOOKUP($W969,TBL_Categories,4,FALSE)</f>
        <v>No</v>
      </c>
      <c r="V969" t="str">
        <f>VLOOKUP($W969,TBL_Categories,5,FALSE)</f>
        <v>None</v>
      </c>
      <c r="W969" t="str">
        <f t="shared" si="47"/>
        <v>Food &amp; Dining|Restaurants</v>
      </c>
    </row>
    <row r="970" spans="1:23" x14ac:dyDescent="0.25">
      <c r="A970" t="s">
        <v>296</v>
      </c>
      <c r="B970" s="5">
        <v>41824</v>
      </c>
      <c r="C970">
        <v>-9.76</v>
      </c>
      <c r="D970" t="s">
        <v>304</v>
      </c>
      <c r="E970" t="s">
        <v>428</v>
      </c>
      <c r="F970" t="s">
        <v>472</v>
      </c>
      <c r="G970" t="s">
        <v>342</v>
      </c>
      <c r="K970" t="s">
        <v>61</v>
      </c>
      <c r="L970" t="s">
        <v>401</v>
      </c>
      <c r="Q970" t="str">
        <f t="shared" si="45"/>
        <v>Jul</v>
      </c>
      <c r="R970">
        <f t="shared" si="46"/>
        <v>2014</v>
      </c>
      <c r="S970" t="str">
        <f>VLOOKUP($W970,TBL_Categories,2,FALSE)</f>
        <v>Monthly</v>
      </c>
      <c r="T970">
        <f>VLOOKUP($W970,TBL_Categories,3,FALSE)</f>
        <v>0</v>
      </c>
      <c r="U970" t="str">
        <f>VLOOKUP($W970,TBL_Categories,4,FALSE)</f>
        <v>No</v>
      </c>
      <c r="V970" t="str">
        <f>VLOOKUP($W970,TBL_Categories,5,FALSE)</f>
        <v>None</v>
      </c>
      <c r="W970" t="str">
        <f t="shared" si="47"/>
        <v>Food &amp; Dining|Groceries</v>
      </c>
    </row>
    <row r="971" spans="1:23" x14ac:dyDescent="0.25">
      <c r="A971" t="s">
        <v>296</v>
      </c>
      <c r="B971" s="5">
        <v>41824</v>
      </c>
      <c r="C971">
        <v>-12.81</v>
      </c>
      <c r="D971" t="s">
        <v>304</v>
      </c>
      <c r="E971" t="s">
        <v>1189</v>
      </c>
      <c r="F971" t="s">
        <v>1190</v>
      </c>
      <c r="G971" t="s">
        <v>773</v>
      </c>
      <c r="J971" t="s">
        <v>1550</v>
      </c>
      <c r="K971" t="s">
        <v>61</v>
      </c>
      <c r="L971" t="s">
        <v>1530</v>
      </c>
      <c r="Q971" t="str">
        <f t="shared" si="45"/>
        <v>Jul</v>
      </c>
      <c r="R971">
        <f t="shared" si="46"/>
        <v>2014</v>
      </c>
      <c r="S971" t="str">
        <f>VLOOKUP($W971,TBL_Categories,2,FALSE)</f>
        <v>Monthly</v>
      </c>
      <c r="T971">
        <f>VLOOKUP($W971,TBL_Categories,3,FALSE)</f>
        <v>0</v>
      </c>
      <c r="U971" t="str">
        <f>VLOOKUP($W971,TBL_Categories,4,FALSE)</f>
        <v>No</v>
      </c>
      <c r="V971" t="str">
        <f>VLOOKUP($W971,TBL_Categories,5,FALSE)</f>
        <v>None</v>
      </c>
      <c r="W971" t="str">
        <f t="shared" si="47"/>
        <v>Food &amp; Dining|Restaurants</v>
      </c>
    </row>
    <row r="972" spans="1:23" x14ac:dyDescent="0.25">
      <c r="A972" t="s">
        <v>296</v>
      </c>
      <c r="B972" s="5">
        <v>41824</v>
      </c>
      <c r="C972">
        <v>-12.95</v>
      </c>
      <c r="D972" t="s">
        <v>304</v>
      </c>
      <c r="E972" t="s">
        <v>1191</v>
      </c>
      <c r="F972" t="s">
        <v>1192</v>
      </c>
      <c r="G972" t="s">
        <v>333</v>
      </c>
      <c r="K972" t="s">
        <v>61</v>
      </c>
      <c r="L972" t="s">
        <v>1530</v>
      </c>
      <c r="Q972" t="str">
        <f t="shared" si="45"/>
        <v>Jul</v>
      </c>
      <c r="R972">
        <f t="shared" si="46"/>
        <v>2014</v>
      </c>
      <c r="S972" t="str">
        <f>VLOOKUP($W972,TBL_Categories,2,FALSE)</f>
        <v>Monthly</v>
      </c>
      <c r="T972">
        <f>VLOOKUP($W972,TBL_Categories,3,FALSE)</f>
        <v>0</v>
      </c>
      <c r="U972" t="str">
        <f>VLOOKUP($W972,TBL_Categories,4,FALSE)</f>
        <v>No</v>
      </c>
      <c r="V972" t="str">
        <f>VLOOKUP($W972,TBL_Categories,5,FALSE)</f>
        <v>None</v>
      </c>
      <c r="W972" t="str">
        <f t="shared" si="47"/>
        <v>Food &amp; Dining|Restaurants</v>
      </c>
    </row>
    <row r="973" spans="1:23" x14ac:dyDescent="0.25">
      <c r="A973" t="s">
        <v>296</v>
      </c>
      <c r="B973" s="5">
        <v>41824</v>
      </c>
      <c r="C973">
        <v>-8.75</v>
      </c>
      <c r="D973" t="s">
        <v>304</v>
      </c>
      <c r="E973" t="s">
        <v>433</v>
      </c>
      <c r="F973" t="s">
        <v>1193</v>
      </c>
      <c r="G973" t="s">
        <v>887</v>
      </c>
      <c r="I973" t="s">
        <v>272</v>
      </c>
      <c r="J973" t="s">
        <v>1550</v>
      </c>
      <c r="K973" t="s">
        <v>61</v>
      </c>
      <c r="L973" t="s">
        <v>401</v>
      </c>
      <c r="Q973" t="str">
        <f t="shared" si="45"/>
        <v>Jul</v>
      </c>
      <c r="R973">
        <f t="shared" si="46"/>
        <v>2014</v>
      </c>
      <c r="S973" t="str">
        <f>VLOOKUP($W973,TBL_Categories,2,FALSE)</f>
        <v>Monthly</v>
      </c>
      <c r="T973">
        <f>VLOOKUP($W973,TBL_Categories,3,FALSE)</f>
        <v>0</v>
      </c>
      <c r="U973" t="str">
        <f>VLOOKUP($W973,TBL_Categories,4,FALSE)</f>
        <v>No</v>
      </c>
      <c r="V973" t="str">
        <f>VLOOKUP($W973,TBL_Categories,5,FALSE)</f>
        <v>None</v>
      </c>
      <c r="W973" t="str">
        <f t="shared" si="47"/>
        <v>Food &amp; Dining|Groceries</v>
      </c>
    </row>
    <row r="974" spans="1:23" x14ac:dyDescent="0.25">
      <c r="A974" t="s">
        <v>296</v>
      </c>
      <c r="B974" s="5">
        <v>41824</v>
      </c>
      <c r="C974">
        <v>-122.99</v>
      </c>
      <c r="D974" t="s">
        <v>304</v>
      </c>
      <c r="E974" t="s">
        <v>433</v>
      </c>
      <c r="G974" t="s">
        <v>887</v>
      </c>
      <c r="I974" t="s">
        <v>272</v>
      </c>
      <c r="J974" t="s">
        <v>1550</v>
      </c>
      <c r="K974" t="s">
        <v>61</v>
      </c>
      <c r="L974" t="s">
        <v>401</v>
      </c>
      <c r="Q974" t="str">
        <f t="shared" si="45"/>
        <v>Jul</v>
      </c>
      <c r="R974">
        <f t="shared" si="46"/>
        <v>2014</v>
      </c>
      <c r="S974" t="str">
        <f>VLOOKUP($W974,TBL_Categories,2,FALSE)</f>
        <v>Monthly</v>
      </c>
      <c r="T974">
        <f>VLOOKUP($W974,TBL_Categories,3,FALSE)</f>
        <v>0</v>
      </c>
      <c r="U974" t="str">
        <f>VLOOKUP($W974,TBL_Categories,4,FALSE)</f>
        <v>No</v>
      </c>
      <c r="V974" t="str">
        <f>VLOOKUP($W974,TBL_Categories,5,FALSE)</f>
        <v>None</v>
      </c>
      <c r="W974" t="str">
        <f t="shared" si="47"/>
        <v>Food &amp; Dining|Groceries</v>
      </c>
    </row>
    <row r="975" spans="1:23" x14ac:dyDescent="0.25">
      <c r="A975" t="s">
        <v>296</v>
      </c>
      <c r="B975" s="5">
        <v>41823</v>
      </c>
      <c r="C975">
        <v>-8.75</v>
      </c>
      <c r="D975" t="s">
        <v>304</v>
      </c>
      <c r="E975" t="s">
        <v>667</v>
      </c>
      <c r="F975" t="s">
        <v>1108</v>
      </c>
      <c r="G975" t="s">
        <v>416</v>
      </c>
      <c r="K975" t="s">
        <v>17</v>
      </c>
      <c r="L975" t="s">
        <v>1576</v>
      </c>
      <c r="Q975" t="str">
        <f t="shared" si="45"/>
        <v>Jul</v>
      </c>
      <c r="R975">
        <f t="shared" si="46"/>
        <v>2014</v>
      </c>
      <c r="S975" t="str">
        <f>VLOOKUP($W975,TBL_Categories,2,FALSE)</f>
        <v>Unplanned</v>
      </c>
      <c r="T975">
        <f>VLOOKUP($W975,TBL_Categories,3,FALSE)</f>
        <v>0</v>
      </c>
      <c r="U975" t="str">
        <f>VLOOKUP($W975,TBL_Categories,4,FALSE)</f>
        <v>No</v>
      </c>
      <c r="V975" t="str">
        <f>VLOOKUP($W975,TBL_Categories,5,FALSE)</f>
        <v>None</v>
      </c>
      <c r="W975" t="str">
        <f t="shared" si="47"/>
        <v>Entertainment|Movies &amp; DVDs</v>
      </c>
    </row>
    <row r="976" spans="1:23" x14ac:dyDescent="0.25">
      <c r="A976" t="s">
        <v>296</v>
      </c>
      <c r="B976" s="5">
        <v>41823</v>
      </c>
      <c r="C976">
        <v>-24.89</v>
      </c>
      <c r="D976" t="s">
        <v>304</v>
      </c>
      <c r="E976" t="s">
        <v>687</v>
      </c>
      <c r="F976" t="s">
        <v>1188</v>
      </c>
      <c r="G976" t="s">
        <v>333</v>
      </c>
      <c r="K976" t="s">
        <v>61</v>
      </c>
      <c r="L976" t="s">
        <v>1530</v>
      </c>
      <c r="Q976" t="str">
        <f t="shared" si="45"/>
        <v>Jul</v>
      </c>
      <c r="R976">
        <f t="shared" si="46"/>
        <v>2014</v>
      </c>
      <c r="S976" t="str">
        <f>VLOOKUP($W976,TBL_Categories,2,FALSE)</f>
        <v>Monthly</v>
      </c>
      <c r="T976">
        <f>VLOOKUP($W976,TBL_Categories,3,FALSE)</f>
        <v>0</v>
      </c>
      <c r="U976" t="str">
        <f>VLOOKUP($W976,TBL_Categories,4,FALSE)</f>
        <v>No</v>
      </c>
      <c r="V976" t="str">
        <f>VLOOKUP($W976,TBL_Categories,5,FALSE)</f>
        <v>None</v>
      </c>
      <c r="W976" t="str">
        <f t="shared" si="47"/>
        <v>Food &amp; Dining|Restaurants</v>
      </c>
    </row>
    <row r="977" spans="1:23" x14ac:dyDescent="0.25">
      <c r="A977" t="s">
        <v>284</v>
      </c>
      <c r="B977" s="5">
        <v>41822</v>
      </c>
      <c r="C977">
        <v>903.11</v>
      </c>
      <c r="D977" t="s">
        <v>304</v>
      </c>
      <c r="E977" t="s">
        <v>637</v>
      </c>
      <c r="F977" t="s">
        <v>808</v>
      </c>
      <c r="G977" t="s">
        <v>589</v>
      </c>
      <c r="K977" t="s">
        <v>29</v>
      </c>
      <c r="L977" t="s">
        <v>1539</v>
      </c>
      <c r="O977" t="s">
        <v>1599</v>
      </c>
      <c r="Q977" t="str">
        <f t="shared" si="45"/>
        <v>Jul</v>
      </c>
      <c r="R977">
        <f t="shared" si="46"/>
        <v>2014</v>
      </c>
      <c r="S977" t="str">
        <f>VLOOKUP($W977,TBL_Categories,2,FALSE)</f>
        <v>Irregular</v>
      </c>
      <c r="T977">
        <f>VLOOKUP($W977,TBL_Categories,3,FALSE)</f>
        <v>0</v>
      </c>
      <c r="U977" t="str">
        <f>VLOOKUP($W977,TBL_Categories,4,FALSE)</f>
        <v>No</v>
      </c>
      <c r="V977" t="str">
        <f>VLOOKUP($W977,TBL_Categories,5,FALSE)</f>
        <v>None</v>
      </c>
      <c r="W977" t="str">
        <f t="shared" si="47"/>
        <v>Work Expense|Reimbursement</v>
      </c>
    </row>
    <row r="978" spans="1:23" x14ac:dyDescent="0.25">
      <c r="A978" t="s">
        <v>284</v>
      </c>
      <c r="B978" s="5">
        <v>41822</v>
      </c>
      <c r="C978" s="4">
        <v>-2033.91</v>
      </c>
      <c r="D978" t="s">
        <v>304</v>
      </c>
      <c r="E978" t="s">
        <v>318</v>
      </c>
      <c r="F978" t="s">
        <v>378</v>
      </c>
      <c r="G978" t="s">
        <v>379</v>
      </c>
      <c r="J978">
        <v>9602</v>
      </c>
      <c r="K978" t="s">
        <v>55</v>
      </c>
      <c r="L978" t="s">
        <v>1525</v>
      </c>
      <c r="Q978" t="str">
        <f t="shared" si="45"/>
        <v>Jul</v>
      </c>
      <c r="R978">
        <f t="shared" si="46"/>
        <v>2014</v>
      </c>
      <c r="S978" t="str">
        <f>VLOOKUP($W978,TBL_Categories,2,FALSE)</f>
        <v>Monthly</v>
      </c>
      <c r="T978">
        <f>VLOOKUP($W978,TBL_Categories,3,FALSE)</f>
        <v>0</v>
      </c>
      <c r="U978" t="str">
        <f>VLOOKUP($W978,TBL_Categories,4,FALSE)</f>
        <v>No</v>
      </c>
      <c r="V978" t="str">
        <f>VLOOKUP($W978,TBL_Categories,5,FALSE)</f>
        <v>None</v>
      </c>
      <c r="W978" t="str">
        <f t="shared" si="47"/>
        <v>Business Expenses (Koolikai)|Mortgage (Business)</v>
      </c>
    </row>
    <row r="979" spans="1:23" x14ac:dyDescent="0.25">
      <c r="A979" t="s">
        <v>284</v>
      </c>
      <c r="B979" s="5">
        <v>41822</v>
      </c>
      <c r="C979" s="4">
        <v>-3517.65</v>
      </c>
      <c r="D979" t="s">
        <v>304</v>
      </c>
      <c r="E979" t="s">
        <v>318</v>
      </c>
      <c r="F979" t="s">
        <v>378</v>
      </c>
      <c r="G979" t="s">
        <v>380</v>
      </c>
      <c r="J979">
        <v>7231</v>
      </c>
      <c r="K979" t="s">
        <v>55</v>
      </c>
      <c r="L979" t="s">
        <v>1525</v>
      </c>
      <c r="Q979" t="str">
        <f t="shared" si="45"/>
        <v>Jul</v>
      </c>
      <c r="R979">
        <f t="shared" si="46"/>
        <v>2014</v>
      </c>
      <c r="S979" t="str">
        <f>VLOOKUP($W979,TBL_Categories,2,FALSE)</f>
        <v>Monthly</v>
      </c>
      <c r="T979">
        <f>VLOOKUP($W979,TBL_Categories,3,FALSE)</f>
        <v>0</v>
      </c>
      <c r="U979" t="str">
        <f>VLOOKUP($W979,TBL_Categories,4,FALSE)</f>
        <v>No</v>
      </c>
      <c r="V979" t="str">
        <f>VLOOKUP($W979,TBL_Categories,5,FALSE)</f>
        <v>None</v>
      </c>
      <c r="W979" t="str">
        <f t="shared" si="47"/>
        <v>Business Expenses (Koolikai)|Mortgage (Business)</v>
      </c>
    </row>
    <row r="980" spans="1:23" x14ac:dyDescent="0.25">
      <c r="A980" t="s">
        <v>284</v>
      </c>
      <c r="B980" s="5">
        <v>41822</v>
      </c>
      <c r="C980" s="4">
        <v>-4284.17</v>
      </c>
      <c r="D980" t="s">
        <v>304</v>
      </c>
      <c r="E980" t="s">
        <v>321</v>
      </c>
      <c r="F980" t="s">
        <v>365</v>
      </c>
      <c r="G980" t="s">
        <v>13</v>
      </c>
      <c r="K980" t="s">
        <v>13</v>
      </c>
      <c r="Q980" t="str">
        <f t="shared" si="45"/>
        <v>Jul</v>
      </c>
      <c r="R980">
        <f t="shared" si="46"/>
        <v>2014</v>
      </c>
      <c r="S980" t="str">
        <f>VLOOKUP($W980,TBL_Categories,2,FALSE)</f>
        <v>Account</v>
      </c>
      <c r="T980">
        <f>VLOOKUP($W980,TBL_Categories,3,FALSE)</f>
        <v>0</v>
      </c>
      <c r="U980" t="str">
        <f>VLOOKUP($W980,TBL_Categories,4,FALSE)</f>
        <v>No</v>
      </c>
      <c r="V980" t="str">
        <f>VLOOKUP($W980,TBL_Categories,5,FALSE)</f>
        <v>None</v>
      </c>
      <c r="W980" t="str">
        <f t="shared" si="47"/>
        <v>[MasterCard (Capital One)]</v>
      </c>
    </row>
    <row r="981" spans="1:23" x14ac:dyDescent="0.25">
      <c r="A981" t="s">
        <v>296</v>
      </c>
      <c r="B981" s="5">
        <v>41822</v>
      </c>
      <c r="C981">
        <v>-9.8000000000000007</v>
      </c>
      <c r="D981" t="s">
        <v>304</v>
      </c>
      <c r="E981" t="s">
        <v>428</v>
      </c>
      <c r="F981" t="s">
        <v>472</v>
      </c>
      <c r="G981" t="s">
        <v>342</v>
      </c>
      <c r="K981" t="s">
        <v>61</v>
      </c>
      <c r="L981" t="s">
        <v>401</v>
      </c>
      <c r="Q981" t="str">
        <f t="shared" si="45"/>
        <v>Jul</v>
      </c>
      <c r="R981">
        <f t="shared" si="46"/>
        <v>2014</v>
      </c>
      <c r="S981" t="str">
        <f>VLOOKUP($W981,TBL_Categories,2,FALSE)</f>
        <v>Monthly</v>
      </c>
      <c r="T981">
        <f>VLOOKUP($W981,TBL_Categories,3,FALSE)</f>
        <v>0</v>
      </c>
      <c r="U981" t="str">
        <f>VLOOKUP($W981,TBL_Categories,4,FALSE)</f>
        <v>No</v>
      </c>
      <c r="V981" t="str">
        <f>VLOOKUP($W981,TBL_Categories,5,FALSE)</f>
        <v>None</v>
      </c>
      <c r="W981" t="str">
        <f t="shared" si="47"/>
        <v>Food &amp; Dining|Groceries</v>
      </c>
    </row>
    <row r="982" spans="1:23" x14ac:dyDescent="0.25">
      <c r="A982" t="s">
        <v>296</v>
      </c>
      <c r="B982" s="5">
        <v>41822</v>
      </c>
      <c r="C982">
        <v>-15.86</v>
      </c>
      <c r="D982" t="s">
        <v>304</v>
      </c>
      <c r="E982" t="s">
        <v>431</v>
      </c>
      <c r="F982" t="s">
        <v>492</v>
      </c>
      <c r="G982" t="s">
        <v>432</v>
      </c>
      <c r="K982" t="s">
        <v>52</v>
      </c>
      <c r="L982" t="s">
        <v>1577</v>
      </c>
      <c r="Q982" t="str">
        <f t="shared" si="45"/>
        <v>Jul</v>
      </c>
      <c r="R982">
        <f t="shared" si="46"/>
        <v>2014</v>
      </c>
      <c r="S982" t="str">
        <f>VLOOKUP($W982,TBL_Categories,2,FALSE)</f>
        <v>Monthly</v>
      </c>
      <c r="T982">
        <f>VLOOKUP($W982,TBL_Categories,3,FALSE)</f>
        <v>0</v>
      </c>
      <c r="U982" t="str">
        <f>VLOOKUP($W982,TBL_Categories,4,FALSE)</f>
        <v>No</v>
      </c>
      <c r="V982" t="str">
        <f>VLOOKUP($W982,TBL_Categories,5,FALSE)</f>
        <v>None</v>
      </c>
      <c r="W982" t="str">
        <f t="shared" si="47"/>
        <v>Auto &amp; Transport|Parking</v>
      </c>
    </row>
    <row r="983" spans="1:23" x14ac:dyDescent="0.25">
      <c r="A983" t="s">
        <v>296</v>
      </c>
      <c r="B983" s="5">
        <v>41822</v>
      </c>
      <c r="C983">
        <v>-22.03</v>
      </c>
      <c r="D983" t="s">
        <v>304</v>
      </c>
      <c r="E983" t="s">
        <v>443</v>
      </c>
      <c r="F983" t="s">
        <v>484</v>
      </c>
      <c r="G983" t="s">
        <v>444</v>
      </c>
      <c r="I983" t="s">
        <v>272</v>
      </c>
      <c r="K983" t="s">
        <v>54</v>
      </c>
      <c r="L983" t="s">
        <v>1581</v>
      </c>
      <c r="Q983" t="str">
        <f t="shared" si="45"/>
        <v>Jul</v>
      </c>
      <c r="R983">
        <f t="shared" si="46"/>
        <v>2014</v>
      </c>
      <c r="S983" t="str">
        <f>VLOOKUP($W983,TBL_Categories,2,FALSE)</f>
        <v>Monthly</v>
      </c>
      <c r="T983">
        <f>VLOOKUP($W983,TBL_Categories,3,FALSE)</f>
        <v>0</v>
      </c>
      <c r="U983" t="str">
        <f>VLOOKUP($W983,TBL_Categories,4,FALSE)</f>
        <v>No</v>
      </c>
      <c r="V983" t="str">
        <f>VLOOKUP($W983,TBL_Categories,5,FALSE)</f>
        <v>None</v>
      </c>
      <c r="W983" t="str">
        <f t="shared" si="47"/>
        <v>Bills &amp; Utilities|Television</v>
      </c>
    </row>
    <row r="984" spans="1:23" x14ac:dyDescent="0.25">
      <c r="A984" t="s">
        <v>296</v>
      </c>
      <c r="B984" s="5">
        <v>41822</v>
      </c>
      <c r="C984">
        <v>-64.08</v>
      </c>
      <c r="D984" t="s">
        <v>304</v>
      </c>
      <c r="E984" t="s">
        <v>443</v>
      </c>
      <c r="G984" t="s">
        <v>445</v>
      </c>
      <c r="I984" t="s">
        <v>272</v>
      </c>
      <c r="K984" t="s">
        <v>55</v>
      </c>
      <c r="L984" t="s">
        <v>1582</v>
      </c>
      <c r="Q984" t="str">
        <f t="shared" si="45"/>
        <v>Jul</v>
      </c>
      <c r="R984">
        <f t="shared" si="46"/>
        <v>2014</v>
      </c>
      <c r="S984" t="str">
        <f>VLOOKUP($W984,TBL_Categories,2,FALSE)</f>
        <v>Monthly</v>
      </c>
      <c r="T984">
        <f>VLOOKUP($W984,TBL_Categories,3,FALSE)</f>
        <v>0</v>
      </c>
      <c r="U984" t="str">
        <f>VLOOKUP($W984,TBL_Categories,4,FALSE)</f>
        <v>No</v>
      </c>
      <c r="V984" t="str">
        <f>VLOOKUP($W984,TBL_Categories,5,FALSE)</f>
        <v>None</v>
      </c>
      <c r="W984" t="str">
        <f t="shared" si="47"/>
        <v>Business Expenses (Koolikai)|Internet</v>
      </c>
    </row>
    <row r="985" spans="1:23" x14ac:dyDescent="0.25">
      <c r="A985" t="s">
        <v>296</v>
      </c>
      <c r="B985" s="5">
        <v>41822</v>
      </c>
      <c r="C985">
        <v>-44.08</v>
      </c>
      <c r="D985" t="s">
        <v>304</v>
      </c>
      <c r="E985" t="s">
        <v>443</v>
      </c>
      <c r="G985" t="s">
        <v>446</v>
      </c>
      <c r="I985" t="s">
        <v>272</v>
      </c>
      <c r="K985" t="s">
        <v>54</v>
      </c>
      <c r="L985" t="s">
        <v>1583</v>
      </c>
      <c r="Q985" t="str">
        <f t="shared" si="45"/>
        <v>Jul</v>
      </c>
      <c r="R985">
        <f t="shared" si="46"/>
        <v>2014</v>
      </c>
      <c r="S985" t="str">
        <f>VLOOKUP($W985,TBL_Categories,2,FALSE)</f>
        <v>Monthly</v>
      </c>
      <c r="T985">
        <f>VLOOKUP($W985,TBL_Categories,3,FALSE)</f>
        <v>0</v>
      </c>
      <c r="U985" t="str">
        <f>VLOOKUP($W985,TBL_Categories,4,FALSE)</f>
        <v>No</v>
      </c>
      <c r="V985" t="str">
        <f>VLOOKUP($W985,TBL_Categories,5,FALSE)</f>
        <v>None</v>
      </c>
      <c r="W985" t="str">
        <f t="shared" si="47"/>
        <v>Bills &amp; Utilities|Home Phone</v>
      </c>
    </row>
    <row r="986" spans="1:23" x14ac:dyDescent="0.25">
      <c r="A986" t="s">
        <v>284</v>
      </c>
      <c r="B986" s="5">
        <v>41821</v>
      </c>
      <c r="C986" s="4">
        <v>-1976</v>
      </c>
      <c r="D986" t="s">
        <v>304</v>
      </c>
      <c r="E986" t="s">
        <v>314</v>
      </c>
      <c r="F986" t="s">
        <v>315</v>
      </c>
      <c r="G986" t="s">
        <v>316</v>
      </c>
      <c r="K986" t="s">
        <v>66</v>
      </c>
      <c r="L986" t="s">
        <v>1522</v>
      </c>
      <c r="Q986" t="str">
        <f t="shared" si="45"/>
        <v>Jul</v>
      </c>
      <c r="R986">
        <f t="shared" si="46"/>
        <v>2014</v>
      </c>
      <c r="S986" t="str">
        <f>VLOOKUP($W986,TBL_Categories,2,FALSE)</f>
        <v>Monthly</v>
      </c>
      <c r="T986">
        <f>VLOOKUP($W986,TBL_Categories,3,FALSE)</f>
        <v>0</v>
      </c>
      <c r="U986" t="str">
        <f>VLOOKUP($W986,TBL_Categories,4,FALSE)</f>
        <v>No</v>
      </c>
      <c r="V986" t="str">
        <f>VLOOKUP($W986,TBL_Categories,5,FALSE)</f>
        <v>None</v>
      </c>
      <c r="W986" t="str">
        <f t="shared" si="47"/>
        <v>Kids|Daycare</v>
      </c>
    </row>
    <row r="987" spans="1:23" x14ac:dyDescent="0.25">
      <c r="A987" t="s">
        <v>284</v>
      </c>
      <c r="B987" s="5">
        <v>41821</v>
      </c>
      <c r="C987">
        <v>-500</v>
      </c>
      <c r="D987" t="s">
        <v>304</v>
      </c>
      <c r="E987" t="s">
        <v>338</v>
      </c>
      <c r="F987" t="s">
        <v>339</v>
      </c>
      <c r="G987" t="s">
        <v>340</v>
      </c>
      <c r="K987" t="s">
        <v>66</v>
      </c>
      <c r="L987" t="s">
        <v>1533</v>
      </c>
      <c r="Q987" t="str">
        <f t="shared" si="45"/>
        <v>Jul</v>
      </c>
      <c r="R987">
        <f t="shared" si="46"/>
        <v>2014</v>
      </c>
      <c r="S987" t="str">
        <f>VLOOKUP($W987,TBL_Categories,2,FALSE)</f>
        <v>Monthly</v>
      </c>
      <c r="T987">
        <f>VLOOKUP($W987,TBL_Categories,3,FALSE)</f>
        <v>0</v>
      </c>
      <c r="U987" t="str">
        <f>VLOOKUP($W987,TBL_Categories,4,FALSE)</f>
        <v>No</v>
      </c>
      <c r="V987" t="str">
        <f>VLOOKUP($W987,TBL_Categories,5,FALSE)</f>
        <v>None</v>
      </c>
      <c r="W987" t="str">
        <f t="shared" si="47"/>
        <v>Kids|American Funds 529A</v>
      </c>
    </row>
    <row r="988" spans="1:23" x14ac:dyDescent="0.25">
      <c r="A988" t="s">
        <v>296</v>
      </c>
      <c r="B988" s="5">
        <v>41821</v>
      </c>
      <c r="C988" s="4">
        <v>4284.17</v>
      </c>
      <c r="D988" t="s">
        <v>304</v>
      </c>
      <c r="E988" t="s">
        <v>321</v>
      </c>
      <c r="F988" t="s">
        <v>1187</v>
      </c>
      <c r="G988" t="s">
        <v>9</v>
      </c>
      <c r="K988" t="s">
        <v>9</v>
      </c>
      <c r="Q988" t="str">
        <f t="shared" si="45"/>
        <v>Jul</v>
      </c>
      <c r="R988">
        <f t="shared" si="46"/>
        <v>2014</v>
      </c>
      <c r="S988" t="str">
        <f>VLOOKUP($W988,TBL_Categories,2,FALSE)</f>
        <v>Account</v>
      </c>
      <c r="T988">
        <f>VLOOKUP($W988,TBL_Categories,3,FALSE)</f>
        <v>0</v>
      </c>
      <c r="U988" t="str">
        <f>VLOOKUP($W988,TBL_Categories,4,FALSE)</f>
        <v>No</v>
      </c>
      <c r="V988" t="str">
        <f>VLOOKUP($W988,TBL_Categories,5,FALSE)</f>
        <v>None</v>
      </c>
      <c r="W988" t="str">
        <f t="shared" si="47"/>
        <v>[First Tech - Checking (5544)]</v>
      </c>
    </row>
    <row r="989" spans="1:23" x14ac:dyDescent="0.25">
      <c r="A989" t="s">
        <v>280</v>
      </c>
      <c r="B989" s="5">
        <v>41820</v>
      </c>
      <c r="C989">
        <v>19.38</v>
      </c>
      <c r="D989" t="s">
        <v>304</v>
      </c>
      <c r="E989" t="s">
        <v>309</v>
      </c>
      <c r="G989" t="s">
        <v>8</v>
      </c>
      <c r="H989" t="s">
        <v>310</v>
      </c>
      <c r="K989" t="s">
        <v>8</v>
      </c>
      <c r="Q989" t="str">
        <f t="shared" si="45"/>
        <v>Jun</v>
      </c>
      <c r="R989">
        <f t="shared" si="46"/>
        <v>2014</v>
      </c>
      <c r="S989" t="str">
        <f>VLOOKUP($W989,TBL_Categories,2,FALSE)</f>
        <v>Monthly</v>
      </c>
      <c r="T989">
        <f>VLOOKUP($W989,TBL_Categories,3,FALSE)</f>
        <v>0</v>
      </c>
      <c r="U989" t="str">
        <f>VLOOKUP($W989,TBL_Categories,4,FALSE)</f>
        <v>No</v>
      </c>
      <c r="V989" t="str">
        <f>VLOOKUP($W989,TBL_Categories,5,FALSE)</f>
        <v>None</v>
      </c>
      <c r="W989" t="str">
        <f t="shared" si="47"/>
        <v>Interest Income</v>
      </c>
    </row>
    <row r="990" spans="1:23" x14ac:dyDescent="0.25">
      <c r="A990" t="s">
        <v>281</v>
      </c>
      <c r="B990" s="5">
        <v>41820</v>
      </c>
      <c r="C990">
        <v>48.65</v>
      </c>
      <c r="D990" t="s">
        <v>304</v>
      </c>
      <c r="E990" t="s">
        <v>309</v>
      </c>
      <c r="G990" t="s">
        <v>8</v>
      </c>
      <c r="H990" t="s">
        <v>310</v>
      </c>
      <c r="K990" t="s">
        <v>8</v>
      </c>
      <c r="Q990" t="str">
        <f t="shared" si="45"/>
        <v>Jun</v>
      </c>
      <c r="R990">
        <f t="shared" si="46"/>
        <v>2014</v>
      </c>
      <c r="S990" t="str">
        <f>VLOOKUP($W990,TBL_Categories,2,FALSE)</f>
        <v>Monthly</v>
      </c>
      <c r="T990">
        <f>VLOOKUP($W990,TBL_Categories,3,FALSE)</f>
        <v>0</v>
      </c>
      <c r="U990" t="str">
        <f>VLOOKUP($W990,TBL_Categories,4,FALSE)</f>
        <v>No</v>
      </c>
      <c r="V990" t="str">
        <f>VLOOKUP($W990,TBL_Categories,5,FALSE)</f>
        <v>None</v>
      </c>
      <c r="W990" t="str">
        <f t="shared" si="47"/>
        <v>Interest Income</v>
      </c>
    </row>
    <row r="991" spans="1:23" x14ac:dyDescent="0.25">
      <c r="A991" t="s">
        <v>282</v>
      </c>
      <c r="B991" s="5">
        <v>41820</v>
      </c>
      <c r="C991">
        <v>0.02</v>
      </c>
      <c r="D991" t="s">
        <v>304</v>
      </c>
      <c r="E991" t="s">
        <v>309</v>
      </c>
      <c r="G991" t="s">
        <v>8</v>
      </c>
      <c r="H991" t="s">
        <v>310</v>
      </c>
      <c r="K991" t="s">
        <v>8</v>
      </c>
      <c r="Q991" t="str">
        <f t="shared" si="45"/>
        <v>Jun</v>
      </c>
      <c r="R991">
        <f t="shared" si="46"/>
        <v>2014</v>
      </c>
      <c r="S991" t="str">
        <f>VLOOKUP($W991,TBL_Categories,2,FALSE)</f>
        <v>Monthly</v>
      </c>
      <c r="T991">
        <f>VLOOKUP($W991,TBL_Categories,3,FALSE)</f>
        <v>0</v>
      </c>
      <c r="U991" t="str">
        <f>VLOOKUP($W991,TBL_Categories,4,FALSE)</f>
        <v>No</v>
      </c>
      <c r="V991" t="str">
        <f>VLOOKUP($W991,TBL_Categories,5,FALSE)</f>
        <v>None</v>
      </c>
      <c r="W991" t="str">
        <f t="shared" si="47"/>
        <v>Interest Income</v>
      </c>
    </row>
    <row r="992" spans="1:23" x14ac:dyDescent="0.25">
      <c r="A992" t="s">
        <v>283</v>
      </c>
      <c r="B992" s="5">
        <v>41820</v>
      </c>
      <c r="C992">
        <v>2.06</v>
      </c>
      <c r="D992" t="s">
        <v>304</v>
      </c>
      <c r="E992" t="s">
        <v>309</v>
      </c>
      <c r="G992" t="s">
        <v>8</v>
      </c>
      <c r="H992" t="s">
        <v>310</v>
      </c>
      <c r="K992" t="s">
        <v>8</v>
      </c>
      <c r="Q992" t="str">
        <f t="shared" si="45"/>
        <v>Jun</v>
      </c>
      <c r="R992">
        <f t="shared" si="46"/>
        <v>2014</v>
      </c>
      <c r="S992" t="str">
        <f>VLOOKUP($W992,TBL_Categories,2,FALSE)</f>
        <v>Monthly</v>
      </c>
      <c r="T992">
        <f>VLOOKUP($W992,TBL_Categories,3,FALSE)</f>
        <v>0</v>
      </c>
      <c r="U992" t="str">
        <f>VLOOKUP($W992,TBL_Categories,4,FALSE)</f>
        <v>No</v>
      </c>
      <c r="V992" t="str">
        <f>VLOOKUP($W992,TBL_Categories,5,FALSE)</f>
        <v>None</v>
      </c>
      <c r="W992" t="str">
        <f t="shared" si="47"/>
        <v>Interest Income</v>
      </c>
    </row>
    <row r="993" spans="1:23" x14ac:dyDescent="0.25">
      <c r="A993" t="s">
        <v>284</v>
      </c>
      <c r="B993" s="5">
        <v>41820</v>
      </c>
      <c r="C993">
        <v>-211.95</v>
      </c>
      <c r="D993" t="s">
        <v>304</v>
      </c>
      <c r="E993" t="s">
        <v>807</v>
      </c>
      <c r="F993" t="s">
        <v>1659</v>
      </c>
      <c r="G993" t="s">
        <v>313</v>
      </c>
      <c r="K993" t="s">
        <v>54</v>
      </c>
      <c r="L993" t="s">
        <v>1521</v>
      </c>
      <c r="Q993" t="str">
        <f t="shared" si="45"/>
        <v>Jun</v>
      </c>
      <c r="R993">
        <f t="shared" si="46"/>
        <v>2014</v>
      </c>
      <c r="S993" t="str">
        <f>VLOOKUP($W993,TBL_Categories,2,FALSE)</f>
        <v>Monthly</v>
      </c>
      <c r="T993">
        <f>VLOOKUP($W993,TBL_Categories,3,FALSE)</f>
        <v>0</v>
      </c>
      <c r="U993" t="str">
        <f>VLOOKUP($W993,TBL_Categories,4,FALSE)</f>
        <v>No</v>
      </c>
      <c r="V993" t="str">
        <f>VLOOKUP($W993,TBL_Categories,5,FALSE)</f>
        <v>None</v>
      </c>
      <c r="W993" t="str">
        <f t="shared" si="47"/>
        <v>Bills &amp; Utilities|Utilities</v>
      </c>
    </row>
    <row r="994" spans="1:23" x14ac:dyDescent="0.25">
      <c r="A994" t="s">
        <v>287</v>
      </c>
      <c r="B994" s="5">
        <v>41820</v>
      </c>
      <c r="C994">
        <v>1.57</v>
      </c>
      <c r="D994" t="s">
        <v>304</v>
      </c>
      <c r="E994" t="s">
        <v>396</v>
      </c>
      <c r="F994" t="s">
        <v>595</v>
      </c>
      <c r="G994" t="s">
        <v>8</v>
      </c>
      <c r="K994" t="s">
        <v>8</v>
      </c>
      <c r="Q994" t="str">
        <f t="shared" si="45"/>
        <v>Jun</v>
      </c>
      <c r="R994">
        <f t="shared" si="46"/>
        <v>2014</v>
      </c>
      <c r="S994" t="str">
        <f>VLOOKUP($W994,TBL_Categories,2,FALSE)</f>
        <v>Monthly</v>
      </c>
      <c r="T994">
        <f>VLOOKUP($W994,TBL_Categories,3,FALSE)</f>
        <v>0</v>
      </c>
      <c r="U994" t="str">
        <f>VLOOKUP($W994,TBL_Categories,4,FALSE)</f>
        <v>No</v>
      </c>
      <c r="V994" t="str">
        <f>VLOOKUP($W994,TBL_Categories,5,FALSE)</f>
        <v>None</v>
      </c>
      <c r="W994" t="str">
        <f t="shared" si="47"/>
        <v>Interest Income</v>
      </c>
    </row>
    <row r="995" spans="1:23" x14ac:dyDescent="0.25">
      <c r="A995" t="s">
        <v>289</v>
      </c>
      <c r="B995" s="5">
        <v>41820</v>
      </c>
      <c r="C995">
        <v>0.18</v>
      </c>
      <c r="D995" t="s">
        <v>304</v>
      </c>
      <c r="E995" t="s">
        <v>396</v>
      </c>
      <c r="F995" t="s">
        <v>595</v>
      </c>
      <c r="G995" t="s">
        <v>8</v>
      </c>
      <c r="K995" t="s">
        <v>8</v>
      </c>
      <c r="Q995" t="str">
        <f t="shared" si="45"/>
        <v>Jun</v>
      </c>
      <c r="R995">
        <f t="shared" si="46"/>
        <v>2014</v>
      </c>
      <c r="S995" t="str">
        <f>VLOOKUP($W995,TBL_Categories,2,FALSE)</f>
        <v>Monthly</v>
      </c>
      <c r="T995">
        <f>VLOOKUP($W995,TBL_Categories,3,FALSE)</f>
        <v>0</v>
      </c>
      <c r="U995" t="str">
        <f>VLOOKUP($W995,TBL_Categories,4,FALSE)</f>
        <v>No</v>
      </c>
      <c r="V995" t="str">
        <f>VLOOKUP($W995,TBL_Categories,5,FALSE)</f>
        <v>None</v>
      </c>
      <c r="W995" t="str">
        <f t="shared" si="47"/>
        <v>Interest Income</v>
      </c>
    </row>
    <row r="996" spans="1:23" x14ac:dyDescent="0.25">
      <c r="A996" t="s">
        <v>290</v>
      </c>
      <c r="B996" s="5">
        <v>41820</v>
      </c>
      <c r="C996">
        <v>0.08</v>
      </c>
      <c r="D996" t="s">
        <v>304</v>
      </c>
      <c r="E996" t="s">
        <v>399</v>
      </c>
      <c r="G996" t="s">
        <v>8</v>
      </c>
      <c r="K996" t="s">
        <v>8</v>
      </c>
      <c r="Q996" t="str">
        <f t="shared" si="45"/>
        <v>Jun</v>
      </c>
      <c r="R996">
        <f t="shared" si="46"/>
        <v>2014</v>
      </c>
      <c r="S996" t="str">
        <f>VLOOKUP($W996,TBL_Categories,2,FALSE)</f>
        <v>Monthly</v>
      </c>
      <c r="T996">
        <f>VLOOKUP($W996,TBL_Categories,3,FALSE)</f>
        <v>0</v>
      </c>
      <c r="U996" t="str">
        <f>VLOOKUP($W996,TBL_Categories,4,FALSE)</f>
        <v>No</v>
      </c>
      <c r="V996" t="str">
        <f>VLOOKUP($W996,TBL_Categories,5,FALSE)</f>
        <v>None</v>
      </c>
      <c r="W996" t="str">
        <f t="shared" si="47"/>
        <v>Interest Income</v>
      </c>
    </row>
    <row r="997" spans="1:23" x14ac:dyDescent="0.25">
      <c r="A997" t="s">
        <v>290</v>
      </c>
      <c r="B997" s="5">
        <v>41820</v>
      </c>
      <c r="C997">
        <v>7.25</v>
      </c>
      <c r="D997" t="s">
        <v>304</v>
      </c>
      <c r="E997" t="s">
        <v>403</v>
      </c>
      <c r="G997" t="s">
        <v>397</v>
      </c>
      <c r="K997" t="s">
        <v>53</v>
      </c>
      <c r="L997" t="s">
        <v>1562</v>
      </c>
      <c r="Q997" t="str">
        <f t="shared" si="45"/>
        <v>Jun</v>
      </c>
      <c r="R997">
        <f t="shared" si="46"/>
        <v>2014</v>
      </c>
      <c r="S997" t="str">
        <f>VLOOKUP($W997,TBL_Categories,2,FALSE)</f>
        <v>Monthly</v>
      </c>
      <c r="T997">
        <f>VLOOKUP($W997,TBL_Categories,3,FALSE)</f>
        <v>0</v>
      </c>
      <c r="U997" t="str">
        <f>VLOOKUP($W997,TBL_Categories,4,FALSE)</f>
        <v>No</v>
      </c>
      <c r="V997" t="str">
        <f>VLOOKUP($W997,TBL_Categories,5,FALSE)</f>
        <v>None</v>
      </c>
      <c r="W997" t="str">
        <f t="shared" si="47"/>
        <v>Bank Fees &amp; Charges|ATM Fee</v>
      </c>
    </row>
    <row r="998" spans="1:23" x14ac:dyDescent="0.25">
      <c r="A998" t="s">
        <v>296</v>
      </c>
      <c r="B998" s="5">
        <v>41820</v>
      </c>
      <c r="C998">
        <v>-27.34</v>
      </c>
      <c r="D998" t="s">
        <v>304</v>
      </c>
      <c r="E998" t="s">
        <v>422</v>
      </c>
      <c r="F998" t="s">
        <v>1186</v>
      </c>
      <c r="G998" t="s">
        <v>425</v>
      </c>
      <c r="K998" t="s">
        <v>55</v>
      </c>
      <c r="L998" t="s">
        <v>1553</v>
      </c>
      <c r="Q998" t="str">
        <f t="shared" si="45"/>
        <v>Jun</v>
      </c>
      <c r="R998">
        <f t="shared" si="46"/>
        <v>2014</v>
      </c>
      <c r="S998" t="str">
        <f>VLOOKUP($W998,TBL_Categories,2,FALSE)</f>
        <v>Monthly</v>
      </c>
      <c r="T998">
        <f>VLOOKUP($W998,TBL_Categories,3,FALSE)</f>
        <v>0</v>
      </c>
      <c r="U998" t="str">
        <f>VLOOKUP($W998,TBL_Categories,4,FALSE)</f>
        <v>No</v>
      </c>
      <c r="V998" t="str">
        <f>VLOOKUP($W998,TBL_Categories,5,FALSE)</f>
        <v>None</v>
      </c>
      <c r="W998" t="str">
        <f t="shared" si="47"/>
        <v>Business Expenses (Koolikai)|Office Expenses (Business)</v>
      </c>
    </row>
    <row r="999" spans="1:23" x14ac:dyDescent="0.25">
      <c r="A999" t="s">
        <v>284</v>
      </c>
      <c r="B999" s="5">
        <v>41819</v>
      </c>
      <c r="C999">
        <v>21.17</v>
      </c>
      <c r="D999" t="s">
        <v>304</v>
      </c>
      <c r="E999" t="s">
        <v>806</v>
      </c>
      <c r="F999" t="s">
        <v>394</v>
      </c>
      <c r="G999" t="s">
        <v>367</v>
      </c>
      <c r="K999" t="s">
        <v>62</v>
      </c>
      <c r="L999" t="s">
        <v>1549</v>
      </c>
      <c r="Q999" t="str">
        <f t="shared" si="45"/>
        <v>Jun</v>
      </c>
      <c r="R999">
        <f t="shared" si="46"/>
        <v>2014</v>
      </c>
      <c r="S999" t="str">
        <f>VLOOKUP($W999,TBL_Categories,2,FALSE)</f>
        <v>Irregular</v>
      </c>
      <c r="T999">
        <f>VLOOKUP($W999,TBL_Categories,3,FALSE)</f>
        <v>0</v>
      </c>
      <c r="U999" t="str">
        <f>VLOOKUP($W999,TBL_Categories,4,FALSE)</f>
        <v>No</v>
      </c>
      <c r="V999" t="str">
        <f>VLOOKUP($W999,TBL_Categories,5,FALSE)</f>
        <v>None</v>
      </c>
      <c r="W999" t="str">
        <f t="shared" si="47"/>
        <v>Health &amp; Fitness|Doctor</v>
      </c>
    </row>
    <row r="1000" spans="1:23" x14ac:dyDescent="0.25">
      <c r="A1000" t="s">
        <v>284</v>
      </c>
      <c r="B1000" s="5">
        <v>41819</v>
      </c>
      <c r="C1000" s="4">
        <v>3165.19</v>
      </c>
      <c r="D1000" t="s">
        <v>304</v>
      </c>
      <c r="E1000" t="s">
        <v>361</v>
      </c>
      <c r="F1000" t="s">
        <v>312</v>
      </c>
      <c r="G1000" t="s">
        <v>12</v>
      </c>
      <c r="K1000" t="s">
        <v>12</v>
      </c>
      <c r="Q1000" t="str">
        <f t="shared" si="45"/>
        <v>Jun</v>
      </c>
      <c r="R1000">
        <f t="shared" si="46"/>
        <v>2014</v>
      </c>
      <c r="S1000" t="str">
        <f>VLOOKUP($W1000,TBL_Categories,2,FALSE)</f>
        <v>Monthly</v>
      </c>
      <c r="T1000">
        <f>VLOOKUP($W1000,TBL_Categories,3,FALSE)</f>
        <v>0</v>
      </c>
      <c r="U1000" t="str">
        <f>VLOOKUP($W1000,TBL_Categories,4,FALSE)</f>
        <v>No</v>
      </c>
      <c r="V1000" t="str">
        <f>VLOOKUP($W1000,TBL_Categories,5,FALSE)</f>
        <v>None</v>
      </c>
      <c r="W1000" t="str">
        <f t="shared" si="47"/>
        <v>Net Salary</v>
      </c>
    </row>
    <row r="1001" spans="1:23" x14ac:dyDescent="0.25">
      <c r="A1001" t="s">
        <v>284</v>
      </c>
      <c r="B1001" s="5">
        <v>41819</v>
      </c>
      <c r="C1001" s="4">
        <v>6058.12</v>
      </c>
      <c r="D1001" t="s">
        <v>304</v>
      </c>
      <c r="E1001" t="s">
        <v>363</v>
      </c>
      <c r="F1001" t="s">
        <v>359</v>
      </c>
      <c r="G1001" t="s">
        <v>12</v>
      </c>
      <c r="K1001" t="s">
        <v>12</v>
      </c>
      <c r="Q1001" t="str">
        <f t="shared" si="45"/>
        <v>Jun</v>
      </c>
      <c r="R1001">
        <f t="shared" si="46"/>
        <v>2014</v>
      </c>
      <c r="S1001" t="str">
        <f>VLOOKUP($W1001,TBL_Categories,2,FALSE)</f>
        <v>Monthly</v>
      </c>
      <c r="T1001">
        <f>VLOOKUP($W1001,TBL_Categories,3,FALSE)</f>
        <v>0</v>
      </c>
      <c r="U1001" t="str">
        <f>VLOOKUP($W1001,TBL_Categories,4,FALSE)</f>
        <v>No</v>
      </c>
      <c r="V1001" t="str">
        <f>VLOOKUP($W1001,TBL_Categories,5,FALSE)</f>
        <v>None</v>
      </c>
      <c r="W1001" t="str">
        <f t="shared" si="47"/>
        <v>Net Salary</v>
      </c>
    </row>
    <row r="1002" spans="1:23" x14ac:dyDescent="0.25">
      <c r="A1002" t="s">
        <v>633</v>
      </c>
      <c r="B1002" s="5">
        <v>41819</v>
      </c>
      <c r="C1002">
        <v>-12.9</v>
      </c>
      <c r="D1002" t="s">
        <v>304</v>
      </c>
      <c r="E1002" t="s">
        <v>967</v>
      </c>
      <c r="F1002" t="s">
        <v>968</v>
      </c>
      <c r="G1002" t="s">
        <v>333</v>
      </c>
      <c r="K1002" t="s">
        <v>61</v>
      </c>
      <c r="L1002" t="s">
        <v>1530</v>
      </c>
      <c r="Q1002" t="str">
        <f t="shared" si="45"/>
        <v>Jun</v>
      </c>
      <c r="R1002">
        <f t="shared" si="46"/>
        <v>2014</v>
      </c>
      <c r="S1002" t="str">
        <f>VLOOKUP($W1002,TBL_Categories,2,FALSE)</f>
        <v>Monthly</v>
      </c>
      <c r="T1002">
        <f>VLOOKUP($W1002,TBL_Categories,3,FALSE)</f>
        <v>0</v>
      </c>
      <c r="U1002" t="str">
        <f>VLOOKUP($W1002,TBL_Categories,4,FALSE)</f>
        <v>No</v>
      </c>
      <c r="V1002" t="str">
        <f>VLOOKUP($W1002,TBL_Categories,5,FALSE)</f>
        <v>None</v>
      </c>
      <c r="W1002" t="str">
        <f t="shared" si="47"/>
        <v>Food &amp; Dining|Restaurants</v>
      </c>
    </row>
    <row r="1003" spans="1:23" x14ac:dyDescent="0.25">
      <c r="A1003" t="s">
        <v>296</v>
      </c>
      <c r="B1003" s="5">
        <v>41819</v>
      </c>
      <c r="C1003">
        <v>-34</v>
      </c>
      <c r="D1003" t="s">
        <v>304</v>
      </c>
      <c r="E1003" t="s">
        <v>665</v>
      </c>
      <c r="F1003" t="s">
        <v>730</v>
      </c>
      <c r="G1003" t="s">
        <v>883</v>
      </c>
      <c r="J1003" t="s">
        <v>1550</v>
      </c>
      <c r="K1003" t="s">
        <v>70</v>
      </c>
      <c r="L1003" t="s">
        <v>1563</v>
      </c>
      <c r="Q1003" t="str">
        <f t="shared" si="45"/>
        <v>Jun</v>
      </c>
      <c r="R1003">
        <f t="shared" si="46"/>
        <v>2014</v>
      </c>
      <c r="S1003" t="str">
        <f>VLOOKUP($W1003,TBL_Categories,2,FALSE)</f>
        <v>Monthly</v>
      </c>
      <c r="T1003">
        <f>VLOOKUP($W1003,TBL_Categories,3,FALSE)</f>
        <v>0</v>
      </c>
      <c r="U1003" t="str">
        <f>VLOOKUP($W1003,TBL_Categories,4,FALSE)</f>
        <v>No</v>
      </c>
      <c r="V1003" t="str">
        <f>VLOOKUP($W1003,TBL_Categories,5,FALSE)</f>
        <v>None</v>
      </c>
      <c r="W1003" t="str">
        <f t="shared" si="47"/>
        <v>Personal Care|Hair</v>
      </c>
    </row>
    <row r="1004" spans="1:23" x14ac:dyDescent="0.25">
      <c r="A1004" t="s">
        <v>296</v>
      </c>
      <c r="B1004" s="5">
        <v>41819</v>
      </c>
      <c r="C1004">
        <v>-99</v>
      </c>
      <c r="D1004" t="s">
        <v>304</v>
      </c>
      <c r="E1004" t="s">
        <v>451</v>
      </c>
      <c r="F1004" t="s">
        <v>1185</v>
      </c>
      <c r="G1004" t="s">
        <v>73</v>
      </c>
      <c r="K1004" t="s">
        <v>73</v>
      </c>
      <c r="Q1004" t="str">
        <f t="shared" si="45"/>
        <v>Jun</v>
      </c>
      <c r="R1004">
        <f t="shared" si="46"/>
        <v>2014</v>
      </c>
      <c r="S1004" t="str">
        <f>VLOOKUP($W1004,TBL_Categories,2,FALSE)</f>
        <v>Annual</v>
      </c>
      <c r="T1004">
        <f>VLOOKUP($W1004,TBL_Categories,3,FALSE)</f>
        <v>0</v>
      </c>
      <c r="U1004" t="str">
        <f>VLOOKUP($W1004,TBL_Categories,4,FALSE)</f>
        <v>No</v>
      </c>
      <c r="V1004" t="str">
        <f>VLOOKUP($W1004,TBL_Categories,5,FALSE)</f>
        <v>None</v>
      </c>
      <c r="W1004" t="str">
        <f t="shared" si="47"/>
        <v>Subscriptions &amp; Dues</v>
      </c>
    </row>
    <row r="1005" spans="1:23" x14ac:dyDescent="0.25">
      <c r="A1005" t="s">
        <v>296</v>
      </c>
      <c r="B1005" s="5">
        <v>41818</v>
      </c>
      <c r="C1005">
        <v>-6.78</v>
      </c>
      <c r="D1005" t="s">
        <v>304</v>
      </c>
      <c r="E1005" t="s">
        <v>1178</v>
      </c>
      <c r="F1005" t="s">
        <v>1179</v>
      </c>
      <c r="G1005" t="s">
        <v>1133</v>
      </c>
      <c r="J1005" t="s">
        <v>1550</v>
      </c>
      <c r="K1005" t="s">
        <v>90</v>
      </c>
      <c r="L1005" t="s">
        <v>1594</v>
      </c>
      <c r="Q1005" t="str">
        <f t="shared" si="45"/>
        <v>Jun</v>
      </c>
      <c r="R1005">
        <f t="shared" si="46"/>
        <v>2014</v>
      </c>
      <c r="S1005" t="str">
        <f>VLOOKUP($W1005,TBL_Categories,2,FALSE)</f>
        <v>Unplanned</v>
      </c>
      <c r="T1005">
        <f>VLOOKUP($W1005,TBL_Categories,3,FALSE)</f>
        <v>0</v>
      </c>
      <c r="U1005" t="str">
        <f>VLOOKUP($W1005,TBL_Categories,4,FALSE)</f>
        <v>No</v>
      </c>
      <c r="V1005" t="str">
        <f>VLOOKUP($W1005,TBL_Categories,5,FALSE)</f>
        <v>None</v>
      </c>
      <c r="W1005" t="str">
        <f t="shared" si="47"/>
        <v>Projects|Boy's Room</v>
      </c>
    </row>
    <row r="1006" spans="1:23" x14ac:dyDescent="0.25">
      <c r="A1006" t="s">
        <v>296</v>
      </c>
      <c r="B1006" s="5">
        <v>41818</v>
      </c>
      <c r="C1006">
        <v>-9.52</v>
      </c>
      <c r="D1006" t="s">
        <v>304</v>
      </c>
      <c r="E1006" t="s">
        <v>1180</v>
      </c>
      <c r="F1006" t="s">
        <v>1181</v>
      </c>
      <c r="G1006" t="s">
        <v>333</v>
      </c>
      <c r="K1006" t="s">
        <v>61</v>
      </c>
      <c r="L1006" t="s">
        <v>1530</v>
      </c>
      <c r="Q1006" t="str">
        <f t="shared" si="45"/>
        <v>Jun</v>
      </c>
      <c r="R1006">
        <f t="shared" si="46"/>
        <v>2014</v>
      </c>
      <c r="S1006" t="str">
        <f>VLOOKUP($W1006,TBL_Categories,2,FALSE)</f>
        <v>Monthly</v>
      </c>
      <c r="T1006">
        <f>VLOOKUP($W1006,TBL_Categories,3,FALSE)</f>
        <v>0</v>
      </c>
      <c r="U1006" t="str">
        <f>VLOOKUP($W1006,TBL_Categories,4,FALSE)</f>
        <v>No</v>
      </c>
      <c r="V1006" t="str">
        <f>VLOOKUP($W1006,TBL_Categories,5,FALSE)</f>
        <v>None</v>
      </c>
      <c r="W1006" t="str">
        <f t="shared" si="47"/>
        <v>Food &amp; Dining|Restaurants</v>
      </c>
    </row>
    <row r="1007" spans="1:23" x14ac:dyDescent="0.25">
      <c r="A1007" t="s">
        <v>296</v>
      </c>
      <c r="B1007" s="5">
        <v>41818</v>
      </c>
      <c r="C1007">
        <v>-16.97</v>
      </c>
      <c r="D1007" t="s">
        <v>304</v>
      </c>
      <c r="E1007" t="s">
        <v>1182</v>
      </c>
      <c r="F1007" t="s">
        <v>1183</v>
      </c>
      <c r="G1007" t="s">
        <v>333</v>
      </c>
      <c r="K1007" t="s">
        <v>61</v>
      </c>
      <c r="L1007" t="s">
        <v>1530</v>
      </c>
      <c r="Q1007" t="str">
        <f t="shared" si="45"/>
        <v>Jun</v>
      </c>
      <c r="R1007">
        <f t="shared" si="46"/>
        <v>2014</v>
      </c>
      <c r="S1007" t="str">
        <f>VLOOKUP($W1007,TBL_Categories,2,FALSE)</f>
        <v>Monthly</v>
      </c>
      <c r="T1007">
        <f>VLOOKUP($W1007,TBL_Categories,3,FALSE)</f>
        <v>0</v>
      </c>
      <c r="U1007" t="str">
        <f>VLOOKUP($W1007,TBL_Categories,4,FALSE)</f>
        <v>No</v>
      </c>
      <c r="V1007" t="str">
        <f>VLOOKUP($W1007,TBL_Categories,5,FALSE)</f>
        <v>None</v>
      </c>
      <c r="W1007" t="str">
        <f t="shared" si="47"/>
        <v>Food &amp; Dining|Restaurants</v>
      </c>
    </row>
    <row r="1008" spans="1:23" x14ac:dyDescent="0.25">
      <c r="A1008" t="s">
        <v>296</v>
      </c>
      <c r="B1008" s="5">
        <v>41818</v>
      </c>
      <c r="C1008">
        <v>-19.68</v>
      </c>
      <c r="D1008" t="s">
        <v>304</v>
      </c>
      <c r="E1008" t="s">
        <v>422</v>
      </c>
      <c r="F1008" t="s">
        <v>1184</v>
      </c>
      <c r="G1008" t="s">
        <v>944</v>
      </c>
      <c r="J1008" t="s">
        <v>1561</v>
      </c>
      <c r="K1008" t="s">
        <v>55</v>
      </c>
      <c r="L1008" t="s">
        <v>1559</v>
      </c>
      <c r="Q1008" t="str">
        <f t="shared" si="45"/>
        <v>Jun</v>
      </c>
      <c r="R1008">
        <f t="shared" si="46"/>
        <v>2014</v>
      </c>
      <c r="S1008" t="str">
        <f>VLOOKUP($W1008,TBL_Categories,2,FALSE)</f>
        <v>Irregular</v>
      </c>
      <c r="T1008">
        <f>VLOOKUP($W1008,TBL_Categories,3,FALSE)</f>
        <v>0</v>
      </c>
      <c r="U1008" t="str">
        <f>VLOOKUP($W1008,TBL_Categories,4,FALSE)</f>
        <v>No</v>
      </c>
      <c r="V1008" t="str">
        <f>VLOOKUP($W1008,TBL_Categories,5,FALSE)</f>
        <v>None</v>
      </c>
      <c r="W1008" t="str">
        <f t="shared" si="47"/>
        <v>Business Expenses (Koolikai)|Repairs</v>
      </c>
    </row>
    <row r="1009" spans="1:23" x14ac:dyDescent="0.25">
      <c r="A1009" t="s">
        <v>284</v>
      </c>
      <c r="B1009" s="5">
        <v>41817</v>
      </c>
      <c r="C1009">
        <v>-954.76</v>
      </c>
      <c r="D1009" t="s">
        <v>304</v>
      </c>
      <c r="E1009" t="s">
        <v>377</v>
      </c>
      <c r="F1009" t="s">
        <v>636</v>
      </c>
      <c r="G1009" t="s">
        <v>657</v>
      </c>
      <c r="K1009" t="s">
        <v>657</v>
      </c>
      <c r="Q1009" t="str">
        <f t="shared" si="45"/>
        <v>Jun</v>
      </c>
      <c r="R1009">
        <f t="shared" si="46"/>
        <v>2014</v>
      </c>
      <c r="S1009" t="e">
        <f>VLOOKUP($W1009,TBL_Categories,2,FALSE)</f>
        <v>#N/A</v>
      </c>
      <c r="T1009" t="e">
        <f>VLOOKUP($W1009,TBL_Categories,3,FALSE)</f>
        <v>#N/A</v>
      </c>
      <c r="U1009" t="e">
        <f>VLOOKUP($W1009,TBL_Categories,4,FALSE)</f>
        <v>#N/A</v>
      </c>
      <c r="V1009" t="e">
        <f>VLOOKUP($W1009,TBL_Categories,5,FALSE)</f>
        <v>#N/A</v>
      </c>
      <c r="W1009" t="str">
        <f t="shared" si="47"/>
        <v>[Chase Freedom XX9381]</v>
      </c>
    </row>
    <row r="1010" spans="1:23" x14ac:dyDescent="0.25">
      <c r="A1010" t="s">
        <v>633</v>
      </c>
      <c r="B1010" s="5">
        <v>41817</v>
      </c>
      <c r="C1010">
        <v>19.7</v>
      </c>
      <c r="D1010" t="s">
        <v>304</v>
      </c>
      <c r="E1010" t="s">
        <v>433</v>
      </c>
      <c r="F1010" t="s">
        <v>964</v>
      </c>
      <c r="G1010" t="s">
        <v>894</v>
      </c>
      <c r="J1010" t="s">
        <v>1550</v>
      </c>
      <c r="K1010" t="s">
        <v>62</v>
      </c>
      <c r="L1010" t="s">
        <v>1545</v>
      </c>
      <c r="O1010" t="s">
        <v>1600</v>
      </c>
      <c r="Q1010" t="str">
        <f t="shared" si="45"/>
        <v>Jun</v>
      </c>
      <c r="R1010">
        <f t="shared" si="46"/>
        <v>2014</v>
      </c>
      <c r="S1010" t="str">
        <f>VLOOKUP($W1010,TBL_Categories,2,FALSE)</f>
        <v>Irregular</v>
      </c>
      <c r="T1010">
        <f>VLOOKUP($W1010,TBL_Categories,3,FALSE)</f>
        <v>0</v>
      </c>
      <c r="U1010" t="str">
        <f>VLOOKUP($W1010,TBL_Categories,4,FALSE)</f>
        <v>No</v>
      </c>
      <c r="V1010" t="str">
        <f>VLOOKUP($W1010,TBL_Categories,5,FALSE)</f>
        <v>None</v>
      </c>
      <c r="W1010" t="str">
        <f t="shared" si="47"/>
        <v>Health &amp; Fitness|Sports</v>
      </c>
    </row>
    <row r="1011" spans="1:23" x14ac:dyDescent="0.25">
      <c r="A1011" t="s">
        <v>633</v>
      </c>
      <c r="B1011" s="5">
        <v>41817</v>
      </c>
      <c r="C1011">
        <v>-10.91</v>
      </c>
      <c r="D1011" t="s">
        <v>304</v>
      </c>
      <c r="E1011" t="s">
        <v>423</v>
      </c>
      <c r="F1011" t="s">
        <v>965</v>
      </c>
      <c r="G1011" t="s">
        <v>949</v>
      </c>
      <c r="J1011" t="s">
        <v>1550</v>
      </c>
      <c r="K1011" t="s">
        <v>63</v>
      </c>
      <c r="L1011" t="s">
        <v>1574</v>
      </c>
      <c r="Q1011" t="str">
        <f t="shared" si="45"/>
        <v>Jun</v>
      </c>
      <c r="R1011">
        <f t="shared" si="46"/>
        <v>2014</v>
      </c>
      <c r="S1011" t="str">
        <f>VLOOKUP($W1011,TBL_Categories,2,FALSE)</f>
        <v>Irregular</v>
      </c>
      <c r="T1011">
        <f>VLOOKUP($W1011,TBL_Categories,3,FALSE)</f>
        <v>0</v>
      </c>
      <c r="U1011" t="str">
        <f>VLOOKUP($W1011,TBL_Categories,4,FALSE)</f>
        <v>No</v>
      </c>
      <c r="V1011" t="str">
        <f>VLOOKUP($W1011,TBL_Categories,5,FALSE)</f>
        <v>None</v>
      </c>
      <c r="W1011" t="str">
        <f t="shared" si="47"/>
        <v>Home|Home Improvement</v>
      </c>
    </row>
    <row r="1012" spans="1:23" x14ac:dyDescent="0.25">
      <c r="A1012" t="s">
        <v>633</v>
      </c>
      <c r="B1012" s="5">
        <v>41817</v>
      </c>
      <c r="C1012">
        <v>-24.05</v>
      </c>
      <c r="D1012" t="s">
        <v>304</v>
      </c>
      <c r="E1012" t="s">
        <v>729</v>
      </c>
      <c r="G1012" t="s">
        <v>773</v>
      </c>
      <c r="J1012" t="s">
        <v>1550</v>
      </c>
      <c r="K1012" t="s">
        <v>61</v>
      </c>
      <c r="L1012" t="s">
        <v>1530</v>
      </c>
      <c r="Q1012" t="str">
        <f t="shared" si="45"/>
        <v>Jun</v>
      </c>
      <c r="R1012">
        <f t="shared" si="46"/>
        <v>2014</v>
      </c>
      <c r="S1012" t="str">
        <f>VLOOKUP($W1012,TBL_Categories,2,FALSE)</f>
        <v>Monthly</v>
      </c>
      <c r="T1012">
        <f>VLOOKUP($W1012,TBL_Categories,3,FALSE)</f>
        <v>0</v>
      </c>
      <c r="U1012" t="str">
        <f>VLOOKUP($W1012,TBL_Categories,4,FALSE)</f>
        <v>No</v>
      </c>
      <c r="V1012" t="str">
        <f>VLOOKUP($W1012,TBL_Categories,5,FALSE)</f>
        <v>None</v>
      </c>
      <c r="W1012" t="str">
        <f t="shared" si="47"/>
        <v>Food &amp; Dining|Restaurants</v>
      </c>
    </row>
    <row r="1013" spans="1:23" x14ac:dyDescent="0.25">
      <c r="A1013" t="s">
        <v>633</v>
      </c>
      <c r="B1013" s="5">
        <v>41817</v>
      </c>
      <c r="C1013">
        <v>-688.86</v>
      </c>
      <c r="D1013" t="s">
        <v>304</v>
      </c>
      <c r="E1013" t="s">
        <v>423</v>
      </c>
      <c r="F1013" t="s">
        <v>966</v>
      </c>
      <c r="G1013" t="s">
        <v>819</v>
      </c>
      <c r="K1013" t="s">
        <v>90</v>
      </c>
      <c r="L1013" t="s">
        <v>1552</v>
      </c>
      <c r="Q1013" t="str">
        <f t="shared" si="45"/>
        <v>Jun</v>
      </c>
      <c r="R1013">
        <f t="shared" si="46"/>
        <v>2014</v>
      </c>
      <c r="S1013" t="str">
        <f>VLOOKUP($W1013,TBL_Categories,2,FALSE)</f>
        <v>Unplanned</v>
      </c>
      <c r="T1013">
        <f>VLOOKUP($W1013,TBL_Categories,3,FALSE)</f>
        <v>0</v>
      </c>
      <c r="U1013" t="str">
        <f>VLOOKUP($W1013,TBL_Categories,4,FALSE)</f>
        <v>No</v>
      </c>
      <c r="V1013" t="str">
        <f>VLOOKUP($W1013,TBL_Categories,5,FALSE)</f>
        <v>None</v>
      </c>
      <c r="W1013" t="str">
        <f t="shared" si="47"/>
        <v>Projects|Appliances</v>
      </c>
    </row>
    <row r="1014" spans="1:23" x14ac:dyDescent="0.25">
      <c r="A1014" t="s">
        <v>296</v>
      </c>
      <c r="B1014" s="5">
        <v>41817</v>
      </c>
      <c r="C1014">
        <v>-10.85</v>
      </c>
      <c r="D1014" t="s">
        <v>304</v>
      </c>
      <c r="E1014" t="s">
        <v>700</v>
      </c>
      <c r="F1014" t="s">
        <v>1174</v>
      </c>
      <c r="G1014" t="s">
        <v>1042</v>
      </c>
      <c r="J1014" t="s">
        <v>1550</v>
      </c>
      <c r="K1014" t="s">
        <v>66</v>
      </c>
      <c r="L1014" t="s">
        <v>1537</v>
      </c>
      <c r="Q1014" t="str">
        <f t="shared" si="45"/>
        <v>Jun</v>
      </c>
      <c r="R1014">
        <f t="shared" si="46"/>
        <v>2014</v>
      </c>
      <c r="S1014" t="str">
        <f>VLOOKUP($W1014,TBL_Categories,2,FALSE)</f>
        <v>Monthly</v>
      </c>
      <c r="T1014">
        <f>VLOOKUP($W1014,TBL_Categories,3,FALSE)</f>
        <v>0</v>
      </c>
      <c r="U1014" t="str">
        <f>VLOOKUP($W1014,TBL_Categories,4,FALSE)</f>
        <v>No</v>
      </c>
      <c r="V1014" t="str">
        <f>VLOOKUP($W1014,TBL_Categories,5,FALSE)</f>
        <v>None</v>
      </c>
      <c r="W1014" t="str">
        <f t="shared" si="47"/>
        <v>Kids|Clothing</v>
      </c>
    </row>
    <row r="1015" spans="1:23" x14ac:dyDescent="0.25">
      <c r="A1015" t="s">
        <v>296</v>
      </c>
      <c r="B1015" s="5">
        <v>41817</v>
      </c>
      <c r="C1015">
        <v>-33.64</v>
      </c>
      <c r="D1015" t="s">
        <v>304</v>
      </c>
      <c r="E1015" t="s">
        <v>701</v>
      </c>
      <c r="F1015" t="s">
        <v>1175</v>
      </c>
      <c r="G1015" t="s">
        <v>927</v>
      </c>
      <c r="J1015" t="s">
        <v>1550</v>
      </c>
      <c r="K1015" t="s">
        <v>72</v>
      </c>
      <c r="L1015" t="s">
        <v>1537</v>
      </c>
      <c r="Q1015" t="str">
        <f t="shared" si="45"/>
        <v>Jun</v>
      </c>
      <c r="R1015">
        <f t="shared" si="46"/>
        <v>2014</v>
      </c>
      <c r="S1015" t="str">
        <f>VLOOKUP($W1015,TBL_Categories,2,FALSE)</f>
        <v>Annual</v>
      </c>
      <c r="T1015">
        <f>VLOOKUP($W1015,TBL_Categories,3,FALSE)</f>
        <v>0</v>
      </c>
      <c r="U1015" t="str">
        <f>VLOOKUP($W1015,TBL_Categories,4,FALSE)</f>
        <v>No</v>
      </c>
      <c r="V1015" t="str">
        <f>VLOOKUP($W1015,TBL_Categories,5,FALSE)</f>
        <v>None</v>
      </c>
      <c r="W1015" t="str">
        <f t="shared" si="47"/>
        <v>Shopping|Clothing</v>
      </c>
    </row>
    <row r="1016" spans="1:23" x14ac:dyDescent="0.25">
      <c r="A1016" t="s">
        <v>296</v>
      </c>
      <c r="B1016" s="5">
        <v>41817</v>
      </c>
      <c r="C1016">
        <v>-49.92</v>
      </c>
      <c r="D1016" t="s">
        <v>304</v>
      </c>
      <c r="E1016" t="s">
        <v>701</v>
      </c>
      <c r="F1016" t="s">
        <v>1176</v>
      </c>
      <c r="G1016" t="s">
        <v>927</v>
      </c>
      <c r="J1016" t="s">
        <v>1550</v>
      </c>
      <c r="K1016" t="s">
        <v>72</v>
      </c>
      <c r="L1016" t="s">
        <v>1537</v>
      </c>
      <c r="Q1016" t="str">
        <f t="shared" si="45"/>
        <v>Jun</v>
      </c>
      <c r="R1016">
        <f t="shared" si="46"/>
        <v>2014</v>
      </c>
      <c r="S1016" t="str">
        <f>VLOOKUP($W1016,TBL_Categories,2,FALSE)</f>
        <v>Annual</v>
      </c>
      <c r="T1016">
        <f>VLOOKUP($W1016,TBL_Categories,3,FALSE)</f>
        <v>0</v>
      </c>
      <c r="U1016" t="str">
        <f>VLOOKUP($W1016,TBL_Categories,4,FALSE)</f>
        <v>No</v>
      </c>
      <c r="V1016" t="str">
        <f>VLOOKUP($W1016,TBL_Categories,5,FALSE)</f>
        <v>None</v>
      </c>
      <c r="W1016" t="str">
        <f t="shared" si="47"/>
        <v>Shopping|Clothing</v>
      </c>
    </row>
    <row r="1017" spans="1:23" x14ac:dyDescent="0.25">
      <c r="A1017" t="s">
        <v>296</v>
      </c>
      <c r="B1017" s="5">
        <v>41817</v>
      </c>
      <c r="C1017">
        <v>-77.650000000000006</v>
      </c>
      <c r="D1017" t="s">
        <v>304</v>
      </c>
      <c r="E1017" t="s">
        <v>702</v>
      </c>
      <c r="F1017" t="s">
        <v>1177</v>
      </c>
      <c r="G1017" t="s">
        <v>435</v>
      </c>
      <c r="K1017" t="s">
        <v>72</v>
      </c>
      <c r="L1017" t="s">
        <v>1537</v>
      </c>
      <c r="Q1017" t="str">
        <f t="shared" si="45"/>
        <v>Jun</v>
      </c>
      <c r="R1017">
        <f t="shared" si="46"/>
        <v>2014</v>
      </c>
      <c r="S1017" t="str">
        <f>VLOOKUP($W1017,TBL_Categories,2,FALSE)</f>
        <v>Annual</v>
      </c>
      <c r="T1017">
        <f>VLOOKUP($W1017,TBL_Categories,3,FALSE)</f>
        <v>0</v>
      </c>
      <c r="U1017" t="str">
        <f>VLOOKUP($W1017,TBL_Categories,4,FALSE)</f>
        <v>No</v>
      </c>
      <c r="V1017" t="str">
        <f>VLOOKUP($W1017,TBL_Categories,5,FALSE)</f>
        <v>None</v>
      </c>
      <c r="W1017" t="str">
        <f t="shared" si="47"/>
        <v>Shopping|Clothing</v>
      </c>
    </row>
    <row r="1018" spans="1:23" x14ac:dyDescent="0.25">
      <c r="A1018" t="s">
        <v>288</v>
      </c>
      <c r="B1018" s="5">
        <v>41816</v>
      </c>
      <c r="C1018" s="4">
        <v>2195</v>
      </c>
      <c r="D1018" t="s">
        <v>304</v>
      </c>
      <c r="E1018" t="s">
        <v>875</v>
      </c>
      <c r="F1018" t="s">
        <v>394</v>
      </c>
      <c r="G1018" t="s">
        <v>390</v>
      </c>
      <c r="J1018">
        <v>9602</v>
      </c>
      <c r="K1018" t="s">
        <v>33</v>
      </c>
      <c r="L1018" t="s">
        <v>1519</v>
      </c>
      <c r="Q1018" t="str">
        <f t="shared" si="45"/>
        <v>Jun</v>
      </c>
      <c r="R1018">
        <f t="shared" si="46"/>
        <v>2014</v>
      </c>
      <c r="S1018" t="str">
        <f>VLOOKUP($W1018,TBL_Categories,2,FALSE)</f>
        <v>Monthly</v>
      </c>
      <c r="T1018">
        <f>VLOOKUP($W1018,TBL_Categories,3,FALSE)</f>
        <v>0</v>
      </c>
      <c r="U1018" t="str">
        <f>VLOOKUP($W1018,TBL_Categories,4,FALSE)</f>
        <v>No</v>
      </c>
      <c r="V1018" t="str">
        <f>VLOOKUP($W1018,TBL_Categories,5,FALSE)</f>
        <v>None</v>
      </c>
      <c r="W1018" t="str">
        <f t="shared" si="47"/>
        <v>Business Income (Koolikai)|Rent</v>
      </c>
    </row>
    <row r="1019" spans="1:23" x14ac:dyDescent="0.25">
      <c r="A1019" t="s">
        <v>290</v>
      </c>
      <c r="B1019" s="5">
        <v>41816</v>
      </c>
      <c r="C1019">
        <v>-23.68</v>
      </c>
      <c r="D1019" t="s">
        <v>304</v>
      </c>
      <c r="E1019" t="s">
        <v>400</v>
      </c>
      <c r="F1019" t="s">
        <v>898</v>
      </c>
      <c r="G1019" t="s">
        <v>342</v>
      </c>
      <c r="K1019" t="s">
        <v>61</v>
      </c>
      <c r="L1019" t="s">
        <v>401</v>
      </c>
      <c r="Q1019" t="str">
        <f t="shared" si="45"/>
        <v>Jun</v>
      </c>
      <c r="R1019">
        <f t="shared" si="46"/>
        <v>2014</v>
      </c>
      <c r="S1019" t="str">
        <f>VLOOKUP($W1019,TBL_Categories,2,FALSE)</f>
        <v>Monthly</v>
      </c>
      <c r="T1019">
        <f>VLOOKUP($W1019,TBL_Categories,3,FALSE)</f>
        <v>0</v>
      </c>
      <c r="U1019" t="str">
        <f>VLOOKUP($W1019,TBL_Categories,4,FALSE)</f>
        <v>No</v>
      </c>
      <c r="V1019" t="str">
        <f>VLOOKUP($W1019,TBL_Categories,5,FALSE)</f>
        <v>None</v>
      </c>
      <c r="W1019" t="str">
        <f t="shared" si="47"/>
        <v>Food &amp; Dining|Groceries</v>
      </c>
    </row>
    <row r="1020" spans="1:23" x14ac:dyDescent="0.25">
      <c r="A1020" t="s">
        <v>633</v>
      </c>
      <c r="B1020" s="5">
        <v>41816</v>
      </c>
      <c r="C1020">
        <v>954.76</v>
      </c>
      <c r="D1020" t="s">
        <v>304</v>
      </c>
      <c r="E1020" t="s">
        <v>822</v>
      </c>
      <c r="G1020" t="s">
        <v>9</v>
      </c>
      <c r="K1020" t="s">
        <v>9</v>
      </c>
      <c r="Q1020" t="str">
        <f t="shared" si="45"/>
        <v>Jun</v>
      </c>
      <c r="R1020">
        <f t="shared" si="46"/>
        <v>2014</v>
      </c>
      <c r="S1020" t="str">
        <f>VLOOKUP($W1020,TBL_Categories,2,FALSE)</f>
        <v>Account</v>
      </c>
      <c r="T1020">
        <f>VLOOKUP($W1020,TBL_Categories,3,FALSE)</f>
        <v>0</v>
      </c>
      <c r="U1020" t="str">
        <f>VLOOKUP($W1020,TBL_Categories,4,FALSE)</f>
        <v>No</v>
      </c>
      <c r="V1020" t="str">
        <f>VLOOKUP($W1020,TBL_Categories,5,FALSE)</f>
        <v>None</v>
      </c>
      <c r="W1020" t="str">
        <f t="shared" si="47"/>
        <v>[First Tech - Checking (5544)]</v>
      </c>
    </row>
    <row r="1021" spans="1:23" x14ac:dyDescent="0.25">
      <c r="A1021" t="s">
        <v>296</v>
      </c>
      <c r="B1021" s="5">
        <v>41816</v>
      </c>
      <c r="C1021">
        <v>27.36</v>
      </c>
      <c r="D1021" t="s">
        <v>304</v>
      </c>
      <c r="E1021" t="s">
        <v>663</v>
      </c>
      <c r="F1021" t="s">
        <v>1172</v>
      </c>
      <c r="G1021" t="s">
        <v>888</v>
      </c>
      <c r="J1021" t="s">
        <v>1550</v>
      </c>
      <c r="K1021" t="s">
        <v>63</v>
      </c>
      <c r="L1021" t="s">
        <v>1546</v>
      </c>
      <c r="Q1021" t="str">
        <f t="shared" si="45"/>
        <v>Jun</v>
      </c>
      <c r="R1021">
        <f t="shared" si="46"/>
        <v>2014</v>
      </c>
      <c r="S1021" t="str">
        <f>VLOOKUP($W1021,TBL_Categories,2,FALSE)</f>
        <v>Monthly</v>
      </c>
      <c r="T1021">
        <f>VLOOKUP($W1021,TBL_Categories,3,FALSE)</f>
        <v>0</v>
      </c>
      <c r="U1021" t="str">
        <f>VLOOKUP($W1021,TBL_Categories,4,FALSE)</f>
        <v>No</v>
      </c>
      <c r="V1021" t="str">
        <f>VLOOKUP($W1021,TBL_Categories,5,FALSE)</f>
        <v>None</v>
      </c>
      <c r="W1021" t="str">
        <f t="shared" si="47"/>
        <v>Home|Furnishings</v>
      </c>
    </row>
    <row r="1022" spans="1:23" x14ac:dyDescent="0.25">
      <c r="A1022" t="s">
        <v>296</v>
      </c>
      <c r="B1022" s="5">
        <v>41816</v>
      </c>
      <c r="C1022">
        <v>32.83</v>
      </c>
      <c r="D1022" t="s">
        <v>304</v>
      </c>
      <c r="E1022" t="s">
        <v>1157</v>
      </c>
      <c r="F1022" t="s">
        <v>1158</v>
      </c>
      <c r="G1022" t="s">
        <v>1042</v>
      </c>
      <c r="J1022" t="s">
        <v>1550</v>
      </c>
      <c r="K1022" t="s">
        <v>66</v>
      </c>
      <c r="L1022" t="s">
        <v>1537</v>
      </c>
      <c r="O1022" t="s">
        <v>1603</v>
      </c>
      <c r="Q1022" t="str">
        <f t="shared" si="45"/>
        <v>Jun</v>
      </c>
      <c r="R1022">
        <f t="shared" si="46"/>
        <v>2014</v>
      </c>
      <c r="S1022" t="str">
        <f>VLOOKUP($W1022,TBL_Categories,2,FALSE)</f>
        <v>Monthly</v>
      </c>
      <c r="T1022">
        <f>VLOOKUP($W1022,TBL_Categories,3,FALSE)</f>
        <v>0</v>
      </c>
      <c r="U1022" t="str">
        <f>VLOOKUP($W1022,TBL_Categories,4,FALSE)</f>
        <v>No</v>
      </c>
      <c r="V1022" t="str">
        <f>VLOOKUP($W1022,TBL_Categories,5,FALSE)</f>
        <v>None</v>
      </c>
      <c r="W1022" t="str">
        <f t="shared" si="47"/>
        <v>Kids|Clothing</v>
      </c>
    </row>
    <row r="1023" spans="1:23" x14ac:dyDescent="0.25">
      <c r="A1023" t="s">
        <v>296</v>
      </c>
      <c r="B1023" s="5">
        <v>41816</v>
      </c>
      <c r="C1023">
        <v>-13</v>
      </c>
      <c r="D1023" t="s">
        <v>304</v>
      </c>
      <c r="E1023" t="s">
        <v>600</v>
      </c>
      <c r="F1023" t="s">
        <v>1173</v>
      </c>
      <c r="G1023" t="s">
        <v>410</v>
      </c>
      <c r="K1023" t="s">
        <v>75</v>
      </c>
      <c r="L1023" t="s">
        <v>1570</v>
      </c>
      <c r="O1023" t="s">
        <v>1603</v>
      </c>
      <c r="Q1023" t="str">
        <f t="shared" si="45"/>
        <v>Jun</v>
      </c>
      <c r="R1023">
        <f t="shared" si="46"/>
        <v>2014</v>
      </c>
      <c r="S1023" t="str">
        <f>VLOOKUP($W1023,TBL_Categories,2,FALSE)</f>
        <v>Irregular</v>
      </c>
      <c r="T1023">
        <f>VLOOKUP($W1023,TBL_Categories,3,FALSE)</f>
        <v>0</v>
      </c>
      <c r="U1023" t="str">
        <f>VLOOKUP($W1023,TBL_Categories,4,FALSE)</f>
        <v>No</v>
      </c>
      <c r="V1023" t="str">
        <f>VLOOKUP($W1023,TBL_Categories,5,FALSE)</f>
        <v>None</v>
      </c>
      <c r="W1023" t="str">
        <f t="shared" si="47"/>
        <v>Vacation|Transportation</v>
      </c>
    </row>
    <row r="1024" spans="1:23" x14ac:dyDescent="0.25">
      <c r="A1024" t="s">
        <v>296</v>
      </c>
      <c r="B1024" s="5">
        <v>41816</v>
      </c>
      <c r="C1024">
        <v>-134.6</v>
      </c>
      <c r="D1024" t="s">
        <v>304</v>
      </c>
      <c r="E1024" t="s">
        <v>433</v>
      </c>
      <c r="F1024" t="s">
        <v>475</v>
      </c>
      <c r="G1024" t="s">
        <v>887</v>
      </c>
      <c r="J1024" t="s">
        <v>1550</v>
      </c>
      <c r="K1024" t="s">
        <v>61</v>
      </c>
      <c r="L1024" t="s">
        <v>401</v>
      </c>
      <c r="Q1024" t="str">
        <f t="shared" si="45"/>
        <v>Jun</v>
      </c>
      <c r="R1024">
        <f t="shared" si="46"/>
        <v>2014</v>
      </c>
      <c r="S1024" t="str">
        <f>VLOOKUP($W1024,TBL_Categories,2,FALSE)</f>
        <v>Monthly</v>
      </c>
      <c r="T1024">
        <f>VLOOKUP($W1024,TBL_Categories,3,FALSE)</f>
        <v>0</v>
      </c>
      <c r="U1024" t="str">
        <f>VLOOKUP($W1024,TBL_Categories,4,FALSE)</f>
        <v>No</v>
      </c>
      <c r="V1024" t="str">
        <f>VLOOKUP($W1024,TBL_Categories,5,FALSE)</f>
        <v>None</v>
      </c>
      <c r="W1024" t="str">
        <f t="shared" si="47"/>
        <v>Food &amp; Dining|Groceries</v>
      </c>
    </row>
    <row r="1025" spans="1:23" x14ac:dyDescent="0.25">
      <c r="A1025" t="s">
        <v>299</v>
      </c>
      <c r="B1025" s="5">
        <v>41816</v>
      </c>
      <c r="C1025">
        <v>15.59</v>
      </c>
      <c r="D1025" t="s">
        <v>304</v>
      </c>
      <c r="E1025" t="s">
        <v>368</v>
      </c>
      <c r="F1025" t="s">
        <v>1490</v>
      </c>
      <c r="G1025" t="s">
        <v>894</v>
      </c>
      <c r="H1025">
        <v>799999941771</v>
      </c>
      <c r="J1025" t="s">
        <v>1550</v>
      </c>
      <c r="K1025" t="s">
        <v>62</v>
      </c>
      <c r="L1025" t="s">
        <v>1545</v>
      </c>
      <c r="O1025" t="s">
        <v>1600</v>
      </c>
      <c r="Q1025" t="str">
        <f t="shared" si="45"/>
        <v>Jun</v>
      </c>
      <c r="R1025">
        <f t="shared" si="46"/>
        <v>2014</v>
      </c>
      <c r="S1025" t="str">
        <f>VLOOKUP($W1025,TBL_Categories,2,FALSE)</f>
        <v>Irregular</v>
      </c>
      <c r="T1025">
        <f>VLOOKUP($W1025,TBL_Categories,3,FALSE)</f>
        <v>0</v>
      </c>
      <c r="U1025" t="str">
        <f>VLOOKUP($W1025,TBL_Categories,4,FALSE)</f>
        <v>No</v>
      </c>
      <c r="V1025" t="str">
        <f>VLOOKUP($W1025,TBL_Categories,5,FALSE)</f>
        <v>None</v>
      </c>
      <c r="W1025" t="str">
        <f t="shared" si="47"/>
        <v>Health &amp; Fitness|Sports</v>
      </c>
    </row>
    <row r="1026" spans="1:23" x14ac:dyDescent="0.25">
      <c r="A1026" t="s">
        <v>299</v>
      </c>
      <c r="B1026" s="5">
        <v>41816</v>
      </c>
      <c r="C1026">
        <v>-31.15</v>
      </c>
      <c r="D1026" t="s">
        <v>304</v>
      </c>
      <c r="E1026" t="s">
        <v>368</v>
      </c>
      <c r="F1026" t="s">
        <v>1491</v>
      </c>
      <c r="G1026" t="s">
        <v>888</v>
      </c>
      <c r="H1026">
        <v>799999941771</v>
      </c>
      <c r="I1026" t="s">
        <v>272</v>
      </c>
      <c r="J1026" t="s">
        <v>1550</v>
      </c>
      <c r="K1026" t="s">
        <v>63</v>
      </c>
      <c r="L1026" t="s">
        <v>1546</v>
      </c>
      <c r="Q1026" t="str">
        <f t="shared" ref="Q1026:Q1089" si="48">TEXT($B1026,"MMM")</f>
        <v>Jun</v>
      </c>
      <c r="R1026">
        <f t="shared" ref="R1026:R1089" si="49">YEAR($B1026)</f>
        <v>2014</v>
      </c>
      <c r="S1026" t="str">
        <f>VLOOKUP($W1026,TBL_Categories,2,FALSE)</f>
        <v>Monthly</v>
      </c>
      <c r="T1026">
        <f>VLOOKUP($W1026,TBL_Categories,3,FALSE)</f>
        <v>0</v>
      </c>
      <c r="U1026" t="str">
        <f>VLOOKUP($W1026,TBL_Categories,4,FALSE)</f>
        <v>No</v>
      </c>
      <c r="V1026" t="str">
        <f>VLOOKUP($W1026,TBL_Categories,5,FALSE)</f>
        <v>None</v>
      </c>
      <c r="W1026" t="str">
        <f t="shared" ref="W1026:W1089" si="50">IF(ISBLANK($L1026),$K1026,CONCATENATE($K1026,"|",$L1026))</f>
        <v>Home|Furnishings</v>
      </c>
    </row>
    <row r="1027" spans="1:23" x14ac:dyDescent="0.25">
      <c r="A1027" t="s">
        <v>299</v>
      </c>
      <c r="B1027" s="5">
        <v>41816</v>
      </c>
      <c r="C1027">
        <v>-6.19</v>
      </c>
      <c r="D1027" t="s">
        <v>304</v>
      </c>
      <c r="E1027" t="s">
        <v>368</v>
      </c>
      <c r="F1027" t="s">
        <v>1492</v>
      </c>
      <c r="G1027" t="s">
        <v>915</v>
      </c>
      <c r="H1027">
        <v>799999941771</v>
      </c>
      <c r="I1027" t="s">
        <v>272</v>
      </c>
      <c r="J1027" t="s">
        <v>1550</v>
      </c>
      <c r="K1027" t="s">
        <v>20</v>
      </c>
      <c r="Q1027" t="str">
        <f t="shared" si="48"/>
        <v>Jun</v>
      </c>
      <c r="R1027">
        <f t="shared" si="49"/>
        <v>2014</v>
      </c>
      <c r="S1027" t="str">
        <f>VLOOKUP($W1027,TBL_Categories,2,FALSE)</f>
        <v>Monthly</v>
      </c>
      <c r="T1027">
        <f>VLOOKUP($W1027,TBL_Categories,3,FALSE)</f>
        <v>0</v>
      </c>
      <c r="U1027" t="str">
        <f>VLOOKUP($W1027,TBL_Categories,4,FALSE)</f>
        <v>No</v>
      </c>
      <c r="V1027" t="str">
        <f>VLOOKUP($W1027,TBL_Categories,5,FALSE)</f>
        <v>None</v>
      </c>
      <c r="W1027" t="str">
        <f t="shared" si="50"/>
        <v>Gifts</v>
      </c>
    </row>
    <row r="1028" spans="1:23" x14ac:dyDescent="0.25">
      <c r="A1028" t="s">
        <v>284</v>
      </c>
      <c r="B1028" s="5">
        <v>41815</v>
      </c>
      <c r="C1028" s="4">
        <v>-200000</v>
      </c>
      <c r="D1028" t="s">
        <v>304</v>
      </c>
      <c r="E1028" t="s">
        <v>803</v>
      </c>
      <c r="F1028" t="s">
        <v>804</v>
      </c>
      <c r="G1028" t="s">
        <v>805</v>
      </c>
      <c r="K1028" t="s">
        <v>805</v>
      </c>
      <c r="Q1028" t="str">
        <f t="shared" si="48"/>
        <v>Jun</v>
      </c>
      <c r="R1028">
        <f t="shared" si="49"/>
        <v>2014</v>
      </c>
      <c r="S1028" t="e">
        <f>VLOOKUP($W1028,TBL_Categories,2,FALSE)</f>
        <v>#N/A</v>
      </c>
      <c r="T1028" t="e">
        <f>VLOOKUP($W1028,TBL_Categories,3,FALSE)</f>
        <v>#N/A</v>
      </c>
      <c r="U1028" t="e">
        <f>VLOOKUP($W1028,TBL_Categories,4,FALSE)</f>
        <v>#N/A</v>
      </c>
      <c r="V1028" t="e">
        <f>VLOOKUP($W1028,TBL_Categories,5,FALSE)</f>
        <v>#N/A</v>
      </c>
      <c r="W1028" t="str">
        <f t="shared" si="50"/>
        <v>[LPL Financial]</v>
      </c>
    </row>
    <row r="1029" spans="1:23" x14ac:dyDescent="0.25">
      <c r="A1029" t="s">
        <v>633</v>
      </c>
      <c r="B1029" s="5">
        <v>41815</v>
      </c>
      <c r="C1029">
        <v>-45.84</v>
      </c>
      <c r="D1029" t="s">
        <v>304</v>
      </c>
      <c r="E1029" t="s">
        <v>423</v>
      </c>
      <c r="G1029" t="s">
        <v>963</v>
      </c>
      <c r="K1029" t="s">
        <v>63</v>
      </c>
      <c r="L1029" t="s">
        <v>1574</v>
      </c>
      <c r="Q1029" t="str">
        <f t="shared" si="48"/>
        <v>Jun</v>
      </c>
      <c r="R1029">
        <f t="shared" si="49"/>
        <v>2014</v>
      </c>
      <c r="S1029" t="str">
        <f>VLOOKUP($W1029,TBL_Categories,2,FALSE)</f>
        <v>Irregular</v>
      </c>
      <c r="T1029">
        <f>VLOOKUP($W1029,TBL_Categories,3,FALSE)</f>
        <v>0</v>
      </c>
      <c r="U1029" t="str">
        <f>VLOOKUP($W1029,TBL_Categories,4,FALSE)</f>
        <v>No</v>
      </c>
      <c r="V1029" t="str">
        <f>VLOOKUP($W1029,TBL_Categories,5,FALSE)</f>
        <v>None</v>
      </c>
      <c r="W1029" t="str">
        <f t="shared" si="50"/>
        <v>Home|Home Improvement</v>
      </c>
    </row>
    <row r="1030" spans="1:23" x14ac:dyDescent="0.25">
      <c r="A1030" t="s">
        <v>296</v>
      </c>
      <c r="B1030" s="5">
        <v>41815</v>
      </c>
      <c r="C1030">
        <v>-55.21</v>
      </c>
      <c r="D1030" t="s">
        <v>304</v>
      </c>
      <c r="E1030" t="s">
        <v>655</v>
      </c>
      <c r="F1030" t="s">
        <v>897</v>
      </c>
      <c r="G1030" t="s">
        <v>410</v>
      </c>
      <c r="K1030" t="s">
        <v>75</v>
      </c>
      <c r="L1030" t="s">
        <v>1570</v>
      </c>
      <c r="O1030" t="s">
        <v>1603</v>
      </c>
      <c r="Q1030" t="str">
        <f t="shared" si="48"/>
        <v>Jun</v>
      </c>
      <c r="R1030">
        <f t="shared" si="49"/>
        <v>2014</v>
      </c>
      <c r="S1030" t="str">
        <f>VLOOKUP($W1030,TBL_Categories,2,FALSE)</f>
        <v>Irregular</v>
      </c>
      <c r="T1030">
        <f>VLOOKUP($W1030,TBL_Categories,3,FALSE)</f>
        <v>0</v>
      </c>
      <c r="U1030" t="str">
        <f>VLOOKUP($W1030,TBL_Categories,4,FALSE)</f>
        <v>No</v>
      </c>
      <c r="V1030" t="str">
        <f>VLOOKUP($W1030,TBL_Categories,5,FALSE)</f>
        <v>None</v>
      </c>
      <c r="W1030" t="str">
        <f t="shared" si="50"/>
        <v>Vacation|Transportation</v>
      </c>
    </row>
    <row r="1031" spans="1:23" x14ac:dyDescent="0.25">
      <c r="A1031" t="s">
        <v>766</v>
      </c>
      <c r="B1031" s="5">
        <v>41815</v>
      </c>
      <c r="C1031" s="4">
        <v>200000</v>
      </c>
      <c r="E1031" t="s">
        <v>803</v>
      </c>
      <c r="F1031" t="s">
        <v>804</v>
      </c>
      <c r="G1031" t="s">
        <v>9</v>
      </c>
      <c r="H1031" t="s">
        <v>1496</v>
      </c>
      <c r="I1031" t="s">
        <v>272</v>
      </c>
      <c r="K1031" t="s">
        <v>9</v>
      </c>
      <c r="Q1031" t="str">
        <f t="shared" si="48"/>
        <v>Jun</v>
      </c>
      <c r="R1031">
        <f t="shared" si="49"/>
        <v>2014</v>
      </c>
      <c r="S1031" t="str">
        <f>VLOOKUP($W1031,TBL_Categories,2,FALSE)</f>
        <v>Account</v>
      </c>
      <c r="T1031">
        <f>VLOOKUP($W1031,TBL_Categories,3,FALSE)</f>
        <v>0</v>
      </c>
      <c r="U1031" t="str">
        <f>VLOOKUP($W1031,TBL_Categories,4,FALSE)</f>
        <v>No</v>
      </c>
      <c r="V1031" t="str">
        <f>VLOOKUP($W1031,TBL_Categories,5,FALSE)</f>
        <v>None</v>
      </c>
      <c r="W1031" t="str">
        <f t="shared" si="50"/>
        <v>[First Tech - Checking (5544)]</v>
      </c>
    </row>
    <row r="1032" spans="1:23" x14ac:dyDescent="0.25">
      <c r="A1032" t="s">
        <v>288</v>
      </c>
      <c r="B1032" s="5">
        <v>41814</v>
      </c>
      <c r="C1032">
        <v>-343.98</v>
      </c>
      <c r="D1032" t="s">
        <v>304</v>
      </c>
      <c r="E1032" t="s">
        <v>391</v>
      </c>
      <c r="F1032" t="s">
        <v>382</v>
      </c>
      <c r="G1032" t="s">
        <v>31</v>
      </c>
      <c r="K1032" t="s">
        <v>31</v>
      </c>
      <c r="Q1032" t="str">
        <f t="shared" si="48"/>
        <v>Jun</v>
      </c>
      <c r="R1032">
        <f t="shared" si="49"/>
        <v>2014</v>
      </c>
      <c r="S1032" t="str">
        <f>VLOOKUP($W1032,TBL_Categories,2,FALSE)</f>
        <v>Account</v>
      </c>
      <c r="T1032">
        <f>VLOOKUP($W1032,TBL_Categories,3,FALSE)</f>
        <v>0</v>
      </c>
      <c r="U1032" t="str">
        <f>VLOOKUP($W1032,TBL_Categories,4,FALSE)</f>
        <v>No</v>
      </c>
      <c r="V1032" t="str">
        <f>VLOOKUP($W1032,TBL_Categories,5,FALSE)</f>
        <v>None</v>
      </c>
      <c r="W1032" t="str">
        <f t="shared" si="50"/>
        <v>[Koolikai Credit Card]</v>
      </c>
    </row>
    <row r="1033" spans="1:23" x14ac:dyDescent="0.25">
      <c r="A1033" t="s">
        <v>296</v>
      </c>
      <c r="B1033" s="5">
        <v>41814</v>
      </c>
      <c r="C1033">
        <v>-25</v>
      </c>
      <c r="D1033" t="s">
        <v>304</v>
      </c>
      <c r="E1033" t="s">
        <v>600</v>
      </c>
      <c r="F1033" t="s">
        <v>1170</v>
      </c>
      <c r="G1033" t="s">
        <v>410</v>
      </c>
      <c r="K1033" t="s">
        <v>75</v>
      </c>
      <c r="L1033" t="s">
        <v>1570</v>
      </c>
      <c r="O1033" t="s">
        <v>1603</v>
      </c>
      <c r="Q1033" t="str">
        <f t="shared" si="48"/>
        <v>Jun</v>
      </c>
      <c r="R1033">
        <f t="shared" si="49"/>
        <v>2014</v>
      </c>
      <c r="S1033" t="str">
        <f>VLOOKUP($W1033,TBL_Categories,2,FALSE)</f>
        <v>Irregular</v>
      </c>
      <c r="T1033">
        <f>VLOOKUP($W1033,TBL_Categories,3,FALSE)</f>
        <v>0</v>
      </c>
      <c r="U1033" t="str">
        <f>VLOOKUP($W1033,TBL_Categories,4,FALSE)</f>
        <v>No</v>
      </c>
      <c r="V1033" t="str">
        <f>VLOOKUP($W1033,TBL_Categories,5,FALSE)</f>
        <v>None</v>
      </c>
      <c r="W1033" t="str">
        <f t="shared" si="50"/>
        <v>Vacation|Transportation</v>
      </c>
    </row>
    <row r="1034" spans="1:23" x14ac:dyDescent="0.25">
      <c r="A1034" t="s">
        <v>296</v>
      </c>
      <c r="B1034" s="5">
        <v>41814</v>
      </c>
      <c r="C1034">
        <v>-33</v>
      </c>
      <c r="D1034" t="s">
        <v>304</v>
      </c>
      <c r="E1034" t="s">
        <v>1026</v>
      </c>
      <c r="F1034" t="s">
        <v>1171</v>
      </c>
      <c r="G1034" t="s">
        <v>449</v>
      </c>
      <c r="K1034" t="s">
        <v>66</v>
      </c>
      <c r="L1034" t="s">
        <v>1555</v>
      </c>
      <c r="Q1034" t="str">
        <f t="shared" si="48"/>
        <v>Jun</v>
      </c>
      <c r="R1034">
        <f t="shared" si="49"/>
        <v>2014</v>
      </c>
      <c r="S1034" t="str">
        <f>VLOOKUP($W1034,TBL_Categories,2,FALSE)</f>
        <v>Monthly</v>
      </c>
      <c r="T1034">
        <f>VLOOKUP($W1034,TBL_Categories,3,FALSE)</f>
        <v>0</v>
      </c>
      <c r="U1034" t="str">
        <f>VLOOKUP($W1034,TBL_Categories,4,FALSE)</f>
        <v>No</v>
      </c>
      <c r="V1034" t="str">
        <f>VLOOKUP($W1034,TBL_Categories,5,FALSE)</f>
        <v>None</v>
      </c>
      <c r="W1034" t="str">
        <f t="shared" si="50"/>
        <v>Kids|Kids Activities</v>
      </c>
    </row>
    <row r="1035" spans="1:23" x14ac:dyDescent="0.25">
      <c r="A1035" t="s">
        <v>284</v>
      </c>
      <c r="B1035" s="5">
        <v>41813</v>
      </c>
      <c r="C1035">
        <v>-183.85</v>
      </c>
      <c r="D1035" t="s">
        <v>304</v>
      </c>
      <c r="E1035" t="s">
        <v>352</v>
      </c>
      <c r="F1035" t="s">
        <v>353</v>
      </c>
      <c r="G1035" t="s">
        <v>354</v>
      </c>
      <c r="K1035" t="s">
        <v>52</v>
      </c>
      <c r="L1035" t="s">
        <v>1544</v>
      </c>
      <c r="Q1035" t="str">
        <f t="shared" si="48"/>
        <v>Jun</v>
      </c>
      <c r="R1035">
        <f t="shared" si="49"/>
        <v>2014</v>
      </c>
      <c r="S1035" t="str">
        <f>VLOOKUP($W1035,TBL_Categories,2,FALSE)</f>
        <v>Monthly</v>
      </c>
      <c r="T1035">
        <f>VLOOKUP($W1035,TBL_Categories,3,FALSE)</f>
        <v>0</v>
      </c>
      <c r="U1035" t="str">
        <f>VLOOKUP($W1035,TBL_Categories,4,FALSE)</f>
        <v>No</v>
      </c>
      <c r="V1035" t="str">
        <f>VLOOKUP($W1035,TBL_Categories,5,FALSE)</f>
        <v>None</v>
      </c>
      <c r="W1035" t="str">
        <f t="shared" si="50"/>
        <v>Auto &amp; Transport|Auto Lease Payment</v>
      </c>
    </row>
    <row r="1036" spans="1:23" x14ac:dyDescent="0.25">
      <c r="A1036" t="s">
        <v>284</v>
      </c>
      <c r="B1036" s="5">
        <v>41813</v>
      </c>
      <c r="C1036">
        <v>-492.75</v>
      </c>
      <c r="D1036" t="s">
        <v>304</v>
      </c>
      <c r="E1036" t="s">
        <v>644</v>
      </c>
      <c r="F1036" t="s">
        <v>647</v>
      </c>
      <c r="G1036" t="s">
        <v>592</v>
      </c>
      <c r="K1036" t="s">
        <v>90</v>
      </c>
      <c r="L1036" t="s">
        <v>1543</v>
      </c>
      <c r="Q1036" t="str">
        <f t="shared" si="48"/>
        <v>Jun</v>
      </c>
      <c r="R1036">
        <f t="shared" si="49"/>
        <v>2014</v>
      </c>
      <c r="S1036" t="str">
        <f>VLOOKUP($W1036,TBL_Categories,2,FALSE)</f>
        <v>Unplanned</v>
      </c>
      <c r="T1036">
        <f>VLOOKUP($W1036,TBL_Categories,3,FALSE)</f>
        <v>0</v>
      </c>
      <c r="U1036" t="str">
        <f>VLOOKUP($W1036,TBL_Categories,4,FALSE)</f>
        <v>No</v>
      </c>
      <c r="V1036" t="str">
        <f>VLOOKUP($W1036,TBL_Categories,5,FALSE)</f>
        <v>None</v>
      </c>
      <c r="W1036" t="str">
        <f t="shared" si="50"/>
        <v>Projects|Landscaping</v>
      </c>
    </row>
    <row r="1037" spans="1:23" x14ac:dyDescent="0.25">
      <c r="A1037" t="s">
        <v>290</v>
      </c>
      <c r="B1037" s="5">
        <v>41813</v>
      </c>
      <c r="C1037">
        <v>-63</v>
      </c>
      <c r="D1037" t="s">
        <v>304</v>
      </c>
      <c r="E1037" t="s">
        <v>651</v>
      </c>
      <c r="F1037" t="s">
        <v>897</v>
      </c>
      <c r="G1037" t="s">
        <v>599</v>
      </c>
      <c r="K1037" t="s">
        <v>75</v>
      </c>
      <c r="L1037" t="s">
        <v>1564</v>
      </c>
      <c r="O1037" t="s">
        <v>1603</v>
      </c>
      <c r="Q1037" t="str">
        <f t="shared" si="48"/>
        <v>Jun</v>
      </c>
      <c r="R1037">
        <f t="shared" si="49"/>
        <v>2014</v>
      </c>
      <c r="S1037" t="str">
        <f>VLOOKUP($W1037,TBL_Categories,2,FALSE)</f>
        <v>Irregular</v>
      </c>
      <c r="T1037">
        <f>VLOOKUP($W1037,TBL_Categories,3,FALSE)</f>
        <v>0</v>
      </c>
      <c r="U1037" t="str">
        <f>VLOOKUP($W1037,TBL_Categories,4,FALSE)</f>
        <v>No</v>
      </c>
      <c r="V1037" t="str">
        <f>VLOOKUP($W1037,TBL_Categories,5,FALSE)</f>
        <v>None</v>
      </c>
      <c r="W1037" t="str">
        <f t="shared" si="50"/>
        <v>Vacation|Food</v>
      </c>
    </row>
    <row r="1038" spans="1:23" x14ac:dyDescent="0.25">
      <c r="A1038" t="s">
        <v>633</v>
      </c>
      <c r="B1038" s="5">
        <v>41813</v>
      </c>
      <c r="C1038">
        <v>-18.399999999999999</v>
      </c>
      <c r="D1038" t="s">
        <v>304</v>
      </c>
      <c r="E1038" t="s">
        <v>368</v>
      </c>
      <c r="F1038" t="s">
        <v>961</v>
      </c>
      <c r="G1038" t="s">
        <v>962</v>
      </c>
      <c r="J1038" t="s">
        <v>1550</v>
      </c>
      <c r="K1038" t="s">
        <v>72</v>
      </c>
      <c r="L1038" t="s">
        <v>1537</v>
      </c>
      <c r="M1038" t="s">
        <v>1575</v>
      </c>
      <c r="O1038" t="s">
        <v>1603</v>
      </c>
      <c r="Q1038" t="str">
        <f t="shared" si="48"/>
        <v>Jun</v>
      </c>
      <c r="R1038">
        <f t="shared" si="49"/>
        <v>2014</v>
      </c>
      <c r="S1038" t="str">
        <f>VLOOKUP($W1038,TBL_Categories,2,FALSE)</f>
        <v>Annual</v>
      </c>
      <c r="T1038">
        <f>VLOOKUP($W1038,TBL_Categories,3,FALSE)</f>
        <v>0</v>
      </c>
      <c r="U1038" t="str">
        <f>VLOOKUP($W1038,TBL_Categories,4,FALSE)</f>
        <v>No</v>
      </c>
      <c r="V1038" t="str">
        <f>VLOOKUP($W1038,TBL_Categories,5,FALSE)</f>
        <v>None</v>
      </c>
      <c r="W1038" t="str">
        <f t="shared" si="50"/>
        <v>Shopping|Clothing</v>
      </c>
    </row>
    <row r="1039" spans="1:23" x14ac:dyDescent="0.25">
      <c r="A1039" t="s">
        <v>294</v>
      </c>
      <c r="B1039" s="5">
        <v>41813</v>
      </c>
      <c r="C1039">
        <v>343.98</v>
      </c>
      <c r="D1039" t="s">
        <v>304</v>
      </c>
      <c r="E1039" t="s">
        <v>391</v>
      </c>
      <c r="G1039" t="s">
        <v>24</v>
      </c>
      <c r="K1039" t="s">
        <v>24</v>
      </c>
      <c r="Q1039" t="str">
        <f t="shared" si="48"/>
        <v>Jun</v>
      </c>
      <c r="R1039">
        <f t="shared" si="49"/>
        <v>2014</v>
      </c>
      <c r="S1039" t="str">
        <f>VLOOKUP($W1039,TBL_Categories,2,FALSE)</f>
        <v>Account</v>
      </c>
      <c r="T1039">
        <f>VLOOKUP($W1039,TBL_Categories,3,FALSE)</f>
        <v>0</v>
      </c>
      <c r="U1039" t="str">
        <f>VLOOKUP($W1039,TBL_Categories,4,FALSE)</f>
        <v>No</v>
      </c>
      <c r="V1039" t="str">
        <f>VLOOKUP($W1039,TBL_Categories,5,FALSE)</f>
        <v>None</v>
      </c>
      <c r="W1039" t="str">
        <f t="shared" si="50"/>
        <v>[Koolikai - Checking XX2129]</v>
      </c>
    </row>
    <row r="1040" spans="1:23" x14ac:dyDescent="0.25">
      <c r="A1040" t="s">
        <v>296</v>
      </c>
      <c r="B1040" s="5">
        <v>41813</v>
      </c>
      <c r="C1040">
        <v>-19.940000000000001</v>
      </c>
      <c r="D1040" t="s">
        <v>304</v>
      </c>
      <c r="E1040" t="s">
        <v>1168</v>
      </c>
      <c r="F1040" t="s">
        <v>1169</v>
      </c>
      <c r="G1040" t="s">
        <v>607</v>
      </c>
      <c r="K1040" t="s">
        <v>75</v>
      </c>
      <c r="L1040" t="s">
        <v>1567</v>
      </c>
      <c r="O1040" t="s">
        <v>1603</v>
      </c>
      <c r="Q1040" t="str">
        <f t="shared" si="48"/>
        <v>Jun</v>
      </c>
      <c r="R1040">
        <f t="shared" si="49"/>
        <v>2014</v>
      </c>
      <c r="S1040" t="str">
        <f>VLOOKUP($W1040,TBL_Categories,2,FALSE)</f>
        <v>Irregular</v>
      </c>
      <c r="T1040">
        <f>VLOOKUP($W1040,TBL_Categories,3,FALSE)</f>
        <v>0</v>
      </c>
      <c r="U1040" t="str">
        <f>VLOOKUP($W1040,TBL_Categories,4,FALSE)</f>
        <v>No</v>
      </c>
      <c r="V1040" t="str">
        <f>VLOOKUP($W1040,TBL_Categories,5,FALSE)</f>
        <v>None</v>
      </c>
      <c r="W1040" t="str">
        <f t="shared" si="50"/>
        <v>Vacation|Activities</v>
      </c>
    </row>
    <row r="1041" spans="1:23" x14ac:dyDescent="0.25">
      <c r="A1041" t="s">
        <v>633</v>
      </c>
      <c r="B1041" s="5">
        <v>41812</v>
      </c>
      <c r="C1041">
        <v>-11.71</v>
      </c>
      <c r="D1041" t="s">
        <v>304</v>
      </c>
      <c r="E1041" t="s">
        <v>960</v>
      </c>
      <c r="G1041" t="s">
        <v>333</v>
      </c>
      <c r="K1041" t="s">
        <v>61</v>
      </c>
      <c r="L1041" t="s">
        <v>1530</v>
      </c>
      <c r="Q1041" t="str">
        <f t="shared" si="48"/>
        <v>Jun</v>
      </c>
      <c r="R1041">
        <f t="shared" si="49"/>
        <v>2014</v>
      </c>
      <c r="S1041" t="str">
        <f>VLOOKUP($W1041,TBL_Categories,2,FALSE)</f>
        <v>Monthly</v>
      </c>
      <c r="T1041">
        <f>VLOOKUP($W1041,TBL_Categories,3,FALSE)</f>
        <v>0</v>
      </c>
      <c r="U1041" t="str">
        <f>VLOOKUP($W1041,TBL_Categories,4,FALSE)</f>
        <v>No</v>
      </c>
      <c r="V1041" t="str">
        <f>VLOOKUP($W1041,TBL_Categories,5,FALSE)</f>
        <v>None</v>
      </c>
      <c r="W1041" t="str">
        <f t="shared" si="50"/>
        <v>Food &amp; Dining|Restaurants</v>
      </c>
    </row>
    <row r="1042" spans="1:23" x14ac:dyDescent="0.25">
      <c r="A1042" t="s">
        <v>296</v>
      </c>
      <c r="B1042" s="5">
        <v>41812</v>
      </c>
      <c r="C1042">
        <v>-32</v>
      </c>
      <c r="D1042" t="s">
        <v>304</v>
      </c>
      <c r="E1042" t="s">
        <v>1166</v>
      </c>
      <c r="F1042" t="s">
        <v>1167</v>
      </c>
      <c r="G1042" t="s">
        <v>607</v>
      </c>
      <c r="K1042" t="s">
        <v>75</v>
      </c>
      <c r="L1042" t="s">
        <v>1567</v>
      </c>
      <c r="O1042" t="s">
        <v>1603</v>
      </c>
      <c r="Q1042" t="str">
        <f t="shared" si="48"/>
        <v>Jun</v>
      </c>
      <c r="R1042">
        <f t="shared" si="49"/>
        <v>2014</v>
      </c>
      <c r="S1042" t="str">
        <f>VLOOKUP($W1042,TBL_Categories,2,FALSE)</f>
        <v>Irregular</v>
      </c>
      <c r="T1042">
        <f>VLOOKUP($W1042,TBL_Categories,3,FALSE)</f>
        <v>0</v>
      </c>
      <c r="U1042" t="str">
        <f>VLOOKUP($W1042,TBL_Categories,4,FALSE)</f>
        <v>No</v>
      </c>
      <c r="V1042" t="str">
        <f>VLOOKUP($W1042,TBL_Categories,5,FALSE)</f>
        <v>None</v>
      </c>
      <c r="W1042" t="str">
        <f t="shared" si="50"/>
        <v>Vacation|Activities</v>
      </c>
    </row>
    <row r="1043" spans="1:23" x14ac:dyDescent="0.25">
      <c r="A1043" t="s">
        <v>291</v>
      </c>
      <c r="B1043" s="5">
        <v>41811</v>
      </c>
      <c r="C1043">
        <v>-43.16</v>
      </c>
      <c r="D1043" t="s">
        <v>304</v>
      </c>
      <c r="E1043" t="s">
        <v>400</v>
      </c>
      <c r="F1043" t="s">
        <v>922</v>
      </c>
      <c r="G1043" t="s">
        <v>342</v>
      </c>
      <c r="I1043" t="s">
        <v>272</v>
      </c>
      <c r="K1043" t="s">
        <v>61</v>
      </c>
      <c r="L1043" t="s">
        <v>401</v>
      </c>
      <c r="Q1043" t="str">
        <f t="shared" si="48"/>
        <v>Jun</v>
      </c>
      <c r="R1043">
        <f t="shared" si="49"/>
        <v>2014</v>
      </c>
      <c r="S1043" t="str">
        <f>VLOOKUP($W1043,TBL_Categories,2,FALSE)</f>
        <v>Monthly</v>
      </c>
      <c r="T1043">
        <f>VLOOKUP($W1043,TBL_Categories,3,FALSE)</f>
        <v>0</v>
      </c>
      <c r="U1043" t="str">
        <f>VLOOKUP($W1043,TBL_Categories,4,FALSE)</f>
        <v>No</v>
      </c>
      <c r="V1043" t="str">
        <f>VLOOKUP($W1043,TBL_Categories,5,FALSE)</f>
        <v>None</v>
      </c>
      <c r="W1043" t="str">
        <f t="shared" si="50"/>
        <v>Food &amp; Dining|Groceries</v>
      </c>
    </row>
    <row r="1044" spans="1:23" x14ac:dyDescent="0.25">
      <c r="A1044" t="s">
        <v>291</v>
      </c>
      <c r="B1044" s="5">
        <v>41811</v>
      </c>
      <c r="C1044">
        <v>-32.03</v>
      </c>
      <c r="D1044" t="s">
        <v>304</v>
      </c>
      <c r="E1044" t="s">
        <v>400</v>
      </c>
      <c r="F1044" t="s">
        <v>923</v>
      </c>
      <c r="G1044" t="s">
        <v>599</v>
      </c>
      <c r="I1044" t="s">
        <v>272</v>
      </c>
      <c r="K1044" t="s">
        <v>75</v>
      </c>
      <c r="L1044" t="s">
        <v>1564</v>
      </c>
      <c r="O1044" t="s">
        <v>1603</v>
      </c>
      <c r="Q1044" t="str">
        <f t="shared" si="48"/>
        <v>Jun</v>
      </c>
      <c r="R1044">
        <f t="shared" si="49"/>
        <v>2014</v>
      </c>
      <c r="S1044" t="str">
        <f>VLOOKUP($W1044,TBL_Categories,2,FALSE)</f>
        <v>Irregular</v>
      </c>
      <c r="T1044">
        <f>VLOOKUP($W1044,TBL_Categories,3,FALSE)</f>
        <v>0</v>
      </c>
      <c r="U1044" t="str">
        <f>VLOOKUP($W1044,TBL_Categories,4,FALSE)</f>
        <v>No</v>
      </c>
      <c r="V1044" t="str">
        <f>VLOOKUP($W1044,TBL_Categories,5,FALSE)</f>
        <v>None</v>
      </c>
      <c r="W1044" t="str">
        <f t="shared" si="50"/>
        <v>Vacation|Food</v>
      </c>
    </row>
    <row r="1045" spans="1:23" x14ac:dyDescent="0.25">
      <c r="A1045" t="s">
        <v>296</v>
      </c>
      <c r="B1045" s="5">
        <v>41811</v>
      </c>
      <c r="C1045">
        <v>25</v>
      </c>
      <c r="D1045" t="s">
        <v>304</v>
      </c>
      <c r="E1045" t="s">
        <v>429</v>
      </c>
      <c r="F1045" t="s">
        <v>427</v>
      </c>
      <c r="G1045" t="s">
        <v>14</v>
      </c>
      <c r="K1045" t="s">
        <v>14</v>
      </c>
      <c r="Q1045" t="str">
        <f t="shared" si="48"/>
        <v>Jun</v>
      </c>
      <c r="R1045">
        <f t="shared" si="49"/>
        <v>2014</v>
      </c>
      <c r="S1045" t="str">
        <f>VLOOKUP($W1045,TBL_Categories,2,FALSE)</f>
        <v>Monthly</v>
      </c>
      <c r="T1045">
        <f>VLOOKUP($W1045,TBL_Categories,3,FALSE)</f>
        <v>0</v>
      </c>
      <c r="U1045" t="str">
        <f>VLOOKUP($W1045,TBL_Categories,4,FALSE)</f>
        <v>No</v>
      </c>
      <c r="V1045" t="str">
        <f>VLOOKUP($W1045,TBL_Categories,5,FALSE)</f>
        <v>None</v>
      </c>
      <c r="W1045" t="str">
        <f t="shared" si="50"/>
        <v>Other Inc</v>
      </c>
    </row>
    <row r="1046" spans="1:23" x14ac:dyDescent="0.25">
      <c r="A1046" t="s">
        <v>299</v>
      </c>
      <c r="B1046" s="5">
        <v>41811</v>
      </c>
      <c r="C1046">
        <v>61.51</v>
      </c>
      <c r="D1046" t="s">
        <v>304</v>
      </c>
      <c r="E1046" t="s">
        <v>368</v>
      </c>
      <c r="F1046" t="s">
        <v>1489</v>
      </c>
      <c r="G1046" t="s">
        <v>1345</v>
      </c>
      <c r="H1046">
        <v>799999941721</v>
      </c>
      <c r="J1046" t="s">
        <v>1550</v>
      </c>
      <c r="K1046" t="s">
        <v>75</v>
      </c>
      <c r="L1046" t="s">
        <v>1567</v>
      </c>
      <c r="O1046" t="s">
        <v>1603</v>
      </c>
      <c r="Q1046" t="str">
        <f t="shared" si="48"/>
        <v>Jun</v>
      </c>
      <c r="R1046">
        <f t="shared" si="49"/>
        <v>2014</v>
      </c>
      <c r="S1046" t="str">
        <f>VLOOKUP($W1046,TBL_Categories,2,FALSE)</f>
        <v>Irregular</v>
      </c>
      <c r="T1046">
        <f>VLOOKUP($W1046,TBL_Categories,3,FALSE)</f>
        <v>0</v>
      </c>
      <c r="U1046" t="str">
        <f>VLOOKUP($W1046,TBL_Categories,4,FALSE)</f>
        <v>No</v>
      </c>
      <c r="V1046" t="str">
        <f>VLOOKUP($W1046,TBL_Categories,5,FALSE)</f>
        <v>None</v>
      </c>
      <c r="W1046" t="str">
        <f t="shared" si="50"/>
        <v>Vacation|Activities</v>
      </c>
    </row>
    <row r="1047" spans="1:23" x14ac:dyDescent="0.25">
      <c r="A1047" t="s">
        <v>296</v>
      </c>
      <c r="B1047" s="5">
        <v>41810</v>
      </c>
      <c r="C1047">
        <v>-20</v>
      </c>
      <c r="D1047" t="s">
        <v>304</v>
      </c>
      <c r="E1047" t="s">
        <v>685</v>
      </c>
      <c r="F1047" t="s">
        <v>897</v>
      </c>
      <c r="G1047" t="s">
        <v>449</v>
      </c>
      <c r="K1047" t="s">
        <v>66</v>
      </c>
      <c r="L1047" t="s">
        <v>1555</v>
      </c>
      <c r="O1047" t="s">
        <v>1603</v>
      </c>
      <c r="Q1047" t="str">
        <f t="shared" si="48"/>
        <v>Jun</v>
      </c>
      <c r="R1047">
        <f t="shared" si="49"/>
        <v>2014</v>
      </c>
      <c r="S1047" t="str">
        <f>VLOOKUP($W1047,TBL_Categories,2,FALSE)</f>
        <v>Monthly</v>
      </c>
      <c r="T1047">
        <f>VLOOKUP($W1047,TBL_Categories,3,FALSE)</f>
        <v>0</v>
      </c>
      <c r="U1047" t="str">
        <f>VLOOKUP($W1047,TBL_Categories,4,FALSE)</f>
        <v>No</v>
      </c>
      <c r="V1047" t="str">
        <f>VLOOKUP($W1047,TBL_Categories,5,FALSE)</f>
        <v>None</v>
      </c>
      <c r="W1047" t="str">
        <f t="shared" si="50"/>
        <v>Kids|Kids Activities</v>
      </c>
    </row>
    <row r="1048" spans="1:23" x14ac:dyDescent="0.25">
      <c r="A1048" t="s">
        <v>299</v>
      </c>
      <c r="B1048" s="5">
        <v>41810</v>
      </c>
      <c r="C1048">
        <v>-2.85</v>
      </c>
      <c r="D1048" t="s">
        <v>304</v>
      </c>
      <c r="E1048" t="s">
        <v>1486</v>
      </c>
      <c r="G1048" t="s">
        <v>333</v>
      </c>
      <c r="H1048">
        <v>799999941710</v>
      </c>
      <c r="K1048" t="s">
        <v>61</v>
      </c>
      <c r="L1048" t="s">
        <v>1530</v>
      </c>
      <c r="Q1048" t="str">
        <f t="shared" si="48"/>
        <v>Jun</v>
      </c>
      <c r="R1048">
        <f t="shared" si="49"/>
        <v>2014</v>
      </c>
      <c r="S1048" t="str">
        <f>VLOOKUP($W1048,TBL_Categories,2,FALSE)</f>
        <v>Monthly</v>
      </c>
      <c r="T1048">
        <f>VLOOKUP($W1048,TBL_Categories,3,FALSE)</f>
        <v>0</v>
      </c>
      <c r="U1048" t="str">
        <f>VLOOKUP($W1048,TBL_Categories,4,FALSE)</f>
        <v>No</v>
      </c>
      <c r="V1048" t="str">
        <f>VLOOKUP($W1048,TBL_Categories,5,FALSE)</f>
        <v>None</v>
      </c>
      <c r="W1048" t="str">
        <f t="shared" si="50"/>
        <v>Food &amp; Dining|Restaurants</v>
      </c>
    </row>
    <row r="1049" spans="1:23" x14ac:dyDescent="0.25">
      <c r="A1049" t="s">
        <v>299</v>
      </c>
      <c r="B1049" s="5">
        <v>41810</v>
      </c>
      <c r="C1049">
        <v>-4.8</v>
      </c>
      <c r="D1049" t="s">
        <v>304</v>
      </c>
      <c r="E1049" t="s">
        <v>1486</v>
      </c>
      <c r="G1049" t="s">
        <v>333</v>
      </c>
      <c r="H1049">
        <v>799999941710</v>
      </c>
      <c r="K1049" t="s">
        <v>61</v>
      </c>
      <c r="L1049" t="s">
        <v>1530</v>
      </c>
      <c r="Q1049" t="str">
        <f t="shared" si="48"/>
        <v>Jun</v>
      </c>
      <c r="R1049">
        <f t="shared" si="49"/>
        <v>2014</v>
      </c>
      <c r="S1049" t="str">
        <f>VLOOKUP($W1049,TBL_Categories,2,FALSE)</f>
        <v>Monthly</v>
      </c>
      <c r="T1049">
        <f>VLOOKUP($W1049,TBL_Categories,3,FALSE)</f>
        <v>0</v>
      </c>
      <c r="U1049" t="str">
        <f>VLOOKUP($W1049,TBL_Categories,4,FALSE)</f>
        <v>No</v>
      </c>
      <c r="V1049" t="str">
        <f>VLOOKUP($W1049,TBL_Categories,5,FALSE)</f>
        <v>None</v>
      </c>
      <c r="W1049" t="str">
        <f t="shared" si="50"/>
        <v>Food &amp; Dining|Restaurants</v>
      </c>
    </row>
    <row r="1050" spans="1:23" x14ac:dyDescent="0.25">
      <c r="A1050" t="s">
        <v>299</v>
      </c>
      <c r="B1050" s="5">
        <v>41810</v>
      </c>
      <c r="C1050">
        <v>-1.1000000000000001</v>
      </c>
      <c r="D1050" t="s">
        <v>304</v>
      </c>
      <c r="E1050" t="s">
        <v>368</v>
      </c>
      <c r="F1050" t="s">
        <v>897</v>
      </c>
      <c r="G1050" t="s">
        <v>972</v>
      </c>
      <c r="H1050">
        <v>799999941710</v>
      </c>
      <c r="I1050" t="s">
        <v>272</v>
      </c>
      <c r="J1050" t="s">
        <v>1550</v>
      </c>
      <c r="K1050" t="s">
        <v>75</v>
      </c>
      <c r="L1050" t="s">
        <v>1564</v>
      </c>
      <c r="O1050" t="s">
        <v>1603</v>
      </c>
      <c r="Q1050" t="str">
        <f t="shared" si="48"/>
        <v>Jun</v>
      </c>
      <c r="R1050">
        <f t="shared" si="49"/>
        <v>2014</v>
      </c>
      <c r="S1050" t="str">
        <f>VLOOKUP($W1050,TBL_Categories,2,FALSE)</f>
        <v>Irregular</v>
      </c>
      <c r="T1050">
        <f>VLOOKUP($W1050,TBL_Categories,3,FALSE)</f>
        <v>0</v>
      </c>
      <c r="U1050" t="str">
        <f>VLOOKUP($W1050,TBL_Categories,4,FALSE)</f>
        <v>No</v>
      </c>
      <c r="V1050" t="str">
        <f>VLOOKUP($W1050,TBL_Categories,5,FALSE)</f>
        <v>None</v>
      </c>
      <c r="W1050" t="str">
        <f t="shared" si="50"/>
        <v>Vacation|Food</v>
      </c>
    </row>
    <row r="1051" spans="1:23" x14ac:dyDescent="0.25">
      <c r="A1051" t="s">
        <v>299</v>
      </c>
      <c r="B1051" s="5">
        <v>41810</v>
      </c>
      <c r="C1051">
        <v>-77.88</v>
      </c>
      <c r="D1051" t="s">
        <v>304</v>
      </c>
      <c r="E1051" t="s">
        <v>368</v>
      </c>
      <c r="F1051" t="s">
        <v>1487</v>
      </c>
      <c r="G1051" t="s">
        <v>1345</v>
      </c>
      <c r="H1051">
        <v>799999941710</v>
      </c>
      <c r="I1051" t="s">
        <v>272</v>
      </c>
      <c r="J1051" t="s">
        <v>1550</v>
      </c>
      <c r="K1051" t="s">
        <v>75</v>
      </c>
      <c r="L1051" t="s">
        <v>1567</v>
      </c>
      <c r="O1051" t="s">
        <v>1603</v>
      </c>
      <c r="Q1051" t="str">
        <f t="shared" si="48"/>
        <v>Jun</v>
      </c>
      <c r="R1051">
        <f t="shared" si="49"/>
        <v>2014</v>
      </c>
      <c r="S1051" t="str">
        <f>VLOOKUP($W1051,TBL_Categories,2,FALSE)</f>
        <v>Irregular</v>
      </c>
      <c r="T1051">
        <f>VLOOKUP($W1051,TBL_Categories,3,FALSE)</f>
        <v>0</v>
      </c>
      <c r="U1051" t="str">
        <f>VLOOKUP($W1051,TBL_Categories,4,FALSE)</f>
        <v>No</v>
      </c>
      <c r="V1051" t="str">
        <f>VLOOKUP($W1051,TBL_Categories,5,FALSE)</f>
        <v>None</v>
      </c>
      <c r="W1051" t="str">
        <f t="shared" si="50"/>
        <v>Vacation|Activities</v>
      </c>
    </row>
    <row r="1052" spans="1:23" x14ac:dyDescent="0.25">
      <c r="A1052" t="s">
        <v>299</v>
      </c>
      <c r="B1052" s="5">
        <v>41810</v>
      </c>
      <c r="C1052">
        <v>-13.48</v>
      </c>
      <c r="D1052" t="s">
        <v>304</v>
      </c>
      <c r="E1052" t="s">
        <v>368</v>
      </c>
      <c r="F1052" t="s">
        <v>1488</v>
      </c>
      <c r="G1052" t="s">
        <v>1151</v>
      </c>
      <c r="H1052">
        <v>799999941710</v>
      </c>
      <c r="I1052" t="s">
        <v>272</v>
      </c>
      <c r="J1052" t="s">
        <v>1550</v>
      </c>
      <c r="K1052" t="s">
        <v>75</v>
      </c>
      <c r="L1052" t="s">
        <v>1538</v>
      </c>
      <c r="O1052" t="s">
        <v>1603</v>
      </c>
      <c r="Q1052" t="str">
        <f t="shared" si="48"/>
        <v>Jun</v>
      </c>
      <c r="R1052">
        <f t="shared" si="49"/>
        <v>2014</v>
      </c>
      <c r="S1052" t="str">
        <f>VLOOKUP($W1052,TBL_Categories,2,FALSE)</f>
        <v>Irregular</v>
      </c>
      <c r="T1052">
        <f>VLOOKUP($W1052,TBL_Categories,3,FALSE)</f>
        <v>0</v>
      </c>
      <c r="U1052" t="str">
        <f>VLOOKUP($W1052,TBL_Categories,4,FALSE)</f>
        <v>No</v>
      </c>
      <c r="V1052" t="str">
        <f>VLOOKUP($W1052,TBL_Categories,5,FALSE)</f>
        <v>None</v>
      </c>
      <c r="W1052" t="str">
        <f t="shared" si="50"/>
        <v>Vacation|Other</v>
      </c>
    </row>
    <row r="1053" spans="1:23" x14ac:dyDescent="0.25">
      <c r="A1053" t="s">
        <v>284</v>
      </c>
      <c r="B1053" s="5">
        <v>41809</v>
      </c>
      <c r="C1053" s="4">
        <v>100000</v>
      </c>
      <c r="D1053" t="s">
        <v>304</v>
      </c>
      <c r="E1053" t="s">
        <v>800</v>
      </c>
      <c r="F1053" t="s">
        <v>801</v>
      </c>
      <c r="G1053" t="s">
        <v>802</v>
      </c>
      <c r="K1053" t="s">
        <v>802</v>
      </c>
      <c r="Q1053" t="str">
        <f t="shared" si="48"/>
        <v>Jun</v>
      </c>
      <c r="R1053">
        <f t="shared" si="49"/>
        <v>2014</v>
      </c>
      <c r="S1053" t="e">
        <f>VLOOKUP($W1053,TBL_Categories,2,FALSE)</f>
        <v>#N/A</v>
      </c>
      <c r="T1053" t="e">
        <f>VLOOKUP($W1053,TBL_Categories,3,FALSE)</f>
        <v>#N/A</v>
      </c>
      <c r="U1053" t="e">
        <f>VLOOKUP($W1053,TBL_Categories,4,FALSE)</f>
        <v>#N/A</v>
      </c>
      <c r="V1053" t="e">
        <f>VLOOKUP($W1053,TBL_Categories,5,FALSE)</f>
        <v>#N/A</v>
      </c>
      <c r="W1053" t="str">
        <f t="shared" si="50"/>
        <v>[Fideity ESPP and Stock Awards]</v>
      </c>
    </row>
    <row r="1054" spans="1:23" x14ac:dyDescent="0.25">
      <c r="A1054" t="s">
        <v>294</v>
      </c>
      <c r="B1054" s="5">
        <v>41809</v>
      </c>
      <c r="C1054">
        <v>-12.81</v>
      </c>
      <c r="D1054" t="s">
        <v>304</v>
      </c>
      <c r="E1054" t="s">
        <v>659</v>
      </c>
      <c r="G1054" t="s">
        <v>425</v>
      </c>
      <c r="K1054" t="s">
        <v>55</v>
      </c>
      <c r="L1054" t="s">
        <v>1553</v>
      </c>
      <c r="Q1054" t="str">
        <f t="shared" si="48"/>
        <v>Jun</v>
      </c>
      <c r="R1054">
        <f t="shared" si="49"/>
        <v>2014</v>
      </c>
      <c r="S1054" t="str">
        <f>VLOOKUP($W1054,TBL_Categories,2,FALSE)</f>
        <v>Monthly</v>
      </c>
      <c r="T1054">
        <f>VLOOKUP($W1054,TBL_Categories,3,FALSE)</f>
        <v>0</v>
      </c>
      <c r="U1054" t="str">
        <f>VLOOKUP($W1054,TBL_Categories,4,FALSE)</f>
        <v>No</v>
      </c>
      <c r="V1054" t="str">
        <f>VLOOKUP($W1054,TBL_Categories,5,FALSE)</f>
        <v>None</v>
      </c>
      <c r="W1054" t="str">
        <f t="shared" si="50"/>
        <v>Business Expenses (Koolikai)|Office Expenses (Business)</v>
      </c>
    </row>
    <row r="1055" spans="1:23" x14ac:dyDescent="0.25">
      <c r="A1055" t="s">
        <v>296</v>
      </c>
      <c r="B1055" s="5">
        <v>41809</v>
      </c>
      <c r="C1055">
        <v>-13</v>
      </c>
      <c r="D1055" t="s">
        <v>304</v>
      </c>
      <c r="E1055" t="s">
        <v>600</v>
      </c>
      <c r="F1055" t="s">
        <v>897</v>
      </c>
      <c r="G1055" t="s">
        <v>410</v>
      </c>
      <c r="K1055" t="s">
        <v>75</v>
      </c>
      <c r="L1055" t="s">
        <v>1570</v>
      </c>
      <c r="O1055" t="s">
        <v>1603</v>
      </c>
      <c r="Q1055" t="str">
        <f t="shared" si="48"/>
        <v>Jun</v>
      </c>
      <c r="R1055">
        <f t="shared" si="49"/>
        <v>2014</v>
      </c>
      <c r="S1055" t="str">
        <f>VLOOKUP($W1055,TBL_Categories,2,FALSE)</f>
        <v>Irregular</v>
      </c>
      <c r="T1055">
        <f>VLOOKUP($W1055,TBL_Categories,3,FALSE)</f>
        <v>0</v>
      </c>
      <c r="U1055" t="str">
        <f>VLOOKUP($W1055,TBL_Categories,4,FALSE)</f>
        <v>No</v>
      </c>
      <c r="V1055" t="str">
        <f>VLOOKUP($W1055,TBL_Categories,5,FALSE)</f>
        <v>None</v>
      </c>
      <c r="W1055" t="str">
        <f t="shared" si="50"/>
        <v>Vacation|Transportation</v>
      </c>
    </row>
    <row r="1056" spans="1:23" x14ac:dyDescent="0.25">
      <c r="A1056" t="s">
        <v>296</v>
      </c>
      <c r="B1056" s="5">
        <v>41809</v>
      </c>
      <c r="C1056">
        <v>-25</v>
      </c>
      <c r="D1056" t="s">
        <v>304</v>
      </c>
      <c r="E1056" t="s">
        <v>600</v>
      </c>
      <c r="F1056" t="s">
        <v>897</v>
      </c>
      <c r="G1056" t="s">
        <v>410</v>
      </c>
      <c r="K1056" t="s">
        <v>75</v>
      </c>
      <c r="L1056" t="s">
        <v>1570</v>
      </c>
      <c r="O1056" t="s">
        <v>1603</v>
      </c>
      <c r="Q1056" t="str">
        <f t="shared" si="48"/>
        <v>Jun</v>
      </c>
      <c r="R1056">
        <f t="shared" si="49"/>
        <v>2014</v>
      </c>
      <c r="S1056" t="str">
        <f>VLOOKUP($W1056,TBL_Categories,2,FALSE)</f>
        <v>Irregular</v>
      </c>
      <c r="T1056">
        <f>VLOOKUP($W1056,TBL_Categories,3,FALSE)</f>
        <v>0</v>
      </c>
      <c r="U1056" t="str">
        <f>VLOOKUP($W1056,TBL_Categories,4,FALSE)</f>
        <v>No</v>
      </c>
      <c r="V1056" t="str">
        <f>VLOOKUP($W1056,TBL_Categories,5,FALSE)</f>
        <v>None</v>
      </c>
      <c r="W1056" t="str">
        <f t="shared" si="50"/>
        <v>Vacation|Transportation</v>
      </c>
    </row>
    <row r="1057" spans="1:23" x14ac:dyDescent="0.25">
      <c r="A1057" t="s">
        <v>765</v>
      </c>
      <c r="B1057" s="5">
        <v>41809</v>
      </c>
      <c r="C1057" s="4">
        <v>100000</v>
      </c>
      <c r="E1057" t="s">
        <v>800</v>
      </c>
      <c r="F1057" t="s">
        <v>801</v>
      </c>
      <c r="G1057" t="s">
        <v>9</v>
      </c>
      <c r="H1057" t="s">
        <v>758</v>
      </c>
      <c r="I1057" t="s">
        <v>272</v>
      </c>
      <c r="K1057" t="s">
        <v>9</v>
      </c>
      <c r="Q1057" t="str">
        <f t="shared" si="48"/>
        <v>Jun</v>
      </c>
      <c r="R1057">
        <f t="shared" si="49"/>
        <v>2014</v>
      </c>
      <c r="S1057" t="str">
        <f>VLOOKUP($W1057,TBL_Categories,2,FALSE)</f>
        <v>Account</v>
      </c>
      <c r="T1057">
        <f>VLOOKUP($W1057,TBL_Categories,3,FALSE)</f>
        <v>0</v>
      </c>
      <c r="U1057" t="str">
        <f>VLOOKUP($W1057,TBL_Categories,4,FALSE)</f>
        <v>No</v>
      </c>
      <c r="V1057" t="str">
        <f>VLOOKUP($W1057,TBL_Categories,5,FALSE)</f>
        <v>None</v>
      </c>
      <c r="W1057" t="str">
        <f t="shared" si="50"/>
        <v>[First Tech - Checking (5544)]</v>
      </c>
    </row>
    <row r="1058" spans="1:23" x14ac:dyDescent="0.25">
      <c r="A1058" t="s">
        <v>294</v>
      </c>
      <c r="B1058" s="5">
        <v>41808</v>
      </c>
      <c r="C1058">
        <v>-71.88</v>
      </c>
      <c r="D1058" t="s">
        <v>304</v>
      </c>
      <c r="E1058" t="s">
        <v>659</v>
      </c>
      <c r="G1058" t="s">
        <v>425</v>
      </c>
      <c r="K1058" t="s">
        <v>55</v>
      </c>
      <c r="L1058" t="s">
        <v>1553</v>
      </c>
      <c r="Q1058" t="str">
        <f t="shared" si="48"/>
        <v>Jun</v>
      </c>
      <c r="R1058">
        <f t="shared" si="49"/>
        <v>2014</v>
      </c>
      <c r="S1058" t="str">
        <f>VLOOKUP($W1058,TBL_Categories,2,FALSE)</f>
        <v>Monthly</v>
      </c>
      <c r="T1058">
        <f>VLOOKUP($W1058,TBL_Categories,3,FALSE)</f>
        <v>0</v>
      </c>
      <c r="U1058" t="str">
        <f>VLOOKUP($W1058,TBL_Categories,4,FALSE)</f>
        <v>No</v>
      </c>
      <c r="V1058" t="str">
        <f>VLOOKUP($W1058,TBL_Categories,5,FALSE)</f>
        <v>None</v>
      </c>
      <c r="W1058" t="str">
        <f t="shared" si="50"/>
        <v>Business Expenses (Koolikai)|Office Expenses (Business)</v>
      </c>
    </row>
    <row r="1059" spans="1:23" x14ac:dyDescent="0.25">
      <c r="A1059" t="s">
        <v>296</v>
      </c>
      <c r="B1059" s="5">
        <v>41808</v>
      </c>
      <c r="C1059">
        <v>-10</v>
      </c>
      <c r="D1059" t="s">
        <v>304</v>
      </c>
      <c r="E1059" t="s">
        <v>655</v>
      </c>
      <c r="F1059" t="s">
        <v>897</v>
      </c>
      <c r="G1059" t="s">
        <v>410</v>
      </c>
      <c r="K1059" t="s">
        <v>75</v>
      </c>
      <c r="L1059" t="s">
        <v>1570</v>
      </c>
      <c r="O1059" t="s">
        <v>1603</v>
      </c>
      <c r="Q1059" t="str">
        <f t="shared" si="48"/>
        <v>Jun</v>
      </c>
      <c r="R1059">
        <f t="shared" si="49"/>
        <v>2014</v>
      </c>
      <c r="S1059" t="str">
        <f>VLOOKUP($W1059,TBL_Categories,2,FALSE)</f>
        <v>Irregular</v>
      </c>
      <c r="T1059">
        <f>VLOOKUP($W1059,TBL_Categories,3,FALSE)</f>
        <v>0</v>
      </c>
      <c r="U1059" t="str">
        <f>VLOOKUP($W1059,TBL_Categories,4,FALSE)</f>
        <v>No</v>
      </c>
      <c r="V1059" t="str">
        <f>VLOOKUP($W1059,TBL_Categories,5,FALSE)</f>
        <v>None</v>
      </c>
      <c r="W1059" t="str">
        <f t="shared" si="50"/>
        <v>Vacation|Transportation</v>
      </c>
    </row>
    <row r="1060" spans="1:23" x14ac:dyDescent="0.25">
      <c r="A1060" t="s">
        <v>296</v>
      </c>
      <c r="B1060" s="5">
        <v>41808</v>
      </c>
      <c r="C1060">
        <v>-15.86</v>
      </c>
      <c r="D1060" t="s">
        <v>304</v>
      </c>
      <c r="E1060" t="s">
        <v>431</v>
      </c>
      <c r="F1060" t="s">
        <v>897</v>
      </c>
      <c r="G1060" t="s">
        <v>410</v>
      </c>
      <c r="K1060" t="s">
        <v>75</v>
      </c>
      <c r="L1060" t="s">
        <v>1570</v>
      </c>
      <c r="O1060" t="s">
        <v>1603</v>
      </c>
      <c r="Q1060" t="str">
        <f t="shared" si="48"/>
        <v>Jun</v>
      </c>
      <c r="R1060">
        <f t="shared" si="49"/>
        <v>2014</v>
      </c>
      <c r="S1060" t="str">
        <f>VLOOKUP($W1060,TBL_Categories,2,FALSE)</f>
        <v>Irregular</v>
      </c>
      <c r="T1060">
        <f>VLOOKUP($W1060,TBL_Categories,3,FALSE)</f>
        <v>0</v>
      </c>
      <c r="U1060" t="str">
        <f>VLOOKUP($W1060,TBL_Categories,4,FALSE)</f>
        <v>No</v>
      </c>
      <c r="V1060" t="str">
        <f>VLOOKUP($W1060,TBL_Categories,5,FALSE)</f>
        <v>None</v>
      </c>
      <c r="W1060" t="str">
        <f t="shared" si="50"/>
        <v>Vacation|Transportation</v>
      </c>
    </row>
    <row r="1061" spans="1:23" x14ac:dyDescent="0.25">
      <c r="A1061" t="s">
        <v>296</v>
      </c>
      <c r="B1061" s="5">
        <v>41808</v>
      </c>
      <c r="C1061">
        <v>-18.63</v>
      </c>
      <c r="D1061" t="s">
        <v>304</v>
      </c>
      <c r="E1061" t="s">
        <v>1163</v>
      </c>
      <c r="F1061" t="s">
        <v>1164</v>
      </c>
      <c r="G1061" t="s">
        <v>345</v>
      </c>
      <c r="K1061" t="s">
        <v>66</v>
      </c>
      <c r="L1061" t="s">
        <v>1536</v>
      </c>
      <c r="Q1061" t="str">
        <f t="shared" si="48"/>
        <v>Jun</v>
      </c>
      <c r="R1061">
        <f t="shared" si="49"/>
        <v>2014</v>
      </c>
      <c r="S1061" t="str">
        <f>VLOOKUP($W1061,TBL_Categories,2,FALSE)</f>
        <v>Monthly</v>
      </c>
      <c r="T1061">
        <f>VLOOKUP($W1061,TBL_Categories,3,FALSE)</f>
        <v>0</v>
      </c>
      <c r="U1061" t="str">
        <f>VLOOKUP($W1061,TBL_Categories,4,FALSE)</f>
        <v>No</v>
      </c>
      <c r="V1061" t="str">
        <f>VLOOKUP($W1061,TBL_Categories,5,FALSE)</f>
        <v>None</v>
      </c>
      <c r="W1061" t="str">
        <f t="shared" si="50"/>
        <v>Kids|Toys</v>
      </c>
    </row>
    <row r="1062" spans="1:23" x14ac:dyDescent="0.25">
      <c r="A1062" t="s">
        <v>296</v>
      </c>
      <c r="B1062" s="5">
        <v>41808</v>
      </c>
      <c r="C1062">
        <v>-903.11</v>
      </c>
      <c r="D1062" t="s">
        <v>304</v>
      </c>
      <c r="E1062" t="s">
        <v>1165</v>
      </c>
      <c r="F1062" t="s">
        <v>808</v>
      </c>
      <c r="G1062" t="s">
        <v>940</v>
      </c>
      <c r="K1062" t="s">
        <v>29</v>
      </c>
      <c r="L1062" t="s">
        <v>1573</v>
      </c>
      <c r="O1062" t="s">
        <v>1599</v>
      </c>
      <c r="Q1062" t="str">
        <f t="shared" si="48"/>
        <v>Jun</v>
      </c>
      <c r="R1062">
        <f t="shared" si="49"/>
        <v>2014</v>
      </c>
      <c r="S1062" t="str">
        <f>VLOOKUP($W1062,TBL_Categories,2,FALSE)</f>
        <v>Irregular</v>
      </c>
      <c r="T1062">
        <f>VLOOKUP($W1062,TBL_Categories,3,FALSE)</f>
        <v>0</v>
      </c>
      <c r="U1062" t="str">
        <f>VLOOKUP($W1062,TBL_Categories,4,FALSE)</f>
        <v>No</v>
      </c>
      <c r="V1062" t="str">
        <f>VLOOKUP($W1062,TBL_Categories,5,FALSE)</f>
        <v>None</v>
      </c>
      <c r="W1062" t="str">
        <f t="shared" si="50"/>
        <v>Work Expense|Reimbursable expense</v>
      </c>
    </row>
    <row r="1063" spans="1:23" x14ac:dyDescent="0.25">
      <c r="A1063" t="s">
        <v>284</v>
      </c>
      <c r="B1063" s="5">
        <v>41807</v>
      </c>
      <c r="C1063" s="4">
        <v>38832</v>
      </c>
      <c r="D1063" t="s">
        <v>304</v>
      </c>
      <c r="E1063" t="s">
        <v>797</v>
      </c>
      <c r="F1063" t="s">
        <v>798</v>
      </c>
      <c r="G1063" t="s">
        <v>24</v>
      </c>
      <c r="K1063" t="s">
        <v>24</v>
      </c>
      <c r="Q1063" t="str">
        <f t="shared" si="48"/>
        <v>Jun</v>
      </c>
      <c r="R1063">
        <f t="shared" si="49"/>
        <v>2014</v>
      </c>
      <c r="S1063" t="str">
        <f>VLOOKUP($W1063,TBL_Categories,2,FALSE)</f>
        <v>Account</v>
      </c>
      <c r="T1063">
        <f>VLOOKUP($W1063,TBL_Categories,3,FALSE)</f>
        <v>0</v>
      </c>
      <c r="U1063" t="str">
        <f>VLOOKUP($W1063,TBL_Categories,4,FALSE)</f>
        <v>No</v>
      </c>
      <c r="V1063" t="str">
        <f>VLOOKUP($W1063,TBL_Categories,5,FALSE)</f>
        <v>None</v>
      </c>
      <c r="W1063" t="str">
        <f t="shared" si="50"/>
        <v>[Koolikai - Checking XX2129]</v>
      </c>
    </row>
    <row r="1064" spans="1:23" x14ac:dyDescent="0.25">
      <c r="A1064" t="s">
        <v>284</v>
      </c>
      <c r="B1064" s="5">
        <v>41807</v>
      </c>
      <c r="C1064" s="4">
        <v>71426</v>
      </c>
      <c r="D1064" t="s">
        <v>304</v>
      </c>
      <c r="E1064" t="s">
        <v>799</v>
      </c>
      <c r="F1064" t="s">
        <v>798</v>
      </c>
      <c r="G1064" t="s">
        <v>30</v>
      </c>
      <c r="K1064" t="s">
        <v>30</v>
      </c>
      <c r="Q1064" t="str">
        <f t="shared" si="48"/>
        <v>Jun</v>
      </c>
      <c r="R1064">
        <f t="shared" si="49"/>
        <v>2014</v>
      </c>
      <c r="S1064" t="str">
        <f>VLOOKUP($W1064,TBL_Categories,2,FALSE)</f>
        <v>Account</v>
      </c>
      <c r="T1064">
        <f>VLOOKUP($W1064,TBL_Categories,3,FALSE)</f>
        <v>0</v>
      </c>
      <c r="U1064" t="str">
        <f>VLOOKUP($W1064,TBL_Categories,4,FALSE)</f>
        <v>No</v>
      </c>
      <c r="V1064" t="str">
        <f>VLOOKUP($W1064,TBL_Categories,5,FALSE)</f>
        <v>None</v>
      </c>
      <c r="W1064" t="str">
        <f t="shared" si="50"/>
        <v>[First Tech - Short Term Emergency (5400)]</v>
      </c>
    </row>
    <row r="1065" spans="1:23" x14ac:dyDescent="0.25">
      <c r="A1065" t="s">
        <v>287</v>
      </c>
      <c r="B1065" s="5">
        <v>41807</v>
      </c>
      <c r="C1065" s="4">
        <v>-71426</v>
      </c>
      <c r="D1065" t="s">
        <v>304</v>
      </c>
      <c r="E1065" t="s">
        <v>868</v>
      </c>
      <c r="F1065" t="s">
        <v>869</v>
      </c>
      <c r="G1065" t="s">
        <v>9</v>
      </c>
      <c r="K1065" t="s">
        <v>9</v>
      </c>
      <c r="Q1065" t="str">
        <f t="shared" si="48"/>
        <v>Jun</v>
      </c>
      <c r="R1065">
        <f t="shared" si="49"/>
        <v>2014</v>
      </c>
      <c r="S1065" t="str">
        <f>VLOOKUP($W1065,TBL_Categories,2,FALSE)</f>
        <v>Account</v>
      </c>
      <c r="T1065">
        <f>VLOOKUP($W1065,TBL_Categories,3,FALSE)</f>
        <v>0</v>
      </c>
      <c r="U1065" t="str">
        <f>VLOOKUP($W1065,TBL_Categories,4,FALSE)</f>
        <v>No</v>
      </c>
      <c r="V1065" t="str">
        <f>VLOOKUP($W1065,TBL_Categories,5,FALSE)</f>
        <v>None</v>
      </c>
      <c r="W1065" t="str">
        <f t="shared" si="50"/>
        <v>[First Tech - Checking (5544)]</v>
      </c>
    </row>
    <row r="1066" spans="1:23" x14ac:dyDescent="0.25">
      <c r="A1066" t="s">
        <v>288</v>
      </c>
      <c r="B1066" s="5">
        <v>41807</v>
      </c>
      <c r="C1066" s="4">
        <v>-38832</v>
      </c>
      <c r="D1066" t="s">
        <v>304</v>
      </c>
      <c r="E1066" t="s">
        <v>874</v>
      </c>
      <c r="F1066" t="s">
        <v>869</v>
      </c>
      <c r="G1066" t="s">
        <v>9</v>
      </c>
      <c r="K1066" t="s">
        <v>9</v>
      </c>
      <c r="Q1066" t="str">
        <f t="shared" si="48"/>
        <v>Jun</v>
      </c>
      <c r="R1066">
        <f t="shared" si="49"/>
        <v>2014</v>
      </c>
      <c r="S1066" t="str">
        <f>VLOOKUP($W1066,TBL_Categories,2,FALSE)</f>
        <v>Account</v>
      </c>
      <c r="T1066">
        <f>VLOOKUP($W1066,TBL_Categories,3,FALSE)</f>
        <v>0</v>
      </c>
      <c r="U1066" t="str">
        <f>VLOOKUP($W1066,TBL_Categories,4,FALSE)</f>
        <v>No</v>
      </c>
      <c r="V1066" t="str">
        <f>VLOOKUP($W1066,TBL_Categories,5,FALSE)</f>
        <v>None</v>
      </c>
      <c r="W1066" t="str">
        <f t="shared" si="50"/>
        <v>[First Tech - Checking (5544)]</v>
      </c>
    </row>
    <row r="1067" spans="1:23" x14ac:dyDescent="0.25">
      <c r="A1067" t="s">
        <v>633</v>
      </c>
      <c r="B1067" s="5">
        <v>41807</v>
      </c>
      <c r="C1067">
        <v>-8.1999999999999993</v>
      </c>
      <c r="D1067" t="s">
        <v>304</v>
      </c>
      <c r="E1067" t="s">
        <v>958</v>
      </c>
      <c r="F1067" t="s">
        <v>959</v>
      </c>
      <c r="G1067" t="s">
        <v>333</v>
      </c>
      <c r="K1067" t="s">
        <v>61</v>
      </c>
      <c r="L1067" t="s">
        <v>1530</v>
      </c>
      <c r="Q1067" t="str">
        <f t="shared" si="48"/>
        <v>Jun</v>
      </c>
      <c r="R1067">
        <f t="shared" si="49"/>
        <v>2014</v>
      </c>
      <c r="S1067" t="str">
        <f>VLOOKUP($W1067,TBL_Categories,2,FALSE)</f>
        <v>Monthly</v>
      </c>
      <c r="T1067">
        <f>VLOOKUP($W1067,TBL_Categories,3,FALSE)</f>
        <v>0</v>
      </c>
      <c r="U1067" t="str">
        <f>VLOOKUP($W1067,TBL_Categories,4,FALSE)</f>
        <v>No</v>
      </c>
      <c r="V1067" t="str">
        <f>VLOOKUP($W1067,TBL_Categories,5,FALSE)</f>
        <v>None</v>
      </c>
      <c r="W1067" t="str">
        <f t="shared" si="50"/>
        <v>Food &amp; Dining|Restaurants</v>
      </c>
    </row>
    <row r="1068" spans="1:23" x14ac:dyDescent="0.25">
      <c r="A1068" t="s">
        <v>296</v>
      </c>
      <c r="B1068" s="5">
        <v>41807</v>
      </c>
      <c r="C1068">
        <v>-250.75</v>
      </c>
      <c r="D1068" t="s">
        <v>304</v>
      </c>
      <c r="E1068" t="s">
        <v>694</v>
      </c>
      <c r="F1068" t="s">
        <v>1162</v>
      </c>
      <c r="G1068" t="s">
        <v>608</v>
      </c>
      <c r="K1068" t="s">
        <v>52</v>
      </c>
      <c r="L1068" t="s">
        <v>1588</v>
      </c>
      <c r="Q1068" t="str">
        <f t="shared" si="48"/>
        <v>Jun</v>
      </c>
      <c r="R1068">
        <f t="shared" si="49"/>
        <v>2014</v>
      </c>
      <c r="S1068" t="str">
        <f>VLOOKUP($W1068,TBL_Categories,2,FALSE)</f>
        <v>Annual</v>
      </c>
      <c r="T1068">
        <f>VLOOKUP($W1068,TBL_Categories,3,FALSE)</f>
        <v>0</v>
      </c>
      <c r="U1068" t="str">
        <f>VLOOKUP($W1068,TBL_Categories,4,FALSE)</f>
        <v>No</v>
      </c>
      <c r="V1068" t="str">
        <f>VLOOKUP($W1068,TBL_Categories,5,FALSE)</f>
        <v>None</v>
      </c>
      <c r="W1068" t="str">
        <f t="shared" si="50"/>
        <v>Auto &amp; Transport|Registration</v>
      </c>
    </row>
    <row r="1069" spans="1:23" x14ac:dyDescent="0.25">
      <c r="A1069" t="s">
        <v>633</v>
      </c>
      <c r="B1069" s="5">
        <v>41806</v>
      </c>
      <c r="C1069">
        <v>-6.5</v>
      </c>
      <c r="D1069" t="s">
        <v>304</v>
      </c>
      <c r="E1069" t="s">
        <v>957</v>
      </c>
      <c r="G1069" t="s">
        <v>333</v>
      </c>
      <c r="K1069" t="s">
        <v>61</v>
      </c>
      <c r="L1069" t="s">
        <v>1530</v>
      </c>
      <c r="Q1069" t="str">
        <f t="shared" si="48"/>
        <v>Jun</v>
      </c>
      <c r="R1069">
        <f t="shared" si="49"/>
        <v>2014</v>
      </c>
      <c r="S1069" t="str">
        <f>VLOOKUP($W1069,TBL_Categories,2,FALSE)</f>
        <v>Monthly</v>
      </c>
      <c r="T1069">
        <f>VLOOKUP($W1069,TBL_Categories,3,FALSE)</f>
        <v>0</v>
      </c>
      <c r="U1069" t="str">
        <f>VLOOKUP($W1069,TBL_Categories,4,FALSE)</f>
        <v>No</v>
      </c>
      <c r="V1069" t="str">
        <f>VLOOKUP($W1069,TBL_Categories,5,FALSE)</f>
        <v>None</v>
      </c>
      <c r="W1069" t="str">
        <f t="shared" si="50"/>
        <v>Food &amp; Dining|Restaurants</v>
      </c>
    </row>
    <row r="1070" spans="1:23" x14ac:dyDescent="0.25">
      <c r="A1070" t="s">
        <v>296</v>
      </c>
      <c r="B1070" s="5">
        <v>41806</v>
      </c>
      <c r="C1070">
        <v>-7.83</v>
      </c>
      <c r="D1070" t="s">
        <v>304</v>
      </c>
      <c r="E1070" t="s">
        <v>451</v>
      </c>
      <c r="F1070" t="s">
        <v>1161</v>
      </c>
      <c r="G1070" t="s">
        <v>1020</v>
      </c>
      <c r="J1070" t="s">
        <v>1550</v>
      </c>
      <c r="K1070" t="s">
        <v>66</v>
      </c>
      <c r="L1070" t="s">
        <v>1536</v>
      </c>
      <c r="Q1070" t="str">
        <f t="shared" si="48"/>
        <v>Jun</v>
      </c>
      <c r="R1070">
        <f t="shared" si="49"/>
        <v>2014</v>
      </c>
      <c r="S1070" t="str">
        <f>VLOOKUP($W1070,TBL_Categories,2,FALSE)</f>
        <v>Monthly</v>
      </c>
      <c r="T1070">
        <f>VLOOKUP($W1070,TBL_Categories,3,FALSE)</f>
        <v>0</v>
      </c>
      <c r="U1070" t="str">
        <f>VLOOKUP($W1070,TBL_Categories,4,FALSE)</f>
        <v>No</v>
      </c>
      <c r="V1070" t="str">
        <f>VLOOKUP($W1070,TBL_Categories,5,FALSE)</f>
        <v>None</v>
      </c>
      <c r="W1070" t="str">
        <f t="shared" si="50"/>
        <v>Kids|Toys</v>
      </c>
    </row>
    <row r="1071" spans="1:23" x14ac:dyDescent="0.25">
      <c r="A1071" t="s">
        <v>284</v>
      </c>
      <c r="B1071" s="5">
        <v>41805</v>
      </c>
      <c r="C1071">
        <v>43</v>
      </c>
      <c r="D1071" t="s">
        <v>304</v>
      </c>
      <c r="E1071" t="s">
        <v>594</v>
      </c>
      <c r="F1071" t="s">
        <v>796</v>
      </c>
      <c r="G1071" t="s">
        <v>22</v>
      </c>
      <c r="K1071" t="s">
        <v>22</v>
      </c>
      <c r="Q1071" t="str">
        <f t="shared" si="48"/>
        <v>Jun</v>
      </c>
      <c r="R1071">
        <f t="shared" si="49"/>
        <v>2014</v>
      </c>
      <c r="S1071" t="str">
        <f>VLOOKUP($W1071,TBL_Categories,2,FALSE)</f>
        <v>Account</v>
      </c>
      <c r="T1071">
        <f>VLOOKUP($W1071,TBL_Categories,3,FALSE)</f>
        <v>0</v>
      </c>
      <c r="U1071" t="str">
        <f>VLOOKUP($W1071,TBL_Categories,4,FALSE)</f>
        <v>No</v>
      </c>
      <c r="V1071" t="str">
        <f>VLOOKUP($W1071,TBL_Categories,5,FALSE)</f>
        <v>None</v>
      </c>
      <c r="W1071" t="str">
        <f t="shared" si="50"/>
        <v>[Premera Health Care Payment]</v>
      </c>
    </row>
    <row r="1072" spans="1:23" x14ac:dyDescent="0.25">
      <c r="A1072" t="s">
        <v>290</v>
      </c>
      <c r="B1072" s="5">
        <v>41805</v>
      </c>
      <c r="C1072">
        <v>-20</v>
      </c>
      <c r="D1072" t="s">
        <v>304</v>
      </c>
      <c r="E1072" t="s">
        <v>895</v>
      </c>
      <c r="F1072" t="s">
        <v>896</v>
      </c>
      <c r="G1072" t="s">
        <v>333</v>
      </c>
      <c r="I1072" t="s">
        <v>272</v>
      </c>
      <c r="K1072" t="s">
        <v>61</v>
      </c>
      <c r="L1072" t="s">
        <v>1530</v>
      </c>
      <c r="Q1072" t="str">
        <f t="shared" si="48"/>
        <v>Jun</v>
      </c>
      <c r="R1072">
        <f t="shared" si="49"/>
        <v>2014</v>
      </c>
      <c r="S1072" t="str">
        <f>VLOOKUP($W1072,TBL_Categories,2,FALSE)</f>
        <v>Monthly</v>
      </c>
      <c r="T1072">
        <f>VLOOKUP($W1072,TBL_Categories,3,FALSE)</f>
        <v>0</v>
      </c>
      <c r="U1072" t="str">
        <f>VLOOKUP($W1072,TBL_Categories,4,FALSE)</f>
        <v>No</v>
      </c>
      <c r="V1072" t="str">
        <f>VLOOKUP($W1072,TBL_Categories,5,FALSE)</f>
        <v>None</v>
      </c>
      <c r="W1072" t="str">
        <f t="shared" si="50"/>
        <v>Food &amp; Dining|Restaurants</v>
      </c>
    </row>
    <row r="1073" spans="1:23" x14ac:dyDescent="0.25">
      <c r="A1073" t="s">
        <v>290</v>
      </c>
      <c r="B1073" s="5">
        <v>41805</v>
      </c>
      <c r="C1073">
        <v>-2.25</v>
      </c>
      <c r="D1073" t="s">
        <v>304</v>
      </c>
      <c r="E1073" t="s">
        <v>895</v>
      </c>
      <c r="G1073" t="s">
        <v>397</v>
      </c>
      <c r="I1073" t="s">
        <v>272</v>
      </c>
      <c r="K1073" t="s">
        <v>53</v>
      </c>
      <c r="L1073" t="s">
        <v>1562</v>
      </c>
      <c r="Q1073" t="str">
        <f t="shared" si="48"/>
        <v>Jun</v>
      </c>
      <c r="R1073">
        <f t="shared" si="49"/>
        <v>2014</v>
      </c>
      <c r="S1073" t="str">
        <f>VLOOKUP($W1073,TBL_Categories,2,FALSE)</f>
        <v>Monthly</v>
      </c>
      <c r="T1073">
        <f>VLOOKUP($W1073,TBL_Categories,3,FALSE)</f>
        <v>0</v>
      </c>
      <c r="U1073" t="str">
        <f>VLOOKUP($W1073,TBL_Categories,4,FALSE)</f>
        <v>No</v>
      </c>
      <c r="V1073" t="str">
        <f>VLOOKUP($W1073,TBL_Categories,5,FALSE)</f>
        <v>None</v>
      </c>
      <c r="W1073" t="str">
        <f t="shared" si="50"/>
        <v>Bank Fees &amp; Charges|ATM Fee</v>
      </c>
    </row>
    <row r="1074" spans="1:23" x14ac:dyDescent="0.25">
      <c r="A1074" t="s">
        <v>296</v>
      </c>
      <c r="B1074" s="5">
        <v>41805</v>
      </c>
      <c r="C1074">
        <v>-1.1100000000000001</v>
      </c>
      <c r="D1074" t="s">
        <v>304</v>
      </c>
      <c r="E1074" t="s">
        <v>440</v>
      </c>
      <c r="F1074" t="s">
        <v>478</v>
      </c>
      <c r="G1074" t="s">
        <v>466</v>
      </c>
      <c r="K1074" t="s">
        <v>72</v>
      </c>
      <c r="L1074" t="s">
        <v>460</v>
      </c>
      <c r="Q1074" t="str">
        <f t="shared" si="48"/>
        <v>Jun</v>
      </c>
      <c r="R1074">
        <f t="shared" si="49"/>
        <v>2014</v>
      </c>
      <c r="S1074" t="str">
        <f>VLOOKUP($W1074,TBL_Categories,2,FALSE)</f>
        <v>Unplanned</v>
      </c>
      <c r="T1074">
        <f>VLOOKUP($W1074,TBL_Categories,3,FALSE)</f>
        <v>0</v>
      </c>
      <c r="U1074" t="str">
        <f>VLOOKUP($W1074,TBL_Categories,4,FALSE)</f>
        <v>No</v>
      </c>
      <c r="V1074" t="str">
        <f>VLOOKUP($W1074,TBL_Categories,5,FALSE)</f>
        <v>None</v>
      </c>
      <c r="W1074" t="str">
        <f t="shared" si="50"/>
        <v>Shopping|Books</v>
      </c>
    </row>
    <row r="1075" spans="1:23" x14ac:dyDescent="0.25">
      <c r="A1075" t="s">
        <v>296</v>
      </c>
      <c r="B1075" s="5">
        <v>41805</v>
      </c>
      <c r="C1075">
        <v>-106.22</v>
      </c>
      <c r="D1075" t="s">
        <v>304</v>
      </c>
      <c r="E1075" t="s">
        <v>714</v>
      </c>
      <c r="F1075" t="s">
        <v>1160</v>
      </c>
      <c r="G1075" t="s">
        <v>449</v>
      </c>
      <c r="K1075" t="s">
        <v>66</v>
      </c>
      <c r="L1075" t="s">
        <v>1555</v>
      </c>
      <c r="Q1075" t="str">
        <f t="shared" si="48"/>
        <v>Jun</v>
      </c>
      <c r="R1075">
        <f t="shared" si="49"/>
        <v>2014</v>
      </c>
      <c r="S1075" t="str">
        <f>VLOOKUP($W1075,TBL_Categories,2,FALSE)</f>
        <v>Monthly</v>
      </c>
      <c r="T1075">
        <f>VLOOKUP($W1075,TBL_Categories,3,FALSE)</f>
        <v>0</v>
      </c>
      <c r="U1075" t="str">
        <f>VLOOKUP($W1075,TBL_Categories,4,FALSE)</f>
        <v>No</v>
      </c>
      <c r="V1075" t="str">
        <f>VLOOKUP($W1075,TBL_Categories,5,FALSE)</f>
        <v>None</v>
      </c>
      <c r="W1075" t="str">
        <f t="shared" si="50"/>
        <v>Kids|Kids Activities</v>
      </c>
    </row>
    <row r="1076" spans="1:23" x14ac:dyDescent="0.25">
      <c r="A1076" t="s">
        <v>298</v>
      </c>
      <c r="B1076" s="5">
        <v>41805</v>
      </c>
      <c r="C1076">
        <v>-43</v>
      </c>
      <c r="D1076" t="s">
        <v>304</v>
      </c>
      <c r="E1076" t="s">
        <v>594</v>
      </c>
      <c r="F1076" t="s">
        <v>796</v>
      </c>
      <c r="G1076" t="s">
        <v>9</v>
      </c>
      <c r="K1076" t="s">
        <v>9</v>
      </c>
      <c r="Q1076" t="str">
        <f t="shared" si="48"/>
        <v>Jun</v>
      </c>
      <c r="R1076">
        <f t="shared" si="49"/>
        <v>2014</v>
      </c>
      <c r="S1076" t="str">
        <f>VLOOKUP($W1076,TBL_Categories,2,FALSE)</f>
        <v>Account</v>
      </c>
      <c r="T1076">
        <f>VLOOKUP($W1076,TBL_Categories,3,FALSE)</f>
        <v>0</v>
      </c>
      <c r="U1076" t="str">
        <f>VLOOKUP($W1076,TBL_Categories,4,FALSE)</f>
        <v>No</v>
      </c>
      <c r="V1076" t="str">
        <f>VLOOKUP($W1076,TBL_Categories,5,FALSE)</f>
        <v>None</v>
      </c>
      <c r="W1076" t="str">
        <f t="shared" si="50"/>
        <v>[First Tech - Checking (5544)]</v>
      </c>
    </row>
    <row r="1077" spans="1:23" x14ac:dyDescent="0.25">
      <c r="A1077" t="s">
        <v>296</v>
      </c>
      <c r="B1077" s="5">
        <v>41804</v>
      </c>
      <c r="C1077">
        <v>-10</v>
      </c>
      <c r="D1077" t="s">
        <v>304</v>
      </c>
      <c r="E1077" t="s">
        <v>426</v>
      </c>
      <c r="F1077" t="s">
        <v>1154</v>
      </c>
      <c r="G1077" t="s">
        <v>1059</v>
      </c>
      <c r="I1077" t="s">
        <v>272</v>
      </c>
      <c r="J1077" t="s">
        <v>1550</v>
      </c>
      <c r="K1077" t="s">
        <v>62</v>
      </c>
      <c r="L1077" t="s">
        <v>1592</v>
      </c>
      <c r="Q1077" t="str">
        <f t="shared" si="48"/>
        <v>Jun</v>
      </c>
      <c r="R1077">
        <f t="shared" si="49"/>
        <v>2014</v>
      </c>
      <c r="S1077" t="str">
        <f>VLOOKUP($W1077,TBL_Categories,2,FALSE)</f>
        <v>Irregular</v>
      </c>
      <c r="T1077">
        <f>VLOOKUP($W1077,TBL_Categories,3,FALSE)</f>
        <v>0</v>
      </c>
      <c r="U1077" t="str">
        <f>VLOOKUP($W1077,TBL_Categories,4,FALSE)</f>
        <v>No</v>
      </c>
      <c r="V1077" t="str">
        <f>VLOOKUP($W1077,TBL_Categories,5,FALSE)</f>
        <v>None</v>
      </c>
      <c r="W1077" t="str">
        <f t="shared" si="50"/>
        <v>Health &amp; Fitness|Pharmacy</v>
      </c>
    </row>
    <row r="1078" spans="1:23" x14ac:dyDescent="0.25">
      <c r="A1078" t="s">
        <v>296</v>
      </c>
      <c r="B1078" s="5">
        <v>41804</v>
      </c>
      <c r="C1078">
        <v>-6.56</v>
      </c>
      <c r="D1078" t="s">
        <v>304</v>
      </c>
      <c r="E1078" t="s">
        <v>426</v>
      </c>
      <c r="F1078" t="s">
        <v>1155</v>
      </c>
      <c r="G1078" t="s">
        <v>887</v>
      </c>
      <c r="I1078" t="s">
        <v>272</v>
      </c>
      <c r="J1078" t="s">
        <v>1550</v>
      </c>
      <c r="K1078" t="s">
        <v>61</v>
      </c>
      <c r="L1078" t="s">
        <v>401</v>
      </c>
      <c r="Q1078" t="str">
        <f t="shared" si="48"/>
        <v>Jun</v>
      </c>
      <c r="R1078">
        <f t="shared" si="49"/>
        <v>2014</v>
      </c>
      <c r="S1078" t="str">
        <f>VLOOKUP($W1078,TBL_Categories,2,FALSE)</f>
        <v>Monthly</v>
      </c>
      <c r="T1078">
        <f>VLOOKUP($W1078,TBL_Categories,3,FALSE)</f>
        <v>0</v>
      </c>
      <c r="U1078" t="str">
        <f>VLOOKUP($W1078,TBL_Categories,4,FALSE)</f>
        <v>No</v>
      </c>
      <c r="V1078" t="str">
        <f>VLOOKUP($W1078,TBL_Categories,5,FALSE)</f>
        <v>None</v>
      </c>
      <c r="W1078" t="str">
        <f t="shared" si="50"/>
        <v>Food &amp; Dining|Groceries</v>
      </c>
    </row>
    <row r="1079" spans="1:23" x14ac:dyDescent="0.25">
      <c r="A1079" t="s">
        <v>296</v>
      </c>
      <c r="B1079" s="5">
        <v>41804</v>
      </c>
      <c r="C1079">
        <v>-19.05</v>
      </c>
      <c r="D1079" t="s">
        <v>304</v>
      </c>
      <c r="E1079" t="s">
        <v>437</v>
      </c>
      <c r="F1079" t="s">
        <v>1156</v>
      </c>
      <c r="G1079" t="s">
        <v>1020</v>
      </c>
      <c r="J1079" t="s">
        <v>1550</v>
      </c>
      <c r="K1079" t="s">
        <v>66</v>
      </c>
      <c r="L1079" t="s">
        <v>1536</v>
      </c>
      <c r="Q1079" t="str">
        <f t="shared" si="48"/>
        <v>Jun</v>
      </c>
      <c r="R1079">
        <f t="shared" si="49"/>
        <v>2014</v>
      </c>
      <c r="S1079" t="str">
        <f>VLOOKUP($W1079,TBL_Categories,2,FALSE)</f>
        <v>Monthly</v>
      </c>
      <c r="T1079">
        <f>VLOOKUP($W1079,TBL_Categories,3,FALSE)</f>
        <v>0</v>
      </c>
      <c r="U1079" t="str">
        <f>VLOOKUP($W1079,TBL_Categories,4,FALSE)</f>
        <v>No</v>
      </c>
      <c r="V1079" t="str">
        <f>VLOOKUP($W1079,TBL_Categories,5,FALSE)</f>
        <v>None</v>
      </c>
      <c r="W1079" t="str">
        <f t="shared" si="50"/>
        <v>Kids|Toys</v>
      </c>
    </row>
    <row r="1080" spans="1:23" x14ac:dyDescent="0.25">
      <c r="A1080" t="s">
        <v>296</v>
      </c>
      <c r="B1080" s="5">
        <v>41804</v>
      </c>
      <c r="C1080">
        <v>-32.83</v>
      </c>
      <c r="D1080" t="s">
        <v>304</v>
      </c>
      <c r="E1080" t="s">
        <v>1157</v>
      </c>
      <c r="F1080" t="s">
        <v>1158</v>
      </c>
      <c r="G1080" t="s">
        <v>1042</v>
      </c>
      <c r="J1080" t="s">
        <v>1550</v>
      </c>
      <c r="K1080" t="s">
        <v>66</v>
      </c>
      <c r="L1080" t="s">
        <v>1537</v>
      </c>
      <c r="O1080" t="s">
        <v>1603</v>
      </c>
      <c r="Q1080" t="str">
        <f t="shared" si="48"/>
        <v>Jun</v>
      </c>
      <c r="R1080">
        <f t="shared" si="49"/>
        <v>2014</v>
      </c>
      <c r="S1080" t="str">
        <f>VLOOKUP($W1080,TBL_Categories,2,FALSE)</f>
        <v>Monthly</v>
      </c>
      <c r="T1080">
        <f>VLOOKUP($W1080,TBL_Categories,3,FALSE)</f>
        <v>0</v>
      </c>
      <c r="U1080" t="str">
        <f>VLOOKUP($W1080,TBL_Categories,4,FALSE)</f>
        <v>No</v>
      </c>
      <c r="V1080" t="str">
        <f>VLOOKUP($W1080,TBL_Categories,5,FALSE)</f>
        <v>None</v>
      </c>
      <c r="W1080" t="str">
        <f t="shared" si="50"/>
        <v>Kids|Clothing</v>
      </c>
    </row>
    <row r="1081" spans="1:23" x14ac:dyDescent="0.25">
      <c r="A1081" t="s">
        <v>296</v>
      </c>
      <c r="B1081" s="5">
        <v>41804</v>
      </c>
      <c r="C1081">
        <v>-72.23</v>
      </c>
      <c r="D1081" t="s">
        <v>304</v>
      </c>
      <c r="E1081" t="s">
        <v>722</v>
      </c>
      <c r="F1081" t="s">
        <v>744</v>
      </c>
      <c r="G1081" t="s">
        <v>333</v>
      </c>
      <c r="K1081" t="s">
        <v>61</v>
      </c>
      <c r="L1081" t="s">
        <v>1530</v>
      </c>
      <c r="Q1081" t="str">
        <f t="shared" si="48"/>
        <v>Jun</v>
      </c>
      <c r="R1081">
        <f t="shared" si="49"/>
        <v>2014</v>
      </c>
      <c r="S1081" t="str">
        <f>VLOOKUP($W1081,TBL_Categories,2,FALSE)</f>
        <v>Monthly</v>
      </c>
      <c r="T1081">
        <f>VLOOKUP($W1081,TBL_Categories,3,FALSE)</f>
        <v>0</v>
      </c>
      <c r="U1081" t="str">
        <f>VLOOKUP($W1081,TBL_Categories,4,FALSE)</f>
        <v>No</v>
      </c>
      <c r="V1081" t="str">
        <f>VLOOKUP($W1081,TBL_Categories,5,FALSE)</f>
        <v>None</v>
      </c>
      <c r="W1081" t="str">
        <f t="shared" si="50"/>
        <v>Food &amp; Dining|Restaurants</v>
      </c>
    </row>
    <row r="1082" spans="1:23" x14ac:dyDescent="0.25">
      <c r="A1082" t="s">
        <v>296</v>
      </c>
      <c r="B1082" s="5">
        <v>41804</v>
      </c>
      <c r="C1082">
        <v>-21.89</v>
      </c>
      <c r="D1082" t="s">
        <v>304</v>
      </c>
      <c r="E1082" t="s">
        <v>433</v>
      </c>
      <c r="F1082" t="s">
        <v>1159</v>
      </c>
      <c r="G1082" t="s">
        <v>1020</v>
      </c>
      <c r="I1082" t="s">
        <v>272</v>
      </c>
      <c r="J1082" t="s">
        <v>1550</v>
      </c>
      <c r="K1082" t="s">
        <v>66</v>
      </c>
      <c r="L1082" t="s">
        <v>1536</v>
      </c>
      <c r="Q1082" t="str">
        <f t="shared" si="48"/>
        <v>Jun</v>
      </c>
      <c r="R1082">
        <f t="shared" si="49"/>
        <v>2014</v>
      </c>
      <c r="S1082" t="str">
        <f>VLOOKUP($W1082,TBL_Categories,2,FALSE)</f>
        <v>Monthly</v>
      </c>
      <c r="T1082">
        <f>VLOOKUP($W1082,TBL_Categories,3,FALSE)</f>
        <v>0</v>
      </c>
      <c r="U1082" t="str">
        <f>VLOOKUP($W1082,TBL_Categories,4,FALSE)</f>
        <v>No</v>
      </c>
      <c r="V1082" t="str">
        <f>VLOOKUP($W1082,TBL_Categories,5,FALSE)</f>
        <v>None</v>
      </c>
      <c r="W1082" t="str">
        <f t="shared" si="50"/>
        <v>Kids|Toys</v>
      </c>
    </row>
    <row r="1083" spans="1:23" x14ac:dyDescent="0.25">
      <c r="A1083" t="s">
        <v>296</v>
      </c>
      <c r="B1083" s="5">
        <v>41804</v>
      </c>
      <c r="C1083">
        <v>-122.95</v>
      </c>
      <c r="D1083" t="s">
        <v>304</v>
      </c>
      <c r="E1083" t="s">
        <v>433</v>
      </c>
      <c r="G1083" t="s">
        <v>887</v>
      </c>
      <c r="I1083" t="s">
        <v>272</v>
      </c>
      <c r="J1083" t="s">
        <v>1550</v>
      </c>
      <c r="K1083" t="s">
        <v>61</v>
      </c>
      <c r="L1083" t="s">
        <v>401</v>
      </c>
      <c r="Q1083" t="str">
        <f t="shared" si="48"/>
        <v>Jun</v>
      </c>
      <c r="R1083">
        <f t="shared" si="49"/>
        <v>2014</v>
      </c>
      <c r="S1083" t="str">
        <f>VLOOKUP($W1083,TBL_Categories,2,FALSE)</f>
        <v>Monthly</v>
      </c>
      <c r="T1083">
        <f>VLOOKUP($W1083,TBL_Categories,3,FALSE)</f>
        <v>0</v>
      </c>
      <c r="U1083" t="str">
        <f>VLOOKUP($W1083,TBL_Categories,4,FALSE)</f>
        <v>No</v>
      </c>
      <c r="V1083" t="str">
        <f>VLOOKUP($W1083,TBL_Categories,5,FALSE)</f>
        <v>None</v>
      </c>
      <c r="W1083" t="str">
        <f t="shared" si="50"/>
        <v>Food &amp; Dining|Groceries</v>
      </c>
    </row>
    <row r="1084" spans="1:23" x14ac:dyDescent="0.25">
      <c r="A1084" t="s">
        <v>284</v>
      </c>
      <c r="B1084" s="5">
        <v>41803</v>
      </c>
      <c r="C1084">
        <v>-60.1</v>
      </c>
      <c r="D1084" t="s">
        <v>304</v>
      </c>
      <c r="E1084" t="s">
        <v>324</v>
      </c>
      <c r="F1084" t="s">
        <v>795</v>
      </c>
      <c r="G1084" t="s">
        <v>313</v>
      </c>
      <c r="K1084" t="s">
        <v>54</v>
      </c>
      <c r="L1084" t="s">
        <v>1521</v>
      </c>
      <c r="Q1084" t="str">
        <f t="shared" si="48"/>
        <v>Jun</v>
      </c>
      <c r="R1084">
        <f t="shared" si="49"/>
        <v>2014</v>
      </c>
      <c r="S1084" t="str">
        <f>VLOOKUP($W1084,TBL_Categories,2,FALSE)</f>
        <v>Monthly</v>
      </c>
      <c r="T1084">
        <f>VLOOKUP($W1084,TBL_Categories,3,FALSE)</f>
        <v>0</v>
      </c>
      <c r="U1084" t="str">
        <f>VLOOKUP($W1084,TBL_Categories,4,FALSE)</f>
        <v>No</v>
      </c>
      <c r="V1084" t="str">
        <f>VLOOKUP($W1084,TBL_Categories,5,FALSE)</f>
        <v>None</v>
      </c>
      <c r="W1084" t="str">
        <f t="shared" si="50"/>
        <v>Bills &amp; Utilities|Utilities</v>
      </c>
    </row>
    <row r="1085" spans="1:23" x14ac:dyDescent="0.25">
      <c r="A1085" t="s">
        <v>633</v>
      </c>
      <c r="B1085" s="5">
        <v>41803</v>
      </c>
      <c r="C1085">
        <v>-25</v>
      </c>
      <c r="D1085" t="s">
        <v>304</v>
      </c>
      <c r="E1085" t="s">
        <v>664</v>
      </c>
      <c r="G1085" t="s">
        <v>333</v>
      </c>
      <c r="K1085" t="s">
        <v>61</v>
      </c>
      <c r="L1085" t="s">
        <v>1530</v>
      </c>
      <c r="Q1085" t="str">
        <f t="shared" si="48"/>
        <v>Jun</v>
      </c>
      <c r="R1085">
        <f t="shared" si="49"/>
        <v>2014</v>
      </c>
      <c r="S1085" t="str">
        <f>VLOOKUP($W1085,TBL_Categories,2,FALSE)</f>
        <v>Monthly</v>
      </c>
      <c r="T1085">
        <f>VLOOKUP($W1085,TBL_Categories,3,FALSE)</f>
        <v>0</v>
      </c>
      <c r="U1085" t="str">
        <f>VLOOKUP($W1085,TBL_Categories,4,FALSE)</f>
        <v>No</v>
      </c>
      <c r="V1085" t="str">
        <f>VLOOKUP($W1085,TBL_Categories,5,FALSE)</f>
        <v>None</v>
      </c>
      <c r="W1085" t="str">
        <f t="shared" si="50"/>
        <v>Food &amp; Dining|Restaurants</v>
      </c>
    </row>
    <row r="1086" spans="1:23" x14ac:dyDescent="0.25">
      <c r="A1086" t="s">
        <v>296</v>
      </c>
      <c r="B1086" s="5">
        <v>41803</v>
      </c>
      <c r="C1086">
        <v>-21.16</v>
      </c>
      <c r="D1086" t="s">
        <v>304</v>
      </c>
      <c r="E1086" t="s">
        <v>677</v>
      </c>
      <c r="F1086" t="s">
        <v>1093</v>
      </c>
      <c r="G1086" t="s">
        <v>333</v>
      </c>
      <c r="K1086" t="s">
        <v>61</v>
      </c>
      <c r="L1086" t="s">
        <v>1530</v>
      </c>
      <c r="Q1086" t="str">
        <f t="shared" si="48"/>
        <v>Jun</v>
      </c>
      <c r="R1086">
        <f t="shared" si="49"/>
        <v>2014</v>
      </c>
      <c r="S1086" t="str">
        <f>VLOOKUP($W1086,TBL_Categories,2,FALSE)</f>
        <v>Monthly</v>
      </c>
      <c r="T1086">
        <f>VLOOKUP($W1086,TBL_Categories,3,FALSE)</f>
        <v>0</v>
      </c>
      <c r="U1086" t="str">
        <f>VLOOKUP($W1086,TBL_Categories,4,FALSE)</f>
        <v>No</v>
      </c>
      <c r="V1086" t="str">
        <f>VLOOKUP($W1086,TBL_Categories,5,FALSE)</f>
        <v>None</v>
      </c>
      <c r="W1086" t="str">
        <f t="shared" si="50"/>
        <v>Food &amp; Dining|Restaurants</v>
      </c>
    </row>
    <row r="1087" spans="1:23" x14ac:dyDescent="0.25">
      <c r="A1087" t="s">
        <v>296</v>
      </c>
      <c r="B1087" s="5">
        <v>41803</v>
      </c>
      <c r="C1087">
        <v>-65</v>
      </c>
      <c r="D1087" t="s">
        <v>304</v>
      </c>
      <c r="E1087" t="s">
        <v>680</v>
      </c>
      <c r="F1087" t="s">
        <v>1090</v>
      </c>
      <c r="G1087" t="s">
        <v>398</v>
      </c>
      <c r="K1087" t="s">
        <v>70</v>
      </c>
      <c r="L1087" t="s">
        <v>1563</v>
      </c>
      <c r="Q1087" t="str">
        <f t="shared" si="48"/>
        <v>Jun</v>
      </c>
      <c r="R1087">
        <f t="shared" si="49"/>
        <v>2014</v>
      </c>
      <c r="S1087" t="str">
        <f>VLOOKUP($W1087,TBL_Categories,2,FALSE)</f>
        <v>Monthly</v>
      </c>
      <c r="T1087">
        <f>VLOOKUP($W1087,TBL_Categories,3,FALSE)</f>
        <v>0</v>
      </c>
      <c r="U1087" t="str">
        <f>VLOOKUP($W1087,TBL_Categories,4,FALSE)</f>
        <v>No</v>
      </c>
      <c r="V1087" t="str">
        <f>VLOOKUP($W1087,TBL_Categories,5,FALSE)</f>
        <v>None</v>
      </c>
      <c r="W1087" t="str">
        <f t="shared" si="50"/>
        <v>Personal Care|Hair</v>
      </c>
    </row>
    <row r="1088" spans="1:23" x14ac:dyDescent="0.25">
      <c r="A1088" t="s">
        <v>284</v>
      </c>
      <c r="B1088" s="5">
        <v>41802</v>
      </c>
      <c r="C1088" s="4">
        <v>3165.19</v>
      </c>
      <c r="D1088" t="s">
        <v>304</v>
      </c>
      <c r="E1088" t="s">
        <v>361</v>
      </c>
      <c r="F1088" t="s">
        <v>312</v>
      </c>
      <c r="G1088" t="s">
        <v>12</v>
      </c>
      <c r="K1088" t="s">
        <v>12</v>
      </c>
      <c r="Q1088" t="str">
        <f t="shared" si="48"/>
        <v>Jun</v>
      </c>
      <c r="R1088">
        <f t="shared" si="49"/>
        <v>2014</v>
      </c>
      <c r="S1088" t="str">
        <f>VLOOKUP($W1088,TBL_Categories,2,FALSE)</f>
        <v>Monthly</v>
      </c>
      <c r="T1088">
        <f>VLOOKUP($W1088,TBL_Categories,3,FALSE)</f>
        <v>0</v>
      </c>
      <c r="U1088" t="str">
        <f>VLOOKUP($W1088,TBL_Categories,4,FALSE)</f>
        <v>No</v>
      </c>
      <c r="V1088" t="str">
        <f>VLOOKUP($W1088,TBL_Categories,5,FALSE)</f>
        <v>None</v>
      </c>
      <c r="W1088" t="str">
        <f t="shared" si="50"/>
        <v>Net Salary</v>
      </c>
    </row>
    <row r="1089" spans="1:23" x14ac:dyDescent="0.25">
      <c r="A1089" t="s">
        <v>284</v>
      </c>
      <c r="B1089" s="5">
        <v>41802</v>
      </c>
      <c r="C1089" s="4">
        <v>-1149.6199999999999</v>
      </c>
      <c r="D1089" t="s">
        <v>304</v>
      </c>
      <c r="E1089" t="s">
        <v>794</v>
      </c>
      <c r="F1089" t="s">
        <v>642</v>
      </c>
      <c r="G1089" t="s">
        <v>22</v>
      </c>
      <c r="K1089" t="s">
        <v>22</v>
      </c>
      <c r="Q1089" t="str">
        <f t="shared" si="48"/>
        <v>Jun</v>
      </c>
      <c r="R1089">
        <f t="shared" si="49"/>
        <v>2014</v>
      </c>
      <c r="S1089" t="str">
        <f>VLOOKUP($W1089,TBL_Categories,2,FALSE)</f>
        <v>Account</v>
      </c>
      <c r="T1089">
        <f>VLOOKUP($W1089,TBL_Categories,3,FALSE)</f>
        <v>0</v>
      </c>
      <c r="U1089" t="str">
        <f>VLOOKUP($W1089,TBL_Categories,4,FALSE)</f>
        <v>No</v>
      </c>
      <c r="V1089" t="str">
        <f>VLOOKUP($W1089,TBL_Categories,5,FALSE)</f>
        <v>None</v>
      </c>
      <c r="W1089" t="str">
        <f t="shared" si="50"/>
        <v>[Premera Health Care Payment]</v>
      </c>
    </row>
    <row r="1090" spans="1:23" x14ac:dyDescent="0.25">
      <c r="A1090" t="s">
        <v>294</v>
      </c>
      <c r="B1090" s="5">
        <v>41802</v>
      </c>
      <c r="C1090">
        <v>-146.97999999999999</v>
      </c>
      <c r="D1090" t="s">
        <v>304</v>
      </c>
      <c r="E1090" t="s">
        <v>335</v>
      </c>
      <c r="G1090" t="s">
        <v>336</v>
      </c>
      <c r="K1090" t="s">
        <v>55</v>
      </c>
      <c r="L1090" t="s">
        <v>1532</v>
      </c>
      <c r="Q1090" t="str">
        <f t="shared" ref="Q1090:Q1153" si="51">TEXT($B1090,"MMM")</f>
        <v>Jun</v>
      </c>
      <c r="R1090">
        <f t="shared" ref="R1090:R1153" si="52">YEAR($B1090)</f>
        <v>2014</v>
      </c>
      <c r="S1090" t="str">
        <f>VLOOKUP($W1090,TBL_Categories,2,FALSE)</f>
        <v>Monthly</v>
      </c>
      <c r="T1090">
        <f>VLOOKUP($W1090,TBL_Categories,3,FALSE)</f>
        <v>0</v>
      </c>
      <c r="U1090" t="str">
        <f>VLOOKUP($W1090,TBL_Categories,4,FALSE)</f>
        <v>No</v>
      </c>
      <c r="V1090" t="str">
        <f>VLOOKUP($W1090,TBL_Categories,5,FALSE)</f>
        <v>None</v>
      </c>
      <c r="W1090" t="str">
        <f t="shared" ref="W1090:W1153" si="53">IF(ISBLANK($L1090),$K1090,CONCATENATE($K1090,"|",$L1090))</f>
        <v>Business Expenses (Koolikai)|Cell Phone</v>
      </c>
    </row>
    <row r="1091" spans="1:23" x14ac:dyDescent="0.25">
      <c r="A1091" t="s">
        <v>298</v>
      </c>
      <c r="B1091" s="5">
        <v>41802</v>
      </c>
      <c r="C1091" s="4">
        <v>1149.6199999999999</v>
      </c>
      <c r="E1091" t="s">
        <v>794</v>
      </c>
      <c r="F1091" t="s">
        <v>642</v>
      </c>
      <c r="G1091" t="s">
        <v>9</v>
      </c>
      <c r="K1091" t="s">
        <v>9</v>
      </c>
      <c r="Q1091" t="str">
        <f t="shared" si="51"/>
        <v>Jun</v>
      </c>
      <c r="R1091">
        <f t="shared" si="52"/>
        <v>2014</v>
      </c>
      <c r="S1091" t="str">
        <f>VLOOKUP($W1091,TBL_Categories,2,FALSE)</f>
        <v>Account</v>
      </c>
      <c r="T1091">
        <f>VLOOKUP($W1091,TBL_Categories,3,FALSE)</f>
        <v>0</v>
      </c>
      <c r="U1091" t="str">
        <f>VLOOKUP($W1091,TBL_Categories,4,FALSE)</f>
        <v>No</v>
      </c>
      <c r="V1091" t="str">
        <f>VLOOKUP($W1091,TBL_Categories,5,FALSE)</f>
        <v>None</v>
      </c>
      <c r="W1091" t="str">
        <f t="shared" si="53"/>
        <v>[First Tech - Checking (5544)]</v>
      </c>
    </row>
    <row r="1092" spans="1:23" x14ac:dyDescent="0.25">
      <c r="A1092" t="s">
        <v>762</v>
      </c>
      <c r="B1092" s="5">
        <v>41802</v>
      </c>
      <c r="C1092">
        <v>62</v>
      </c>
      <c r="D1092" t="s">
        <v>304</v>
      </c>
      <c r="E1092" t="s">
        <v>1471</v>
      </c>
      <c r="F1092" t="s">
        <v>570</v>
      </c>
      <c r="G1092" t="s">
        <v>347</v>
      </c>
      <c r="K1092" t="s">
        <v>75</v>
      </c>
      <c r="L1092" t="s">
        <v>1540</v>
      </c>
      <c r="O1092" t="s">
        <v>1613</v>
      </c>
      <c r="Q1092" t="str">
        <f t="shared" si="51"/>
        <v>Jun</v>
      </c>
      <c r="R1092">
        <f t="shared" si="52"/>
        <v>2014</v>
      </c>
      <c r="S1092" t="str">
        <f>VLOOKUP($W1092,TBL_Categories,2,FALSE)</f>
        <v>Irregular</v>
      </c>
      <c r="T1092">
        <f>VLOOKUP($W1092,TBL_Categories,3,FALSE)</f>
        <v>0</v>
      </c>
      <c r="U1092" t="str">
        <f>VLOOKUP($W1092,TBL_Categories,4,FALSE)</f>
        <v>No</v>
      </c>
      <c r="V1092" t="str">
        <f>VLOOKUP($W1092,TBL_Categories,5,FALSE)</f>
        <v>None</v>
      </c>
      <c r="W1092" t="str">
        <f t="shared" si="53"/>
        <v>Vacation|Lodging</v>
      </c>
    </row>
    <row r="1093" spans="1:23" x14ac:dyDescent="0.25">
      <c r="A1093" t="s">
        <v>284</v>
      </c>
      <c r="B1093" s="5">
        <v>41801</v>
      </c>
      <c r="C1093">
        <v>-115</v>
      </c>
      <c r="D1093" t="s">
        <v>304</v>
      </c>
      <c r="E1093" t="s">
        <v>325</v>
      </c>
      <c r="F1093" t="s">
        <v>351</v>
      </c>
      <c r="G1093" t="s">
        <v>326</v>
      </c>
      <c r="K1093" t="s">
        <v>63</v>
      </c>
      <c r="L1093" t="s">
        <v>1528</v>
      </c>
      <c r="Q1093" t="str">
        <f t="shared" si="51"/>
        <v>Jun</v>
      </c>
      <c r="R1093">
        <f t="shared" si="52"/>
        <v>2014</v>
      </c>
      <c r="S1093" t="str">
        <f>VLOOKUP($W1093,TBL_Categories,2,FALSE)</f>
        <v>Monthly</v>
      </c>
      <c r="T1093">
        <f>VLOOKUP($W1093,TBL_Categories,3,FALSE)</f>
        <v>0</v>
      </c>
      <c r="U1093" t="str">
        <f>VLOOKUP($W1093,TBL_Categories,4,FALSE)</f>
        <v>No</v>
      </c>
      <c r="V1093" t="str">
        <f>VLOOKUP($W1093,TBL_Categories,5,FALSE)</f>
        <v>None</v>
      </c>
      <c r="W1093" t="str">
        <f t="shared" si="53"/>
        <v>Home|Home Services</v>
      </c>
    </row>
    <row r="1094" spans="1:23" x14ac:dyDescent="0.25">
      <c r="A1094" t="s">
        <v>296</v>
      </c>
      <c r="B1094" s="5">
        <v>41801</v>
      </c>
      <c r="C1094">
        <v>25</v>
      </c>
      <c r="D1094" t="s">
        <v>304</v>
      </c>
      <c r="E1094" t="s">
        <v>429</v>
      </c>
      <c r="G1094" t="s">
        <v>14</v>
      </c>
      <c r="K1094" t="s">
        <v>14</v>
      </c>
      <c r="Q1094" t="str">
        <f t="shared" si="51"/>
        <v>Jun</v>
      </c>
      <c r="R1094">
        <f t="shared" si="52"/>
        <v>2014</v>
      </c>
      <c r="S1094" t="str">
        <f>VLOOKUP($W1094,TBL_Categories,2,FALSE)</f>
        <v>Monthly</v>
      </c>
      <c r="T1094">
        <f>VLOOKUP($W1094,TBL_Categories,3,FALSE)</f>
        <v>0</v>
      </c>
      <c r="U1094" t="str">
        <f>VLOOKUP($W1094,TBL_Categories,4,FALSE)</f>
        <v>No</v>
      </c>
      <c r="V1094" t="str">
        <f>VLOOKUP($W1094,TBL_Categories,5,FALSE)</f>
        <v>None</v>
      </c>
      <c r="W1094" t="str">
        <f t="shared" si="53"/>
        <v>Other Inc</v>
      </c>
    </row>
    <row r="1095" spans="1:23" x14ac:dyDescent="0.25">
      <c r="A1095" t="s">
        <v>296</v>
      </c>
      <c r="B1095" s="5">
        <v>41801</v>
      </c>
      <c r="C1095">
        <v>-50</v>
      </c>
      <c r="D1095" t="s">
        <v>304</v>
      </c>
      <c r="E1095" t="s">
        <v>470</v>
      </c>
      <c r="F1095" t="s">
        <v>509</v>
      </c>
      <c r="G1095" t="s">
        <v>448</v>
      </c>
      <c r="K1095" t="s">
        <v>52</v>
      </c>
      <c r="L1095" t="s">
        <v>1585</v>
      </c>
      <c r="Q1095" t="str">
        <f t="shared" si="51"/>
        <v>Jun</v>
      </c>
      <c r="R1095">
        <f t="shared" si="52"/>
        <v>2014</v>
      </c>
      <c r="S1095" t="str">
        <f>VLOOKUP($W1095,TBL_Categories,2,FALSE)</f>
        <v>Irregular</v>
      </c>
      <c r="T1095">
        <f>VLOOKUP($W1095,TBL_Categories,3,FALSE)</f>
        <v>0</v>
      </c>
      <c r="U1095" t="str">
        <f>VLOOKUP($W1095,TBL_Categories,4,FALSE)</f>
        <v>No</v>
      </c>
      <c r="V1095" t="str">
        <f>VLOOKUP($W1095,TBL_Categories,5,FALSE)</f>
        <v>None</v>
      </c>
      <c r="W1095" t="str">
        <f t="shared" si="53"/>
        <v>Auto &amp; Transport|Tolls</v>
      </c>
    </row>
    <row r="1096" spans="1:23" x14ac:dyDescent="0.25">
      <c r="A1096" t="s">
        <v>296</v>
      </c>
      <c r="B1096" s="5">
        <v>41801</v>
      </c>
      <c r="C1096">
        <v>-43</v>
      </c>
      <c r="D1096" t="s">
        <v>304</v>
      </c>
      <c r="E1096" t="s">
        <v>1153</v>
      </c>
      <c r="G1096" t="s">
        <v>73</v>
      </c>
      <c r="K1096" t="s">
        <v>73</v>
      </c>
      <c r="Q1096" t="str">
        <f t="shared" si="51"/>
        <v>Jun</v>
      </c>
      <c r="R1096">
        <f t="shared" si="52"/>
        <v>2014</v>
      </c>
      <c r="S1096" t="str">
        <f>VLOOKUP($W1096,TBL_Categories,2,FALSE)</f>
        <v>Annual</v>
      </c>
      <c r="T1096">
        <f>VLOOKUP($W1096,TBL_Categories,3,FALSE)</f>
        <v>0</v>
      </c>
      <c r="U1096" t="str">
        <f>VLOOKUP($W1096,TBL_Categories,4,FALSE)</f>
        <v>No</v>
      </c>
      <c r="V1096" t="str">
        <f>VLOOKUP($W1096,TBL_Categories,5,FALSE)</f>
        <v>None</v>
      </c>
      <c r="W1096" t="str">
        <f t="shared" si="53"/>
        <v>Subscriptions &amp; Dues</v>
      </c>
    </row>
    <row r="1097" spans="1:23" x14ac:dyDescent="0.25">
      <c r="A1097" t="s">
        <v>633</v>
      </c>
      <c r="B1097" s="5">
        <v>41799</v>
      </c>
      <c r="C1097">
        <v>-72.73</v>
      </c>
      <c r="D1097" t="s">
        <v>304</v>
      </c>
      <c r="E1097" t="s">
        <v>721</v>
      </c>
      <c r="G1097" t="s">
        <v>333</v>
      </c>
      <c r="K1097" t="s">
        <v>61</v>
      </c>
      <c r="L1097" t="s">
        <v>1530</v>
      </c>
      <c r="Q1097" t="str">
        <f t="shared" si="51"/>
        <v>Jun</v>
      </c>
      <c r="R1097">
        <f t="shared" si="52"/>
        <v>2014</v>
      </c>
      <c r="S1097" t="str">
        <f>VLOOKUP($W1097,TBL_Categories,2,FALSE)</f>
        <v>Monthly</v>
      </c>
      <c r="T1097">
        <f>VLOOKUP($W1097,TBL_Categories,3,FALSE)</f>
        <v>0</v>
      </c>
      <c r="U1097" t="str">
        <f>VLOOKUP($W1097,TBL_Categories,4,FALSE)</f>
        <v>No</v>
      </c>
      <c r="V1097" t="str">
        <f>VLOOKUP($W1097,TBL_Categories,5,FALSE)</f>
        <v>None</v>
      </c>
      <c r="W1097" t="str">
        <f t="shared" si="53"/>
        <v>Food &amp; Dining|Restaurants</v>
      </c>
    </row>
    <row r="1098" spans="1:23" x14ac:dyDescent="0.25">
      <c r="A1098" t="s">
        <v>290</v>
      </c>
      <c r="B1098" s="5">
        <v>41798</v>
      </c>
      <c r="C1098">
        <v>-45</v>
      </c>
      <c r="D1098" t="s">
        <v>304</v>
      </c>
      <c r="E1098" t="s">
        <v>428</v>
      </c>
      <c r="G1098" t="s">
        <v>886</v>
      </c>
      <c r="I1098" t="s">
        <v>272</v>
      </c>
      <c r="J1098" t="s">
        <v>1550</v>
      </c>
      <c r="K1098" t="s">
        <v>66</v>
      </c>
      <c r="L1098" t="s">
        <v>1527</v>
      </c>
      <c r="Q1098" t="str">
        <f t="shared" si="51"/>
        <v>Jun</v>
      </c>
      <c r="R1098">
        <f t="shared" si="52"/>
        <v>2014</v>
      </c>
      <c r="S1098" t="str">
        <f>VLOOKUP($W1098,TBL_Categories,2,FALSE)</f>
        <v>Monthly</v>
      </c>
      <c r="T1098">
        <f>VLOOKUP($W1098,TBL_Categories,3,FALSE)</f>
        <v>0</v>
      </c>
      <c r="U1098" t="str">
        <f>VLOOKUP($W1098,TBL_Categories,4,FALSE)</f>
        <v>No</v>
      </c>
      <c r="V1098" t="str">
        <f>VLOOKUP($W1098,TBL_Categories,5,FALSE)</f>
        <v>None</v>
      </c>
      <c r="W1098" t="str">
        <f t="shared" si="53"/>
        <v>Kids|Babysitter</v>
      </c>
    </row>
    <row r="1099" spans="1:23" x14ac:dyDescent="0.25">
      <c r="A1099" t="s">
        <v>290</v>
      </c>
      <c r="B1099" s="5">
        <v>41798</v>
      </c>
      <c r="C1099">
        <v>-15</v>
      </c>
      <c r="D1099" t="s">
        <v>304</v>
      </c>
      <c r="E1099" t="s">
        <v>428</v>
      </c>
      <c r="G1099" t="s">
        <v>773</v>
      </c>
      <c r="I1099" t="s">
        <v>272</v>
      </c>
      <c r="J1099" t="s">
        <v>1550</v>
      </c>
      <c r="K1099" t="s">
        <v>61</v>
      </c>
      <c r="L1099" t="s">
        <v>1530</v>
      </c>
      <c r="Q1099" t="str">
        <f t="shared" si="51"/>
        <v>Jun</v>
      </c>
      <c r="R1099">
        <f t="shared" si="52"/>
        <v>2014</v>
      </c>
      <c r="S1099" t="str">
        <f>VLOOKUP($W1099,TBL_Categories,2,FALSE)</f>
        <v>Monthly</v>
      </c>
      <c r="T1099">
        <f>VLOOKUP($W1099,TBL_Categories,3,FALSE)</f>
        <v>0</v>
      </c>
      <c r="U1099" t="str">
        <f>VLOOKUP($W1099,TBL_Categories,4,FALSE)</f>
        <v>No</v>
      </c>
      <c r="V1099" t="str">
        <f>VLOOKUP($W1099,TBL_Categories,5,FALSE)</f>
        <v>None</v>
      </c>
      <c r="W1099" t="str">
        <f t="shared" si="53"/>
        <v>Food &amp; Dining|Restaurants</v>
      </c>
    </row>
    <row r="1100" spans="1:23" x14ac:dyDescent="0.25">
      <c r="A1100" t="s">
        <v>290</v>
      </c>
      <c r="B1100" s="5">
        <v>41798</v>
      </c>
      <c r="C1100">
        <v>-2</v>
      </c>
      <c r="D1100" t="s">
        <v>304</v>
      </c>
      <c r="E1100" t="s">
        <v>428</v>
      </c>
      <c r="G1100" t="s">
        <v>882</v>
      </c>
      <c r="I1100" t="s">
        <v>272</v>
      </c>
      <c r="J1100" t="s">
        <v>1550</v>
      </c>
      <c r="K1100" t="s">
        <v>53</v>
      </c>
      <c r="L1100" t="s">
        <v>1562</v>
      </c>
      <c r="Q1100" t="str">
        <f t="shared" si="51"/>
        <v>Jun</v>
      </c>
      <c r="R1100">
        <f t="shared" si="52"/>
        <v>2014</v>
      </c>
      <c r="S1100" t="str">
        <f>VLOOKUP($W1100,TBL_Categories,2,FALSE)</f>
        <v>Monthly</v>
      </c>
      <c r="T1100">
        <f>VLOOKUP($W1100,TBL_Categories,3,FALSE)</f>
        <v>0</v>
      </c>
      <c r="U1100" t="str">
        <f>VLOOKUP($W1100,TBL_Categories,4,FALSE)</f>
        <v>No</v>
      </c>
      <c r="V1100" t="str">
        <f>VLOOKUP($W1100,TBL_Categories,5,FALSE)</f>
        <v>None</v>
      </c>
      <c r="W1100" t="str">
        <f t="shared" si="53"/>
        <v>Bank Fees &amp; Charges|ATM Fee</v>
      </c>
    </row>
    <row r="1101" spans="1:23" x14ac:dyDescent="0.25">
      <c r="A1101" t="s">
        <v>296</v>
      </c>
      <c r="B1101" s="5">
        <v>41798</v>
      </c>
      <c r="C1101">
        <v>-13.13</v>
      </c>
      <c r="D1101" t="s">
        <v>304</v>
      </c>
      <c r="E1101" t="s">
        <v>439</v>
      </c>
      <c r="F1101" t="s">
        <v>1150</v>
      </c>
      <c r="G1101" t="s">
        <v>1151</v>
      </c>
      <c r="J1101" t="s">
        <v>1550</v>
      </c>
      <c r="K1101" t="s">
        <v>75</v>
      </c>
      <c r="L1101" t="s">
        <v>1538</v>
      </c>
      <c r="O1101" t="s">
        <v>1603</v>
      </c>
      <c r="Q1101" t="str">
        <f t="shared" si="51"/>
        <v>Jun</v>
      </c>
      <c r="R1101">
        <f t="shared" si="52"/>
        <v>2014</v>
      </c>
      <c r="S1101" t="str">
        <f>VLOOKUP($W1101,TBL_Categories,2,FALSE)</f>
        <v>Irregular</v>
      </c>
      <c r="T1101">
        <f>VLOOKUP($W1101,TBL_Categories,3,FALSE)</f>
        <v>0</v>
      </c>
      <c r="U1101" t="str">
        <f>VLOOKUP($W1101,TBL_Categories,4,FALSE)</f>
        <v>No</v>
      </c>
      <c r="V1101" t="str">
        <f>VLOOKUP($W1101,TBL_Categories,5,FALSE)</f>
        <v>None</v>
      </c>
      <c r="W1101" t="str">
        <f t="shared" si="53"/>
        <v>Vacation|Other</v>
      </c>
    </row>
    <row r="1102" spans="1:23" x14ac:dyDescent="0.25">
      <c r="A1102" t="s">
        <v>296</v>
      </c>
      <c r="B1102" s="5">
        <v>41798</v>
      </c>
      <c r="C1102">
        <v>-70.16</v>
      </c>
      <c r="D1102" t="s">
        <v>304</v>
      </c>
      <c r="E1102" t="s">
        <v>433</v>
      </c>
      <c r="F1102" t="s">
        <v>475</v>
      </c>
      <c r="G1102" t="s">
        <v>887</v>
      </c>
      <c r="J1102" t="s">
        <v>1550</v>
      </c>
      <c r="K1102" t="s">
        <v>61</v>
      </c>
      <c r="L1102" t="s">
        <v>401</v>
      </c>
      <c r="Q1102" t="str">
        <f t="shared" si="51"/>
        <v>Jun</v>
      </c>
      <c r="R1102">
        <f t="shared" si="52"/>
        <v>2014</v>
      </c>
      <c r="S1102" t="str">
        <f>VLOOKUP($W1102,TBL_Categories,2,FALSE)</f>
        <v>Monthly</v>
      </c>
      <c r="T1102">
        <f>VLOOKUP($W1102,TBL_Categories,3,FALSE)</f>
        <v>0</v>
      </c>
      <c r="U1102" t="str">
        <f>VLOOKUP($W1102,TBL_Categories,4,FALSE)</f>
        <v>No</v>
      </c>
      <c r="V1102" t="str">
        <f>VLOOKUP($W1102,TBL_Categories,5,FALSE)</f>
        <v>None</v>
      </c>
      <c r="W1102" t="str">
        <f t="shared" si="53"/>
        <v>Food &amp; Dining|Groceries</v>
      </c>
    </row>
    <row r="1103" spans="1:23" x14ac:dyDescent="0.25">
      <c r="A1103" t="s">
        <v>296</v>
      </c>
      <c r="B1103" s="5">
        <v>41798</v>
      </c>
      <c r="C1103">
        <v>-132</v>
      </c>
      <c r="D1103" t="s">
        <v>304</v>
      </c>
      <c r="E1103" t="s">
        <v>668</v>
      </c>
      <c r="F1103" t="s">
        <v>1152</v>
      </c>
      <c r="G1103" t="s">
        <v>1044</v>
      </c>
      <c r="J1103" t="s">
        <v>1550</v>
      </c>
      <c r="K1103" t="s">
        <v>66</v>
      </c>
      <c r="L1103" t="s">
        <v>1555</v>
      </c>
      <c r="Q1103" t="str">
        <f t="shared" si="51"/>
        <v>Jun</v>
      </c>
      <c r="R1103">
        <f t="shared" si="52"/>
        <v>2014</v>
      </c>
      <c r="S1103" t="str">
        <f>VLOOKUP($W1103,TBL_Categories,2,FALSE)</f>
        <v>Monthly</v>
      </c>
      <c r="T1103">
        <f>VLOOKUP($W1103,TBL_Categories,3,FALSE)</f>
        <v>0</v>
      </c>
      <c r="U1103" t="str">
        <f>VLOOKUP($W1103,TBL_Categories,4,FALSE)</f>
        <v>No</v>
      </c>
      <c r="V1103" t="str">
        <f>VLOOKUP($W1103,TBL_Categories,5,FALSE)</f>
        <v>None</v>
      </c>
      <c r="W1103" t="str">
        <f t="shared" si="53"/>
        <v>Kids|Kids Activities</v>
      </c>
    </row>
    <row r="1104" spans="1:23" x14ac:dyDescent="0.25">
      <c r="A1104" t="s">
        <v>299</v>
      </c>
      <c r="B1104" s="5">
        <v>41798</v>
      </c>
      <c r="C1104">
        <v>-48.83</v>
      </c>
      <c r="D1104" t="s">
        <v>304</v>
      </c>
      <c r="E1104" t="s">
        <v>368</v>
      </c>
      <c r="F1104" t="s">
        <v>1483</v>
      </c>
      <c r="G1104" t="s">
        <v>1042</v>
      </c>
      <c r="H1104">
        <v>799999941591</v>
      </c>
      <c r="I1104" t="s">
        <v>272</v>
      </c>
      <c r="J1104" t="s">
        <v>1550</v>
      </c>
      <c r="K1104" t="s">
        <v>66</v>
      </c>
      <c r="L1104" t="s">
        <v>1537</v>
      </c>
      <c r="Q1104" t="str">
        <f t="shared" si="51"/>
        <v>Jun</v>
      </c>
      <c r="R1104">
        <f t="shared" si="52"/>
        <v>2014</v>
      </c>
      <c r="S1104" t="str">
        <f>VLOOKUP($W1104,TBL_Categories,2,FALSE)</f>
        <v>Monthly</v>
      </c>
      <c r="T1104">
        <f>VLOOKUP($W1104,TBL_Categories,3,FALSE)</f>
        <v>0</v>
      </c>
      <c r="U1104" t="str">
        <f>VLOOKUP($W1104,TBL_Categories,4,FALSE)</f>
        <v>No</v>
      </c>
      <c r="V1104" t="str">
        <f>VLOOKUP($W1104,TBL_Categories,5,FALSE)</f>
        <v>None</v>
      </c>
      <c r="W1104" t="str">
        <f t="shared" si="53"/>
        <v>Kids|Clothing</v>
      </c>
    </row>
    <row r="1105" spans="1:23" x14ac:dyDescent="0.25">
      <c r="A1105" t="s">
        <v>299</v>
      </c>
      <c r="B1105" s="5">
        <v>41798</v>
      </c>
      <c r="C1105">
        <v>-20.67</v>
      </c>
      <c r="D1105" t="s">
        <v>304</v>
      </c>
      <c r="E1105" t="s">
        <v>368</v>
      </c>
      <c r="F1105" t="s">
        <v>1150</v>
      </c>
      <c r="G1105" t="s">
        <v>1151</v>
      </c>
      <c r="H1105">
        <v>799999941591</v>
      </c>
      <c r="I1105" t="s">
        <v>272</v>
      </c>
      <c r="J1105" t="s">
        <v>1550</v>
      </c>
      <c r="K1105" t="s">
        <v>75</v>
      </c>
      <c r="L1105" t="s">
        <v>1538</v>
      </c>
      <c r="O1105" t="s">
        <v>1603</v>
      </c>
      <c r="Q1105" t="str">
        <f t="shared" si="51"/>
        <v>Jun</v>
      </c>
      <c r="R1105">
        <f t="shared" si="52"/>
        <v>2014</v>
      </c>
      <c r="S1105" t="str">
        <f>VLOOKUP($W1105,TBL_Categories,2,FALSE)</f>
        <v>Irregular</v>
      </c>
      <c r="T1105">
        <f>VLOOKUP($W1105,TBL_Categories,3,FALSE)</f>
        <v>0</v>
      </c>
      <c r="U1105" t="str">
        <f>VLOOKUP($W1105,TBL_Categories,4,FALSE)</f>
        <v>No</v>
      </c>
      <c r="V1105" t="str">
        <f>VLOOKUP($W1105,TBL_Categories,5,FALSE)</f>
        <v>None</v>
      </c>
      <c r="W1105" t="str">
        <f t="shared" si="53"/>
        <v>Vacation|Other</v>
      </c>
    </row>
    <row r="1106" spans="1:23" x14ac:dyDescent="0.25">
      <c r="A1106" t="s">
        <v>299</v>
      </c>
      <c r="B1106" s="5">
        <v>41798</v>
      </c>
      <c r="C1106">
        <v>-16.18</v>
      </c>
      <c r="D1106" t="s">
        <v>304</v>
      </c>
      <c r="E1106" t="s">
        <v>368</v>
      </c>
      <c r="F1106" t="s">
        <v>1484</v>
      </c>
      <c r="G1106" t="s">
        <v>915</v>
      </c>
      <c r="H1106">
        <v>799999941591</v>
      </c>
      <c r="I1106" t="s">
        <v>272</v>
      </c>
      <c r="J1106" t="s">
        <v>1550</v>
      </c>
      <c r="K1106" t="s">
        <v>20</v>
      </c>
      <c r="Q1106" t="str">
        <f t="shared" si="51"/>
        <v>Jun</v>
      </c>
      <c r="R1106">
        <f t="shared" si="52"/>
        <v>2014</v>
      </c>
      <c r="S1106" t="str">
        <f>VLOOKUP($W1106,TBL_Categories,2,FALSE)</f>
        <v>Monthly</v>
      </c>
      <c r="T1106">
        <f>VLOOKUP($W1106,TBL_Categories,3,FALSE)</f>
        <v>0</v>
      </c>
      <c r="U1106" t="str">
        <f>VLOOKUP($W1106,TBL_Categories,4,FALSE)</f>
        <v>No</v>
      </c>
      <c r="V1106" t="str">
        <f>VLOOKUP($W1106,TBL_Categories,5,FALSE)</f>
        <v>None</v>
      </c>
      <c r="W1106" t="str">
        <f t="shared" si="53"/>
        <v>Gifts</v>
      </c>
    </row>
    <row r="1107" spans="1:23" x14ac:dyDescent="0.25">
      <c r="A1107" t="s">
        <v>299</v>
      </c>
      <c r="B1107" s="5">
        <v>41798</v>
      </c>
      <c r="C1107">
        <v>-1.56</v>
      </c>
      <c r="D1107" t="s">
        <v>304</v>
      </c>
      <c r="E1107" t="s">
        <v>368</v>
      </c>
      <c r="F1107" t="s">
        <v>1485</v>
      </c>
      <c r="G1107" t="s">
        <v>1020</v>
      </c>
      <c r="H1107">
        <v>799999941591</v>
      </c>
      <c r="I1107" t="s">
        <v>272</v>
      </c>
      <c r="J1107" t="s">
        <v>1550</v>
      </c>
      <c r="K1107" t="s">
        <v>66</v>
      </c>
      <c r="L1107" t="s">
        <v>1536</v>
      </c>
      <c r="Q1107" t="str">
        <f t="shared" si="51"/>
        <v>Jun</v>
      </c>
      <c r="R1107">
        <f t="shared" si="52"/>
        <v>2014</v>
      </c>
      <c r="S1107" t="str">
        <f>VLOOKUP($W1107,TBL_Categories,2,FALSE)</f>
        <v>Monthly</v>
      </c>
      <c r="T1107">
        <f>VLOOKUP($W1107,TBL_Categories,3,FALSE)</f>
        <v>0</v>
      </c>
      <c r="U1107" t="str">
        <f>VLOOKUP($W1107,TBL_Categories,4,FALSE)</f>
        <v>No</v>
      </c>
      <c r="V1107" t="str">
        <f>VLOOKUP($W1107,TBL_Categories,5,FALSE)</f>
        <v>None</v>
      </c>
      <c r="W1107" t="str">
        <f t="shared" si="53"/>
        <v>Kids|Toys</v>
      </c>
    </row>
    <row r="1108" spans="1:23" x14ac:dyDescent="0.25">
      <c r="A1108" t="s">
        <v>296</v>
      </c>
      <c r="B1108" s="5">
        <v>41797</v>
      </c>
      <c r="C1108">
        <v>-6.03</v>
      </c>
      <c r="D1108" t="s">
        <v>304</v>
      </c>
      <c r="E1108" t="s">
        <v>422</v>
      </c>
      <c r="F1108" t="s">
        <v>1148</v>
      </c>
      <c r="G1108" t="s">
        <v>307</v>
      </c>
      <c r="K1108" t="s">
        <v>55</v>
      </c>
      <c r="L1108" t="s">
        <v>1559</v>
      </c>
      <c r="Q1108" t="str">
        <f t="shared" si="51"/>
        <v>Jun</v>
      </c>
      <c r="R1108">
        <f t="shared" si="52"/>
        <v>2014</v>
      </c>
      <c r="S1108" t="str">
        <f>VLOOKUP($W1108,TBL_Categories,2,FALSE)</f>
        <v>Irregular</v>
      </c>
      <c r="T1108">
        <f>VLOOKUP($W1108,TBL_Categories,3,FALSE)</f>
        <v>0</v>
      </c>
      <c r="U1108" t="str">
        <f>VLOOKUP($W1108,TBL_Categories,4,FALSE)</f>
        <v>No</v>
      </c>
      <c r="V1108" t="str">
        <f>VLOOKUP($W1108,TBL_Categories,5,FALSE)</f>
        <v>None</v>
      </c>
      <c r="W1108" t="str">
        <f t="shared" si="53"/>
        <v>Business Expenses (Koolikai)|Repairs</v>
      </c>
    </row>
    <row r="1109" spans="1:23" x14ac:dyDescent="0.25">
      <c r="A1109" t="s">
        <v>296</v>
      </c>
      <c r="B1109" s="5">
        <v>41797</v>
      </c>
      <c r="C1109">
        <v>-12.02</v>
      </c>
      <c r="D1109" t="s">
        <v>304</v>
      </c>
      <c r="E1109" t="s">
        <v>675</v>
      </c>
      <c r="F1109" t="s">
        <v>1149</v>
      </c>
      <c r="G1109" t="s">
        <v>307</v>
      </c>
      <c r="K1109" t="s">
        <v>55</v>
      </c>
      <c r="L1109" t="s">
        <v>1559</v>
      </c>
      <c r="Q1109" t="str">
        <f t="shared" si="51"/>
        <v>Jun</v>
      </c>
      <c r="R1109">
        <f t="shared" si="52"/>
        <v>2014</v>
      </c>
      <c r="S1109" t="str">
        <f>VLOOKUP($W1109,TBL_Categories,2,FALSE)</f>
        <v>Irregular</v>
      </c>
      <c r="T1109">
        <f>VLOOKUP($W1109,TBL_Categories,3,FALSE)</f>
        <v>0</v>
      </c>
      <c r="U1109" t="str">
        <f>VLOOKUP($W1109,TBL_Categories,4,FALSE)</f>
        <v>No</v>
      </c>
      <c r="V1109" t="str">
        <f>VLOOKUP($W1109,TBL_Categories,5,FALSE)</f>
        <v>None</v>
      </c>
      <c r="W1109" t="str">
        <f t="shared" si="53"/>
        <v>Business Expenses (Koolikai)|Repairs</v>
      </c>
    </row>
    <row r="1110" spans="1:23" x14ac:dyDescent="0.25">
      <c r="A1110" t="s">
        <v>296</v>
      </c>
      <c r="B1110" s="5">
        <v>41796</v>
      </c>
      <c r="C1110">
        <v>-5.45</v>
      </c>
      <c r="D1110" t="s">
        <v>304</v>
      </c>
      <c r="E1110" t="s">
        <v>958</v>
      </c>
      <c r="F1110" t="s">
        <v>959</v>
      </c>
      <c r="G1110" t="s">
        <v>333</v>
      </c>
      <c r="K1110" t="s">
        <v>61</v>
      </c>
      <c r="L1110" t="s">
        <v>1530</v>
      </c>
      <c r="Q1110" t="str">
        <f t="shared" si="51"/>
        <v>Jun</v>
      </c>
      <c r="R1110">
        <f t="shared" si="52"/>
        <v>2014</v>
      </c>
      <c r="S1110" t="str">
        <f>VLOOKUP($W1110,TBL_Categories,2,FALSE)</f>
        <v>Monthly</v>
      </c>
      <c r="T1110">
        <f>VLOOKUP($W1110,TBL_Categories,3,FALSE)</f>
        <v>0</v>
      </c>
      <c r="U1110" t="str">
        <f>VLOOKUP($W1110,TBL_Categories,4,FALSE)</f>
        <v>No</v>
      </c>
      <c r="V1110" t="str">
        <f>VLOOKUP($W1110,TBL_Categories,5,FALSE)</f>
        <v>None</v>
      </c>
      <c r="W1110" t="str">
        <f t="shared" si="53"/>
        <v>Food &amp; Dining|Restaurants</v>
      </c>
    </row>
    <row r="1111" spans="1:23" x14ac:dyDescent="0.25">
      <c r="A1111" t="s">
        <v>296</v>
      </c>
      <c r="B1111" s="5">
        <v>41796</v>
      </c>
      <c r="C1111">
        <v>-9.5299999999999994</v>
      </c>
      <c r="D1111" t="s">
        <v>304</v>
      </c>
      <c r="E1111" t="s">
        <v>433</v>
      </c>
      <c r="F1111" t="s">
        <v>475</v>
      </c>
      <c r="G1111" t="s">
        <v>887</v>
      </c>
      <c r="J1111" t="s">
        <v>1550</v>
      </c>
      <c r="K1111" t="s">
        <v>61</v>
      </c>
      <c r="L1111" t="s">
        <v>401</v>
      </c>
      <c r="Q1111" t="str">
        <f t="shared" si="51"/>
        <v>Jun</v>
      </c>
      <c r="R1111">
        <f t="shared" si="52"/>
        <v>2014</v>
      </c>
      <c r="S1111" t="str">
        <f>VLOOKUP($W1111,TBL_Categories,2,FALSE)</f>
        <v>Monthly</v>
      </c>
      <c r="T1111">
        <f>VLOOKUP($W1111,TBL_Categories,3,FALSE)</f>
        <v>0</v>
      </c>
      <c r="U1111" t="str">
        <f>VLOOKUP($W1111,TBL_Categories,4,FALSE)</f>
        <v>No</v>
      </c>
      <c r="V1111" t="str">
        <f>VLOOKUP($W1111,TBL_Categories,5,FALSE)</f>
        <v>None</v>
      </c>
      <c r="W1111" t="str">
        <f t="shared" si="53"/>
        <v>Food &amp; Dining|Groceries</v>
      </c>
    </row>
    <row r="1112" spans="1:23" x14ac:dyDescent="0.25">
      <c r="A1112" t="s">
        <v>284</v>
      </c>
      <c r="B1112" s="5">
        <v>41795</v>
      </c>
      <c r="C1112" s="4">
        <v>-3748.69</v>
      </c>
      <c r="D1112" t="s">
        <v>304</v>
      </c>
      <c r="E1112" t="s">
        <v>344</v>
      </c>
      <c r="F1112" t="s">
        <v>349</v>
      </c>
      <c r="G1112" t="s">
        <v>320</v>
      </c>
      <c r="K1112" t="s">
        <v>63</v>
      </c>
      <c r="L1112" t="s">
        <v>1526</v>
      </c>
      <c r="Q1112" t="str">
        <f t="shared" si="51"/>
        <v>Jun</v>
      </c>
      <c r="R1112">
        <f t="shared" si="52"/>
        <v>2014</v>
      </c>
      <c r="S1112" t="str">
        <f>VLOOKUP($W1112,TBL_Categories,2,FALSE)</f>
        <v>Monthly</v>
      </c>
      <c r="T1112">
        <f>VLOOKUP($W1112,TBL_Categories,3,FALSE)</f>
        <v>0</v>
      </c>
      <c r="U1112" t="str">
        <f>VLOOKUP($W1112,TBL_Categories,4,FALSE)</f>
        <v>No</v>
      </c>
      <c r="V1112" t="str">
        <f>VLOOKUP($W1112,TBL_Categories,5,FALSE)</f>
        <v>None</v>
      </c>
      <c r="W1112" t="str">
        <f t="shared" si="53"/>
        <v>Home|Mortgage</v>
      </c>
    </row>
    <row r="1113" spans="1:23" x14ac:dyDescent="0.25">
      <c r="A1113" t="s">
        <v>284</v>
      </c>
      <c r="B1113" s="5">
        <v>41793</v>
      </c>
      <c r="C1113">
        <v>-500</v>
      </c>
      <c r="D1113" t="s">
        <v>304</v>
      </c>
      <c r="E1113" t="s">
        <v>338</v>
      </c>
      <c r="F1113" t="s">
        <v>339</v>
      </c>
      <c r="G1113" t="s">
        <v>340</v>
      </c>
      <c r="K1113" t="s">
        <v>66</v>
      </c>
      <c r="L1113" t="s">
        <v>1533</v>
      </c>
      <c r="Q1113" t="str">
        <f t="shared" si="51"/>
        <v>Jun</v>
      </c>
      <c r="R1113">
        <f t="shared" si="52"/>
        <v>2014</v>
      </c>
      <c r="S1113" t="str">
        <f>VLOOKUP($W1113,TBL_Categories,2,FALSE)</f>
        <v>Monthly</v>
      </c>
      <c r="T1113">
        <f>VLOOKUP($W1113,TBL_Categories,3,FALSE)</f>
        <v>0</v>
      </c>
      <c r="U1113" t="str">
        <f>VLOOKUP($W1113,TBL_Categories,4,FALSE)</f>
        <v>No</v>
      </c>
      <c r="V1113" t="str">
        <f>VLOOKUP($W1113,TBL_Categories,5,FALSE)</f>
        <v>None</v>
      </c>
      <c r="W1113" t="str">
        <f t="shared" si="53"/>
        <v>Kids|American Funds 529A</v>
      </c>
    </row>
    <row r="1114" spans="1:23" x14ac:dyDescent="0.25">
      <c r="A1114" t="s">
        <v>284</v>
      </c>
      <c r="B1114" s="5">
        <v>41793</v>
      </c>
      <c r="C1114" s="4">
        <v>-2358.33</v>
      </c>
      <c r="D1114" t="s">
        <v>304</v>
      </c>
      <c r="E1114" t="s">
        <v>793</v>
      </c>
      <c r="F1114" t="s">
        <v>365</v>
      </c>
      <c r="G1114" t="s">
        <v>13</v>
      </c>
      <c r="K1114" t="s">
        <v>13</v>
      </c>
      <c r="Q1114" t="str">
        <f t="shared" si="51"/>
        <v>Jun</v>
      </c>
      <c r="R1114">
        <f t="shared" si="52"/>
        <v>2014</v>
      </c>
      <c r="S1114" t="str">
        <f>VLOOKUP($W1114,TBL_Categories,2,FALSE)</f>
        <v>Account</v>
      </c>
      <c r="T1114">
        <f>VLOOKUP($W1114,TBL_Categories,3,FALSE)</f>
        <v>0</v>
      </c>
      <c r="U1114" t="str">
        <f>VLOOKUP($W1114,TBL_Categories,4,FALSE)</f>
        <v>No</v>
      </c>
      <c r="V1114" t="str">
        <f>VLOOKUP($W1114,TBL_Categories,5,FALSE)</f>
        <v>None</v>
      </c>
      <c r="W1114" t="str">
        <f t="shared" si="53"/>
        <v>[MasterCard (Capital One)]</v>
      </c>
    </row>
    <row r="1115" spans="1:23" x14ac:dyDescent="0.25">
      <c r="A1115" t="s">
        <v>288</v>
      </c>
      <c r="B1115" s="5">
        <v>41793</v>
      </c>
      <c r="C1115" s="4">
        <v>2295</v>
      </c>
      <c r="D1115" t="s">
        <v>304</v>
      </c>
      <c r="E1115" t="s">
        <v>383</v>
      </c>
      <c r="F1115" t="s">
        <v>394</v>
      </c>
      <c r="G1115" t="s">
        <v>386</v>
      </c>
      <c r="J1115">
        <v>7231</v>
      </c>
      <c r="K1115" t="s">
        <v>33</v>
      </c>
      <c r="L1115" t="s">
        <v>1519</v>
      </c>
      <c r="Q1115" t="str">
        <f t="shared" si="51"/>
        <v>Jun</v>
      </c>
      <c r="R1115">
        <f t="shared" si="52"/>
        <v>2014</v>
      </c>
      <c r="S1115" t="str">
        <f>VLOOKUP($W1115,TBL_Categories,2,FALSE)</f>
        <v>Monthly</v>
      </c>
      <c r="T1115">
        <f>VLOOKUP($W1115,TBL_Categories,3,FALSE)</f>
        <v>0</v>
      </c>
      <c r="U1115" t="str">
        <f>VLOOKUP($W1115,TBL_Categories,4,FALSE)</f>
        <v>No</v>
      </c>
      <c r="V1115" t="str">
        <f>VLOOKUP($W1115,TBL_Categories,5,FALSE)</f>
        <v>None</v>
      </c>
      <c r="W1115" t="str">
        <f t="shared" si="53"/>
        <v>Business Income (Koolikai)|Rent</v>
      </c>
    </row>
    <row r="1116" spans="1:23" x14ac:dyDescent="0.25">
      <c r="A1116" t="s">
        <v>296</v>
      </c>
      <c r="B1116" s="5">
        <v>41793</v>
      </c>
      <c r="C1116">
        <v>-8.75</v>
      </c>
      <c r="D1116" t="s">
        <v>304</v>
      </c>
      <c r="E1116" t="s">
        <v>667</v>
      </c>
      <c r="F1116" t="s">
        <v>1108</v>
      </c>
      <c r="G1116" t="s">
        <v>416</v>
      </c>
      <c r="K1116" t="s">
        <v>17</v>
      </c>
      <c r="L1116" t="s">
        <v>1576</v>
      </c>
      <c r="Q1116" t="str">
        <f t="shared" si="51"/>
        <v>Jun</v>
      </c>
      <c r="R1116">
        <f t="shared" si="52"/>
        <v>2014</v>
      </c>
      <c r="S1116" t="str">
        <f>VLOOKUP($W1116,TBL_Categories,2,FALSE)</f>
        <v>Unplanned</v>
      </c>
      <c r="T1116">
        <f>VLOOKUP($W1116,TBL_Categories,3,FALSE)</f>
        <v>0</v>
      </c>
      <c r="U1116" t="str">
        <f>VLOOKUP($W1116,TBL_Categories,4,FALSE)</f>
        <v>No</v>
      </c>
      <c r="V1116" t="str">
        <f>VLOOKUP($W1116,TBL_Categories,5,FALSE)</f>
        <v>None</v>
      </c>
      <c r="W1116" t="str">
        <f t="shared" si="53"/>
        <v>Entertainment|Movies &amp; DVDs</v>
      </c>
    </row>
    <row r="1117" spans="1:23" x14ac:dyDescent="0.25">
      <c r="A1117" t="s">
        <v>296</v>
      </c>
      <c r="B1117" s="5">
        <v>41793</v>
      </c>
      <c r="C1117">
        <v>-14.27</v>
      </c>
      <c r="D1117" t="s">
        <v>304</v>
      </c>
      <c r="E1117" t="s">
        <v>757</v>
      </c>
      <c r="F1117" t="s">
        <v>1649</v>
      </c>
      <c r="G1117" t="s">
        <v>367</v>
      </c>
      <c r="K1117" t="s">
        <v>62</v>
      </c>
      <c r="L1117" t="s">
        <v>1549</v>
      </c>
      <c r="Q1117" t="str">
        <f t="shared" si="51"/>
        <v>Jun</v>
      </c>
      <c r="R1117">
        <f t="shared" si="52"/>
        <v>2014</v>
      </c>
      <c r="S1117" t="str">
        <f>VLOOKUP($W1117,TBL_Categories,2,FALSE)</f>
        <v>Irregular</v>
      </c>
      <c r="T1117">
        <f>VLOOKUP($W1117,TBL_Categories,3,FALSE)</f>
        <v>0</v>
      </c>
      <c r="U1117" t="str">
        <f>VLOOKUP($W1117,TBL_Categories,4,FALSE)</f>
        <v>No</v>
      </c>
      <c r="V1117" t="str">
        <f>VLOOKUP($W1117,TBL_Categories,5,FALSE)</f>
        <v>None</v>
      </c>
      <c r="W1117" t="str">
        <f t="shared" si="53"/>
        <v>Health &amp; Fitness|Doctor</v>
      </c>
    </row>
    <row r="1118" spans="1:23" x14ac:dyDescent="0.25">
      <c r="A1118" t="s">
        <v>284</v>
      </c>
      <c r="B1118" s="5">
        <v>41792</v>
      </c>
      <c r="C1118" s="4">
        <v>2100</v>
      </c>
      <c r="D1118" t="s">
        <v>304</v>
      </c>
      <c r="E1118" t="s">
        <v>778</v>
      </c>
      <c r="F1118" t="s">
        <v>792</v>
      </c>
      <c r="G1118" t="s">
        <v>779</v>
      </c>
      <c r="I1118" t="s">
        <v>272</v>
      </c>
      <c r="K1118" t="s">
        <v>55</v>
      </c>
      <c r="L1118" t="s">
        <v>1519</v>
      </c>
      <c r="Q1118" t="str">
        <f t="shared" si="51"/>
        <v>Jun</v>
      </c>
      <c r="R1118">
        <f t="shared" si="52"/>
        <v>2014</v>
      </c>
      <c r="S1118" t="e">
        <f>VLOOKUP($W1118,TBL_Categories,2,FALSE)</f>
        <v>#N/A</v>
      </c>
      <c r="T1118" t="e">
        <f>VLOOKUP($W1118,TBL_Categories,3,FALSE)</f>
        <v>#N/A</v>
      </c>
      <c r="U1118" t="e">
        <f>VLOOKUP($W1118,TBL_Categories,4,FALSE)</f>
        <v>#N/A</v>
      </c>
      <c r="V1118" t="e">
        <f>VLOOKUP($W1118,TBL_Categories,5,FALSE)</f>
        <v>#N/A</v>
      </c>
      <c r="W1118" t="str">
        <f t="shared" si="53"/>
        <v>Business Expenses (Koolikai)|Rent</v>
      </c>
    </row>
    <row r="1119" spans="1:23" x14ac:dyDescent="0.25">
      <c r="A1119" t="s">
        <v>284</v>
      </c>
      <c r="B1119" s="5">
        <v>41792</v>
      </c>
      <c r="C1119" s="4">
        <v>1000</v>
      </c>
      <c r="D1119" t="s">
        <v>304</v>
      </c>
      <c r="E1119" t="s">
        <v>778</v>
      </c>
      <c r="G1119" t="s">
        <v>581</v>
      </c>
      <c r="I1119" t="s">
        <v>272</v>
      </c>
      <c r="K1119" t="s">
        <v>55</v>
      </c>
      <c r="L1119" t="s">
        <v>1520</v>
      </c>
      <c r="Q1119" t="str">
        <f t="shared" si="51"/>
        <v>Jun</v>
      </c>
      <c r="R1119">
        <f t="shared" si="52"/>
        <v>2014</v>
      </c>
      <c r="S1119" t="str">
        <f>VLOOKUP($W1119,TBL_Categories,2,FALSE)</f>
        <v>Irregular</v>
      </c>
      <c r="T1119">
        <f>VLOOKUP($W1119,TBL_Categories,3,FALSE)</f>
        <v>0</v>
      </c>
      <c r="U1119" t="str">
        <f>VLOOKUP($W1119,TBL_Categories,4,FALSE)</f>
        <v>No</v>
      </c>
      <c r="V1119" t="str">
        <f>VLOOKUP($W1119,TBL_Categories,5,FALSE)</f>
        <v>None</v>
      </c>
      <c r="W1119" t="str">
        <f t="shared" si="53"/>
        <v>Business Expenses (Koolikai)|Security Deposit</v>
      </c>
    </row>
    <row r="1120" spans="1:23" x14ac:dyDescent="0.25">
      <c r="A1120" t="s">
        <v>284</v>
      </c>
      <c r="B1120" s="5">
        <v>41792</v>
      </c>
      <c r="C1120" s="4">
        <v>-1976</v>
      </c>
      <c r="D1120" t="s">
        <v>304</v>
      </c>
      <c r="E1120" t="s">
        <v>314</v>
      </c>
      <c r="F1120" t="s">
        <v>315</v>
      </c>
      <c r="G1120" t="s">
        <v>316</v>
      </c>
      <c r="K1120" t="s">
        <v>66</v>
      </c>
      <c r="L1120" t="s">
        <v>1522</v>
      </c>
      <c r="Q1120" t="str">
        <f t="shared" si="51"/>
        <v>Jun</v>
      </c>
      <c r="R1120">
        <f t="shared" si="52"/>
        <v>2014</v>
      </c>
      <c r="S1120" t="str">
        <f>VLOOKUP($W1120,TBL_Categories,2,FALSE)</f>
        <v>Monthly</v>
      </c>
      <c r="T1120">
        <f>VLOOKUP($W1120,TBL_Categories,3,FALSE)</f>
        <v>0</v>
      </c>
      <c r="U1120" t="str">
        <f>VLOOKUP($W1120,TBL_Categories,4,FALSE)</f>
        <v>No</v>
      </c>
      <c r="V1120" t="str">
        <f>VLOOKUP($W1120,TBL_Categories,5,FALSE)</f>
        <v>None</v>
      </c>
      <c r="W1120" t="str">
        <f t="shared" si="53"/>
        <v>Kids|Daycare</v>
      </c>
    </row>
    <row r="1121" spans="1:23" x14ac:dyDescent="0.25">
      <c r="A1121" t="s">
        <v>284</v>
      </c>
      <c r="B1121" s="5">
        <v>41792</v>
      </c>
      <c r="C1121" s="4">
        <v>-2033.91</v>
      </c>
      <c r="D1121" t="s">
        <v>304</v>
      </c>
      <c r="E1121" t="s">
        <v>318</v>
      </c>
      <c r="F1121" t="s">
        <v>378</v>
      </c>
      <c r="G1121" t="s">
        <v>379</v>
      </c>
      <c r="J1121">
        <v>9602</v>
      </c>
      <c r="K1121" t="s">
        <v>55</v>
      </c>
      <c r="L1121" t="s">
        <v>1525</v>
      </c>
      <c r="Q1121" t="str">
        <f t="shared" si="51"/>
        <v>Jun</v>
      </c>
      <c r="R1121">
        <f t="shared" si="52"/>
        <v>2014</v>
      </c>
      <c r="S1121" t="str">
        <f>VLOOKUP($W1121,TBL_Categories,2,FALSE)</f>
        <v>Monthly</v>
      </c>
      <c r="T1121">
        <f>VLOOKUP($W1121,TBL_Categories,3,FALSE)</f>
        <v>0</v>
      </c>
      <c r="U1121" t="str">
        <f>VLOOKUP($W1121,TBL_Categories,4,FALSE)</f>
        <v>No</v>
      </c>
      <c r="V1121" t="str">
        <f>VLOOKUP($W1121,TBL_Categories,5,FALSE)</f>
        <v>None</v>
      </c>
      <c r="W1121" t="str">
        <f t="shared" si="53"/>
        <v>Business Expenses (Koolikai)|Mortgage (Business)</v>
      </c>
    </row>
    <row r="1122" spans="1:23" x14ac:dyDescent="0.25">
      <c r="A1122" t="s">
        <v>284</v>
      </c>
      <c r="B1122" s="5">
        <v>41792</v>
      </c>
      <c r="C1122" s="4">
        <v>-3517.65</v>
      </c>
      <c r="D1122" t="s">
        <v>304</v>
      </c>
      <c r="E1122" t="s">
        <v>318</v>
      </c>
      <c r="F1122" t="s">
        <v>378</v>
      </c>
      <c r="G1122" t="s">
        <v>380</v>
      </c>
      <c r="J1122">
        <v>7231</v>
      </c>
      <c r="K1122" t="s">
        <v>55</v>
      </c>
      <c r="L1122" t="s">
        <v>1525</v>
      </c>
      <c r="Q1122" t="str">
        <f t="shared" si="51"/>
        <v>Jun</v>
      </c>
      <c r="R1122">
        <f t="shared" si="52"/>
        <v>2014</v>
      </c>
      <c r="S1122" t="str">
        <f>VLOOKUP($W1122,TBL_Categories,2,FALSE)</f>
        <v>Monthly</v>
      </c>
      <c r="T1122">
        <f>VLOOKUP($W1122,TBL_Categories,3,FALSE)</f>
        <v>0</v>
      </c>
      <c r="U1122" t="str">
        <f>VLOOKUP($W1122,TBL_Categories,4,FALSE)</f>
        <v>No</v>
      </c>
      <c r="V1122" t="str">
        <f>VLOOKUP($W1122,TBL_Categories,5,FALSE)</f>
        <v>None</v>
      </c>
      <c r="W1122" t="str">
        <f t="shared" si="53"/>
        <v>Business Expenses (Koolikai)|Mortgage (Business)</v>
      </c>
    </row>
    <row r="1123" spans="1:23" x14ac:dyDescent="0.25">
      <c r="A1123" t="s">
        <v>284</v>
      </c>
      <c r="B1123" s="5">
        <v>41792</v>
      </c>
      <c r="C1123">
        <v>-60</v>
      </c>
      <c r="D1123" t="s">
        <v>304</v>
      </c>
      <c r="E1123" t="s">
        <v>586</v>
      </c>
      <c r="F1123" t="s">
        <v>334</v>
      </c>
      <c r="G1123" t="s">
        <v>322</v>
      </c>
      <c r="H1123">
        <v>2131</v>
      </c>
      <c r="K1123" t="s">
        <v>66</v>
      </c>
      <c r="L1123" t="s">
        <v>1527</v>
      </c>
      <c r="Q1123" t="str">
        <f t="shared" si="51"/>
        <v>Jun</v>
      </c>
      <c r="R1123">
        <f t="shared" si="52"/>
        <v>2014</v>
      </c>
      <c r="S1123" t="str">
        <f>VLOOKUP($W1123,TBL_Categories,2,FALSE)</f>
        <v>Monthly</v>
      </c>
      <c r="T1123">
        <f>VLOOKUP($W1123,TBL_Categories,3,FALSE)</f>
        <v>0</v>
      </c>
      <c r="U1123" t="str">
        <f>VLOOKUP($W1123,TBL_Categories,4,FALSE)</f>
        <v>No</v>
      </c>
      <c r="V1123" t="str">
        <f>VLOOKUP($W1123,TBL_Categories,5,FALSE)</f>
        <v>None</v>
      </c>
      <c r="W1123" t="str">
        <f t="shared" si="53"/>
        <v>Kids|Babysitter</v>
      </c>
    </row>
    <row r="1124" spans="1:23" x14ac:dyDescent="0.25">
      <c r="A1124" t="s">
        <v>633</v>
      </c>
      <c r="B1124" s="5">
        <v>41792</v>
      </c>
      <c r="C1124">
        <v>-62.85</v>
      </c>
      <c r="D1124" t="s">
        <v>304</v>
      </c>
      <c r="E1124" t="s">
        <v>717</v>
      </c>
      <c r="G1124" t="s">
        <v>333</v>
      </c>
      <c r="K1124" t="s">
        <v>61</v>
      </c>
      <c r="L1124" t="s">
        <v>1530</v>
      </c>
      <c r="Q1124" t="str">
        <f t="shared" si="51"/>
        <v>Jun</v>
      </c>
      <c r="R1124">
        <f t="shared" si="52"/>
        <v>2014</v>
      </c>
      <c r="S1124" t="str">
        <f>VLOOKUP($W1124,TBL_Categories,2,FALSE)</f>
        <v>Monthly</v>
      </c>
      <c r="T1124">
        <f>VLOOKUP($W1124,TBL_Categories,3,FALSE)</f>
        <v>0</v>
      </c>
      <c r="U1124" t="str">
        <f>VLOOKUP($W1124,TBL_Categories,4,FALSE)</f>
        <v>No</v>
      </c>
      <c r="V1124" t="str">
        <f>VLOOKUP($W1124,TBL_Categories,5,FALSE)</f>
        <v>None</v>
      </c>
      <c r="W1124" t="str">
        <f t="shared" si="53"/>
        <v>Food &amp; Dining|Restaurants</v>
      </c>
    </row>
    <row r="1125" spans="1:23" x14ac:dyDescent="0.25">
      <c r="A1125" t="s">
        <v>296</v>
      </c>
      <c r="B1125" s="5">
        <v>41792</v>
      </c>
      <c r="C1125">
        <v>-22.03</v>
      </c>
      <c r="D1125" t="s">
        <v>304</v>
      </c>
      <c r="E1125" t="s">
        <v>443</v>
      </c>
      <c r="F1125" t="s">
        <v>484</v>
      </c>
      <c r="G1125" t="s">
        <v>444</v>
      </c>
      <c r="I1125" t="s">
        <v>272</v>
      </c>
      <c r="K1125" t="s">
        <v>54</v>
      </c>
      <c r="L1125" t="s">
        <v>1581</v>
      </c>
      <c r="Q1125" t="str">
        <f t="shared" si="51"/>
        <v>Jun</v>
      </c>
      <c r="R1125">
        <f t="shared" si="52"/>
        <v>2014</v>
      </c>
      <c r="S1125" t="str">
        <f>VLOOKUP($W1125,TBL_Categories,2,FALSE)</f>
        <v>Monthly</v>
      </c>
      <c r="T1125">
        <f>VLOOKUP($W1125,TBL_Categories,3,FALSE)</f>
        <v>0</v>
      </c>
      <c r="U1125" t="str">
        <f>VLOOKUP($W1125,TBL_Categories,4,FALSE)</f>
        <v>No</v>
      </c>
      <c r="V1125" t="str">
        <f>VLOOKUP($W1125,TBL_Categories,5,FALSE)</f>
        <v>None</v>
      </c>
      <c r="W1125" t="str">
        <f t="shared" si="53"/>
        <v>Bills &amp; Utilities|Television</v>
      </c>
    </row>
    <row r="1126" spans="1:23" x14ac:dyDescent="0.25">
      <c r="A1126" t="s">
        <v>296</v>
      </c>
      <c r="B1126" s="5">
        <v>41792</v>
      </c>
      <c r="C1126">
        <v>-64.08</v>
      </c>
      <c r="D1126" t="s">
        <v>304</v>
      </c>
      <c r="E1126" t="s">
        <v>443</v>
      </c>
      <c r="G1126" t="s">
        <v>445</v>
      </c>
      <c r="I1126" t="s">
        <v>272</v>
      </c>
      <c r="K1126" t="s">
        <v>55</v>
      </c>
      <c r="L1126" t="s">
        <v>1582</v>
      </c>
      <c r="Q1126" t="str">
        <f t="shared" si="51"/>
        <v>Jun</v>
      </c>
      <c r="R1126">
        <f t="shared" si="52"/>
        <v>2014</v>
      </c>
      <c r="S1126" t="str">
        <f>VLOOKUP($W1126,TBL_Categories,2,FALSE)</f>
        <v>Monthly</v>
      </c>
      <c r="T1126">
        <f>VLOOKUP($W1126,TBL_Categories,3,FALSE)</f>
        <v>0</v>
      </c>
      <c r="U1126" t="str">
        <f>VLOOKUP($W1126,TBL_Categories,4,FALSE)</f>
        <v>No</v>
      </c>
      <c r="V1126" t="str">
        <f>VLOOKUP($W1126,TBL_Categories,5,FALSE)</f>
        <v>None</v>
      </c>
      <c r="W1126" t="str">
        <f t="shared" si="53"/>
        <v>Business Expenses (Koolikai)|Internet</v>
      </c>
    </row>
    <row r="1127" spans="1:23" x14ac:dyDescent="0.25">
      <c r="A1127" t="s">
        <v>296</v>
      </c>
      <c r="B1127" s="5">
        <v>41792</v>
      </c>
      <c r="C1127">
        <v>-44.08</v>
      </c>
      <c r="D1127" t="s">
        <v>304</v>
      </c>
      <c r="E1127" t="s">
        <v>443</v>
      </c>
      <c r="G1127" t="s">
        <v>446</v>
      </c>
      <c r="I1127" t="s">
        <v>272</v>
      </c>
      <c r="K1127" t="s">
        <v>54</v>
      </c>
      <c r="L1127" t="s">
        <v>1583</v>
      </c>
      <c r="Q1127" t="str">
        <f t="shared" si="51"/>
        <v>Jun</v>
      </c>
      <c r="R1127">
        <f t="shared" si="52"/>
        <v>2014</v>
      </c>
      <c r="S1127" t="str">
        <f>VLOOKUP($W1127,TBL_Categories,2,FALSE)</f>
        <v>Monthly</v>
      </c>
      <c r="T1127">
        <f>VLOOKUP($W1127,TBL_Categories,3,FALSE)</f>
        <v>0</v>
      </c>
      <c r="U1127" t="str">
        <f>VLOOKUP($W1127,TBL_Categories,4,FALSE)</f>
        <v>No</v>
      </c>
      <c r="V1127" t="str">
        <f>VLOOKUP($W1127,TBL_Categories,5,FALSE)</f>
        <v>None</v>
      </c>
      <c r="W1127" t="str">
        <f t="shared" si="53"/>
        <v>Bills &amp; Utilities|Home Phone</v>
      </c>
    </row>
    <row r="1128" spans="1:23" x14ac:dyDescent="0.25">
      <c r="A1128" t="s">
        <v>633</v>
      </c>
      <c r="B1128" s="5">
        <v>41791</v>
      </c>
      <c r="C1128">
        <v>-3.95</v>
      </c>
      <c r="D1128" t="s">
        <v>304</v>
      </c>
      <c r="E1128" t="s">
        <v>936</v>
      </c>
      <c r="F1128" t="s">
        <v>628</v>
      </c>
      <c r="G1128" t="s">
        <v>333</v>
      </c>
      <c r="K1128" t="s">
        <v>61</v>
      </c>
      <c r="L1128" t="s">
        <v>1530</v>
      </c>
      <c r="Q1128" t="str">
        <f t="shared" si="51"/>
        <v>Jun</v>
      </c>
      <c r="R1128">
        <f t="shared" si="52"/>
        <v>2014</v>
      </c>
      <c r="S1128" t="str">
        <f>VLOOKUP($W1128,TBL_Categories,2,FALSE)</f>
        <v>Monthly</v>
      </c>
      <c r="T1128">
        <f>VLOOKUP($W1128,TBL_Categories,3,FALSE)</f>
        <v>0</v>
      </c>
      <c r="U1128" t="str">
        <f>VLOOKUP($W1128,TBL_Categories,4,FALSE)</f>
        <v>No</v>
      </c>
      <c r="V1128" t="str">
        <f>VLOOKUP($W1128,TBL_Categories,5,FALSE)</f>
        <v>None</v>
      </c>
      <c r="W1128" t="str">
        <f t="shared" si="53"/>
        <v>Food &amp; Dining|Restaurants</v>
      </c>
    </row>
    <row r="1129" spans="1:23" x14ac:dyDescent="0.25">
      <c r="A1129" t="s">
        <v>633</v>
      </c>
      <c r="B1129" s="5">
        <v>41791</v>
      </c>
      <c r="C1129">
        <v>-100</v>
      </c>
      <c r="D1129" t="s">
        <v>304</v>
      </c>
      <c r="E1129" t="s">
        <v>936</v>
      </c>
      <c r="F1129" t="s">
        <v>628</v>
      </c>
      <c r="G1129" t="s">
        <v>333</v>
      </c>
      <c r="K1129" t="s">
        <v>61</v>
      </c>
      <c r="L1129" t="s">
        <v>1530</v>
      </c>
      <c r="Q1129" t="str">
        <f t="shared" si="51"/>
        <v>Jun</v>
      </c>
      <c r="R1129">
        <f t="shared" si="52"/>
        <v>2014</v>
      </c>
      <c r="S1129" t="str">
        <f>VLOOKUP($W1129,TBL_Categories,2,FALSE)</f>
        <v>Monthly</v>
      </c>
      <c r="T1129">
        <f>VLOOKUP($W1129,TBL_Categories,3,FALSE)</f>
        <v>0</v>
      </c>
      <c r="U1129" t="str">
        <f>VLOOKUP($W1129,TBL_Categories,4,FALSE)</f>
        <v>No</v>
      </c>
      <c r="V1129" t="str">
        <f>VLOOKUP($W1129,TBL_Categories,5,FALSE)</f>
        <v>None</v>
      </c>
      <c r="W1129" t="str">
        <f t="shared" si="53"/>
        <v>Food &amp; Dining|Restaurants</v>
      </c>
    </row>
    <row r="1130" spans="1:23" x14ac:dyDescent="0.25">
      <c r="A1130" t="s">
        <v>296</v>
      </c>
      <c r="B1130" s="5">
        <v>41791</v>
      </c>
      <c r="C1130" s="4">
        <v>2358.33</v>
      </c>
      <c r="D1130" t="s">
        <v>304</v>
      </c>
      <c r="E1130" t="s">
        <v>321</v>
      </c>
      <c r="F1130" t="s">
        <v>1147</v>
      </c>
      <c r="G1130" t="s">
        <v>9</v>
      </c>
      <c r="K1130" t="s">
        <v>9</v>
      </c>
      <c r="Q1130" t="str">
        <f t="shared" si="51"/>
        <v>Jun</v>
      </c>
      <c r="R1130">
        <f t="shared" si="52"/>
        <v>2014</v>
      </c>
      <c r="S1130" t="str">
        <f>VLOOKUP($W1130,TBL_Categories,2,FALSE)</f>
        <v>Account</v>
      </c>
      <c r="T1130">
        <f>VLOOKUP($W1130,TBL_Categories,3,FALSE)</f>
        <v>0</v>
      </c>
      <c r="U1130" t="str">
        <f>VLOOKUP($W1130,TBL_Categories,4,FALSE)</f>
        <v>No</v>
      </c>
      <c r="V1130" t="str">
        <f>VLOOKUP($W1130,TBL_Categories,5,FALSE)</f>
        <v>None</v>
      </c>
      <c r="W1130" t="str">
        <f t="shared" si="53"/>
        <v>[First Tech - Checking (5544)]</v>
      </c>
    </row>
    <row r="1131" spans="1:23" x14ac:dyDescent="0.25">
      <c r="A1131" t="s">
        <v>296</v>
      </c>
      <c r="B1131" s="5">
        <v>41791</v>
      </c>
      <c r="C1131">
        <v>-40.98</v>
      </c>
      <c r="D1131" t="s">
        <v>304</v>
      </c>
      <c r="E1131" t="s">
        <v>433</v>
      </c>
      <c r="F1131" t="s">
        <v>475</v>
      </c>
      <c r="G1131" t="s">
        <v>887</v>
      </c>
      <c r="J1131" t="s">
        <v>1550</v>
      </c>
      <c r="K1131" t="s">
        <v>61</v>
      </c>
      <c r="L1131" t="s">
        <v>401</v>
      </c>
      <c r="Q1131" t="str">
        <f t="shared" si="51"/>
        <v>Jun</v>
      </c>
      <c r="R1131">
        <f t="shared" si="52"/>
        <v>2014</v>
      </c>
      <c r="S1131" t="str">
        <f>VLOOKUP($W1131,TBL_Categories,2,FALSE)</f>
        <v>Monthly</v>
      </c>
      <c r="T1131">
        <f>VLOOKUP($W1131,TBL_Categories,3,FALSE)</f>
        <v>0</v>
      </c>
      <c r="U1131" t="str">
        <f>VLOOKUP($W1131,TBL_Categories,4,FALSE)</f>
        <v>No</v>
      </c>
      <c r="V1131" t="str">
        <f>VLOOKUP($W1131,TBL_Categories,5,FALSE)</f>
        <v>None</v>
      </c>
      <c r="W1131" t="str">
        <f t="shared" si="53"/>
        <v>Food &amp; Dining|Groceries</v>
      </c>
    </row>
    <row r="1132" spans="1:23" x14ac:dyDescent="0.25">
      <c r="A1132" t="s">
        <v>287</v>
      </c>
      <c r="B1132" s="5">
        <v>41790</v>
      </c>
      <c r="C1132">
        <v>1.57</v>
      </c>
      <c r="D1132" t="s">
        <v>304</v>
      </c>
      <c r="E1132" t="s">
        <v>396</v>
      </c>
      <c r="F1132" t="s">
        <v>595</v>
      </c>
      <c r="G1132" t="s">
        <v>8</v>
      </c>
      <c r="K1132" t="s">
        <v>8</v>
      </c>
      <c r="Q1132" t="str">
        <f t="shared" si="51"/>
        <v>May</v>
      </c>
      <c r="R1132">
        <f t="shared" si="52"/>
        <v>2014</v>
      </c>
      <c r="S1132" t="str">
        <f>VLOOKUP($W1132,TBL_Categories,2,FALSE)</f>
        <v>Monthly</v>
      </c>
      <c r="T1132">
        <f>VLOOKUP($W1132,TBL_Categories,3,FALSE)</f>
        <v>0</v>
      </c>
      <c r="U1132" t="str">
        <f>VLOOKUP($W1132,TBL_Categories,4,FALSE)</f>
        <v>No</v>
      </c>
      <c r="V1132" t="str">
        <f>VLOOKUP($W1132,TBL_Categories,5,FALSE)</f>
        <v>None</v>
      </c>
      <c r="W1132" t="str">
        <f t="shared" si="53"/>
        <v>Interest Income</v>
      </c>
    </row>
    <row r="1133" spans="1:23" x14ac:dyDescent="0.25">
      <c r="A1133" t="s">
        <v>289</v>
      </c>
      <c r="B1133" s="5">
        <v>41790</v>
      </c>
      <c r="C1133">
        <v>0.19</v>
      </c>
      <c r="D1133" t="s">
        <v>304</v>
      </c>
      <c r="E1133" t="s">
        <v>396</v>
      </c>
      <c r="F1133" t="s">
        <v>595</v>
      </c>
      <c r="G1133" t="s">
        <v>8</v>
      </c>
      <c r="K1133" t="s">
        <v>8</v>
      </c>
      <c r="Q1133" t="str">
        <f t="shared" si="51"/>
        <v>May</v>
      </c>
      <c r="R1133">
        <f t="shared" si="52"/>
        <v>2014</v>
      </c>
      <c r="S1133" t="str">
        <f>VLOOKUP($W1133,TBL_Categories,2,FALSE)</f>
        <v>Monthly</v>
      </c>
      <c r="T1133">
        <f>VLOOKUP($W1133,TBL_Categories,3,FALSE)</f>
        <v>0</v>
      </c>
      <c r="U1133" t="str">
        <f>VLOOKUP($W1133,TBL_Categories,4,FALSE)</f>
        <v>No</v>
      </c>
      <c r="V1133" t="str">
        <f>VLOOKUP($W1133,TBL_Categories,5,FALSE)</f>
        <v>None</v>
      </c>
      <c r="W1133" t="str">
        <f t="shared" si="53"/>
        <v>Interest Income</v>
      </c>
    </row>
    <row r="1134" spans="1:23" x14ac:dyDescent="0.25">
      <c r="A1134" t="s">
        <v>296</v>
      </c>
      <c r="B1134" s="5">
        <v>41790</v>
      </c>
      <c r="C1134">
        <v>-49.17</v>
      </c>
      <c r="D1134" t="s">
        <v>304</v>
      </c>
      <c r="E1134" t="s">
        <v>507</v>
      </c>
      <c r="F1134" t="s">
        <v>508</v>
      </c>
      <c r="G1134" t="s">
        <v>927</v>
      </c>
      <c r="J1134" t="s">
        <v>1550</v>
      </c>
      <c r="K1134" t="s">
        <v>72</v>
      </c>
      <c r="L1134" t="s">
        <v>1537</v>
      </c>
      <c r="Q1134" t="str">
        <f t="shared" si="51"/>
        <v>May</v>
      </c>
      <c r="R1134">
        <f t="shared" si="52"/>
        <v>2014</v>
      </c>
      <c r="S1134" t="str">
        <f>VLOOKUP($W1134,TBL_Categories,2,FALSE)</f>
        <v>Annual</v>
      </c>
      <c r="T1134">
        <f>VLOOKUP($W1134,TBL_Categories,3,FALSE)</f>
        <v>0</v>
      </c>
      <c r="U1134" t="str">
        <f>VLOOKUP($W1134,TBL_Categories,4,FALSE)</f>
        <v>No</v>
      </c>
      <c r="V1134" t="str">
        <f>VLOOKUP($W1134,TBL_Categories,5,FALSE)</f>
        <v>None</v>
      </c>
      <c r="W1134" t="str">
        <f t="shared" si="53"/>
        <v>Shopping|Clothing</v>
      </c>
    </row>
    <row r="1135" spans="1:23" x14ac:dyDescent="0.25">
      <c r="A1135" t="s">
        <v>296</v>
      </c>
      <c r="B1135" s="5">
        <v>41790</v>
      </c>
      <c r="C1135">
        <v>-167.19</v>
      </c>
      <c r="D1135" t="s">
        <v>304</v>
      </c>
      <c r="E1135" t="s">
        <v>433</v>
      </c>
      <c r="F1135" t="s">
        <v>481</v>
      </c>
      <c r="G1135" t="s">
        <v>887</v>
      </c>
      <c r="I1135" t="s">
        <v>272</v>
      </c>
      <c r="J1135" t="s">
        <v>1550</v>
      </c>
      <c r="K1135" t="s">
        <v>61</v>
      </c>
      <c r="L1135" t="s">
        <v>401</v>
      </c>
      <c r="Q1135" t="str">
        <f t="shared" si="51"/>
        <v>May</v>
      </c>
      <c r="R1135">
        <f t="shared" si="52"/>
        <v>2014</v>
      </c>
      <c r="S1135" t="str">
        <f>VLOOKUP($W1135,TBL_Categories,2,FALSE)</f>
        <v>Monthly</v>
      </c>
      <c r="T1135">
        <f>VLOOKUP($W1135,TBL_Categories,3,FALSE)</f>
        <v>0</v>
      </c>
      <c r="U1135" t="str">
        <f>VLOOKUP($W1135,TBL_Categories,4,FALSE)</f>
        <v>No</v>
      </c>
      <c r="V1135" t="str">
        <f>VLOOKUP($W1135,TBL_Categories,5,FALSE)</f>
        <v>None</v>
      </c>
      <c r="W1135" t="str">
        <f t="shared" si="53"/>
        <v>Food &amp; Dining|Groceries</v>
      </c>
    </row>
    <row r="1136" spans="1:23" x14ac:dyDescent="0.25">
      <c r="A1136" t="s">
        <v>296</v>
      </c>
      <c r="B1136" s="5">
        <v>41790</v>
      </c>
      <c r="C1136">
        <v>-17.5</v>
      </c>
      <c r="D1136" t="s">
        <v>304</v>
      </c>
      <c r="E1136" t="s">
        <v>433</v>
      </c>
      <c r="F1136" t="s">
        <v>1112</v>
      </c>
      <c r="G1136" t="s">
        <v>1042</v>
      </c>
      <c r="I1136" t="s">
        <v>272</v>
      </c>
      <c r="J1136" t="s">
        <v>1550</v>
      </c>
      <c r="K1136" t="s">
        <v>66</v>
      </c>
      <c r="L1136" t="s">
        <v>1537</v>
      </c>
      <c r="Q1136" t="str">
        <f t="shared" si="51"/>
        <v>May</v>
      </c>
      <c r="R1136">
        <f t="shared" si="52"/>
        <v>2014</v>
      </c>
      <c r="S1136" t="str">
        <f>VLOOKUP($W1136,TBL_Categories,2,FALSE)</f>
        <v>Monthly</v>
      </c>
      <c r="T1136">
        <f>VLOOKUP($W1136,TBL_Categories,3,FALSE)</f>
        <v>0</v>
      </c>
      <c r="U1136" t="str">
        <f>VLOOKUP($W1136,TBL_Categories,4,FALSE)</f>
        <v>No</v>
      </c>
      <c r="V1136" t="str">
        <f>VLOOKUP($W1136,TBL_Categories,5,FALSE)</f>
        <v>None</v>
      </c>
      <c r="W1136" t="str">
        <f t="shared" si="53"/>
        <v>Kids|Clothing</v>
      </c>
    </row>
    <row r="1137" spans="1:23" x14ac:dyDescent="0.25">
      <c r="A1137" t="s">
        <v>299</v>
      </c>
      <c r="B1137" s="5">
        <v>41790</v>
      </c>
      <c r="C1137">
        <v>-6.23</v>
      </c>
      <c r="D1137" t="s">
        <v>304</v>
      </c>
      <c r="E1137" t="s">
        <v>368</v>
      </c>
      <c r="F1137" t="s">
        <v>926</v>
      </c>
      <c r="G1137" t="s">
        <v>1042</v>
      </c>
      <c r="H1137">
        <v>799999941511</v>
      </c>
      <c r="I1137" t="s">
        <v>272</v>
      </c>
      <c r="J1137" t="s">
        <v>1550</v>
      </c>
      <c r="K1137" t="s">
        <v>66</v>
      </c>
      <c r="L1137" t="s">
        <v>1537</v>
      </c>
      <c r="Q1137" t="str">
        <f t="shared" si="51"/>
        <v>May</v>
      </c>
      <c r="R1137">
        <f t="shared" si="52"/>
        <v>2014</v>
      </c>
      <c r="S1137" t="str">
        <f>VLOOKUP($W1137,TBL_Categories,2,FALSE)</f>
        <v>Monthly</v>
      </c>
      <c r="T1137">
        <f>VLOOKUP($W1137,TBL_Categories,3,FALSE)</f>
        <v>0</v>
      </c>
      <c r="U1137" t="str">
        <f>VLOOKUP($W1137,TBL_Categories,4,FALSE)</f>
        <v>No</v>
      </c>
      <c r="V1137" t="str">
        <f>VLOOKUP($W1137,TBL_Categories,5,FALSE)</f>
        <v>None</v>
      </c>
      <c r="W1137" t="str">
        <f t="shared" si="53"/>
        <v>Kids|Clothing</v>
      </c>
    </row>
    <row r="1138" spans="1:23" x14ac:dyDescent="0.25">
      <c r="A1138" t="s">
        <v>299</v>
      </c>
      <c r="B1138" s="5">
        <v>41790</v>
      </c>
      <c r="C1138">
        <v>-15.59</v>
      </c>
      <c r="D1138" t="s">
        <v>304</v>
      </c>
      <c r="E1138" t="s">
        <v>368</v>
      </c>
      <c r="F1138" t="s">
        <v>952</v>
      </c>
      <c r="G1138" t="s">
        <v>894</v>
      </c>
      <c r="H1138">
        <v>799999941511</v>
      </c>
      <c r="I1138" t="s">
        <v>272</v>
      </c>
      <c r="J1138" t="s">
        <v>1550</v>
      </c>
      <c r="K1138" t="s">
        <v>62</v>
      </c>
      <c r="L1138" t="s">
        <v>1545</v>
      </c>
      <c r="O1138" t="s">
        <v>1600</v>
      </c>
      <c r="Q1138" t="str">
        <f t="shared" si="51"/>
        <v>May</v>
      </c>
      <c r="R1138">
        <f t="shared" si="52"/>
        <v>2014</v>
      </c>
      <c r="S1138" t="str">
        <f>VLOOKUP($W1138,TBL_Categories,2,FALSE)</f>
        <v>Irregular</v>
      </c>
      <c r="T1138">
        <f>VLOOKUP($W1138,TBL_Categories,3,FALSE)</f>
        <v>0</v>
      </c>
      <c r="U1138" t="str">
        <f>VLOOKUP($W1138,TBL_Categories,4,FALSE)</f>
        <v>No</v>
      </c>
      <c r="V1138" t="str">
        <f>VLOOKUP($W1138,TBL_Categories,5,FALSE)</f>
        <v>None</v>
      </c>
      <c r="W1138" t="str">
        <f t="shared" si="53"/>
        <v>Health &amp; Fitness|Sports</v>
      </c>
    </row>
    <row r="1139" spans="1:23" x14ac:dyDescent="0.25">
      <c r="A1139" t="s">
        <v>280</v>
      </c>
      <c r="B1139" s="5">
        <v>41789</v>
      </c>
      <c r="C1139">
        <v>20.02</v>
      </c>
      <c r="D1139" t="s">
        <v>304</v>
      </c>
      <c r="E1139" t="s">
        <v>309</v>
      </c>
      <c r="G1139" t="s">
        <v>8</v>
      </c>
      <c r="H1139" t="s">
        <v>310</v>
      </c>
      <c r="K1139" t="s">
        <v>8</v>
      </c>
      <c r="Q1139" t="str">
        <f t="shared" si="51"/>
        <v>May</v>
      </c>
      <c r="R1139">
        <f t="shared" si="52"/>
        <v>2014</v>
      </c>
      <c r="S1139" t="str">
        <f>VLOOKUP($W1139,TBL_Categories,2,FALSE)</f>
        <v>Monthly</v>
      </c>
      <c r="T1139">
        <f>VLOOKUP($W1139,TBL_Categories,3,FALSE)</f>
        <v>0</v>
      </c>
      <c r="U1139" t="str">
        <f>VLOOKUP($W1139,TBL_Categories,4,FALSE)</f>
        <v>No</v>
      </c>
      <c r="V1139" t="str">
        <f>VLOOKUP($W1139,TBL_Categories,5,FALSE)</f>
        <v>None</v>
      </c>
      <c r="W1139" t="str">
        <f t="shared" si="53"/>
        <v>Interest Income</v>
      </c>
    </row>
    <row r="1140" spans="1:23" x14ac:dyDescent="0.25">
      <c r="A1140" t="s">
        <v>281</v>
      </c>
      <c r="B1140" s="5">
        <v>41789</v>
      </c>
      <c r="C1140">
        <v>50.26</v>
      </c>
      <c r="D1140" t="s">
        <v>304</v>
      </c>
      <c r="E1140" t="s">
        <v>309</v>
      </c>
      <c r="G1140" t="s">
        <v>8</v>
      </c>
      <c r="H1140" t="s">
        <v>310</v>
      </c>
      <c r="K1140" t="s">
        <v>8</v>
      </c>
      <c r="Q1140" t="str">
        <f t="shared" si="51"/>
        <v>May</v>
      </c>
      <c r="R1140">
        <f t="shared" si="52"/>
        <v>2014</v>
      </c>
      <c r="S1140" t="str">
        <f>VLOOKUP($W1140,TBL_Categories,2,FALSE)</f>
        <v>Monthly</v>
      </c>
      <c r="T1140">
        <f>VLOOKUP($W1140,TBL_Categories,3,FALSE)</f>
        <v>0</v>
      </c>
      <c r="U1140" t="str">
        <f>VLOOKUP($W1140,TBL_Categories,4,FALSE)</f>
        <v>No</v>
      </c>
      <c r="V1140" t="str">
        <f>VLOOKUP($W1140,TBL_Categories,5,FALSE)</f>
        <v>None</v>
      </c>
      <c r="W1140" t="str">
        <f t="shared" si="53"/>
        <v>Interest Income</v>
      </c>
    </row>
    <row r="1141" spans="1:23" x14ac:dyDescent="0.25">
      <c r="A1141" t="s">
        <v>282</v>
      </c>
      <c r="B1141" s="5">
        <v>41789</v>
      </c>
      <c r="C1141">
        <v>0.02</v>
      </c>
      <c r="D1141" t="s">
        <v>304</v>
      </c>
      <c r="E1141" t="s">
        <v>309</v>
      </c>
      <c r="G1141" t="s">
        <v>8</v>
      </c>
      <c r="H1141" t="s">
        <v>310</v>
      </c>
      <c r="K1141" t="s">
        <v>8</v>
      </c>
      <c r="Q1141" t="str">
        <f t="shared" si="51"/>
        <v>May</v>
      </c>
      <c r="R1141">
        <f t="shared" si="52"/>
        <v>2014</v>
      </c>
      <c r="S1141" t="str">
        <f>VLOOKUP($W1141,TBL_Categories,2,FALSE)</f>
        <v>Monthly</v>
      </c>
      <c r="T1141">
        <f>VLOOKUP($W1141,TBL_Categories,3,FALSE)</f>
        <v>0</v>
      </c>
      <c r="U1141" t="str">
        <f>VLOOKUP($W1141,TBL_Categories,4,FALSE)</f>
        <v>No</v>
      </c>
      <c r="V1141" t="str">
        <f>VLOOKUP($W1141,TBL_Categories,5,FALSE)</f>
        <v>None</v>
      </c>
      <c r="W1141" t="str">
        <f t="shared" si="53"/>
        <v>Interest Income</v>
      </c>
    </row>
    <row r="1142" spans="1:23" x14ac:dyDescent="0.25">
      <c r="A1142" t="s">
        <v>283</v>
      </c>
      <c r="B1142" s="5">
        <v>41789</v>
      </c>
      <c r="C1142">
        <v>2.13</v>
      </c>
      <c r="D1142" t="s">
        <v>304</v>
      </c>
      <c r="E1142" t="s">
        <v>309</v>
      </c>
      <c r="G1142" t="s">
        <v>8</v>
      </c>
      <c r="H1142" t="s">
        <v>310</v>
      </c>
      <c r="K1142" t="s">
        <v>8</v>
      </c>
      <c r="Q1142" t="str">
        <f t="shared" si="51"/>
        <v>May</v>
      </c>
      <c r="R1142">
        <f t="shared" si="52"/>
        <v>2014</v>
      </c>
      <c r="S1142" t="str">
        <f>VLOOKUP($W1142,TBL_Categories,2,FALSE)</f>
        <v>Monthly</v>
      </c>
      <c r="T1142">
        <f>VLOOKUP($W1142,TBL_Categories,3,FALSE)</f>
        <v>0</v>
      </c>
      <c r="U1142" t="str">
        <f>VLOOKUP($W1142,TBL_Categories,4,FALSE)</f>
        <v>No</v>
      </c>
      <c r="V1142" t="str">
        <f>VLOOKUP($W1142,TBL_Categories,5,FALSE)</f>
        <v>None</v>
      </c>
      <c r="W1142" t="str">
        <f t="shared" si="53"/>
        <v>Interest Income</v>
      </c>
    </row>
    <row r="1143" spans="1:23" x14ac:dyDescent="0.25">
      <c r="A1143" t="s">
        <v>290</v>
      </c>
      <c r="B1143" s="5">
        <v>41789</v>
      </c>
      <c r="C1143">
        <v>0.09</v>
      </c>
      <c r="D1143" t="s">
        <v>304</v>
      </c>
      <c r="E1143" t="s">
        <v>399</v>
      </c>
      <c r="G1143" t="s">
        <v>8</v>
      </c>
      <c r="K1143" t="s">
        <v>8</v>
      </c>
      <c r="Q1143" t="str">
        <f t="shared" si="51"/>
        <v>May</v>
      </c>
      <c r="R1143">
        <f t="shared" si="52"/>
        <v>2014</v>
      </c>
      <c r="S1143" t="str">
        <f>VLOOKUP($W1143,TBL_Categories,2,FALSE)</f>
        <v>Monthly</v>
      </c>
      <c r="T1143">
        <f>VLOOKUP($W1143,TBL_Categories,3,FALSE)</f>
        <v>0</v>
      </c>
      <c r="U1143" t="str">
        <f>VLOOKUP($W1143,TBL_Categories,4,FALSE)</f>
        <v>No</v>
      </c>
      <c r="V1143" t="str">
        <f>VLOOKUP($W1143,TBL_Categories,5,FALSE)</f>
        <v>None</v>
      </c>
      <c r="W1143" t="str">
        <f t="shared" si="53"/>
        <v>Interest Income</v>
      </c>
    </row>
    <row r="1144" spans="1:23" x14ac:dyDescent="0.25">
      <c r="A1144" t="s">
        <v>290</v>
      </c>
      <c r="B1144" s="5">
        <v>41789</v>
      </c>
      <c r="C1144">
        <v>2</v>
      </c>
      <c r="D1144" t="s">
        <v>304</v>
      </c>
      <c r="E1144" t="s">
        <v>403</v>
      </c>
      <c r="G1144" t="s">
        <v>397</v>
      </c>
      <c r="K1144" t="s">
        <v>53</v>
      </c>
      <c r="L1144" t="s">
        <v>1562</v>
      </c>
      <c r="Q1144" t="str">
        <f t="shared" si="51"/>
        <v>May</v>
      </c>
      <c r="R1144">
        <f t="shared" si="52"/>
        <v>2014</v>
      </c>
      <c r="S1144" t="str">
        <f>VLOOKUP($W1144,TBL_Categories,2,FALSE)</f>
        <v>Monthly</v>
      </c>
      <c r="T1144">
        <f>VLOOKUP($W1144,TBL_Categories,3,FALSE)</f>
        <v>0</v>
      </c>
      <c r="U1144" t="str">
        <f>VLOOKUP($W1144,TBL_Categories,4,FALSE)</f>
        <v>No</v>
      </c>
      <c r="V1144" t="str">
        <f>VLOOKUP($W1144,TBL_Categories,5,FALSE)</f>
        <v>None</v>
      </c>
      <c r="W1144" t="str">
        <f t="shared" si="53"/>
        <v>Bank Fees &amp; Charges|ATM Fee</v>
      </c>
    </row>
    <row r="1145" spans="1:23" x14ac:dyDescent="0.25">
      <c r="A1145" t="s">
        <v>284</v>
      </c>
      <c r="B1145" s="5">
        <v>41788</v>
      </c>
      <c r="C1145" s="4">
        <v>3030.02</v>
      </c>
      <c r="D1145" t="s">
        <v>304</v>
      </c>
      <c r="E1145" t="s">
        <v>361</v>
      </c>
      <c r="F1145" t="s">
        <v>312</v>
      </c>
      <c r="G1145" t="s">
        <v>12</v>
      </c>
      <c r="K1145" t="s">
        <v>12</v>
      </c>
      <c r="Q1145" t="str">
        <f t="shared" si="51"/>
        <v>May</v>
      </c>
      <c r="R1145">
        <f t="shared" si="52"/>
        <v>2014</v>
      </c>
      <c r="S1145" t="str">
        <f>VLOOKUP($W1145,TBL_Categories,2,FALSE)</f>
        <v>Monthly</v>
      </c>
      <c r="T1145">
        <f>VLOOKUP($W1145,TBL_Categories,3,FALSE)</f>
        <v>0</v>
      </c>
      <c r="U1145" t="str">
        <f>VLOOKUP($W1145,TBL_Categories,4,FALSE)</f>
        <v>No</v>
      </c>
      <c r="V1145" t="str">
        <f>VLOOKUP($W1145,TBL_Categories,5,FALSE)</f>
        <v>None</v>
      </c>
      <c r="W1145" t="str">
        <f t="shared" si="53"/>
        <v>Net Salary</v>
      </c>
    </row>
    <row r="1146" spans="1:23" x14ac:dyDescent="0.25">
      <c r="A1146" t="s">
        <v>284</v>
      </c>
      <c r="B1146" s="5">
        <v>41788</v>
      </c>
      <c r="C1146" s="4">
        <v>6195.6</v>
      </c>
      <c r="D1146" t="s">
        <v>304</v>
      </c>
      <c r="E1146" t="s">
        <v>363</v>
      </c>
      <c r="F1146" t="s">
        <v>1659</v>
      </c>
      <c r="G1146" t="s">
        <v>12</v>
      </c>
      <c r="K1146" t="s">
        <v>12</v>
      </c>
      <c r="Q1146" t="str">
        <f t="shared" si="51"/>
        <v>May</v>
      </c>
      <c r="R1146">
        <f t="shared" si="52"/>
        <v>2014</v>
      </c>
      <c r="S1146" t="str">
        <f>VLOOKUP($W1146,TBL_Categories,2,FALSE)</f>
        <v>Monthly</v>
      </c>
      <c r="T1146">
        <f>VLOOKUP($W1146,TBL_Categories,3,FALSE)</f>
        <v>0</v>
      </c>
      <c r="U1146" t="str">
        <f>VLOOKUP($W1146,TBL_Categories,4,FALSE)</f>
        <v>No</v>
      </c>
      <c r="V1146" t="str">
        <f>VLOOKUP($W1146,TBL_Categories,5,FALSE)</f>
        <v>None</v>
      </c>
      <c r="W1146" t="str">
        <f t="shared" si="53"/>
        <v>Net Salary</v>
      </c>
    </row>
    <row r="1147" spans="1:23" x14ac:dyDescent="0.25">
      <c r="A1147" t="s">
        <v>296</v>
      </c>
      <c r="B1147" s="5">
        <v>41787</v>
      </c>
      <c r="C1147">
        <v>25</v>
      </c>
      <c r="D1147" t="s">
        <v>304</v>
      </c>
      <c r="E1147" t="s">
        <v>429</v>
      </c>
      <c r="G1147" t="s">
        <v>14</v>
      </c>
      <c r="K1147" t="s">
        <v>14</v>
      </c>
      <c r="Q1147" t="str">
        <f t="shared" si="51"/>
        <v>May</v>
      </c>
      <c r="R1147">
        <f t="shared" si="52"/>
        <v>2014</v>
      </c>
      <c r="S1147" t="str">
        <f>VLOOKUP($W1147,TBL_Categories,2,FALSE)</f>
        <v>Monthly</v>
      </c>
      <c r="T1147">
        <f>VLOOKUP($W1147,TBL_Categories,3,FALSE)</f>
        <v>0</v>
      </c>
      <c r="U1147" t="str">
        <f>VLOOKUP($W1147,TBL_Categories,4,FALSE)</f>
        <v>No</v>
      </c>
      <c r="V1147" t="str">
        <f>VLOOKUP($W1147,TBL_Categories,5,FALSE)</f>
        <v>None</v>
      </c>
      <c r="W1147" t="str">
        <f t="shared" si="53"/>
        <v>Other Inc</v>
      </c>
    </row>
    <row r="1148" spans="1:23" x14ac:dyDescent="0.25">
      <c r="A1148" t="s">
        <v>296</v>
      </c>
      <c r="B1148" s="5">
        <v>41787</v>
      </c>
      <c r="C1148">
        <v>-76.599999999999994</v>
      </c>
      <c r="D1148" t="s">
        <v>304</v>
      </c>
      <c r="E1148" t="s">
        <v>507</v>
      </c>
      <c r="F1148" t="s">
        <v>1146</v>
      </c>
      <c r="G1148" t="s">
        <v>927</v>
      </c>
      <c r="J1148" t="s">
        <v>1550</v>
      </c>
      <c r="K1148" t="s">
        <v>72</v>
      </c>
      <c r="L1148" t="s">
        <v>1537</v>
      </c>
      <c r="Q1148" t="str">
        <f t="shared" si="51"/>
        <v>May</v>
      </c>
      <c r="R1148">
        <f t="shared" si="52"/>
        <v>2014</v>
      </c>
      <c r="S1148" t="str">
        <f>VLOOKUP($W1148,TBL_Categories,2,FALSE)</f>
        <v>Annual</v>
      </c>
      <c r="T1148">
        <f>VLOOKUP($W1148,TBL_Categories,3,FALSE)</f>
        <v>0</v>
      </c>
      <c r="U1148" t="str">
        <f>VLOOKUP($W1148,TBL_Categories,4,FALSE)</f>
        <v>No</v>
      </c>
      <c r="V1148" t="str">
        <f>VLOOKUP($W1148,TBL_Categories,5,FALSE)</f>
        <v>None</v>
      </c>
      <c r="W1148" t="str">
        <f t="shared" si="53"/>
        <v>Shopping|Clothing</v>
      </c>
    </row>
    <row r="1149" spans="1:23" x14ac:dyDescent="0.25">
      <c r="A1149" t="s">
        <v>296</v>
      </c>
      <c r="B1149" s="5">
        <v>41787</v>
      </c>
      <c r="C1149">
        <v>-163.16</v>
      </c>
      <c r="D1149" t="s">
        <v>304</v>
      </c>
      <c r="E1149" t="s">
        <v>451</v>
      </c>
      <c r="F1149" t="s">
        <v>1144</v>
      </c>
      <c r="G1149" t="s">
        <v>1133</v>
      </c>
      <c r="J1149" t="s">
        <v>1550</v>
      </c>
      <c r="K1149" t="s">
        <v>90</v>
      </c>
      <c r="L1149" t="s">
        <v>1594</v>
      </c>
      <c r="Q1149" t="str">
        <f t="shared" si="51"/>
        <v>May</v>
      </c>
      <c r="R1149">
        <f t="shared" si="52"/>
        <v>2014</v>
      </c>
      <c r="S1149" t="str">
        <f>VLOOKUP($W1149,TBL_Categories,2,FALSE)</f>
        <v>Unplanned</v>
      </c>
      <c r="T1149">
        <f>VLOOKUP($W1149,TBL_Categories,3,FALSE)</f>
        <v>0</v>
      </c>
      <c r="U1149" t="str">
        <f>VLOOKUP($W1149,TBL_Categories,4,FALSE)</f>
        <v>No</v>
      </c>
      <c r="V1149" t="str">
        <f>VLOOKUP($W1149,TBL_Categories,5,FALSE)</f>
        <v>None</v>
      </c>
      <c r="W1149" t="str">
        <f t="shared" si="53"/>
        <v>Projects|Boy's Room</v>
      </c>
    </row>
    <row r="1150" spans="1:23" x14ac:dyDescent="0.25">
      <c r="A1150" t="s">
        <v>284</v>
      </c>
      <c r="B1150" s="5">
        <v>41786</v>
      </c>
      <c r="C1150">
        <v>-523.65</v>
      </c>
      <c r="D1150" t="s">
        <v>304</v>
      </c>
      <c r="E1150" t="s">
        <v>377</v>
      </c>
      <c r="F1150" t="s">
        <v>636</v>
      </c>
      <c r="G1150" t="s">
        <v>657</v>
      </c>
      <c r="K1150" t="s">
        <v>657</v>
      </c>
      <c r="Q1150" t="str">
        <f t="shared" si="51"/>
        <v>May</v>
      </c>
      <c r="R1150">
        <f t="shared" si="52"/>
        <v>2014</v>
      </c>
      <c r="S1150" t="e">
        <f>VLOOKUP($W1150,TBL_Categories,2,FALSE)</f>
        <v>#N/A</v>
      </c>
      <c r="T1150" t="e">
        <f>VLOOKUP($W1150,TBL_Categories,3,FALSE)</f>
        <v>#N/A</v>
      </c>
      <c r="U1150" t="e">
        <f>VLOOKUP($W1150,TBL_Categories,4,FALSE)</f>
        <v>#N/A</v>
      </c>
      <c r="V1150" t="e">
        <f>VLOOKUP($W1150,TBL_Categories,5,FALSE)</f>
        <v>#N/A</v>
      </c>
      <c r="W1150" t="str">
        <f t="shared" si="53"/>
        <v>[Chase Freedom XX9381]</v>
      </c>
    </row>
    <row r="1151" spans="1:23" x14ac:dyDescent="0.25">
      <c r="A1151" t="s">
        <v>288</v>
      </c>
      <c r="B1151" s="5">
        <v>41786</v>
      </c>
      <c r="C1151">
        <v>-130.86000000000001</v>
      </c>
      <c r="D1151" t="s">
        <v>304</v>
      </c>
      <c r="E1151" t="s">
        <v>391</v>
      </c>
      <c r="F1151" t="s">
        <v>1648</v>
      </c>
      <c r="G1151" t="s">
        <v>31</v>
      </c>
      <c r="K1151" t="s">
        <v>31</v>
      </c>
      <c r="Q1151" t="str">
        <f t="shared" si="51"/>
        <v>May</v>
      </c>
      <c r="R1151">
        <f t="shared" si="52"/>
        <v>2014</v>
      </c>
      <c r="S1151" t="str">
        <f>VLOOKUP($W1151,TBL_Categories,2,FALSE)</f>
        <v>Account</v>
      </c>
      <c r="T1151">
        <f>VLOOKUP($W1151,TBL_Categories,3,FALSE)</f>
        <v>0</v>
      </c>
      <c r="U1151" t="str">
        <f>VLOOKUP($W1151,TBL_Categories,4,FALSE)</f>
        <v>No</v>
      </c>
      <c r="V1151" t="str">
        <f>VLOOKUP($W1151,TBL_Categories,5,FALSE)</f>
        <v>None</v>
      </c>
      <c r="W1151" t="str">
        <f t="shared" si="53"/>
        <v>[Koolikai Credit Card]</v>
      </c>
    </row>
    <row r="1152" spans="1:23" x14ac:dyDescent="0.25">
      <c r="A1152" t="s">
        <v>633</v>
      </c>
      <c r="B1152" s="5">
        <v>41786</v>
      </c>
      <c r="C1152">
        <v>-8</v>
      </c>
      <c r="D1152" t="s">
        <v>304</v>
      </c>
      <c r="E1152" t="s">
        <v>954</v>
      </c>
      <c r="F1152" t="s">
        <v>955</v>
      </c>
      <c r="G1152" t="s">
        <v>333</v>
      </c>
      <c r="K1152" t="s">
        <v>61</v>
      </c>
      <c r="L1152" t="s">
        <v>1530</v>
      </c>
      <c r="Q1152" t="str">
        <f t="shared" si="51"/>
        <v>May</v>
      </c>
      <c r="R1152">
        <f t="shared" si="52"/>
        <v>2014</v>
      </c>
      <c r="S1152" t="str">
        <f>VLOOKUP($W1152,TBL_Categories,2,FALSE)</f>
        <v>Monthly</v>
      </c>
      <c r="T1152">
        <f>VLOOKUP($W1152,TBL_Categories,3,FALSE)</f>
        <v>0</v>
      </c>
      <c r="U1152" t="str">
        <f>VLOOKUP($W1152,TBL_Categories,4,FALSE)</f>
        <v>No</v>
      </c>
      <c r="V1152" t="str">
        <f>VLOOKUP($W1152,TBL_Categories,5,FALSE)</f>
        <v>None</v>
      </c>
      <c r="W1152" t="str">
        <f t="shared" si="53"/>
        <v>Food &amp; Dining|Restaurants</v>
      </c>
    </row>
    <row r="1153" spans="1:23" x14ac:dyDescent="0.25">
      <c r="A1153" t="s">
        <v>633</v>
      </c>
      <c r="B1153" s="5">
        <v>41786</v>
      </c>
      <c r="C1153">
        <v>-43.84</v>
      </c>
      <c r="D1153" t="s">
        <v>304</v>
      </c>
      <c r="E1153" t="s">
        <v>956</v>
      </c>
      <c r="F1153" t="s">
        <v>955</v>
      </c>
      <c r="G1153" t="s">
        <v>773</v>
      </c>
      <c r="J1153" t="s">
        <v>1550</v>
      </c>
      <c r="K1153" t="s">
        <v>61</v>
      </c>
      <c r="L1153" t="s">
        <v>1530</v>
      </c>
      <c r="Q1153" t="str">
        <f t="shared" si="51"/>
        <v>May</v>
      </c>
      <c r="R1153">
        <f t="shared" si="52"/>
        <v>2014</v>
      </c>
      <c r="S1153" t="str">
        <f>VLOOKUP($W1153,TBL_Categories,2,FALSE)</f>
        <v>Monthly</v>
      </c>
      <c r="T1153">
        <f>VLOOKUP($W1153,TBL_Categories,3,FALSE)</f>
        <v>0</v>
      </c>
      <c r="U1153" t="str">
        <f>VLOOKUP($W1153,TBL_Categories,4,FALSE)</f>
        <v>No</v>
      </c>
      <c r="V1153" t="str">
        <f>VLOOKUP($W1153,TBL_Categories,5,FALSE)</f>
        <v>None</v>
      </c>
      <c r="W1153" t="str">
        <f t="shared" si="53"/>
        <v>Food &amp; Dining|Restaurants</v>
      </c>
    </row>
    <row r="1154" spans="1:23" x14ac:dyDescent="0.25">
      <c r="A1154" t="s">
        <v>296</v>
      </c>
      <c r="B1154" s="5">
        <v>41786</v>
      </c>
      <c r="C1154">
        <v>-72.150000000000006</v>
      </c>
      <c r="D1154" t="s">
        <v>304</v>
      </c>
      <c r="E1154" t="s">
        <v>451</v>
      </c>
      <c r="F1154" t="s">
        <v>1134</v>
      </c>
      <c r="G1154" t="s">
        <v>1133</v>
      </c>
      <c r="J1154" t="s">
        <v>1550</v>
      </c>
      <c r="K1154" t="s">
        <v>90</v>
      </c>
      <c r="L1154" t="s">
        <v>1594</v>
      </c>
      <c r="Q1154" t="str">
        <f t="shared" ref="Q1154:Q1217" si="54">TEXT($B1154,"MMM")</f>
        <v>May</v>
      </c>
      <c r="R1154">
        <f t="shared" ref="R1154:R1217" si="55">YEAR($B1154)</f>
        <v>2014</v>
      </c>
      <c r="S1154" t="str">
        <f>VLOOKUP($W1154,TBL_Categories,2,FALSE)</f>
        <v>Unplanned</v>
      </c>
      <c r="T1154">
        <f>VLOOKUP($W1154,TBL_Categories,3,FALSE)</f>
        <v>0</v>
      </c>
      <c r="U1154" t="str">
        <f>VLOOKUP($W1154,TBL_Categories,4,FALSE)</f>
        <v>No</v>
      </c>
      <c r="V1154" t="str">
        <f>VLOOKUP($W1154,TBL_Categories,5,FALSE)</f>
        <v>None</v>
      </c>
      <c r="W1154" t="str">
        <f t="shared" ref="W1154:W1217" si="56">IF(ISBLANK($L1154),$K1154,CONCATENATE($K1154,"|",$L1154))</f>
        <v>Projects|Boy's Room</v>
      </c>
    </row>
    <row r="1155" spans="1:23" x14ac:dyDescent="0.25">
      <c r="A1155" t="s">
        <v>296</v>
      </c>
      <c r="B1155" s="5">
        <v>41786</v>
      </c>
      <c r="C1155">
        <v>-72.150000000000006</v>
      </c>
      <c r="D1155" t="s">
        <v>304</v>
      </c>
      <c r="E1155" t="s">
        <v>451</v>
      </c>
      <c r="F1155" t="s">
        <v>1134</v>
      </c>
      <c r="G1155" t="s">
        <v>1133</v>
      </c>
      <c r="J1155" t="s">
        <v>1550</v>
      </c>
      <c r="K1155" t="s">
        <v>90</v>
      </c>
      <c r="L1155" t="s">
        <v>1594</v>
      </c>
      <c r="Q1155" t="str">
        <f t="shared" si="54"/>
        <v>May</v>
      </c>
      <c r="R1155">
        <f t="shared" si="55"/>
        <v>2014</v>
      </c>
      <c r="S1155" t="str">
        <f>VLOOKUP($W1155,TBL_Categories,2,FALSE)</f>
        <v>Unplanned</v>
      </c>
      <c r="T1155">
        <f>VLOOKUP($W1155,TBL_Categories,3,FALSE)</f>
        <v>0</v>
      </c>
      <c r="U1155" t="str">
        <f>VLOOKUP($W1155,TBL_Categories,4,FALSE)</f>
        <v>No</v>
      </c>
      <c r="V1155" t="str">
        <f>VLOOKUP($W1155,TBL_Categories,5,FALSE)</f>
        <v>None</v>
      </c>
      <c r="W1155" t="str">
        <f t="shared" si="56"/>
        <v>Projects|Boy's Room</v>
      </c>
    </row>
    <row r="1156" spans="1:23" x14ac:dyDescent="0.25">
      <c r="A1156" t="s">
        <v>296</v>
      </c>
      <c r="B1156" s="5">
        <v>41786</v>
      </c>
      <c r="C1156">
        <v>-6.99</v>
      </c>
      <c r="D1156" t="s">
        <v>304</v>
      </c>
      <c r="E1156" t="s">
        <v>451</v>
      </c>
      <c r="F1156" t="s">
        <v>1135</v>
      </c>
      <c r="G1156" t="s">
        <v>1020</v>
      </c>
      <c r="I1156" t="s">
        <v>272</v>
      </c>
      <c r="J1156" t="s">
        <v>1550</v>
      </c>
      <c r="K1156" t="s">
        <v>66</v>
      </c>
      <c r="L1156" t="s">
        <v>1536</v>
      </c>
      <c r="Q1156" t="str">
        <f t="shared" si="54"/>
        <v>May</v>
      </c>
      <c r="R1156">
        <f t="shared" si="55"/>
        <v>2014</v>
      </c>
      <c r="S1156" t="str">
        <f>VLOOKUP($W1156,TBL_Categories,2,FALSE)</f>
        <v>Monthly</v>
      </c>
      <c r="T1156">
        <f>VLOOKUP($W1156,TBL_Categories,3,FALSE)</f>
        <v>0</v>
      </c>
      <c r="U1156" t="str">
        <f>VLOOKUP($W1156,TBL_Categories,4,FALSE)</f>
        <v>No</v>
      </c>
      <c r="V1156" t="str">
        <f>VLOOKUP($W1156,TBL_Categories,5,FALSE)</f>
        <v>None</v>
      </c>
      <c r="W1156" t="str">
        <f t="shared" si="56"/>
        <v>Kids|Toys</v>
      </c>
    </row>
    <row r="1157" spans="1:23" x14ac:dyDescent="0.25">
      <c r="A1157" t="s">
        <v>296</v>
      </c>
      <c r="B1157" s="5">
        <v>41786</v>
      </c>
      <c r="C1157">
        <v>-39.9</v>
      </c>
      <c r="D1157" t="s">
        <v>304</v>
      </c>
      <c r="E1157" t="s">
        <v>451</v>
      </c>
      <c r="F1157" t="s">
        <v>1136</v>
      </c>
      <c r="G1157" t="s">
        <v>888</v>
      </c>
      <c r="I1157" t="s">
        <v>272</v>
      </c>
      <c r="J1157" t="s">
        <v>1550</v>
      </c>
      <c r="K1157" t="s">
        <v>63</v>
      </c>
      <c r="L1157" t="s">
        <v>1546</v>
      </c>
      <c r="Q1157" t="str">
        <f t="shared" si="54"/>
        <v>May</v>
      </c>
      <c r="R1157">
        <f t="shared" si="55"/>
        <v>2014</v>
      </c>
      <c r="S1157" t="str">
        <f>VLOOKUP($W1157,TBL_Categories,2,FALSE)</f>
        <v>Monthly</v>
      </c>
      <c r="T1157">
        <f>VLOOKUP($W1157,TBL_Categories,3,FALSE)</f>
        <v>0</v>
      </c>
      <c r="U1157" t="str">
        <f>VLOOKUP($W1157,TBL_Categories,4,FALSE)</f>
        <v>No</v>
      </c>
      <c r="V1157" t="str">
        <f>VLOOKUP($W1157,TBL_Categories,5,FALSE)</f>
        <v>None</v>
      </c>
      <c r="W1157" t="str">
        <f t="shared" si="56"/>
        <v>Home|Furnishings</v>
      </c>
    </row>
    <row r="1158" spans="1:23" x14ac:dyDescent="0.25">
      <c r="A1158" t="s">
        <v>296</v>
      </c>
      <c r="B1158" s="5">
        <v>41786</v>
      </c>
      <c r="C1158">
        <v>-15.83</v>
      </c>
      <c r="D1158" t="s">
        <v>304</v>
      </c>
      <c r="E1158" t="s">
        <v>451</v>
      </c>
      <c r="F1158" t="s">
        <v>1137</v>
      </c>
      <c r="G1158" t="s">
        <v>1037</v>
      </c>
      <c r="I1158" t="s">
        <v>272</v>
      </c>
      <c r="J1158" t="s">
        <v>1550</v>
      </c>
      <c r="K1158" t="s">
        <v>72</v>
      </c>
      <c r="L1158" t="s">
        <v>460</v>
      </c>
      <c r="Q1158" t="str">
        <f t="shared" si="54"/>
        <v>May</v>
      </c>
      <c r="R1158">
        <f t="shared" si="55"/>
        <v>2014</v>
      </c>
      <c r="S1158" t="str">
        <f>VLOOKUP($W1158,TBL_Categories,2,FALSE)</f>
        <v>Unplanned</v>
      </c>
      <c r="T1158">
        <f>VLOOKUP($W1158,TBL_Categories,3,FALSE)</f>
        <v>0</v>
      </c>
      <c r="U1158" t="str">
        <f>VLOOKUP($W1158,TBL_Categories,4,FALSE)</f>
        <v>No</v>
      </c>
      <c r="V1158" t="str">
        <f>VLOOKUP($W1158,TBL_Categories,5,FALSE)</f>
        <v>None</v>
      </c>
      <c r="W1158" t="str">
        <f t="shared" si="56"/>
        <v>Shopping|Books</v>
      </c>
    </row>
    <row r="1159" spans="1:23" x14ac:dyDescent="0.25">
      <c r="A1159" t="s">
        <v>296</v>
      </c>
      <c r="B1159" s="5">
        <v>41786</v>
      </c>
      <c r="C1159">
        <v>-15.75</v>
      </c>
      <c r="D1159" t="s">
        <v>304</v>
      </c>
      <c r="E1159" t="s">
        <v>451</v>
      </c>
      <c r="F1159" t="s">
        <v>1138</v>
      </c>
      <c r="G1159" t="s">
        <v>1020</v>
      </c>
      <c r="I1159" t="s">
        <v>272</v>
      </c>
      <c r="J1159" t="s">
        <v>1550</v>
      </c>
      <c r="K1159" t="s">
        <v>66</v>
      </c>
      <c r="L1159" t="s">
        <v>1536</v>
      </c>
      <c r="Q1159" t="str">
        <f t="shared" si="54"/>
        <v>May</v>
      </c>
      <c r="R1159">
        <f t="shared" si="55"/>
        <v>2014</v>
      </c>
      <c r="S1159" t="str">
        <f>VLOOKUP($W1159,TBL_Categories,2,FALSE)</f>
        <v>Monthly</v>
      </c>
      <c r="T1159">
        <f>VLOOKUP($W1159,TBL_Categories,3,FALSE)</f>
        <v>0</v>
      </c>
      <c r="U1159" t="str">
        <f>VLOOKUP($W1159,TBL_Categories,4,FALSE)</f>
        <v>No</v>
      </c>
      <c r="V1159" t="str">
        <f>VLOOKUP($W1159,TBL_Categories,5,FALSE)</f>
        <v>None</v>
      </c>
      <c r="W1159" t="str">
        <f t="shared" si="56"/>
        <v>Kids|Toys</v>
      </c>
    </row>
    <row r="1160" spans="1:23" x14ac:dyDescent="0.25">
      <c r="A1160" t="s">
        <v>296</v>
      </c>
      <c r="B1160" s="5">
        <v>41786</v>
      </c>
      <c r="C1160">
        <v>-22.09</v>
      </c>
      <c r="D1160" t="s">
        <v>304</v>
      </c>
      <c r="E1160" t="s">
        <v>451</v>
      </c>
      <c r="F1160" t="s">
        <v>1139</v>
      </c>
      <c r="G1160" t="s">
        <v>1020</v>
      </c>
      <c r="I1160" t="s">
        <v>272</v>
      </c>
      <c r="J1160" t="s">
        <v>1550</v>
      </c>
      <c r="K1160" t="s">
        <v>66</v>
      </c>
      <c r="L1160" t="s">
        <v>1536</v>
      </c>
      <c r="Q1160" t="str">
        <f t="shared" si="54"/>
        <v>May</v>
      </c>
      <c r="R1160">
        <f t="shared" si="55"/>
        <v>2014</v>
      </c>
      <c r="S1160" t="str">
        <f>VLOOKUP($W1160,TBL_Categories,2,FALSE)</f>
        <v>Monthly</v>
      </c>
      <c r="T1160">
        <f>VLOOKUP($W1160,TBL_Categories,3,FALSE)</f>
        <v>0</v>
      </c>
      <c r="U1160" t="str">
        <f>VLOOKUP($W1160,TBL_Categories,4,FALSE)</f>
        <v>No</v>
      </c>
      <c r="V1160" t="str">
        <f>VLOOKUP($W1160,TBL_Categories,5,FALSE)</f>
        <v>None</v>
      </c>
      <c r="W1160" t="str">
        <f t="shared" si="56"/>
        <v>Kids|Toys</v>
      </c>
    </row>
    <row r="1161" spans="1:23" x14ac:dyDescent="0.25">
      <c r="A1161" t="s">
        <v>296</v>
      </c>
      <c r="B1161" s="5">
        <v>41786</v>
      </c>
      <c r="C1161">
        <v>-12.98</v>
      </c>
      <c r="D1161" t="s">
        <v>304</v>
      </c>
      <c r="E1161" t="s">
        <v>451</v>
      </c>
      <c r="F1161" t="s">
        <v>1140</v>
      </c>
      <c r="G1161" t="s">
        <v>1133</v>
      </c>
      <c r="I1161" t="s">
        <v>272</v>
      </c>
      <c r="J1161" t="s">
        <v>1550</v>
      </c>
      <c r="K1161" t="s">
        <v>90</v>
      </c>
      <c r="L1161" t="s">
        <v>1594</v>
      </c>
      <c r="Q1161" t="str">
        <f t="shared" si="54"/>
        <v>May</v>
      </c>
      <c r="R1161">
        <f t="shared" si="55"/>
        <v>2014</v>
      </c>
      <c r="S1161" t="str">
        <f>VLOOKUP($W1161,TBL_Categories,2,FALSE)</f>
        <v>Unplanned</v>
      </c>
      <c r="T1161">
        <f>VLOOKUP($W1161,TBL_Categories,3,FALSE)</f>
        <v>0</v>
      </c>
      <c r="U1161" t="str">
        <f>VLOOKUP($W1161,TBL_Categories,4,FALSE)</f>
        <v>No</v>
      </c>
      <c r="V1161" t="str">
        <f>VLOOKUP($W1161,TBL_Categories,5,FALSE)</f>
        <v>None</v>
      </c>
      <c r="W1161" t="str">
        <f t="shared" si="56"/>
        <v>Projects|Boy's Room</v>
      </c>
    </row>
    <row r="1162" spans="1:23" x14ac:dyDescent="0.25">
      <c r="A1162" t="s">
        <v>296</v>
      </c>
      <c r="B1162" s="5">
        <v>41786</v>
      </c>
      <c r="C1162">
        <v>-114.96</v>
      </c>
      <c r="D1162" t="s">
        <v>304</v>
      </c>
      <c r="E1162" t="s">
        <v>451</v>
      </c>
      <c r="F1162" t="s">
        <v>1141</v>
      </c>
      <c r="G1162" t="s">
        <v>1142</v>
      </c>
      <c r="J1162" t="s">
        <v>1550</v>
      </c>
      <c r="K1162" t="s">
        <v>72</v>
      </c>
      <c r="L1162" t="s">
        <v>1534</v>
      </c>
      <c r="Q1162" t="str">
        <f t="shared" si="54"/>
        <v>May</v>
      </c>
      <c r="R1162">
        <f t="shared" si="55"/>
        <v>2014</v>
      </c>
      <c r="S1162" t="str">
        <f>VLOOKUP($W1162,TBL_Categories,2,FALSE)</f>
        <v>Annual</v>
      </c>
      <c r="T1162">
        <f>VLOOKUP($W1162,TBL_Categories,3,FALSE)</f>
        <v>0</v>
      </c>
      <c r="U1162" t="str">
        <f>VLOOKUP($W1162,TBL_Categories,4,FALSE)</f>
        <v>No</v>
      </c>
      <c r="V1162" t="str">
        <f>VLOOKUP($W1162,TBL_Categories,5,FALSE)</f>
        <v>None</v>
      </c>
      <c r="W1162" t="str">
        <f t="shared" si="56"/>
        <v>Shopping|Electronics &amp; Software</v>
      </c>
    </row>
    <row r="1163" spans="1:23" x14ac:dyDescent="0.25">
      <c r="A1163" t="s">
        <v>296</v>
      </c>
      <c r="B1163" s="5">
        <v>41786</v>
      </c>
      <c r="C1163">
        <v>-136.88</v>
      </c>
      <c r="D1163" t="s">
        <v>304</v>
      </c>
      <c r="E1163" t="s">
        <v>451</v>
      </c>
      <c r="F1163" t="s">
        <v>1143</v>
      </c>
      <c r="G1163" t="s">
        <v>1133</v>
      </c>
      <c r="J1163" t="s">
        <v>1550</v>
      </c>
      <c r="K1163" t="s">
        <v>90</v>
      </c>
      <c r="L1163" t="s">
        <v>1594</v>
      </c>
      <c r="Q1163" t="str">
        <f t="shared" si="54"/>
        <v>May</v>
      </c>
      <c r="R1163">
        <f t="shared" si="55"/>
        <v>2014</v>
      </c>
      <c r="S1163" t="str">
        <f>VLOOKUP($W1163,TBL_Categories,2,FALSE)</f>
        <v>Unplanned</v>
      </c>
      <c r="T1163">
        <f>VLOOKUP($W1163,TBL_Categories,3,FALSE)</f>
        <v>0</v>
      </c>
      <c r="U1163" t="str">
        <f>VLOOKUP($W1163,TBL_Categories,4,FALSE)</f>
        <v>No</v>
      </c>
      <c r="V1163" t="str">
        <f>VLOOKUP($W1163,TBL_Categories,5,FALSE)</f>
        <v>None</v>
      </c>
      <c r="W1163" t="str">
        <f t="shared" si="56"/>
        <v>Projects|Boy's Room</v>
      </c>
    </row>
    <row r="1164" spans="1:23" x14ac:dyDescent="0.25">
      <c r="A1164" t="s">
        <v>296</v>
      </c>
      <c r="B1164" s="5">
        <v>41786</v>
      </c>
      <c r="C1164">
        <v>-136.88</v>
      </c>
      <c r="D1164" t="s">
        <v>304</v>
      </c>
      <c r="E1164" t="s">
        <v>451</v>
      </c>
      <c r="F1164" t="s">
        <v>1143</v>
      </c>
      <c r="G1164" t="s">
        <v>1133</v>
      </c>
      <c r="J1164" t="s">
        <v>1550</v>
      </c>
      <c r="K1164" t="s">
        <v>90</v>
      </c>
      <c r="L1164" t="s">
        <v>1594</v>
      </c>
      <c r="Q1164" t="str">
        <f t="shared" si="54"/>
        <v>May</v>
      </c>
      <c r="R1164">
        <f t="shared" si="55"/>
        <v>2014</v>
      </c>
      <c r="S1164" t="str">
        <f>VLOOKUP($W1164,TBL_Categories,2,FALSE)</f>
        <v>Unplanned</v>
      </c>
      <c r="T1164">
        <f>VLOOKUP($W1164,TBL_Categories,3,FALSE)</f>
        <v>0</v>
      </c>
      <c r="U1164" t="str">
        <f>VLOOKUP($W1164,TBL_Categories,4,FALSE)</f>
        <v>No</v>
      </c>
      <c r="V1164" t="str">
        <f>VLOOKUP($W1164,TBL_Categories,5,FALSE)</f>
        <v>None</v>
      </c>
      <c r="W1164" t="str">
        <f t="shared" si="56"/>
        <v>Projects|Boy's Room</v>
      </c>
    </row>
    <row r="1165" spans="1:23" x14ac:dyDescent="0.25">
      <c r="A1165" t="s">
        <v>296</v>
      </c>
      <c r="B1165" s="5">
        <v>41786</v>
      </c>
      <c r="C1165">
        <v>-163.16</v>
      </c>
      <c r="D1165" t="s">
        <v>304</v>
      </c>
      <c r="E1165" t="s">
        <v>451</v>
      </c>
      <c r="F1165" t="s">
        <v>1144</v>
      </c>
      <c r="G1165" t="s">
        <v>1133</v>
      </c>
      <c r="J1165" t="s">
        <v>1550</v>
      </c>
      <c r="K1165" t="s">
        <v>90</v>
      </c>
      <c r="L1165" t="s">
        <v>1594</v>
      </c>
      <c r="Q1165" t="str">
        <f t="shared" si="54"/>
        <v>May</v>
      </c>
      <c r="R1165">
        <f t="shared" si="55"/>
        <v>2014</v>
      </c>
      <c r="S1165" t="str">
        <f>VLOOKUP($W1165,TBL_Categories,2,FALSE)</f>
        <v>Unplanned</v>
      </c>
      <c r="T1165">
        <f>VLOOKUP($W1165,TBL_Categories,3,FALSE)</f>
        <v>0</v>
      </c>
      <c r="U1165" t="str">
        <f>VLOOKUP($W1165,TBL_Categories,4,FALSE)</f>
        <v>No</v>
      </c>
      <c r="V1165" t="str">
        <f>VLOOKUP($W1165,TBL_Categories,5,FALSE)</f>
        <v>None</v>
      </c>
      <c r="W1165" t="str">
        <f t="shared" si="56"/>
        <v>Projects|Boy's Room</v>
      </c>
    </row>
    <row r="1166" spans="1:23" x14ac:dyDescent="0.25">
      <c r="A1166" t="s">
        <v>296</v>
      </c>
      <c r="B1166" s="5">
        <v>41786</v>
      </c>
      <c r="C1166">
        <v>-167.52</v>
      </c>
      <c r="D1166" t="s">
        <v>304</v>
      </c>
      <c r="E1166" t="s">
        <v>451</v>
      </c>
      <c r="F1166" t="s">
        <v>1145</v>
      </c>
      <c r="G1166" t="s">
        <v>1133</v>
      </c>
      <c r="J1166" t="s">
        <v>1550</v>
      </c>
      <c r="K1166" t="s">
        <v>90</v>
      </c>
      <c r="L1166" t="s">
        <v>1594</v>
      </c>
      <c r="Q1166" t="str">
        <f t="shared" si="54"/>
        <v>May</v>
      </c>
      <c r="R1166">
        <f t="shared" si="55"/>
        <v>2014</v>
      </c>
      <c r="S1166" t="str">
        <f>VLOOKUP($W1166,TBL_Categories,2,FALSE)</f>
        <v>Unplanned</v>
      </c>
      <c r="T1166">
        <f>VLOOKUP($W1166,TBL_Categories,3,FALSE)</f>
        <v>0</v>
      </c>
      <c r="U1166" t="str">
        <f>VLOOKUP($W1166,TBL_Categories,4,FALSE)</f>
        <v>No</v>
      </c>
      <c r="V1166" t="str">
        <f>VLOOKUP($W1166,TBL_Categories,5,FALSE)</f>
        <v>None</v>
      </c>
      <c r="W1166" t="str">
        <f t="shared" si="56"/>
        <v>Projects|Boy's Room</v>
      </c>
    </row>
    <row r="1167" spans="1:23" x14ac:dyDescent="0.25">
      <c r="A1167" t="s">
        <v>296</v>
      </c>
      <c r="B1167" s="5">
        <v>41786</v>
      </c>
      <c r="C1167">
        <v>-167.52</v>
      </c>
      <c r="D1167" t="s">
        <v>304</v>
      </c>
      <c r="E1167" t="s">
        <v>451</v>
      </c>
      <c r="F1167" t="s">
        <v>1145</v>
      </c>
      <c r="G1167" t="s">
        <v>1133</v>
      </c>
      <c r="J1167" t="s">
        <v>1550</v>
      </c>
      <c r="K1167" t="s">
        <v>90</v>
      </c>
      <c r="L1167" t="s">
        <v>1594</v>
      </c>
      <c r="Q1167" t="str">
        <f t="shared" si="54"/>
        <v>May</v>
      </c>
      <c r="R1167">
        <f t="shared" si="55"/>
        <v>2014</v>
      </c>
      <c r="S1167" t="str">
        <f>VLOOKUP($W1167,TBL_Categories,2,FALSE)</f>
        <v>Unplanned</v>
      </c>
      <c r="T1167">
        <f>VLOOKUP($W1167,TBL_Categories,3,FALSE)</f>
        <v>0</v>
      </c>
      <c r="U1167" t="str">
        <f>VLOOKUP($W1167,TBL_Categories,4,FALSE)</f>
        <v>No</v>
      </c>
      <c r="V1167" t="str">
        <f>VLOOKUP($W1167,TBL_Categories,5,FALSE)</f>
        <v>None</v>
      </c>
      <c r="W1167" t="str">
        <f t="shared" si="56"/>
        <v>Projects|Boy's Room</v>
      </c>
    </row>
    <row r="1168" spans="1:23" x14ac:dyDescent="0.25">
      <c r="A1168" t="s">
        <v>633</v>
      </c>
      <c r="B1168" s="5">
        <v>41785</v>
      </c>
      <c r="C1168">
        <v>523.65</v>
      </c>
      <c r="D1168" t="s">
        <v>304</v>
      </c>
      <c r="E1168" t="s">
        <v>822</v>
      </c>
      <c r="G1168" t="s">
        <v>9</v>
      </c>
      <c r="K1168" t="s">
        <v>9</v>
      </c>
      <c r="Q1168" t="str">
        <f t="shared" si="54"/>
        <v>May</v>
      </c>
      <c r="R1168">
        <f t="shared" si="55"/>
        <v>2014</v>
      </c>
      <c r="S1168" t="str">
        <f>VLOOKUP($W1168,TBL_Categories,2,FALSE)</f>
        <v>Account</v>
      </c>
      <c r="T1168">
        <f>VLOOKUP($W1168,TBL_Categories,3,FALSE)</f>
        <v>0</v>
      </c>
      <c r="U1168" t="str">
        <f>VLOOKUP($W1168,TBL_Categories,4,FALSE)</f>
        <v>No</v>
      </c>
      <c r="V1168" t="str">
        <f>VLOOKUP($W1168,TBL_Categories,5,FALSE)</f>
        <v>None</v>
      </c>
      <c r="W1168" t="str">
        <f t="shared" si="56"/>
        <v>[First Tech - Checking (5544)]</v>
      </c>
    </row>
    <row r="1169" spans="1:23" x14ac:dyDescent="0.25">
      <c r="A1169" t="s">
        <v>633</v>
      </c>
      <c r="B1169" s="5">
        <v>41785</v>
      </c>
      <c r="C1169">
        <v>-23.11</v>
      </c>
      <c r="D1169" t="s">
        <v>304</v>
      </c>
      <c r="E1169" t="s">
        <v>947</v>
      </c>
      <c r="G1169" t="s">
        <v>333</v>
      </c>
      <c r="K1169" t="s">
        <v>61</v>
      </c>
      <c r="L1169" t="s">
        <v>1530</v>
      </c>
      <c r="Q1169" t="str">
        <f t="shared" si="54"/>
        <v>May</v>
      </c>
      <c r="R1169">
        <f t="shared" si="55"/>
        <v>2014</v>
      </c>
      <c r="S1169" t="str">
        <f>VLOOKUP($W1169,TBL_Categories,2,FALSE)</f>
        <v>Monthly</v>
      </c>
      <c r="T1169">
        <f>VLOOKUP($W1169,TBL_Categories,3,FALSE)</f>
        <v>0</v>
      </c>
      <c r="U1169" t="str">
        <f>VLOOKUP($W1169,TBL_Categories,4,FALSE)</f>
        <v>No</v>
      </c>
      <c r="V1169" t="str">
        <f>VLOOKUP($W1169,TBL_Categories,5,FALSE)</f>
        <v>None</v>
      </c>
      <c r="W1169" t="str">
        <f t="shared" si="56"/>
        <v>Food &amp; Dining|Restaurants</v>
      </c>
    </row>
    <row r="1170" spans="1:23" x14ac:dyDescent="0.25">
      <c r="A1170" t="s">
        <v>633</v>
      </c>
      <c r="B1170" s="5">
        <v>41785</v>
      </c>
      <c r="C1170">
        <v>-23.81</v>
      </c>
      <c r="D1170" t="s">
        <v>304</v>
      </c>
      <c r="E1170" t="s">
        <v>423</v>
      </c>
      <c r="F1170" t="s">
        <v>948</v>
      </c>
      <c r="G1170" t="s">
        <v>949</v>
      </c>
      <c r="J1170" t="s">
        <v>1550</v>
      </c>
      <c r="K1170" t="s">
        <v>63</v>
      </c>
      <c r="L1170" t="s">
        <v>1574</v>
      </c>
      <c r="Q1170" t="str">
        <f t="shared" si="54"/>
        <v>May</v>
      </c>
      <c r="R1170">
        <f t="shared" si="55"/>
        <v>2014</v>
      </c>
      <c r="S1170" t="str">
        <f>VLOOKUP($W1170,TBL_Categories,2,FALSE)</f>
        <v>Irregular</v>
      </c>
      <c r="T1170">
        <f>VLOOKUP($W1170,TBL_Categories,3,FALSE)</f>
        <v>0</v>
      </c>
      <c r="U1170" t="str">
        <f>VLOOKUP($W1170,TBL_Categories,4,FALSE)</f>
        <v>No</v>
      </c>
      <c r="V1170" t="str">
        <f>VLOOKUP($W1170,TBL_Categories,5,FALSE)</f>
        <v>None</v>
      </c>
      <c r="W1170" t="str">
        <f t="shared" si="56"/>
        <v>Home|Home Improvement</v>
      </c>
    </row>
    <row r="1171" spans="1:23" x14ac:dyDescent="0.25">
      <c r="A1171" t="s">
        <v>633</v>
      </c>
      <c r="B1171" s="5">
        <v>41785</v>
      </c>
      <c r="C1171">
        <v>-4.92</v>
      </c>
      <c r="D1171" t="s">
        <v>304</v>
      </c>
      <c r="E1171" t="s">
        <v>433</v>
      </c>
      <c r="F1171" t="s">
        <v>950</v>
      </c>
      <c r="G1171" t="s">
        <v>894</v>
      </c>
      <c r="I1171" t="s">
        <v>272</v>
      </c>
      <c r="J1171" t="s">
        <v>1550</v>
      </c>
      <c r="K1171" t="s">
        <v>62</v>
      </c>
      <c r="L1171" t="s">
        <v>1545</v>
      </c>
      <c r="O1171" t="s">
        <v>1600</v>
      </c>
      <c r="Q1171" t="str">
        <f t="shared" si="54"/>
        <v>May</v>
      </c>
      <c r="R1171">
        <f t="shared" si="55"/>
        <v>2014</v>
      </c>
      <c r="S1171" t="str">
        <f>VLOOKUP($W1171,TBL_Categories,2,FALSE)</f>
        <v>Irregular</v>
      </c>
      <c r="T1171">
        <f>VLOOKUP($W1171,TBL_Categories,3,FALSE)</f>
        <v>0</v>
      </c>
      <c r="U1171" t="str">
        <f>VLOOKUP($W1171,TBL_Categories,4,FALSE)</f>
        <v>No</v>
      </c>
      <c r="V1171" t="str">
        <f>VLOOKUP($W1171,TBL_Categories,5,FALSE)</f>
        <v>None</v>
      </c>
      <c r="W1171" t="str">
        <f t="shared" si="56"/>
        <v>Health &amp; Fitness|Sports</v>
      </c>
    </row>
    <row r="1172" spans="1:23" x14ac:dyDescent="0.25">
      <c r="A1172" t="s">
        <v>633</v>
      </c>
      <c r="B1172" s="5">
        <v>41785</v>
      </c>
      <c r="C1172">
        <v>-6.89</v>
      </c>
      <c r="D1172" t="s">
        <v>304</v>
      </c>
      <c r="E1172" t="s">
        <v>433</v>
      </c>
      <c r="F1172" t="s">
        <v>951</v>
      </c>
      <c r="G1172" t="s">
        <v>894</v>
      </c>
      <c r="I1172" t="s">
        <v>272</v>
      </c>
      <c r="J1172" t="s">
        <v>1550</v>
      </c>
      <c r="K1172" t="s">
        <v>62</v>
      </c>
      <c r="L1172" t="s">
        <v>1545</v>
      </c>
      <c r="Q1172" t="str">
        <f t="shared" si="54"/>
        <v>May</v>
      </c>
      <c r="R1172">
        <f t="shared" si="55"/>
        <v>2014</v>
      </c>
      <c r="S1172" t="str">
        <f>VLOOKUP($W1172,TBL_Categories,2,FALSE)</f>
        <v>Irregular</v>
      </c>
      <c r="T1172">
        <f>VLOOKUP($W1172,TBL_Categories,3,FALSE)</f>
        <v>0</v>
      </c>
      <c r="U1172" t="str">
        <f>VLOOKUP($W1172,TBL_Categories,4,FALSE)</f>
        <v>No</v>
      </c>
      <c r="V1172" t="str">
        <f>VLOOKUP($W1172,TBL_Categories,5,FALSE)</f>
        <v>None</v>
      </c>
      <c r="W1172" t="str">
        <f t="shared" si="56"/>
        <v>Health &amp; Fitness|Sports</v>
      </c>
    </row>
    <row r="1173" spans="1:23" x14ac:dyDescent="0.25">
      <c r="A1173" t="s">
        <v>633</v>
      </c>
      <c r="B1173" s="5">
        <v>41785</v>
      </c>
      <c r="C1173">
        <v>-19.7</v>
      </c>
      <c r="D1173" t="s">
        <v>304</v>
      </c>
      <c r="E1173" t="s">
        <v>433</v>
      </c>
      <c r="F1173" t="s">
        <v>952</v>
      </c>
      <c r="G1173" t="s">
        <v>894</v>
      </c>
      <c r="I1173" t="s">
        <v>272</v>
      </c>
      <c r="J1173" t="s">
        <v>1550</v>
      </c>
      <c r="K1173" t="s">
        <v>62</v>
      </c>
      <c r="L1173" t="s">
        <v>1545</v>
      </c>
      <c r="O1173" t="s">
        <v>1600</v>
      </c>
      <c r="Q1173" t="str">
        <f t="shared" si="54"/>
        <v>May</v>
      </c>
      <c r="R1173">
        <f t="shared" si="55"/>
        <v>2014</v>
      </c>
      <c r="S1173" t="str">
        <f>VLOOKUP($W1173,TBL_Categories,2,FALSE)</f>
        <v>Irregular</v>
      </c>
      <c r="T1173">
        <f>VLOOKUP($W1173,TBL_Categories,3,FALSE)</f>
        <v>0</v>
      </c>
      <c r="U1173" t="str">
        <f>VLOOKUP($W1173,TBL_Categories,4,FALSE)</f>
        <v>No</v>
      </c>
      <c r="V1173" t="str">
        <f>VLOOKUP($W1173,TBL_Categories,5,FALSE)</f>
        <v>None</v>
      </c>
      <c r="W1173" t="str">
        <f t="shared" si="56"/>
        <v>Health &amp; Fitness|Sports</v>
      </c>
    </row>
    <row r="1174" spans="1:23" x14ac:dyDescent="0.25">
      <c r="A1174" t="s">
        <v>633</v>
      </c>
      <c r="B1174" s="5">
        <v>41785</v>
      </c>
      <c r="C1174">
        <v>-81.81</v>
      </c>
      <c r="D1174" t="s">
        <v>304</v>
      </c>
      <c r="E1174" t="s">
        <v>433</v>
      </c>
      <c r="G1174" t="s">
        <v>887</v>
      </c>
      <c r="I1174" t="s">
        <v>272</v>
      </c>
      <c r="J1174" t="s">
        <v>1550</v>
      </c>
      <c r="K1174" t="s">
        <v>61</v>
      </c>
      <c r="L1174" t="s">
        <v>401</v>
      </c>
      <c r="Q1174" t="str">
        <f t="shared" si="54"/>
        <v>May</v>
      </c>
      <c r="R1174">
        <f t="shared" si="55"/>
        <v>2014</v>
      </c>
      <c r="S1174" t="str">
        <f>VLOOKUP($W1174,TBL_Categories,2,FALSE)</f>
        <v>Monthly</v>
      </c>
      <c r="T1174">
        <f>VLOOKUP($W1174,TBL_Categories,3,FALSE)</f>
        <v>0</v>
      </c>
      <c r="U1174" t="str">
        <f>VLOOKUP($W1174,TBL_Categories,4,FALSE)</f>
        <v>No</v>
      </c>
      <c r="V1174" t="str">
        <f>VLOOKUP($W1174,TBL_Categories,5,FALSE)</f>
        <v>None</v>
      </c>
      <c r="W1174" t="str">
        <f t="shared" si="56"/>
        <v>Food &amp; Dining|Groceries</v>
      </c>
    </row>
    <row r="1175" spans="1:23" x14ac:dyDescent="0.25">
      <c r="A1175" t="s">
        <v>633</v>
      </c>
      <c r="B1175" s="5">
        <v>41785</v>
      </c>
      <c r="C1175">
        <v>-290</v>
      </c>
      <c r="D1175" t="s">
        <v>304</v>
      </c>
      <c r="E1175" t="s">
        <v>953</v>
      </c>
      <c r="G1175" t="s">
        <v>333</v>
      </c>
      <c r="K1175" t="s">
        <v>61</v>
      </c>
      <c r="L1175" t="s">
        <v>1530</v>
      </c>
      <c r="Q1175" t="str">
        <f t="shared" si="54"/>
        <v>May</v>
      </c>
      <c r="R1175">
        <f t="shared" si="55"/>
        <v>2014</v>
      </c>
      <c r="S1175" t="str">
        <f>VLOOKUP($W1175,TBL_Categories,2,FALSE)</f>
        <v>Monthly</v>
      </c>
      <c r="T1175">
        <f>VLOOKUP($W1175,TBL_Categories,3,FALSE)</f>
        <v>0</v>
      </c>
      <c r="U1175" t="str">
        <f>VLOOKUP($W1175,TBL_Categories,4,FALSE)</f>
        <v>No</v>
      </c>
      <c r="V1175" t="str">
        <f>VLOOKUP($W1175,TBL_Categories,5,FALSE)</f>
        <v>None</v>
      </c>
      <c r="W1175" t="str">
        <f t="shared" si="56"/>
        <v>Food &amp; Dining|Restaurants</v>
      </c>
    </row>
    <row r="1176" spans="1:23" x14ac:dyDescent="0.25">
      <c r="A1176" t="s">
        <v>296</v>
      </c>
      <c r="B1176" s="5">
        <v>41785</v>
      </c>
      <c r="C1176">
        <v>-56</v>
      </c>
      <c r="D1176" t="s">
        <v>304</v>
      </c>
      <c r="E1176" t="s">
        <v>1130</v>
      </c>
      <c r="F1176" t="s">
        <v>1131</v>
      </c>
      <c r="G1176" t="s">
        <v>449</v>
      </c>
      <c r="K1176" t="s">
        <v>66</v>
      </c>
      <c r="L1176" t="s">
        <v>1555</v>
      </c>
      <c r="Q1176" t="str">
        <f t="shared" si="54"/>
        <v>May</v>
      </c>
      <c r="R1176">
        <f t="shared" si="55"/>
        <v>2014</v>
      </c>
      <c r="S1176" t="str">
        <f>VLOOKUP($W1176,TBL_Categories,2,FALSE)</f>
        <v>Monthly</v>
      </c>
      <c r="T1176">
        <f>VLOOKUP($W1176,TBL_Categories,3,FALSE)</f>
        <v>0</v>
      </c>
      <c r="U1176" t="str">
        <f>VLOOKUP($W1176,TBL_Categories,4,FALSE)</f>
        <v>No</v>
      </c>
      <c r="V1176" t="str">
        <f>VLOOKUP($W1176,TBL_Categories,5,FALSE)</f>
        <v>None</v>
      </c>
      <c r="W1176" t="str">
        <f t="shared" si="56"/>
        <v>Kids|Kids Activities</v>
      </c>
    </row>
    <row r="1177" spans="1:23" x14ac:dyDescent="0.25">
      <c r="A1177" t="s">
        <v>296</v>
      </c>
      <c r="B1177" s="5">
        <v>41785</v>
      </c>
      <c r="C1177">
        <v>-155.47999999999999</v>
      </c>
      <c r="D1177" t="s">
        <v>304</v>
      </c>
      <c r="E1177" t="s">
        <v>451</v>
      </c>
      <c r="F1177" t="s">
        <v>1132</v>
      </c>
      <c r="G1177" t="s">
        <v>1133</v>
      </c>
      <c r="J1177" t="s">
        <v>1550</v>
      </c>
      <c r="K1177" t="s">
        <v>90</v>
      </c>
      <c r="L1177" t="s">
        <v>1594</v>
      </c>
      <c r="Q1177" t="str">
        <f t="shared" si="54"/>
        <v>May</v>
      </c>
      <c r="R1177">
        <f t="shared" si="55"/>
        <v>2014</v>
      </c>
      <c r="S1177" t="str">
        <f>VLOOKUP($W1177,TBL_Categories,2,FALSE)</f>
        <v>Unplanned</v>
      </c>
      <c r="T1177">
        <f>VLOOKUP($W1177,TBL_Categories,3,FALSE)</f>
        <v>0</v>
      </c>
      <c r="U1177" t="str">
        <f>VLOOKUP($W1177,TBL_Categories,4,FALSE)</f>
        <v>No</v>
      </c>
      <c r="V1177" t="str">
        <f>VLOOKUP($W1177,TBL_Categories,5,FALSE)</f>
        <v>None</v>
      </c>
      <c r="W1177" t="str">
        <f t="shared" si="56"/>
        <v>Projects|Boy's Room</v>
      </c>
    </row>
    <row r="1178" spans="1:23" x14ac:dyDescent="0.25">
      <c r="A1178" t="s">
        <v>296</v>
      </c>
      <c r="B1178" s="5">
        <v>41784</v>
      </c>
      <c r="C1178">
        <v>-3</v>
      </c>
      <c r="D1178" t="s">
        <v>304</v>
      </c>
      <c r="E1178" t="s">
        <v>431</v>
      </c>
      <c r="G1178" t="s">
        <v>432</v>
      </c>
      <c r="K1178" t="s">
        <v>52</v>
      </c>
      <c r="L1178" t="s">
        <v>1577</v>
      </c>
      <c r="Q1178" t="str">
        <f t="shared" si="54"/>
        <v>May</v>
      </c>
      <c r="R1178">
        <f t="shared" si="55"/>
        <v>2014</v>
      </c>
      <c r="S1178" t="str">
        <f>VLOOKUP($W1178,TBL_Categories,2,FALSE)</f>
        <v>Monthly</v>
      </c>
      <c r="T1178">
        <f>VLOOKUP($W1178,TBL_Categories,3,FALSE)</f>
        <v>0</v>
      </c>
      <c r="U1178" t="str">
        <f>VLOOKUP($W1178,TBL_Categories,4,FALSE)</f>
        <v>No</v>
      </c>
      <c r="V1178" t="str">
        <f>VLOOKUP($W1178,TBL_Categories,5,FALSE)</f>
        <v>None</v>
      </c>
      <c r="W1178" t="str">
        <f t="shared" si="56"/>
        <v>Auto &amp; Transport|Parking</v>
      </c>
    </row>
    <row r="1179" spans="1:23" x14ac:dyDescent="0.25">
      <c r="A1179" t="s">
        <v>296</v>
      </c>
      <c r="B1179" s="5">
        <v>41784</v>
      </c>
      <c r="C1179">
        <v>-31.73</v>
      </c>
      <c r="D1179" t="s">
        <v>304</v>
      </c>
      <c r="E1179" t="s">
        <v>681</v>
      </c>
      <c r="G1179" t="s">
        <v>333</v>
      </c>
      <c r="K1179" t="s">
        <v>61</v>
      </c>
      <c r="L1179" t="s">
        <v>1530</v>
      </c>
      <c r="Q1179" t="str">
        <f t="shared" si="54"/>
        <v>May</v>
      </c>
      <c r="R1179">
        <f t="shared" si="55"/>
        <v>2014</v>
      </c>
      <c r="S1179" t="str">
        <f>VLOOKUP($W1179,TBL_Categories,2,FALSE)</f>
        <v>Monthly</v>
      </c>
      <c r="T1179">
        <f>VLOOKUP($W1179,TBL_Categories,3,FALSE)</f>
        <v>0</v>
      </c>
      <c r="U1179" t="str">
        <f>VLOOKUP($W1179,TBL_Categories,4,FALSE)</f>
        <v>No</v>
      </c>
      <c r="V1179" t="str">
        <f>VLOOKUP($W1179,TBL_Categories,5,FALSE)</f>
        <v>None</v>
      </c>
      <c r="W1179" t="str">
        <f t="shared" si="56"/>
        <v>Food &amp; Dining|Restaurants</v>
      </c>
    </row>
    <row r="1180" spans="1:23" x14ac:dyDescent="0.25">
      <c r="A1180" t="s">
        <v>296</v>
      </c>
      <c r="B1180" s="5">
        <v>41784</v>
      </c>
      <c r="C1180">
        <v>-34</v>
      </c>
      <c r="D1180" t="s">
        <v>304</v>
      </c>
      <c r="E1180" t="s">
        <v>1128</v>
      </c>
      <c r="F1180" t="s">
        <v>1129</v>
      </c>
      <c r="G1180" t="s">
        <v>607</v>
      </c>
      <c r="K1180" t="s">
        <v>75</v>
      </c>
      <c r="L1180" t="s">
        <v>1567</v>
      </c>
      <c r="O1180" t="s">
        <v>1606</v>
      </c>
      <c r="Q1180" t="str">
        <f t="shared" si="54"/>
        <v>May</v>
      </c>
      <c r="R1180">
        <f t="shared" si="55"/>
        <v>2014</v>
      </c>
      <c r="S1180" t="str">
        <f>VLOOKUP($W1180,TBL_Categories,2,FALSE)</f>
        <v>Irregular</v>
      </c>
      <c r="T1180">
        <f>VLOOKUP($W1180,TBL_Categories,3,FALSE)</f>
        <v>0</v>
      </c>
      <c r="U1180" t="str">
        <f>VLOOKUP($W1180,TBL_Categories,4,FALSE)</f>
        <v>No</v>
      </c>
      <c r="V1180" t="str">
        <f>VLOOKUP($W1180,TBL_Categories,5,FALSE)</f>
        <v>None</v>
      </c>
      <c r="W1180" t="str">
        <f t="shared" si="56"/>
        <v>Vacation|Activities</v>
      </c>
    </row>
    <row r="1181" spans="1:23" x14ac:dyDescent="0.25">
      <c r="A1181" t="s">
        <v>764</v>
      </c>
      <c r="B1181" s="5">
        <v>41784</v>
      </c>
      <c r="F1181" t="s">
        <v>1501</v>
      </c>
      <c r="H1181" t="s">
        <v>1502</v>
      </c>
      <c r="Q1181" t="str">
        <f t="shared" si="54"/>
        <v>May</v>
      </c>
      <c r="R1181">
        <f t="shared" si="55"/>
        <v>2014</v>
      </c>
      <c r="S1181" t="e">
        <f>VLOOKUP($W1181,TBL_Categories,2,FALSE)</f>
        <v>#N/A</v>
      </c>
      <c r="T1181" t="e">
        <f>VLOOKUP($W1181,TBL_Categories,3,FALSE)</f>
        <v>#N/A</v>
      </c>
      <c r="U1181" t="e">
        <f>VLOOKUP($W1181,TBL_Categories,4,FALSE)</f>
        <v>#N/A</v>
      </c>
      <c r="V1181" t="e">
        <f>VLOOKUP($W1181,TBL_Categories,5,FALSE)</f>
        <v>#N/A</v>
      </c>
      <c r="W1181">
        <f t="shared" si="56"/>
        <v>0</v>
      </c>
    </row>
    <row r="1182" spans="1:23" x14ac:dyDescent="0.25">
      <c r="A1182" t="s">
        <v>764</v>
      </c>
      <c r="B1182" s="5">
        <v>41784</v>
      </c>
      <c r="F1182" t="s">
        <v>1503</v>
      </c>
      <c r="H1182" t="s">
        <v>1502</v>
      </c>
      <c r="Q1182" t="str">
        <f t="shared" si="54"/>
        <v>May</v>
      </c>
      <c r="R1182">
        <f t="shared" si="55"/>
        <v>2014</v>
      </c>
      <c r="S1182" t="e">
        <f>VLOOKUP($W1182,TBL_Categories,2,FALSE)</f>
        <v>#N/A</v>
      </c>
      <c r="T1182" t="e">
        <f>VLOOKUP($W1182,TBL_Categories,3,FALSE)</f>
        <v>#N/A</v>
      </c>
      <c r="U1182" t="e">
        <f>VLOOKUP($W1182,TBL_Categories,4,FALSE)</f>
        <v>#N/A</v>
      </c>
      <c r="V1182" t="e">
        <f>VLOOKUP($W1182,TBL_Categories,5,FALSE)</f>
        <v>#N/A</v>
      </c>
      <c r="W1182">
        <f t="shared" si="56"/>
        <v>0</v>
      </c>
    </row>
    <row r="1183" spans="1:23" x14ac:dyDescent="0.25">
      <c r="A1183" t="s">
        <v>296</v>
      </c>
      <c r="B1183" s="5">
        <v>41783</v>
      </c>
      <c r="C1183">
        <v>-31</v>
      </c>
      <c r="D1183" t="s">
        <v>304</v>
      </c>
      <c r="E1183" t="s">
        <v>1026</v>
      </c>
      <c r="F1183" t="s">
        <v>1127</v>
      </c>
      <c r="G1183" t="s">
        <v>607</v>
      </c>
      <c r="K1183" t="s">
        <v>75</v>
      </c>
      <c r="L1183" t="s">
        <v>1567</v>
      </c>
      <c r="O1183" t="s">
        <v>1606</v>
      </c>
      <c r="Q1183" t="str">
        <f t="shared" si="54"/>
        <v>May</v>
      </c>
      <c r="R1183">
        <f t="shared" si="55"/>
        <v>2014</v>
      </c>
      <c r="S1183" t="str">
        <f>VLOOKUP($W1183,TBL_Categories,2,FALSE)</f>
        <v>Irregular</v>
      </c>
      <c r="T1183">
        <f>VLOOKUP($W1183,TBL_Categories,3,FALSE)</f>
        <v>0</v>
      </c>
      <c r="U1183" t="str">
        <f>VLOOKUP($W1183,TBL_Categories,4,FALSE)</f>
        <v>No</v>
      </c>
      <c r="V1183" t="str">
        <f>VLOOKUP($W1183,TBL_Categories,5,FALSE)</f>
        <v>None</v>
      </c>
      <c r="W1183" t="str">
        <f t="shared" si="56"/>
        <v>Vacation|Activities</v>
      </c>
    </row>
    <row r="1184" spans="1:23" x14ac:dyDescent="0.25">
      <c r="A1184" t="s">
        <v>296</v>
      </c>
      <c r="B1184" s="5">
        <v>41783</v>
      </c>
      <c r="C1184">
        <v>-43.75</v>
      </c>
      <c r="D1184" t="s">
        <v>304</v>
      </c>
      <c r="E1184" t="s">
        <v>507</v>
      </c>
      <c r="G1184" t="s">
        <v>927</v>
      </c>
      <c r="J1184" t="s">
        <v>1550</v>
      </c>
      <c r="K1184" t="s">
        <v>72</v>
      </c>
      <c r="L1184" t="s">
        <v>1537</v>
      </c>
      <c r="Q1184" t="str">
        <f t="shared" si="54"/>
        <v>May</v>
      </c>
      <c r="R1184">
        <f t="shared" si="55"/>
        <v>2014</v>
      </c>
      <c r="S1184" t="str">
        <f>VLOOKUP($W1184,TBL_Categories,2,FALSE)</f>
        <v>Annual</v>
      </c>
      <c r="T1184">
        <f>VLOOKUP($W1184,TBL_Categories,3,FALSE)</f>
        <v>0</v>
      </c>
      <c r="U1184" t="str">
        <f>VLOOKUP($W1184,TBL_Categories,4,FALSE)</f>
        <v>No</v>
      </c>
      <c r="V1184" t="str">
        <f>VLOOKUP($W1184,TBL_Categories,5,FALSE)</f>
        <v>None</v>
      </c>
      <c r="W1184" t="str">
        <f t="shared" si="56"/>
        <v>Shopping|Clothing</v>
      </c>
    </row>
    <row r="1185" spans="1:23" x14ac:dyDescent="0.25">
      <c r="A1185" t="s">
        <v>764</v>
      </c>
      <c r="B1185" s="5">
        <v>41783</v>
      </c>
      <c r="G1185" t="s">
        <v>1500</v>
      </c>
      <c r="H1185" t="s">
        <v>301</v>
      </c>
      <c r="K1185" t="s">
        <v>1500</v>
      </c>
      <c r="Q1185" t="str">
        <f t="shared" si="54"/>
        <v>May</v>
      </c>
      <c r="R1185">
        <f t="shared" si="55"/>
        <v>2014</v>
      </c>
      <c r="S1185" t="e">
        <f>VLOOKUP($W1185,TBL_Categories,2,FALSE)</f>
        <v>#N/A</v>
      </c>
      <c r="T1185" t="e">
        <f>VLOOKUP($W1185,TBL_Categories,3,FALSE)</f>
        <v>#N/A</v>
      </c>
      <c r="U1185" t="e">
        <f>VLOOKUP($W1185,TBL_Categories,4,FALSE)</f>
        <v>#N/A</v>
      </c>
      <c r="V1185" t="e">
        <f>VLOOKUP($W1185,TBL_Categories,5,FALSE)</f>
        <v>#N/A</v>
      </c>
      <c r="W1185" t="str">
        <f t="shared" si="56"/>
        <v>[Edward Jones - Roth IRA]</v>
      </c>
    </row>
    <row r="1186" spans="1:23" x14ac:dyDescent="0.25">
      <c r="A1186" t="s">
        <v>284</v>
      </c>
      <c r="B1186" s="5">
        <v>41782</v>
      </c>
      <c r="C1186">
        <v>765.59</v>
      </c>
      <c r="D1186" t="s">
        <v>304</v>
      </c>
      <c r="E1186" t="s">
        <v>790</v>
      </c>
      <c r="F1186" t="s">
        <v>791</v>
      </c>
      <c r="G1186" t="s">
        <v>589</v>
      </c>
      <c r="K1186" t="s">
        <v>29</v>
      </c>
      <c r="L1186" t="s">
        <v>1539</v>
      </c>
      <c r="O1186" t="s">
        <v>1598</v>
      </c>
      <c r="Q1186" t="str">
        <f t="shared" si="54"/>
        <v>May</v>
      </c>
      <c r="R1186">
        <f t="shared" si="55"/>
        <v>2014</v>
      </c>
      <c r="S1186" t="str">
        <f>VLOOKUP($W1186,TBL_Categories,2,FALSE)</f>
        <v>Irregular</v>
      </c>
      <c r="T1186">
        <f>VLOOKUP($W1186,TBL_Categories,3,FALSE)</f>
        <v>0</v>
      </c>
      <c r="U1186" t="str">
        <f>VLOOKUP($W1186,TBL_Categories,4,FALSE)</f>
        <v>No</v>
      </c>
      <c r="V1186" t="str">
        <f>VLOOKUP($W1186,TBL_Categories,5,FALSE)</f>
        <v>None</v>
      </c>
      <c r="W1186" t="str">
        <f t="shared" si="56"/>
        <v>Work Expense|Reimbursement</v>
      </c>
    </row>
    <row r="1187" spans="1:23" x14ac:dyDescent="0.25">
      <c r="A1187" t="s">
        <v>288</v>
      </c>
      <c r="B1187" s="5">
        <v>41782</v>
      </c>
      <c r="C1187" s="4">
        <v>2195</v>
      </c>
      <c r="D1187" t="s">
        <v>304</v>
      </c>
      <c r="E1187" t="s">
        <v>871</v>
      </c>
      <c r="F1187" t="s">
        <v>1661</v>
      </c>
      <c r="G1187" t="s">
        <v>386</v>
      </c>
      <c r="J1187">
        <v>7231</v>
      </c>
      <c r="K1187" t="s">
        <v>33</v>
      </c>
      <c r="L1187" t="s">
        <v>1519</v>
      </c>
      <c r="Q1187" t="str">
        <f t="shared" si="54"/>
        <v>May</v>
      </c>
      <c r="R1187">
        <f t="shared" si="55"/>
        <v>2014</v>
      </c>
      <c r="S1187" t="str">
        <f>VLOOKUP($W1187,TBL_Categories,2,FALSE)</f>
        <v>Monthly</v>
      </c>
      <c r="T1187">
        <f>VLOOKUP($W1187,TBL_Categories,3,FALSE)</f>
        <v>0</v>
      </c>
      <c r="U1187" t="str">
        <f>VLOOKUP($W1187,TBL_Categories,4,FALSE)</f>
        <v>No</v>
      </c>
      <c r="V1187" t="str">
        <f>VLOOKUP($W1187,TBL_Categories,5,FALSE)</f>
        <v>None</v>
      </c>
      <c r="W1187" t="str">
        <f t="shared" si="56"/>
        <v>Business Income (Koolikai)|Rent</v>
      </c>
    </row>
    <row r="1188" spans="1:23" x14ac:dyDescent="0.25">
      <c r="A1188" t="s">
        <v>633</v>
      </c>
      <c r="B1188" s="5">
        <v>41782</v>
      </c>
      <c r="C1188">
        <v>-15.69</v>
      </c>
      <c r="D1188" t="s">
        <v>304</v>
      </c>
      <c r="E1188" t="s">
        <v>946</v>
      </c>
      <c r="G1188" t="s">
        <v>333</v>
      </c>
      <c r="K1188" t="s">
        <v>61</v>
      </c>
      <c r="L1188" t="s">
        <v>1530</v>
      </c>
      <c r="Q1188" t="str">
        <f t="shared" si="54"/>
        <v>May</v>
      </c>
      <c r="R1188">
        <f t="shared" si="55"/>
        <v>2014</v>
      </c>
      <c r="S1188" t="str">
        <f>VLOOKUP($W1188,TBL_Categories,2,FALSE)</f>
        <v>Monthly</v>
      </c>
      <c r="T1188">
        <f>VLOOKUP($W1188,TBL_Categories,3,FALSE)</f>
        <v>0</v>
      </c>
      <c r="U1188" t="str">
        <f>VLOOKUP($W1188,TBL_Categories,4,FALSE)</f>
        <v>No</v>
      </c>
      <c r="V1188" t="str">
        <f>VLOOKUP($W1188,TBL_Categories,5,FALSE)</f>
        <v>None</v>
      </c>
      <c r="W1188" t="str">
        <f t="shared" si="56"/>
        <v>Food &amp; Dining|Restaurants</v>
      </c>
    </row>
    <row r="1189" spans="1:23" x14ac:dyDescent="0.25">
      <c r="A1189" t="s">
        <v>294</v>
      </c>
      <c r="B1189" s="5">
        <v>41782</v>
      </c>
      <c r="C1189">
        <v>130.86000000000001</v>
      </c>
      <c r="D1189" t="s">
        <v>304</v>
      </c>
      <c r="E1189" t="s">
        <v>391</v>
      </c>
      <c r="G1189" t="s">
        <v>24</v>
      </c>
      <c r="K1189" t="s">
        <v>24</v>
      </c>
      <c r="Q1189" t="str">
        <f t="shared" si="54"/>
        <v>May</v>
      </c>
      <c r="R1189">
        <f t="shared" si="55"/>
        <v>2014</v>
      </c>
      <c r="S1189" t="str">
        <f>VLOOKUP($W1189,TBL_Categories,2,FALSE)</f>
        <v>Account</v>
      </c>
      <c r="T1189">
        <f>VLOOKUP($W1189,TBL_Categories,3,FALSE)</f>
        <v>0</v>
      </c>
      <c r="U1189" t="str">
        <f>VLOOKUP($W1189,TBL_Categories,4,FALSE)</f>
        <v>No</v>
      </c>
      <c r="V1189" t="str">
        <f>VLOOKUP($W1189,TBL_Categories,5,FALSE)</f>
        <v>None</v>
      </c>
      <c r="W1189" t="str">
        <f t="shared" si="56"/>
        <v>[Koolikai - Checking XX2129]</v>
      </c>
    </row>
    <row r="1190" spans="1:23" x14ac:dyDescent="0.25">
      <c r="A1190" t="s">
        <v>284</v>
      </c>
      <c r="B1190" s="5">
        <v>41781</v>
      </c>
      <c r="C1190">
        <v>-183.85</v>
      </c>
      <c r="D1190" t="s">
        <v>304</v>
      </c>
      <c r="E1190" t="s">
        <v>352</v>
      </c>
      <c r="F1190" t="s">
        <v>353</v>
      </c>
      <c r="G1190" t="s">
        <v>354</v>
      </c>
      <c r="K1190" t="s">
        <v>52</v>
      </c>
      <c r="L1190" t="s">
        <v>1544</v>
      </c>
      <c r="Q1190" t="str">
        <f t="shared" si="54"/>
        <v>May</v>
      </c>
      <c r="R1190">
        <f t="shared" si="55"/>
        <v>2014</v>
      </c>
      <c r="S1190" t="str">
        <f>VLOOKUP($W1190,TBL_Categories,2,FALSE)</f>
        <v>Monthly</v>
      </c>
      <c r="T1190">
        <f>VLOOKUP($W1190,TBL_Categories,3,FALSE)</f>
        <v>0</v>
      </c>
      <c r="U1190" t="str">
        <f>VLOOKUP($W1190,TBL_Categories,4,FALSE)</f>
        <v>No</v>
      </c>
      <c r="V1190" t="str">
        <f>VLOOKUP($W1190,TBL_Categories,5,FALSE)</f>
        <v>None</v>
      </c>
      <c r="W1190" t="str">
        <f t="shared" si="56"/>
        <v>Auto &amp; Transport|Auto Lease Payment</v>
      </c>
    </row>
    <row r="1191" spans="1:23" x14ac:dyDescent="0.25">
      <c r="A1191" t="s">
        <v>284</v>
      </c>
      <c r="B1191" s="5">
        <v>41781</v>
      </c>
      <c r="C1191">
        <v>-30</v>
      </c>
      <c r="D1191" t="s">
        <v>304</v>
      </c>
      <c r="E1191" t="s">
        <v>788</v>
      </c>
      <c r="F1191" t="s">
        <v>789</v>
      </c>
      <c r="G1191" t="s">
        <v>316</v>
      </c>
      <c r="H1191">
        <v>2127</v>
      </c>
      <c r="K1191" t="s">
        <v>66</v>
      </c>
      <c r="L1191" t="s">
        <v>1522</v>
      </c>
      <c r="Q1191" t="str">
        <f t="shared" si="54"/>
        <v>May</v>
      </c>
      <c r="R1191">
        <f t="shared" si="55"/>
        <v>2014</v>
      </c>
      <c r="S1191" t="str">
        <f>VLOOKUP($W1191,TBL_Categories,2,FALSE)</f>
        <v>Monthly</v>
      </c>
      <c r="T1191">
        <f>VLOOKUP($W1191,TBL_Categories,3,FALSE)</f>
        <v>0</v>
      </c>
      <c r="U1191" t="str">
        <f>VLOOKUP($W1191,TBL_Categories,4,FALSE)</f>
        <v>No</v>
      </c>
      <c r="V1191" t="str">
        <f>VLOOKUP($W1191,TBL_Categories,5,FALSE)</f>
        <v>None</v>
      </c>
      <c r="W1191" t="str">
        <f t="shared" si="56"/>
        <v>Kids|Daycare</v>
      </c>
    </row>
    <row r="1192" spans="1:23" x14ac:dyDescent="0.25">
      <c r="A1192" t="s">
        <v>296</v>
      </c>
      <c r="B1192" s="5">
        <v>41780</v>
      </c>
      <c r="C1192">
        <v>-7.94</v>
      </c>
      <c r="D1192" t="s">
        <v>304</v>
      </c>
      <c r="E1192" t="s">
        <v>433</v>
      </c>
      <c r="F1192" t="s">
        <v>475</v>
      </c>
      <c r="G1192" t="s">
        <v>887</v>
      </c>
      <c r="J1192" t="s">
        <v>1550</v>
      </c>
      <c r="K1192" t="s">
        <v>61</v>
      </c>
      <c r="L1192" t="s">
        <v>401</v>
      </c>
      <c r="Q1192" t="str">
        <f t="shared" si="54"/>
        <v>May</v>
      </c>
      <c r="R1192">
        <f t="shared" si="55"/>
        <v>2014</v>
      </c>
      <c r="S1192" t="str">
        <f>VLOOKUP($W1192,TBL_Categories,2,FALSE)</f>
        <v>Monthly</v>
      </c>
      <c r="T1192">
        <f>VLOOKUP($W1192,TBL_Categories,3,FALSE)</f>
        <v>0</v>
      </c>
      <c r="U1192" t="str">
        <f>VLOOKUP($W1192,TBL_Categories,4,FALSE)</f>
        <v>No</v>
      </c>
      <c r="V1192" t="str">
        <f>VLOOKUP($W1192,TBL_Categories,5,FALSE)</f>
        <v>None</v>
      </c>
      <c r="W1192" t="str">
        <f t="shared" si="56"/>
        <v>Food &amp; Dining|Groceries</v>
      </c>
    </row>
    <row r="1193" spans="1:23" x14ac:dyDescent="0.25">
      <c r="A1193" t="s">
        <v>633</v>
      </c>
      <c r="B1193" s="5">
        <v>41778</v>
      </c>
      <c r="C1193">
        <v>-38.299999999999997</v>
      </c>
      <c r="D1193" t="s">
        <v>304</v>
      </c>
      <c r="E1193" t="s">
        <v>423</v>
      </c>
      <c r="F1193" t="s">
        <v>943</v>
      </c>
      <c r="G1193" t="s">
        <v>944</v>
      </c>
      <c r="J1193" t="s">
        <v>1561</v>
      </c>
      <c r="K1193" t="s">
        <v>55</v>
      </c>
      <c r="L1193" t="s">
        <v>1559</v>
      </c>
      <c r="Q1193" t="str">
        <f t="shared" si="54"/>
        <v>May</v>
      </c>
      <c r="R1193">
        <f t="shared" si="55"/>
        <v>2014</v>
      </c>
      <c r="S1193" t="str">
        <f>VLOOKUP($W1193,TBL_Categories,2,FALSE)</f>
        <v>Irregular</v>
      </c>
      <c r="T1193">
        <f>VLOOKUP($W1193,TBL_Categories,3,FALSE)</f>
        <v>0</v>
      </c>
      <c r="U1193" t="str">
        <f>VLOOKUP($W1193,TBL_Categories,4,FALSE)</f>
        <v>No</v>
      </c>
      <c r="V1193" t="str">
        <f>VLOOKUP($W1193,TBL_Categories,5,FALSE)</f>
        <v>None</v>
      </c>
      <c r="W1193" t="str">
        <f t="shared" si="56"/>
        <v>Business Expenses (Koolikai)|Repairs</v>
      </c>
    </row>
    <row r="1194" spans="1:23" x14ac:dyDescent="0.25">
      <c r="A1194" t="s">
        <v>633</v>
      </c>
      <c r="B1194" s="5">
        <v>41778</v>
      </c>
      <c r="C1194">
        <v>-53.99</v>
      </c>
      <c r="D1194" t="s">
        <v>304</v>
      </c>
      <c r="E1194" t="s">
        <v>945</v>
      </c>
      <c r="G1194" t="s">
        <v>333</v>
      </c>
      <c r="K1194" t="s">
        <v>61</v>
      </c>
      <c r="L1194" t="s">
        <v>1530</v>
      </c>
      <c r="Q1194" t="str">
        <f t="shared" si="54"/>
        <v>May</v>
      </c>
      <c r="R1194">
        <f t="shared" si="55"/>
        <v>2014</v>
      </c>
      <c r="S1194" t="str">
        <f>VLOOKUP($W1194,TBL_Categories,2,FALSE)</f>
        <v>Monthly</v>
      </c>
      <c r="T1194">
        <f>VLOOKUP($W1194,TBL_Categories,3,FALSE)</f>
        <v>0</v>
      </c>
      <c r="U1194" t="str">
        <f>VLOOKUP($W1194,TBL_Categories,4,FALSE)</f>
        <v>No</v>
      </c>
      <c r="V1194" t="str">
        <f>VLOOKUP($W1194,TBL_Categories,5,FALSE)</f>
        <v>None</v>
      </c>
      <c r="W1194" t="str">
        <f t="shared" si="56"/>
        <v>Food &amp; Dining|Restaurants</v>
      </c>
    </row>
    <row r="1195" spans="1:23" x14ac:dyDescent="0.25">
      <c r="A1195" t="s">
        <v>296</v>
      </c>
      <c r="B1195" s="5">
        <v>41778</v>
      </c>
      <c r="C1195">
        <v>-6.15</v>
      </c>
      <c r="D1195" t="s">
        <v>304</v>
      </c>
      <c r="E1195" t="s">
        <v>451</v>
      </c>
      <c r="F1195" t="s">
        <v>1113</v>
      </c>
      <c r="G1195" t="s">
        <v>1114</v>
      </c>
      <c r="K1195" t="s">
        <v>17</v>
      </c>
      <c r="L1195" t="s">
        <v>1593</v>
      </c>
      <c r="Q1195" t="str">
        <f t="shared" si="54"/>
        <v>May</v>
      </c>
      <c r="R1195">
        <f t="shared" si="55"/>
        <v>2014</v>
      </c>
      <c r="S1195" t="str">
        <f>VLOOKUP($W1195,TBL_Categories,2,FALSE)</f>
        <v>Unplanned</v>
      </c>
      <c r="T1195">
        <f>VLOOKUP($W1195,TBL_Categories,3,FALSE)</f>
        <v>0</v>
      </c>
      <c r="U1195" t="str">
        <f>VLOOKUP($W1195,TBL_Categories,4,FALSE)</f>
        <v>No</v>
      </c>
      <c r="V1195" t="str">
        <f>VLOOKUP($W1195,TBL_Categories,5,FALSE)</f>
        <v>None</v>
      </c>
      <c r="W1195" t="str">
        <f t="shared" si="56"/>
        <v>Entertainment|Music</v>
      </c>
    </row>
    <row r="1196" spans="1:23" x14ac:dyDescent="0.25">
      <c r="A1196" t="s">
        <v>296</v>
      </c>
      <c r="B1196" s="5">
        <v>41778</v>
      </c>
      <c r="C1196">
        <v>-46.58</v>
      </c>
      <c r="D1196" t="s">
        <v>304</v>
      </c>
      <c r="E1196" t="s">
        <v>1124</v>
      </c>
      <c r="F1196" t="s">
        <v>1125</v>
      </c>
      <c r="G1196" t="s">
        <v>367</v>
      </c>
      <c r="K1196" t="s">
        <v>62</v>
      </c>
      <c r="L1196" t="s">
        <v>1549</v>
      </c>
      <c r="Q1196" t="str">
        <f t="shared" si="54"/>
        <v>May</v>
      </c>
      <c r="R1196">
        <f t="shared" si="55"/>
        <v>2014</v>
      </c>
      <c r="S1196" t="str">
        <f>VLOOKUP($W1196,TBL_Categories,2,FALSE)</f>
        <v>Irregular</v>
      </c>
      <c r="T1196">
        <f>VLOOKUP($W1196,TBL_Categories,3,FALSE)</f>
        <v>0</v>
      </c>
      <c r="U1196" t="str">
        <f>VLOOKUP($W1196,TBL_Categories,4,FALSE)</f>
        <v>No</v>
      </c>
      <c r="V1196" t="str">
        <f>VLOOKUP($W1196,TBL_Categories,5,FALSE)</f>
        <v>None</v>
      </c>
      <c r="W1196" t="str">
        <f t="shared" si="56"/>
        <v>Health &amp; Fitness|Doctor</v>
      </c>
    </row>
    <row r="1197" spans="1:23" x14ac:dyDescent="0.25">
      <c r="A1197" t="s">
        <v>296</v>
      </c>
      <c r="B1197" s="5">
        <v>41778</v>
      </c>
      <c r="C1197">
        <v>-84.5</v>
      </c>
      <c r="D1197" t="s">
        <v>304</v>
      </c>
      <c r="E1197" t="s">
        <v>693</v>
      </c>
      <c r="F1197" t="s">
        <v>1126</v>
      </c>
      <c r="G1197" t="s">
        <v>347</v>
      </c>
      <c r="K1197" t="s">
        <v>75</v>
      </c>
      <c r="L1197" t="s">
        <v>1540</v>
      </c>
      <c r="O1197" t="s">
        <v>1611</v>
      </c>
      <c r="Q1197" t="str">
        <f t="shared" si="54"/>
        <v>May</v>
      </c>
      <c r="R1197">
        <f t="shared" si="55"/>
        <v>2014</v>
      </c>
      <c r="S1197" t="str">
        <f>VLOOKUP($W1197,TBL_Categories,2,FALSE)</f>
        <v>Irregular</v>
      </c>
      <c r="T1197">
        <f>VLOOKUP($W1197,TBL_Categories,3,FALSE)</f>
        <v>0</v>
      </c>
      <c r="U1197" t="str">
        <f>VLOOKUP($W1197,TBL_Categories,4,FALSE)</f>
        <v>No</v>
      </c>
      <c r="V1197" t="str">
        <f>VLOOKUP($W1197,TBL_Categories,5,FALSE)</f>
        <v>None</v>
      </c>
      <c r="W1197" t="str">
        <f t="shared" si="56"/>
        <v>Vacation|Lodging</v>
      </c>
    </row>
    <row r="1198" spans="1:23" x14ac:dyDescent="0.25">
      <c r="A1198" t="s">
        <v>290</v>
      </c>
      <c r="B1198" s="5">
        <v>41777</v>
      </c>
      <c r="C1198">
        <v>-116</v>
      </c>
      <c r="D1198" t="s">
        <v>304</v>
      </c>
      <c r="E1198" t="s">
        <v>400</v>
      </c>
      <c r="G1198" t="s">
        <v>887</v>
      </c>
      <c r="I1198" t="s">
        <v>272</v>
      </c>
      <c r="J1198" t="s">
        <v>1550</v>
      </c>
      <c r="K1198" t="s">
        <v>61</v>
      </c>
      <c r="L1198" t="s">
        <v>401</v>
      </c>
      <c r="Q1198" t="str">
        <f t="shared" si="54"/>
        <v>May</v>
      </c>
      <c r="R1198">
        <f t="shared" si="55"/>
        <v>2014</v>
      </c>
      <c r="S1198" t="str">
        <f>VLOOKUP($W1198,TBL_Categories,2,FALSE)</f>
        <v>Monthly</v>
      </c>
      <c r="T1198">
        <f>VLOOKUP($W1198,TBL_Categories,3,FALSE)</f>
        <v>0</v>
      </c>
      <c r="U1198" t="str">
        <f>VLOOKUP($W1198,TBL_Categories,4,FALSE)</f>
        <v>No</v>
      </c>
      <c r="V1198" t="str">
        <f>VLOOKUP($W1198,TBL_Categories,5,FALSE)</f>
        <v>None</v>
      </c>
      <c r="W1198" t="str">
        <f t="shared" si="56"/>
        <v>Food &amp; Dining|Groceries</v>
      </c>
    </row>
    <row r="1199" spans="1:23" x14ac:dyDescent="0.25">
      <c r="A1199" t="s">
        <v>290</v>
      </c>
      <c r="B1199" s="5">
        <v>41777</v>
      </c>
      <c r="C1199">
        <v>-43.78</v>
      </c>
      <c r="D1199" t="s">
        <v>304</v>
      </c>
      <c r="E1199" t="s">
        <v>400</v>
      </c>
      <c r="F1199" t="s">
        <v>893</v>
      </c>
      <c r="G1199" t="s">
        <v>894</v>
      </c>
      <c r="I1199" t="s">
        <v>272</v>
      </c>
      <c r="J1199" t="s">
        <v>1550</v>
      </c>
      <c r="K1199" t="s">
        <v>62</v>
      </c>
      <c r="L1199" t="s">
        <v>1545</v>
      </c>
      <c r="Q1199" t="str">
        <f t="shared" si="54"/>
        <v>May</v>
      </c>
      <c r="R1199">
        <f t="shared" si="55"/>
        <v>2014</v>
      </c>
      <c r="S1199" t="str">
        <f>VLOOKUP($W1199,TBL_Categories,2,FALSE)</f>
        <v>Irregular</v>
      </c>
      <c r="T1199">
        <f>VLOOKUP($W1199,TBL_Categories,3,FALSE)</f>
        <v>0</v>
      </c>
      <c r="U1199" t="str">
        <f>VLOOKUP($W1199,TBL_Categories,4,FALSE)</f>
        <v>No</v>
      </c>
      <c r="V1199" t="str">
        <f>VLOOKUP($W1199,TBL_Categories,5,FALSE)</f>
        <v>None</v>
      </c>
      <c r="W1199" t="str">
        <f t="shared" si="56"/>
        <v>Health &amp; Fitness|Sports</v>
      </c>
    </row>
    <row r="1200" spans="1:23" x14ac:dyDescent="0.25">
      <c r="A1200" t="s">
        <v>296</v>
      </c>
      <c r="B1200" s="5">
        <v>41776</v>
      </c>
      <c r="C1200">
        <v>-21.79</v>
      </c>
      <c r="D1200" t="s">
        <v>304</v>
      </c>
      <c r="E1200" t="s">
        <v>437</v>
      </c>
      <c r="F1200" t="s">
        <v>751</v>
      </c>
      <c r="G1200" t="s">
        <v>1020</v>
      </c>
      <c r="J1200" t="s">
        <v>1550</v>
      </c>
      <c r="K1200" t="s">
        <v>66</v>
      </c>
      <c r="L1200" t="s">
        <v>1536</v>
      </c>
      <c r="Q1200" t="str">
        <f t="shared" si="54"/>
        <v>May</v>
      </c>
      <c r="R1200">
        <f t="shared" si="55"/>
        <v>2014</v>
      </c>
      <c r="S1200" t="str">
        <f>VLOOKUP($W1200,TBL_Categories,2,FALSE)</f>
        <v>Monthly</v>
      </c>
      <c r="T1200">
        <f>VLOOKUP($W1200,TBL_Categories,3,FALSE)</f>
        <v>0</v>
      </c>
      <c r="U1200" t="str">
        <f>VLOOKUP($W1200,TBL_Categories,4,FALSE)</f>
        <v>No</v>
      </c>
      <c r="V1200" t="str">
        <f>VLOOKUP($W1200,TBL_Categories,5,FALSE)</f>
        <v>None</v>
      </c>
      <c r="W1200" t="str">
        <f t="shared" si="56"/>
        <v>Kids|Toys</v>
      </c>
    </row>
    <row r="1201" spans="1:23" x14ac:dyDescent="0.25">
      <c r="A1201" t="s">
        <v>296</v>
      </c>
      <c r="B1201" s="5">
        <v>41776</v>
      </c>
      <c r="C1201">
        <v>-26.28</v>
      </c>
      <c r="D1201" t="s">
        <v>304</v>
      </c>
      <c r="E1201" t="s">
        <v>1121</v>
      </c>
      <c r="F1201" t="s">
        <v>1122</v>
      </c>
      <c r="G1201" t="s">
        <v>927</v>
      </c>
      <c r="J1201" t="s">
        <v>1550</v>
      </c>
      <c r="K1201" t="s">
        <v>72</v>
      </c>
      <c r="L1201" t="s">
        <v>1537</v>
      </c>
      <c r="Q1201" t="str">
        <f t="shared" si="54"/>
        <v>May</v>
      </c>
      <c r="R1201">
        <f t="shared" si="55"/>
        <v>2014</v>
      </c>
      <c r="S1201" t="str">
        <f>VLOOKUP($W1201,TBL_Categories,2,FALSE)</f>
        <v>Annual</v>
      </c>
      <c r="T1201">
        <f>VLOOKUP($W1201,TBL_Categories,3,FALSE)</f>
        <v>0</v>
      </c>
      <c r="U1201" t="str">
        <f>VLOOKUP($W1201,TBL_Categories,4,FALSE)</f>
        <v>No</v>
      </c>
      <c r="V1201" t="str">
        <f>VLOOKUP($W1201,TBL_Categories,5,FALSE)</f>
        <v>None</v>
      </c>
      <c r="W1201" t="str">
        <f t="shared" si="56"/>
        <v>Shopping|Clothing</v>
      </c>
    </row>
    <row r="1202" spans="1:23" x14ac:dyDescent="0.25">
      <c r="A1202" t="s">
        <v>296</v>
      </c>
      <c r="B1202" s="5">
        <v>41776</v>
      </c>
      <c r="C1202">
        <v>-34</v>
      </c>
      <c r="D1202" t="s">
        <v>304</v>
      </c>
      <c r="E1202" t="s">
        <v>665</v>
      </c>
      <c r="F1202" t="s">
        <v>730</v>
      </c>
      <c r="G1202" t="s">
        <v>398</v>
      </c>
      <c r="K1202" t="s">
        <v>70</v>
      </c>
      <c r="L1202" t="s">
        <v>1563</v>
      </c>
      <c r="Q1202" t="str">
        <f t="shared" si="54"/>
        <v>May</v>
      </c>
      <c r="R1202">
        <f t="shared" si="55"/>
        <v>2014</v>
      </c>
      <c r="S1202" t="str">
        <f>VLOOKUP($W1202,TBL_Categories,2,FALSE)</f>
        <v>Monthly</v>
      </c>
      <c r="T1202">
        <f>VLOOKUP($W1202,TBL_Categories,3,FALSE)</f>
        <v>0</v>
      </c>
      <c r="U1202" t="str">
        <f>VLOOKUP($W1202,TBL_Categories,4,FALSE)</f>
        <v>No</v>
      </c>
      <c r="V1202" t="str">
        <f>VLOOKUP($W1202,TBL_Categories,5,FALSE)</f>
        <v>None</v>
      </c>
      <c r="W1202" t="str">
        <f t="shared" si="56"/>
        <v>Personal Care|Hair</v>
      </c>
    </row>
    <row r="1203" spans="1:23" x14ac:dyDescent="0.25">
      <c r="A1203" t="s">
        <v>296</v>
      </c>
      <c r="B1203" s="5">
        <v>41776</v>
      </c>
      <c r="C1203">
        <v>-84.79</v>
      </c>
      <c r="D1203" t="s">
        <v>304</v>
      </c>
      <c r="E1203" t="s">
        <v>433</v>
      </c>
      <c r="F1203" t="s">
        <v>475</v>
      </c>
      <c r="G1203" t="s">
        <v>887</v>
      </c>
      <c r="I1203" t="s">
        <v>272</v>
      </c>
      <c r="J1203" t="s">
        <v>1550</v>
      </c>
      <c r="K1203" t="s">
        <v>61</v>
      </c>
      <c r="L1203" t="s">
        <v>401</v>
      </c>
      <c r="Q1203" t="str">
        <f t="shared" si="54"/>
        <v>May</v>
      </c>
      <c r="R1203">
        <f t="shared" si="55"/>
        <v>2014</v>
      </c>
      <c r="S1203" t="str">
        <f>VLOOKUP($W1203,TBL_Categories,2,FALSE)</f>
        <v>Monthly</v>
      </c>
      <c r="T1203">
        <f>VLOOKUP($W1203,TBL_Categories,3,FALSE)</f>
        <v>0</v>
      </c>
      <c r="U1203" t="str">
        <f>VLOOKUP($W1203,TBL_Categories,4,FALSE)</f>
        <v>No</v>
      </c>
      <c r="V1203" t="str">
        <f>VLOOKUP($W1203,TBL_Categories,5,FALSE)</f>
        <v>None</v>
      </c>
      <c r="W1203" t="str">
        <f t="shared" si="56"/>
        <v>Food &amp; Dining|Groceries</v>
      </c>
    </row>
    <row r="1204" spans="1:23" x14ac:dyDescent="0.25">
      <c r="A1204" t="s">
        <v>296</v>
      </c>
      <c r="B1204" s="5">
        <v>41776</v>
      </c>
      <c r="C1204">
        <v>-7.64</v>
      </c>
      <c r="D1204" t="s">
        <v>304</v>
      </c>
      <c r="E1204" t="s">
        <v>433</v>
      </c>
      <c r="F1204" t="s">
        <v>1123</v>
      </c>
      <c r="G1204" t="s">
        <v>1020</v>
      </c>
      <c r="I1204" t="s">
        <v>272</v>
      </c>
      <c r="J1204" t="s">
        <v>1550</v>
      </c>
      <c r="K1204" t="s">
        <v>66</v>
      </c>
      <c r="L1204" t="s">
        <v>1536</v>
      </c>
      <c r="Q1204" t="str">
        <f t="shared" si="54"/>
        <v>May</v>
      </c>
      <c r="R1204">
        <f t="shared" si="55"/>
        <v>2014</v>
      </c>
      <c r="S1204" t="str">
        <f>VLOOKUP($W1204,TBL_Categories,2,FALSE)</f>
        <v>Monthly</v>
      </c>
      <c r="T1204">
        <f>VLOOKUP($W1204,TBL_Categories,3,FALSE)</f>
        <v>0</v>
      </c>
      <c r="U1204" t="str">
        <f>VLOOKUP($W1204,TBL_Categories,4,FALSE)</f>
        <v>No</v>
      </c>
      <c r="V1204" t="str">
        <f>VLOOKUP($W1204,TBL_Categories,5,FALSE)</f>
        <v>None</v>
      </c>
      <c r="W1204" t="str">
        <f t="shared" si="56"/>
        <v>Kids|Toys</v>
      </c>
    </row>
    <row r="1205" spans="1:23" x14ac:dyDescent="0.25">
      <c r="A1205" t="s">
        <v>284</v>
      </c>
      <c r="B1205" s="5">
        <v>41775</v>
      </c>
      <c r="C1205">
        <v>-115</v>
      </c>
      <c r="D1205" t="s">
        <v>304</v>
      </c>
      <c r="E1205" t="s">
        <v>325</v>
      </c>
      <c r="F1205" t="s">
        <v>351</v>
      </c>
      <c r="G1205" t="s">
        <v>326</v>
      </c>
      <c r="K1205" t="s">
        <v>63</v>
      </c>
      <c r="L1205" t="s">
        <v>1528</v>
      </c>
      <c r="Q1205" t="str">
        <f t="shared" si="54"/>
        <v>May</v>
      </c>
      <c r="R1205">
        <f t="shared" si="55"/>
        <v>2014</v>
      </c>
      <c r="S1205" t="str">
        <f>VLOOKUP($W1205,TBL_Categories,2,FALSE)</f>
        <v>Monthly</v>
      </c>
      <c r="T1205">
        <f>VLOOKUP($W1205,TBL_Categories,3,FALSE)</f>
        <v>0</v>
      </c>
      <c r="U1205" t="str">
        <f>VLOOKUP($W1205,TBL_Categories,4,FALSE)</f>
        <v>No</v>
      </c>
      <c r="V1205" t="str">
        <f>VLOOKUP($W1205,TBL_Categories,5,FALSE)</f>
        <v>None</v>
      </c>
      <c r="W1205" t="str">
        <f t="shared" si="56"/>
        <v>Home|Home Services</v>
      </c>
    </row>
    <row r="1206" spans="1:23" x14ac:dyDescent="0.25">
      <c r="A1206" t="s">
        <v>287</v>
      </c>
      <c r="B1206" s="5">
        <v>41775</v>
      </c>
      <c r="C1206" s="4">
        <v>71250.350000000006</v>
      </c>
      <c r="D1206" t="s">
        <v>304</v>
      </c>
      <c r="E1206" t="s">
        <v>638</v>
      </c>
      <c r="F1206" t="s">
        <v>866</v>
      </c>
      <c r="G1206" t="s">
        <v>867</v>
      </c>
      <c r="K1206" t="s">
        <v>867</v>
      </c>
      <c r="Q1206" t="str">
        <f t="shared" si="54"/>
        <v>May</v>
      </c>
      <c r="R1206">
        <f t="shared" si="55"/>
        <v>2014</v>
      </c>
      <c r="S1206" t="e">
        <f>VLOOKUP($W1206,TBL_Categories,2,FALSE)</f>
        <v>#N/A</v>
      </c>
      <c r="T1206" t="e">
        <f>VLOOKUP($W1206,TBL_Categories,3,FALSE)</f>
        <v>#N/A</v>
      </c>
      <c r="U1206" t="e">
        <f>VLOOKUP($W1206,TBL_Categories,4,FALSE)</f>
        <v>#N/A</v>
      </c>
      <c r="V1206" t="e">
        <f>VLOOKUP($W1206,TBL_Categories,5,FALSE)</f>
        <v>#N/A</v>
      </c>
      <c r="W1206" t="str">
        <f t="shared" si="56"/>
        <v>[Edward Jones - Investment Account]</v>
      </c>
    </row>
    <row r="1207" spans="1:23" x14ac:dyDescent="0.25">
      <c r="A1207" t="s">
        <v>296</v>
      </c>
      <c r="B1207" s="5">
        <v>41775</v>
      </c>
      <c r="C1207">
        <v>-8.1999999999999993</v>
      </c>
      <c r="D1207" t="s">
        <v>304</v>
      </c>
      <c r="E1207" t="s">
        <v>958</v>
      </c>
      <c r="F1207" t="s">
        <v>959</v>
      </c>
      <c r="G1207" t="s">
        <v>333</v>
      </c>
      <c r="K1207" t="s">
        <v>61</v>
      </c>
      <c r="L1207" t="s">
        <v>1530</v>
      </c>
      <c r="Q1207" t="str">
        <f t="shared" si="54"/>
        <v>May</v>
      </c>
      <c r="R1207">
        <f t="shared" si="55"/>
        <v>2014</v>
      </c>
      <c r="S1207" t="str">
        <f>VLOOKUP($W1207,TBL_Categories,2,FALSE)</f>
        <v>Monthly</v>
      </c>
      <c r="T1207">
        <f>VLOOKUP($W1207,TBL_Categories,3,FALSE)</f>
        <v>0</v>
      </c>
      <c r="U1207" t="str">
        <f>VLOOKUP($W1207,TBL_Categories,4,FALSE)</f>
        <v>No</v>
      </c>
      <c r="V1207" t="str">
        <f>VLOOKUP($W1207,TBL_Categories,5,FALSE)</f>
        <v>None</v>
      </c>
      <c r="W1207" t="str">
        <f t="shared" si="56"/>
        <v>Food &amp; Dining|Restaurants</v>
      </c>
    </row>
    <row r="1208" spans="1:23" x14ac:dyDescent="0.25">
      <c r="A1208" t="s">
        <v>296</v>
      </c>
      <c r="B1208" s="5">
        <v>41775</v>
      </c>
      <c r="C1208">
        <v>-60</v>
      </c>
      <c r="D1208" t="s">
        <v>304</v>
      </c>
      <c r="E1208" t="s">
        <v>430</v>
      </c>
      <c r="F1208" t="s">
        <v>1120</v>
      </c>
      <c r="G1208" t="s">
        <v>915</v>
      </c>
      <c r="J1208" t="s">
        <v>1550</v>
      </c>
      <c r="K1208" t="s">
        <v>20</v>
      </c>
      <c r="Q1208" t="str">
        <f t="shared" si="54"/>
        <v>May</v>
      </c>
      <c r="R1208">
        <f t="shared" si="55"/>
        <v>2014</v>
      </c>
      <c r="S1208" t="str">
        <f>VLOOKUP($W1208,TBL_Categories,2,FALSE)</f>
        <v>Monthly</v>
      </c>
      <c r="T1208">
        <f>VLOOKUP($W1208,TBL_Categories,3,FALSE)</f>
        <v>0</v>
      </c>
      <c r="U1208" t="str">
        <f>VLOOKUP($W1208,TBL_Categories,4,FALSE)</f>
        <v>No</v>
      </c>
      <c r="V1208" t="str">
        <f>VLOOKUP($W1208,TBL_Categories,5,FALSE)</f>
        <v>None</v>
      </c>
      <c r="W1208" t="str">
        <f t="shared" si="56"/>
        <v>Gifts</v>
      </c>
    </row>
    <row r="1209" spans="1:23" x14ac:dyDescent="0.25">
      <c r="A1209" t="s">
        <v>763</v>
      </c>
      <c r="B1209" s="5">
        <v>41775</v>
      </c>
      <c r="C1209" s="4">
        <v>71250.350000000006</v>
      </c>
      <c r="E1209" t="s">
        <v>638</v>
      </c>
      <c r="F1209" t="s">
        <v>866</v>
      </c>
      <c r="G1209" t="s">
        <v>30</v>
      </c>
      <c r="H1209" t="s">
        <v>758</v>
      </c>
      <c r="I1209" t="s">
        <v>272</v>
      </c>
      <c r="K1209" t="s">
        <v>30</v>
      </c>
      <c r="Q1209" t="str">
        <f t="shared" si="54"/>
        <v>May</v>
      </c>
      <c r="R1209">
        <f t="shared" si="55"/>
        <v>2014</v>
      </c>
      <c r="S1209" t="str">
        <f>VLOOKUP($W1209,TBL_Categories,2,FALSE)</f>
        <v>Account</v>
      </c>
      <c r="T1209">
        <f>VLOOKUP($W1209,TBL_Categories,3,FALSE)</f>
        <v>0</v>
      </c>
      <c r="U1209" t="str">
        <f>VLOOKUP($W1209,TBL_Categories,4,FALSE)</f>
        <v>No</v>
      </c>
      <c r="V1209" t="str">
        <f>VLOOKUP($W1209,TBL_Categories,5,FALSE)</f>
        <v>None</v>
      </c>
      <c r="W1209" t="str">
        <f t="shared" si="56"/>
        <v>[First Tech - Short Term Emergency (5400)]</v>
      </c>
    </row>
    <row r="1210" spans="1:23" x14ac:dyDescent="0.25">
      <c r="A1210" t="s">
        <v>284</v>
      </c>
      <c r="B1210" s="5">
        <v>41774</v>
      </c>
      <c r="C1210">
        <v>-110.13</v>
      </c>
      <c r="D1210" t="s">
        <v>304</v>
      </c>
      <c r="E1210" t="s">
        <v>323</v>
      </c>
      <c r="F1210" t="s">
        <v>343</v>
      </c>
      <c r="G1210" t="s">
        <v>313</v>
      </c>
      <c r="K1210" t="s">
        <v>54</v>
      </c>
      <c r="L1210" t="s">
        <v>1521</v>
      </c>
      <c r="Q1210" t="str">
        <f t="shared" si="54"/>
        <v>May</v>
      </c>
      <c r="R1210">
        <f t="shared" si="55"/>
        <v>2014</v>
      </c>
      <c r="S1210" t="str">
        <f>VLOOKUP($W1210,TBL_Categories,2,FALSE)</f>
        <v>Monthly</v>
      </c>
      <c r="T1210">
        <f>VLOOKUP($W1210,TBL_Categories,3,FALSE)</f>
        <v>0</v>
      </c>
      <c r="U1210" t="str">
        <f>VLOOKUP($W1210,TBL_Categories,4,FALSE)</f>
        <v>No</v>
      </c>
      <c r="V1210" t="str">
        <f>VLOOKUP($W1210,TBL_Categories,5,FALSE)</f>
        <v>None</v>
      </c>
      <c r="W1210" t="str">
        <f t="shared" si="56"/>
        <v>Bills &amp; Utilities|Utilities</v>
      </c>
    </row>
    <row r="1211" spans="1:23" x14ac:dyDescent="0.25">
      <c r="A1211" t="s">
        <v>296</v>
      </c>
      <c r="B1211" s="5">
        <v>41774</v>
      </c>
      <c r="C1211">
        <v>-6.56</v>
      </c>
      <c r="D1211" t="s">
        <v>304</v>
      </c>
      <c r="E1211" t="s">
        <v>433</v>
      </c>
      <c r="F1211" t="s">
        <v>1119</v>
      </c>
      <c r="G1211" t="s">
        <v>1042</v>
      </c>
      <c r="J1211" t="s">
        <v>1550</v>
      </c>
      <c r="K1211" t="s">
        <v>66</v>
      </c>
      <c r="L1211" t="s">
        <v>1537</v>
      </c>
      <c r="Q1211" t="str">
        <f t="shared" si="54"/>
        <v>May</v>
      </c>
      <c r="R1211">
        <f t="shared" si="55"/>
        <v>2014</v>
      </c>
      <c r="S1211" t="str">
        <f>VLOOKUP($W1211,TBL_Categories,2,FALSE)</f>
        <v>Monthly</v>
      </c>
      <c r="T1211">
        <f>VLOOKUP($W1211,TBL_Categories,3,FALSE)</f>
        <v>0</v>
      </c>
      <c r="U1211" t="str">
        <f>VLOOKUP($W1211,TBL_Categories,4,FALSE)</f>
        <v>No</v>
      </c>
      <c r="V1211" t="str">
        <f>VLOOKUP($W1211,TBL_Categories,5,FALSE)</f>
        <v>None</v>
      </c>
      <c r="W1211" t="str">
        <f t="shared" si="56"/>
        <v>Kids|Clothing</v>
      </c>
    </row>
    <row r="1212" spans="1:23" x14ac:dyDescent="0.25">
      <c r="A1212" t="s">
        <v>284</v>
      </c>
      <c r="B1212" s="5">
        <v>41773</v>
      </c>
      <c r="C1212" s="4">
        <v>3165.21</v>
      </c>
      <c r="D1212" t="s">
        <v>304</v>
      </c>
      <c r="E1212" t="s">
        <v>361</v>
      </c>
      <c r="F1212" t="s">
        <v>312</v>
      </c>
      <c r="G1212" t="s">
        <v>12</v>
      </c>
      <c r="K1212" t="s">
        <v>12</v>
      </c>
      <c r="Q1212" t="str">
        <f t="shared" si="54"/>
        <v>May</v>
      </c>
      <c r="R1212">
        <f t="shared" si="55"/>
        <v>2014</v>
      </c>
      <c r="S1212" t="str">
        <f>VLOOKUP($W1212,TBL_Categories,2,FALSE)</f>
        <v>Monthly</v>
      </c>
      <c r="T1212">
        <f>VLOOKUP($W1212,TBL_Categories,3,FALSE)</f>
        <v>0</v>
      </c>
      <c r="U1212" t="str">
        <f>VLOOKUP($W1212,TBL_Categories,4,FALSE)</f>
        <v>No</v>
      </c>
      <c r="V1212" t="str">
        <f>VLOOKUP($W1212,TBL_Categories,5,FALSE)</f>
        <v>None</v>
      </c>
      <c r="W1212" t="str">
        <f t="shared" si="56"/>
        <v>Net Salary</v>
      </c>
    </row>
    <row r="1213" spans="1:23" x14ac:dyDescent="0.25">
      <c r="A1213" t="s">
        <v>296</v>
      </c>
      <c r="B1213" s="5">
        <v>41773</v>
      </c>
      <c r="C1213">
        <v>-2.89</v>
      </c>
      <c r="D1213" t="s">
        <v>304</v>
      </c>
      <c r="E1213" t="s">
        <v>433</v>
      </c>
      <c r="F1213" t="s">
        <v>475</v>
      </c>
      <c r="G1213" t="s">
        <v>887</v>
      </c>
      <c r="I1213" t="s">
        <v>272</v>
      </c>
      <c r="J1213" t="s">
        <v>1550</v>
      </c>
      <c r="K1213" t="s">
        <v>61</v>
      </c>
      <c r="L1213" t="s">
        <v>401</v>
      </c>
      <c r="Q1213" t="str">
        <f t="shared" si="54"/>
        <v>May</v>
      </c>
      <c r="R1213">
        <f t="shared" si="55"/>
        <v>2014</v>
      </c>
      <c r="S1213" t="str">
        <f>VLOOKUP($W1213,TBL_Categories,2,FALSE)</f>
        <v>Monthly</v>
      </c>
      <c r="T1213">
        <f>VLOOKUP($W1213,TBL_Categories,3,FALSE)</f>
        <v>0</v>
      </c>
      <c r="U1213" t="str">
        <f>VLOOKUP($W1213,TBL_Categories,4,FALSE)</f>
        <v>No</v>
      </c>
      <c r="V1213" t="str">
        <f>VLOOKUP($W1213,TBL_Categories,5,FALSE)</f>
        <v>None</v>
      </c>
      <c r="W1213" t="str">
        <f t="shared" si="56"/>
        <v>Food &amp; Dining|Groceries</v>
      </c>
    </row>
    <row r="1214" spans="1:23" x14ac:dyDescent="0.25">
      <c r="A1214" t="s">
        <v>296</v>
      </c>
      <c r="B1214" s="5">
        <v>41773</v>
      </c>
      <c r="C1214">
        <v>-6.56</v>
      </c>
      <c r="D1214" t="s">
        <v>304</v>
      </c>
      <c r="E1214" t="s">
        <v>433</v>
      </c>
      <c r="F1214" t="s">
        <v>1118</v>
      </c>
      <c r="G1214" t="s">
        <v>1020</v>
      </c>
      <c r="I1214" t="s">
        <v>272</v>
      </c>
      <c r="J1214" t="s">
        <v>1550</v>
      </c>
      <c r="K1214" t="s">
        <v>66</v>
      </c>
      <c r="L1214" t="s">
        <v>1536</v>
      </c>
      <c r="Q1214" t="str">
        <f t="shared" si="54"/>
        <v>May</v>
      </c>
      <c r="R1214">
        <f t="shared" si="55"/>
        <v>2014</v>
      </c>
      <c r="S1214" t="str">
        <f>VLOOKUP($W1214,TBL_Categories,2,FALSE)</f>
        <v>Monthly</v>
      </c>
      <c r="T1214">
        <f>VLOOKUP($W1214,TBL_Categories,3,FALSE)</f>
        <v>0</v>
      </c>
      <c r="U1214" t="str">
        <f>VLOOKUP($W1214,TBL_Categories,4,FALSE)</f>
        <v>No</v>
      </c>
      <c r="V1214" t="str">
        <f>VLOOKUP($W1214,TBL_Categories,5,FALSE)</f>
        <v>None</v>
      </c>
      <c r="W1214" t="str">
        <f t="shared" si="56"/>
        <v>Kids|Toys</v>
      </c>
    </row>
    <row r="1215" spans="1:23" x14ac:dyDescent="0.25">
      <c r="A1215" t="s">
        <v>284</v>
      </c>
      <c r="B1215" s="5">
        <v>41772</v>
      </c>
      <c r="C1215">
        <v>-81.430000000000007</v>
      </c>
      <c r="D1215" t="s">
        <v>304</v>
      </c>
      <c r="E1215" t="s">
        <v>324</v>
      </c>
      <c r="F1215" t="s">
        <v>787</v>
      </c>
      <c r="G1215" t="s">
        <v>313</v>
      </c>
      <c r="K1215" t="s">
        <v>54</v>
      </c>
      <c r="L1215" t="s">
        <v>1521</v>
      </c>
      <c r="Q1215" t="str">
        <f t="shared" si="54"/>
        <v>May</v>
      </c>
      <c r="R1215">
        <f t="shared" si="55"/>
        <v>2014</v>
      </c>
      <c r="S1215" t="str">
        <f>VLOOKUP($W1215,TBL_Categories,2,FALSE)</f>
        <v>Monthly</v>
      </c>
      <c r="T1215">
        <f>VLOOKUP($W1215,TBL_Categories,3,FALSE)</f>
        <v>0</v>
      </c>
      <c r="U1215" t="str">
        <f>VLOOKUP($W1215,TBL_Categories,4,FALSE)</f>
        <v>No</v>
      </c>
      <c r="V1215" t="str">
        <f>VLOOKUP($W1215,TBL_Categories,5,FALSE)</f>
        <v>None</v>
      </c>
      <c r="W1215" t="str">
        <f t="shared" si="56"/>
        <v>Bills &amp; Utilities|Utilities</v>
      </c>
    </row>
    <row r="1216" spans="1:23" x14ac:dyDescent="0.25">
      <c r="A1216" t="s">
        <v>296</v>
      </c>
      <c r="B1216" s="5">
        <v>41772</v>
      </c>
      <c r="C1216">
        <v>-7.97</v>
      </c>
      <c r="D1216" t="s">
        <v>304</v>
      </c>
      <c r="E1216" t="s">
        <v>428</v>
      </c>
      <c r="F1216" t="s">
        <v>472</v>
      </c>
      <c r="G1216" t="s">
        <v>342</v>
      </c>
      <c r="K1216" t="s">
        <v>61</v>
      </c>
      <c r="L1216" t="s">
        <v>401</v>
      </c>
      <c r="Q1216" t="str">
        <f t="shared" si="54"/>
        <v>May</v>
      </c>
      <c r="R1216">
        <f t="shared" si="55"/>
        <v>2014</v>
      </c>
      <c r="S1216" t="str">
        <f>VLOOKUP($W1216,TBL_Categories,2,FALSE)</f>
        <v>Monthly</v>
      </c>
      <c r="T1216">
        <f>VLOOKUP($W1216,TBL_Categories,3,FALSE)</f>
        <v>0</v>
      </c>
      <c r="U1216" t="str">
        <f>VLOOKUP($W1216,TBL_Categories,4,FALSE)</f>
        <v>No</v>
      </c>
      <c r="V1216" t="str">
        <f>VLOOKUP($W1216,TBL_Categories,5,FALSE)</f>
        <v>None</v>
      </c>
      <c r="W1216" t="str">
        <f t="shared" si="56"/>
        <v>Food &amp; Dining|Groceries</v>
      </c>
    </row>
    <row r="1217" spans="1:23" x14ac:dyDescent="0.25">
      <c r="A1217" t="s">
        <v>284</v>
      </c>
      <c r="B1217" s="5">
        <v>41771</v>
      </c>
      <c r="C1217">
        <v>12</v>
      </c>
      <c r="D1217" t="s">
        <v>304</v>
      </c>
      <c r="E1217" t="s">
        <v>786</v>
      </c>
      <c r="F1217" t="s">
        <v>394</v>
      </c>
      <c r="G1217" t="s">
        <v>14</v>
      </c>
      <c r="K1217" t="s">
        <v>14</v>
      </c>
      <c r="Q1217" t="str">
        <f t="shared" si="54"/>
        <v>May</v>
      </c>
      <c r="R1217">
        <f t="shared" si="55"/>
        <v>2014</v>
      </c>
      <c r="S1217" t="str">
        <f>VLOOKUP($W1217,TBL_Categories,2,FALSE)</f>
        <v>Monthly</v>
      </c>
      <c r="T1217">
        <f>VLOOKUP($W1217,TBL_Categories,3,FALSE)</f>
        <v>0</v>
      </c>
      <c r="U1217" t="str">
        <f>VLOOKUP($W1217,TBL_Categories,4,FALSE)</f>
        <v>No</v>
      </c>
      <c r="V1217" t="str">
        <f>VLOOKUP($W1217,TBL_Categories,5,FALSE)</f>
        <v>None</v>
      </c>
      <c r="W1217" t="str">
        <f t="shared" si="56"/>
        <v>Other Inc</v>
      </c>
    </row>
    <row r="1218" spans="1:23" x14ac:dyDescent="0.25">
      <c r="A1218" t="s">
        <v>288</v>
      </c>
      <c r="B1218" s="5">
        <v>41771</v>
      </c>
      <c r="C1218">
        <v>-19.57</v>
      </c>
      <c r="D1218" t="s">
        <v>304</v>
      </c>
      <c r="E1218" t="s">
        <v>871</v>
      </c>
      <c r="F1218" t="s">
        <v>872</v>
      </c>
      <c r="G1218" t="s">
        <v>307</v>
      </c>
      <c r="H1218">
        <v>1092</v>
      </c>
      <c r="K1218" t="s">
        <v>55</v>
      </c>
      <c r="L1218" t="s">
        <v>1559</v>
      </c>
      <c r="Q1218" t="str">
        <f t="shared" ref="Q1218:Q1281" si="57">TEXT($B1218,"MMM")</f>
        <v>May</v>
      </c>
      <c r="R1218">
        <f t="shared" ref="R1218:R1281" si="58">YEAR($B1218)</f>
        <v>2014</v>
      </c>
      <c r="S1218" t="str">
        <f>VLOOKUP($W1218,TBL_Categories,2,FALSE)</f>
        <v>Irregular</v>
      </c>
      <c r="T1218">
        <f>VLOOKUP($W1218,TBL_Categories,3,FALSE)</f>
        <v>0</v>
      </c>
      <c r="U1218" t="str">
        <f>VLOOKUP($W1218,TBL_Categories,4,FALSE)</f>
        <v>No</v>
      </c>
      <c r="V1218" t="str">
        <f>VLOOKUP($W1218,TBL_Categories,5,FALSE)</f>
        <v>None</v>
      </c>
      <c r="W1218" t="str">
        <f t="shared" ref="W1218:W1281" si="59">IF(ISBLANK($L1218),$K1218,CONCATENATE($K1218,"|",$L1218))</f>
        <v>Business Expenses (Koolikai)|Repairs</v>
      </c>
    </row>
    <row r="1219" spans="1:23" x14ac:dyDescent="0.25">
      <c r="A1219" t="s">
        <v>288</v>
      </c>
      <c r="B1219" s="5">
        <v>41771</v>
      </c>
      <c r="C1219">
        <v>-49.1</v>
      </c>
      <c r="D1219" t="s">
        <v>304</v>
      </c>
      <c r="E1219" t="s">
        <v>871</v>
      </c>
      <c r="F1219" t="s">
        <v>873</v>
      </c>
      <c r="G1219" t="s">
        <v>307</v>
      </c>
      <c r="H1219">
        <v>1093</v>
      </c>
      <c r="K1219" t="s">
        <v>55</v>
      </c>
      <c r="L1219" t="s">
        <v>1559</v>
      </c>
      <c r="Q1219" t="str">
        <f t="shared" si="57"/>
        <v>May</v>
      </c>
      <c r="R1219">
        <f t="shared" si="58"/>
        <v>2014</v>
      </c>
      <c r="S1219" t="str">
        <f>VLOOKUP($W1219,TBL_Categories,2,FALSE)</f>
        <v>Irregular</v>
      </c>
      <c r="T1219">
        <f>VLOOKUP($W1219,TBL_Categories,3,FALSE)</f>
        <v>0</v>
      </c>
      <c r="U1219" t="str">
        <f>VLOOKUP($W1219,TBL_Categories,4,FALSE)</f>
        <v>No</v>
      </c>
      <c r="V1219" t="str">
        <f>VLOOKUP($W1219,TBL_Categories,5,FALSE)</f>
        <v>None</v>
      </c>
      <c r="W1219" t="str">
        <f t="shared" si="59"/>
        <v>Business Expenses (Koolikai)|Repairs</v>
      </c>
    </row>
    <row r="1220" spans="1:23" x14ac:dyDescent="0.25">
      <c r="A1220" t="s">
        <v>633</v>
      </c>
      <c r="B1220" s="5">
        <v>41771</v>
      </c>
      <c r="C1220">
        <v>-178.3</v>
      </c>
      <c r="D1220" t="s">
        <v>304</v>
      </c>
      <c r="E1220" t="s">
        <v>459</v>
      </c>
      <c r="G1220" t="s">
        <v>773</v>
      </c>
      <c r="J1220" t="s">
        <v>1550</v>
      </c>
      <c r="K1220" t="s">
        <v>61</v>
      </c>
      <c r="L1220" t="s">
        <v>1530</v>
      </c>
      <c r="Q1220" t="str">
        <f t="shared" si="57"/>
        <v>May</v>
      </c>
      <c r="R1220">
        <f t="shared" si="58"/>
        <v>2014</v>
      </c>
      <c r="S1220" t="str">
        <f>VLOOKUP($W1220,TBL_Categories,2,FALSE)</f>
        <v>Monthly</v>
      </c>
      <c r="T1220">
        <f>VLOOKUP($W1220,TBL_Categories,3,FALSE)</f>
        <v>0</v>
      </c>
      <c r="U1220" t="str">
        <f>VLOOKUP($W1220,TBL_Categories,4,FALSE)</f>
        <v>No</v>
      </c>
      <c r="V1220" t="str">
        <f>VLOOKUP($W1220,TBL_Categories,5,FALSE)</f>
        <v>None</v>
      </c>
      <c r="W1220" t="str">
        <f t="shared" si="59"/>
        <v>Food &amp; Dining|Restaurants</v>
      </c>
    </row>
    <row r="1221" spans="1:23" x14ac:dyDescent="0.25">
      <c r="A1221" t="s">
        <v>294</v>
      </c>
      <c r="B1221" s="5">
        <v>41771</v>
      </c>
      <c r="C1221">
        <v>-146.97999999999999</v>
      </c>
      <c r="D1221" t="s">
        <v>304</v>
      </c>
      <c r="E1221" t="s">
        <v>335</v>
      </c>
      <c r="G1221" t="s">
        <v>336</v>
      </c>
      <c r="K1221" t="s">
        <v>55</v>
      </c>
      <c r="L1221" t="s">
        <v>1532</v>
      </c>
      <c r="Q1221" t="str">
        <f t="shared" si="57"/>
        <v>May</v>
      </c>
      <c r="R1221">
        <f t="shared" si="58"/>
        <v>2014</v>
      </c>
      <c r="S1221" t="str">
        <f>VLOOKUP($W1221,TBL_Categories,2,FALSE)</f>
        <v>Monthly</v>
      </c>
      <c r="T1221">
        <f>VLOOKUP($W1221,TBL_Categories,3,FALSE)</f>
        <v>0</v>
      </c>
      <c r="U1221" t="str">
        <f>VLOOKUP($W1221,TBL_Categories,4,FALSE)</f>
        <v>No</v>
      </c>
      <c r="V1221" t="str">
        <f>VLOOKUP($W1221,TBL_Categories,5,FALSE)</f>
        <v>None</v>
      </c>
      <c r="W1221" t="str">
        <f t="shared" si="59"/>
        <v>Business Expenses (Koolikai)|Cell Phone</v>
      </c>
    </row>
    <row r="1222" spans="1:23" x14ac:dyDescent="0.25">
      <c r="A1222" t="s">
        <v>296</v>
      </c>
      <c r="B1222" s="5">
        <v>41771</v>
      </c>
      <c r="C1222">
        <v>-94.61</v>
      </c>
      <c r="D1222" t="s">
        <v>304</v>
      </c>
      <c r="E1222" t="s">
        <v>434</v>
      </c>
      <c r="F1222" t="s">
        <v>476</v>
      </c>
      <c r="G1222" t="s">
        <v>887</v>
      </c>
      <c r="J1222" t="s">
        <v>1550</v>
      </c>
      <c r="K1222" t="s">
        <v>61</v>
      </c>
      <c r="L1222" t="s">
        <v>401</v>
      </c>
      <c r="Q1222" t="str">
        <f t="shared" si="57"/>
        <v>May</v>
      </c>
      <c r="R1222">
        <f t="shared" si="58"/>
        <v>2014</v>
      </c>
      <c r="S1222" t="str">
        <f>VLOOKUP($W1222,TBL_Categories,2,FALSE)</f>
        <v>Monthly</v>
      </c>
      <c r="T1222">
        <f>VLOOKUP($W1222,TBL_Categories,3,FALSE)</f>
        <v>0</v>
      </c>
      <c r="U1222" t="str">
        <f>VLOOKUP($W1222,TBL_Categories,4,FALSE)</f>
        <v>No</v>
      </c>
      <c r="V1222" t="str">
        <f>VLOOKUP($W1222,TBL_Categories,5,FALSE)</f>
        <v>None</v>
      </c>
      <c r="W1222" t="str">
        <f t="shared" si="59"/>
        <v>Food &amp; Dining|Groceries</v>
      </c>
    </row>
    <row r="1223" spans="1:23" x14ac:dyDescent="0.25">
      <c r="A1223" t="s">
        <v>296</v>
      </c>
      <c r="B1223" s="5">
        <v>41770</v>
      </c>
      <c r="C1223">
        <v>-4.2300000000000004</v>
      </c>
      <c r="D1223" t="s">
        <v>304</v>
      </c>
      <c r="E1223" t="s">
        <v>451</v>
      </c>
      <c r="F1223" t="s">
        <v>1113</v>
      </c>
      <c r="G1223" t="s">
        <v>1114</v>
      </c>
      <c r="K1223" t="s">
        <v>17</v>
      </c>
      <c r="L1223" t="s">
        <v>1593</v>
      </c>
      <c r="Q1223" t="str">
        <f t="shared" si="57"/>
        <v>May</v>
      </c>
      <c r="R1223">
        <f t="shared" si="58"/>
        <v>2014</v>
      </c>
      <c r="S1223" t="str">
        <f>VLOOKUP($W1223,TBL_Categories,2,FALSE)</f>
        <v>Unplanned</v>
      </c>
      <c r="T1223">
        <f>VLOOKUP($W1223,TBL_Categories,3,FALSE)</f>
        <v>0</v>
      </c>
      <c r="U1223" t="str">
        <f>VLOOKUP($W1223,TBL_Categories,4,FALSE)</f>
        <v>No</v>
      </c>
      <c r="V1223" t="str">
        <f>VLOOKUP($W1223,TBL_Categories,5,FALSE)</f>
        <v>None</v>
      </c>
      <c r="W1223" t="str">
        <f t="shared" si="59"/>
        <v>Entertainment|Music</v>
      </c>
    </row>
    <row r="1224" spans="1:23" x14ac:dyDescent="0.25">
      <c r="A1224" t="s">
        <v>296</v>
      </c>
      <c r="B1224" s="5">
        <v>41770</v>
      </c>
      <c r="C1224">
        <v>-13.69</v>
      </c>
      <c r="D1224" t="s">
        <v>304</v>
      </c>
      <c r="E1224" t="s">
        <v>723</v>
      </c>
      <c r="F1224" t="s">
        <v>1115</v>
      </c>
      <c r="G1224" t="s">
        <v>356</v>
      </c>
      <c r="K1224" t="s">
        <v>62</v>
      </c>
      <c r="L1224" t="s">
        <v>1545</v>
      </c>
      <c r="O1224" t="s">
        <v>1600</v>
      </c>
      <c r="Q1224" t="str">
        <f t="shared" si="57"/>
        <v>May</v>
      </c>
      <c r="R1224">
        <f t="shared" si="58"/>
        <v>2014</v>
      </c>
      <c r="S1224" t="str">
        <f>VLOOKUP($W1224,TBL_Categories,2,FALSE)</f>
        <v>Irregular</v>
      </c>
      <c r="T1224">
        <f>VLOOKUP($W1224,TBL_Categories,3,FALSE)</f>
        <v>0</v>
      </c>
      <c r="U1224" t="str">
        <f>VLOOKUP($W1224,TBL_Categories,4,FALSE)</f>
        <v>No</v>
      </c>
      <c r="V1224" t="str">
        <f>VLOOKUP($W1224,TBL_Categories,5,FALSE)</f>
        <v>None</v>
      </c>
      <c r="W1224" t="str">
        <f t="shared" si="59"/>
        <v>Health &amp; Fitness|Sports</v>
      </c>
    </row>
    <row r="1225" spans="1:23" x14ac:dyDescent="0.25">
      <c r="A1225" t="s">
        <v>296</v>
      </c>
      <c r="B1225" s="5">
        <v>41770</v>
      </c>
      <c r="C1225">
        <v>-16.41</v>
      </c>
      <c r="D1225" t="s">
        <v>304</v>
      </c>
      <c r="E1225" t="s">
        <v>1032</v>
      </c>
      <c r="F1225" t="s">
        <v>1116</v>
      </c>
      <c r="G1225" t="s">
        <v>894</v>
      </c>
      <c r="J1225" t="s">
        <v>1550</v>
      </c>
      <c r="K1225" t="s">
        <v>62</v>
      </c>
      <c r="L1225" t="s">
        <v>1545</v>
      </c>
      <c r="O1225" t="s">
        <v>1600</v>
      </c>
      <c r="Q1225" t="str">
        <f t="shared" si="57"/>
        <v>May</v>
      </c>
      <c r="R1225">
        <f t="shared" si="58"/>
        <v>2014</v>
      </c>
      <c r="S1225" t="str">
        <f>VLOOKUP($W1225,TBL_Categories,2,FALSE)</f>
        <v>Irregular</v>
      </c>
      <c r="T1225">
        <f>VLOOKUP($W1225,TBL_Categories,3,FALSE)</f>
        <v>0</v>
      </c>
      <c r="U1225" t="str">
        <f>VLOOKUP($W1225,TBL_Categories,4,FALSE)</f>
        <v>No</v>
      </c>
      <c r="V1225" t="str">
        <f>VLOOKUP($W1225,TBL_Categories,5,FALSE)</f>
        <v>None</v>
      </c>
      <c r="W1225" t="str">
        <f t="shared" si="59"/>
        <v>Health &amp; Fitness|Sports</v>
      </c>
    </row>
    <row r="1226" spans="1:23" x14ac:dyDescent="0.25">
      <c r="A1226" t="s">
        <v>296</v>
      </c>
      <c r="B1226" s="5">
        <v>41770</v>
      </c>
      <c r="C1226">
        <v>-142.9</v>
      </c>
      <c r="D1226" t="s">
        <v>304</v>
      </c>
      <c r="E1226" t="s">
        <v>696</v>
      </c>
      <c r="F1226" t="s">
        <v>1117</v>
      </c>
      <c r="G1226" t="s">
        <v>356</v>
      </c>
      <c r="K1226" t="s">
        <v>62</v>
      </c>
      <c r="L1226" t="s">
        <v>1545</v>
      </c>
      <c r="O1226" t="s">
        <v>1600</v>
      </c>
      <c r="Q1226" t="str">
        <f t="shared" si="57"/>
        <v>May</v>
      </c>
      <c r="R1226">
        <f t="shared" si="58"/>
        <v>2014</v>
      </c>
      <c r="S1226" t="str">
        <f>VLOOKUP($W1226,TBL_Categories,2,FALSE)</f>
        <v>Irregular</v>
      </c>
      <c r="T1226">
        <f>VLOOKUP($W1226,TBL_Categories,3,FALSE)</f>
        <v>0</v>
      </c>
      <c r="U1226" t="str">
        <f>VLOOKUP($W1226,TBL_Categories,4,FALSE)</f>
        <v>No</v>
      </c>
      <c r="V1226" t="str">
        <f>VLOOKUP($W1226,TBL_Categories,5,FALSE)</f>
        <v>None</v>
      </c>
      <c r="W1226" t="str">
        <f t="shared" si="59"/>
        <v>Health &amp; Fitness|Sports</v>
      </c>
    </row>
    <row r="1227" spans="1:23" x14ac:dyDescent="0.25">
      <c r="A1227" t="s">
        <v>296</v>
      </c>
      <c r="B1227" s="5">
        <v>41769</v>
      </c>
      <c r="C1227">
        <v>-17.5</v>
      </c>
      <c r="D1227" t="s">
        <v>304</v>
      </c>
      <c r="E1227" t="s">
        <v>477</v>
      </c>
      <c r="F1227" t="s">
        <v>728</v>
      </c>
      <c r="G1227" t="s">
        <v>466</v>
      </c>
      <c r="K1227" t="s">
        <v>72</v>
      </c>
      <c r="L1227" t="s">
        <v>460</v>
      </c>
      <c r="Q1227" t="str">
        <f t="shared" si="57"/>
        <v>May</v>
      </c>
      <c r="R1227">
        <f t="shared" si="58"/>
        <v>2014</v>
      </c>
      <c r="S1227" t="str">
        <f>VLOOKUP($W1227,TBL_Categories,2,FALSE)</f>
        <v>Unplanned</v>
      </c>
      <c r="T1227">
        <f>VLOOKUP($W1227,TBL_Categories,3,FALSE)</f>
        <v>0</v>
      </c>
      <c r="U1227" t="str">
        <f>VLOOKUP($W1227,TBL_Categories,4,FALSE)</f>
        <v>No</v>
      </c>
      <c r="V1227" t="str">
        <f>VLOOKUP($W1227,TBL_Categories,5,FALSE)</f>
        <v>None</v>
      </c>
      <c r="W1227" t="str">
        <f t="shared" si="59"/>
        <v>Shopping|Books</v>
      </c>
    </row>
    <row r="1228" spans="1:23" x14ac:dyDescent="0.25">
      <c r="A1228" t="s">
        <v>296</v>
      </c>
      <c r="B1228" s="5">
        <v>41769</v>
      </c>
      <c r="C1228">
        <v>-72.349999999999994</v>
      </c>
      <c r="D1228" t="s">
        <v>304</v>
      </c>
      <c r="E1228" t="s">
        <v>433</v>
      </c>
      <c r="F1228" t="s">
        <v>475</v>
      </c>
      <c r="G1228" t="s">
        <v>887</v>
      </c>
      <c r="I1228" t="s">
        <v>272</v>
      </c>
      <c r="J1228" t="s">
        <v>1550</v>
      </c>
      <c r="K1228" t="s">
        <v>61</v>
      </c>
      <c r="L1228" t="s">
        <v>401</v>
      </c>
      <c r="Q1228" t="str">
        <f t="shared" si="57"/>
        <v>May</v>
      </c>
      <c r="R1228">
        <f t="shared" si="58"/>
        <v>2014</v>
      </c>
      <c r="S1228" t="str">
        <f>VLOOKUP($W1228,TBL_Categories,2,FALSE)</f>
        <v>Monthly</v>
      </c>
      <c r="T1228">
        <f>VLOOKUP($W1228,TBL_Categories,3,FALSE)</f>
        <v>0</v>
      </c>
      <c r="U1228" t="str">
        <f>VLOOKUP($W1228,TBL_Categories,4,FALSE)</f>
        <v>No</v>
      </c>
      <c r="V1228" t="str">
        <f>VLOOKUP($W1228,TBL_Categories,5,FALSE)</f>
        <v>None</v>
      </c>
      <c r="W1228" t="str">
        <f t="shared" si="59"/>
        <v>Food &amp; Dining|Groceries</v>
      </c>
    </row>
    <row r="1229" spans="1:23" x14ac:dyDescent="0.25">
      <c r="A1229" t="s">
        <v>296</v>
      </c>
      <c r="B1229" s="5">
        <v>41769</v>
      </c>
      <c r="C1229">
        <v>-6.01</v>
      </c>
      <c r="D1229" t="s">
        <v>304</v>
      </c>
      <c r="E1229" t="s">
        <v>433</v>
      </c>
      <c r="F1229" t="s">
        <v>1111</v>
      </c>
      <c r="G1229" t="s">
        <v>915</v>
      </c>
      <c r="I1229" t="s">
        <v>272</v>
      </c>
      <c r="J1229" t="s">
        <v>1550</v>
      </c>
      <c r="K1229" t="s">
        <v>20</v>
      </c>
      <c r="Q1229" t="str">
        <f t="shared" si="57"/>
        <v>May</v>
      </c>
      <c r="R1229">
        <f t="shared" si="58"/>
        <v>2014</v>
      </c>
      <c r="S1229" t="str">
        <f>VLOOKUP($W1229,TBL_Categories,2,FALSE)</f>
        <v>Monthly</v>
      </c>
      <c r="T1229">
        <f>VLOOKUP($W1229,TBL_Categories,3,FALSE)</f>
        <v>0</v>
      </c>
      <c r="U1229" t="str">
        <f>VLOOKUP($W1229,TBL_Categories,4,FALSE)</f>
        <v>No</v>
      </c>
      <c r="V1229" t="str">
        <f>VLOOKUP($W1229,TBL_Categories,5,FALSE)</f>
        <v>None</v>
      </c>
      <c r="W1229" t="str">
        <f t="shared" si="59"/>
        <v>Gifts</v>
      </c>
    </row>
    <row r="1230" spans="1:23" x14ac:dyDescent="0.25">
      <c r="A1230" t="s">
        <v>296</v>
      </c>
      <c r="B1230" s="5">
        <v>41769</v>
      </c>
      <c r="C1230">
        <v>-21.89</v>
      </c>
      <c r="D1230" t="s">
        <v>304</v>
      </c>
      <c r="E1230" t="s">
        <v>433</v>
      </c>
      <c r="F1230" t="s">
        <v>1112</v>
      </c>
      <c r="G1230" t="s">
        <v>962</v>
      </c>
      <c r="I1230" t="s">
        <v>272</v>
      </c>
      <c r="J1230" t="s">
        <v>1550</v>
      </c>
      <c r="K1230" t="s">
        <v>72</v>
      </c>
      <c r="L1230" t="s">
        <v>1537</v>
      </c>
      <c r="M1230" t="s">
        <v>1575</v>
      </c>
      <c r="Q1230" t="str">
        <f t="shared" si="57"/>
        <v>May</v>
      </c>
      <c r="R1230">
        <f t="shared" si="58"/>
        <v>2014</v>
      </c>
      <c r="S1230" t="str">
        <f>VLOOKUP($W1230,TBL_Categories,2,FALSE)</f>
        <v>Annual</v>
      </c>
      <c r="T1230">
        <f>VLOOKUP($W1230,TBL_Categories,3,FALSE)</f>
        <v>0</v>
      </c>
      <c r="U1230" t="str">
        <f>VLOOKUP($W1230,TBL_Categories,4,FALSE)</f>
        <v>No</v>
      </c>
      <c r="V1230" t="str">
        <f>VLOOKUP($W1230,TBL_Categories,5,FALSE)</f>
        <v>None</v>
      </c>
      <c r="W1230" t="str">
        <f t="shared" si="59"/>
        <v>Shopping|Clothing</v>
      </c>
    </row>
    <row r="1231" spans="1:23" x14ac:dyDescent="0.25">
      <c r="A1231" t="s">
        <v>290</v>
      </c>
      <c r="B1231" s="5">
        <v>41768</v>
      </c>
      <c r="C1231">
        <v>-2</v>
      </c>
      <c r="D1231" t="s">
        <v>304</v>
      </c>
      <c r="E1231" t="s">
        <v>428</v>
      </c>
      <c r="G1231" t="s">
        <v>397</v>
      </c>
      <c r="I1231" t="s">
        <v>272</v>
      </c>
      <c r="K1231" t="s">
        <v>53</v>
      </c>
      <c r="L1231" t="s">
        <v>1562</v>
      </c>
      <c r="Q1231" t="str">
        <f t="shared" si="57"/>
        <v>May</v>
      </c>
      <c r="R1231">
        <f t="shared" si="58"/>
        <v>2014</v>
      </c>
      <c r="S1231" t="str">
        <f>VLOOKUP($W1231,TBL_Categories,2,FALSE)</f>
        <v>Monthly</v>
      </c>
      <c r="T1231">
        <f>VLOOKUP($W1231,TBL_Categories,3,FALSE)</f>
        <v>0</v>
      </c>
      <c r="U1231" t="str">
        <f>VLOOKUP($W1231,TBL_Categories,4,FALSE)</f>
        <v>No</v>
      </c>
      <c r="V1231" t="str">
        <f>VLOOKUP($W1231,TBL_Categories,5,FALSE)</f>
        <v>None</v>
      </c>
      <c r="W1231" t="str">
        <f t="shared" si="59"/>
        <v>Bank Fees &amp; Charges|ATM Fee</v>
      </c>
    </row>
    <row r="1232" spans="1:23" x14ac:dyDescent="0.25">
      <c r="A1232" t="s">
        <v>290</v>
      </c>
      <c r="B1232" s="5">
        <v>41768</v>
      </c>
      <c r="C1232">
        <v>-30</v>
      </c>
      <c r="D1232" t="s">
        <v>304</v>
      </c>
      <c r="E1232" t="s">
        <v>428</v>
      </c>
      <c r="G1232" t="s">
        <v>322</v>
      </c>
      <c r="I1232" t="s">
        <v>272</v>
      </c>
      <c r="K1232" t="s">
        <v>66</v>
      </c>
      <c r="L1232" t="s">
        <v>1527</v>
      </c>
      <c r="Q1232" t="str">
        <f t="shared" si="57"/>
        <v>May</v>
      </c>
      <c r="R1232">
        <f t="shared" si="58"/>
        <v>2014</v>
      </c>
      <c r="S1232" t="str">
        <f>VLOOKUP($W1232,TBL_Categories,2,FALSE)</f>
        <v>Monthly</v>
      </c>
      <c r="T1232">
        <f>VLOOKUP($W1232,TBL_Categories,3,FALSE)</f>
        <v>0</v>
      </c>
      <c r="U1232" t="str">
        <f>VLOOKUP($W1232,TBL_Categories,4,FALSE)</f>
        <v>No</v>
      </c>
      <c r="V1232" t="str">
        <f>VLOOKUP($W1232,TBL_Categories,5,FALSE)</f>
        <v>None</v>
      </c>
      <c r="W1232" t="str">
        <f t="shared" si="59"/>
        <v>Kids|Babysitter</v>
      </c>
    </row>
    <row r="1233" spans="1:23" x14ac:dyDescent="0.25">
      <c r="A1233" t="s">
        <v>290</v>
      </c>
      <c r="B1233" s="5">
        <v>41768</v>
      </c>
      <c r="C1233">
        <v>-10</v>
      </c>
      <c r="D1233" t="s">
        <v>304</v>
      </c>
      <c r="E1233" t="s">
        <v>428</v>
      </c>
      <c r="G1233" t="s">
        <v>333</v>
      </c>
      <c r="I1233" t="s">
        <v>272</v>
      </c>
      <c r="K1233" t="s">
        <v>61</v>
      </c>
      <c r="L1233" t="s">
        <v>1530</v>
      </c>
      <c r="Q1233" t="str">
        <f t="shared" si="57"/>
        <v>May</v>
      </c>
      <c r="R1233">
        <f t="shared" si="58"/>
        <v>2014</v>
      </c>
      <c r="S1233" t="str">
        <f>VLOOKUP($W1233,TBL_Categories,2,FALSE)</f>
        <v>Monthly</v>
      </c>
      <c r="T1233">
        <f>VLOOKUP($W1233,TBL_Categories,3,FALSE)</f>
        <v>0</v>
      </c>
      <c r="U1233" t="str">
        <f>VLOOKUP($W1233,TBL_Categories,4,FALSE)</f>
        <v>No</v>
      </c>
      <c r="V1233" t="str">
        <f>VLOOKUP($W1233,TBL_Categories,5,FALSE)</f>
        <v>None</v>
      </c>
      <c r="W1233" t="str">
        <f t="shared" si="59"/>
        <v>Food &amp; Dining|Restaurants</v>
      </c>
    </row>
    <row r="1234" spans="1:23" x14ac:dyDescent="0.25">
      <c r="A1234" t="s">
        <v>296</v>
      </c>
      <c r="B1234" s="5">
        <v>41768</v>
      </c>
      <c r="C1234">
        <v>25</v>
      </c>
      <c r="D1234" t="s">
        <v>304</v>
      </c>
      <c r="E1234" t="s">
        <v>429</v>
      </c>
      <c r="F1234" t="s">
        <v>427</v>
      </c>
      <c r="G1234" t="s">
        <v>14</v>
      </c>
      <c r="K1234" t="s">
        <v>14</v>
      </c>
      <c r="Q1234" t="str">
        <f t="shared" si="57"/>
        <v>May</v>
      </c>
      <c r="R1234">
        <f t="shared" si="58"/>
        <v>2014</v>
      </c>
      <c r="S1234" t="str">
        <f>VLOOKUP($W1234,TBL_Categories,2,FALSE)</f>
        <v>Monthly</v>
      </c>
      <c r="T1234">
        <f>VLOOKUP($W1234,TBL_Categories,3,FALSE)</f>
        <v>0</v>
      </c>
      <c r="U1234" t="str">
        <f>VLOOKUP($W1234,TBL_Categories,4,FALSE)</f>
        <v>No</v>
      </c>
      <c r="V1234" t="str">
        <f>VLOOKUP($W1234,TBL_Categories,5,FALSE)</f>
        <v>None</v>
      </c>
      <c r="W1234" t="str">
        <f t="shared" si="59"/>
        <v>Other Inc</v>
      </c>
    </row>
    <row r="1235" spans="1:23" x14ac:dyDescent="0.25">
      <c r="A1235" t="s">
        <v>294</v>
      </c>
      <c r="B1235" s="5">
        <v>41767</v>
      </c>
      <c r="C1235">
        <v>-42</v>
      </c>
      <c r="D1235" t="s">
        <v>304</v>
      </c>
      <c r="E1235" t="s">
        <v>1028</v>
      </c>
      <c r="G1235" t="s">
        <v>513</v>
      </c>
      <c r="J1235">
        <v>7231</v>
      </c>
      <c r="K1235" t="s">
        <v>55</v>
      </c>
      <c r="L1235" t="s">
        <v>1559</v>
      </c>
      <c r="Q1235" t="str">
        <f t="shared" si="57"/>
        <v>May</v>
      </c>
      <c r="R1235">
        <f t="shared" si="58"/>
        <v>2014</v>
      </c>
      <c r="S1235" t="str">
        <f>VLOOKUP($W1235,TBL_Categories,2,FALSE)</f>
        <v>Irregular</v>
      </c>
      <c r="T1235">
        <f>VLOOKUP($W1235,TBL_Categories,3,FALSE)</f>
        <v>0</v>
      </c>
      <c r="U1235" t="str">
        <f>VLOOKUP($W1235,TBL_Categories,4,FALSE)</f>
        <v>No</v>
      </c>
      <c r="V1235" t="str">
        <f>VLOOKUP($W1235,TBL_Categories,5,FALSE)</f>
        <v>None</v>
      </c>
      <c r="W1235" t="str">
        <f t="shared" si="59"/>
        <v>Business Expenses (Koolikai)|Repairs</v>
      </c>
    </row>
    <row r="1236" spans="1:23" x14ac:dyDescent="0.25">
      <c r="A1236" t="s">
        <v>296</v>
      </c>
      <c r="B1236" s="5">
        <v>41767</v>
      </c>
      <c r="C1236">
        <v>-5.78</v>
      </c>
      <c r="D1236" t="s">
        <v>304</v>
      </c>
      <c r="E1236" t="s">
        <v>428</v>
      </c>
      <c r="F1236" t="s">
        <v>472</v>
      </c>
      <c r="G1236" t="s">
        <v>887</v>
      </c>
      <c r="J1236" t="s">
        <v>1550</v>
      </c>
      <c r="K1236" t="s">
        <v>61</v>
      </c>
      <c r="L1236" t="s">
        <v>401</v>
      </c>
      <c r="Q1236" t="str">
        <f t="shared" si="57"/>
        <v>May</v>
      </c>
      <c r="R1236">
        <f t="shared" si="58"/>
        <v>2014</v>
      </c>
      <c r="S1236" t="str">
        <f>VLOOKUP($W1236,TBL_Categories,2,FALSE)</f>
        <v>Monthly</v>
      </c>
      <c r="T1236">
        <f>VLOOKUP($W1236,TBL_Categories,3,FALSE)</f>
        <v>0</v>
      </c>
      <c r="U1236" t="str">
        <f>VLOOKUP($W1236,TBL_Categories,4,FALSE)</f>
        <v>No</v>
      </c>
      <c r="V1236" t="str">
        <f>VLOOKUP($W1236,TBL_Categories,5,FALSE)</f>
        <v>None</v>
      </c>
      <c r="W1236" t="str">
        <f t="shared" si="59"/>
        <v>Food &amp; Dining|Groceries</v>
      </c>
    </row>
    <row r="1237" spans="1:23" x14ac:dyDescent="0.25">
      <c r="A1237" t="s">
        <v>296</v>
      </c>
      <c r="B1237" s="5">
        <v>41767</v>
      </c>
      <c r="C1237">
        <v>-13.51</v>
      </c>
      <c r="D1237" t="s">
        <v>304</v>
      </c>
      <c r="E1237" t="s">
        <v>679</v>
      </c>
      <c r="F1237" t="s">
        <v>941</v>
      </c>
      <c r="G1237" t="s">
        <v>333</v>
      </c>
      <c r="K1237" t="s">
        <v>61</v>
      </c>
      <c r="L1237" t="s">
        <v>1530</v>
      </c>
      <c r="Q1237" t="str">
        <f t="shared" si="57"/>
        <v>May</v>
      </c>
      <c r="R1237">
        <f t="shared" si="58"/>
        <v>2014</v>
      </c>
      <c r="S1237" t="str">
        <f>VLOOKUP($W1237,TBL_Categories,2,FALSE)</f>
        <v>Monthly</v>
      </c>
      <c r="T1237">
        <f>VLOOKUP($W1237,TBL_Categories,3,FALSE)</f>
        <v>0</v>
      </c>
      <c r="U1237" t="str">
        <f>VLOOKUP($W1237,TBL_Categories,4,FALSE)</f>
        <v>No</v>
      </c>
      <c r="V1237" t="str">
        <f>VLOOKUP($W1237,TBL_Categories,5,FALSE)</f>
        <v>None</v>
      </c>
      <c r="W1237" t="str">
        <f t="shared" si="59"/>
        <v>Food &amp; Dining|Restaurants</v>
      </c>
    </row>
    <row r="1238" spans="1:23" x14ac:dyDescent="0.25">
      <c r="A1238" t="s">
        <v>296</v>
      </c>
      <c r="B1238" s="5">
        <v>41766</v>
      </c>
      <c r="C1238">
        <v>-585</v>
      </c>
      <c r="D1238" t="s">
        <v>304</v>
      </c>
      <c r="E1238" t="s">
        <v>1109</v>
      </c>
      <c r="F1238" t="s">
        <v>1110</v>
      </c>
      <c r="G1238" t="s">
        <v>610</v>
      </c>
      <c r="K1238" t="s">
        <v>55</v>
      </c>
      <c r="L1238" t="s">
        <v>1590</v>
      </c>
      <c r="Q1238" t="str">
        <f t="shared" si="57"/>
        <v>May</v>
      </c>
      <c r="R1238">
        <f t="shared" si="58"/>
        <v>2014</v>
      </c>
      <c r="S1238" t="str">
        <f>VLOOKUP($W1238,TBL_Categories,2,FALSE)</f>
        <v>Annual</v>
      </c>
      <c r="T1238">
        <f>VLOOKUP($W1238,TBL_Categories,3,FALSE)</f>
        <v>0</v>
      </c>
      <c r="U1238" t="str">
        <f>VLOOKUP($W1238,TBL_Categories,4,FALSE)</f>
        <v>No</v>
      </c>
      <c r="V1238" t="str">
        <f>VLOOKUP($W1238,TBL_Categories,5,FALSE)</f>
        <v>None</v>
      </c>
      <c r="W1238" t="str">
        <f t="shared" si="59"/>
        <v>Business Expenses (Koolikai)|Prof and Legal Fees</v>
      </c>
    </row>
    <row r="1239" spans="1:23" x14ac:dyDescent="0.25">
      <c r="A1239" t="s">
        <v>284</v>
      </c>
      <c r="B1239" s="5">
        <v>41765</v>
      </c>
      <c r="C1239" s="4">
        <v>-3748.69</v>
      </c>
      <c r="D1239" t="s">
        <v>304</v>
      </c>
      <c r="E1239" t="s">
        <v>344</v>
      </c>
      <c r="F1239" t="s">
        <v>349</v>
      </c>
      <c r="G1239" t="s">
        <v>320</v>
      </c>
      <c r="K1239" t="s">
        <v>63</v>
      </c>
      <c r="L1239" t="s">
        <v>1526</v>
      </c>
      <c r="Q1239" t="str">
        <f t="shared" si="57"/>
        <v>May</v>
      </c>
      <c r="R1239">
        <f t="shared" si="58"/>
        <v>2014</v>
      </c>
      <c r="S1239" t="str">
        <f>VLOOKUP($W1239,TBL_Categories,2,FALSE)</f>
        <v>Monthly</v>
      </c>
      <c r="T1239">
        <f>VLOOKUP($W1239,TBL_Categories,3,FALSE)</f>
        <v>0</v>
      </c>
      <c r="U1239" t="str">
        <f>VLOOKUP($W1239,TBL_Categories,4,FALSE)</f>
        <v>No</v>
      </c>
      <c r="V1239" t="str">
        <f>VLOOKUP($W1239,TBL_Categories,5,FALSE)</f>
        <v>None</v>
      </c>
      <c r="W1239" t="str">
        <f t="shared" si="59"/>
        <v>Home|Mortgage</v>
      </c>
    </row>
    <row r="1240" spans="1:23" x14ac:dyDescent="0.25">
      <c r="A1240" t="s">
        <v>284</v>
      </c>
      <c r="B1240" s="5">
        <v>41765</v>
      </c>
      <c r="C1240" s="4">
        <v>-15487.26</v>
      </c>
      <c r="D1240" t="s">
        <v>304</v>
      </c>
      <c r="E1240" t="s">
        <v>784</v>
      </c>
      <c r="F1240" t="s">
        <v>785</v>
      </c>
      <c r="G1240" t="s">
        <v>590</v>
      </c>
      <c r="K1240" t="s">
        <v>60</v>
      </c>
      <c r="L1240" t="s">
        <v>1541</v>
      </c>
      <c r="Q1240" t="str">
        <f t="shared" si="57"/>
        <v>May</v>
      </c>
      <c r="R1240">
        <f t="shared" si="58"/>
        <v>2014</v>
      </c>
      <c r="S1240" t="str">
        <f>VLOOKUP($W1240,TBL_Categories,2,FALSE)</f>
        <v>Monthly</v>
      </c>
      <c r="T1240">
        <f>VLOOKUP($W1240,TBL_Categories,3,FALSE)</f>
        <v>0</v>
      </c>
      <c r="U1240" t="str">
        <f>VLOOKUP($W1240,TBL_Categories,4,FALSE)</f>
        <v>No</v>
      </c>
      <c r="V1240" t="str">
        <f>VLOOKUP($W1240,TBL_Categories,5,FALSE)</f>
        <v>None</v>
      </c>
      <c r="W1240" t="str">
        <f t="shared" si="59"/>
        <v>Financial|Life Insurance</v>
      </c>
    </row>
    <row r="1241" spans="1:23" x14ac:dyDescent="0.25">
      <c r="A1241" t="s">
        <v>294</v>
      </c>
      <c r="B1241" s="5">
        <v>41765</v>
      </c>
      <c r="C1241">
        <v>15.84</v>
      </c>
      <c r="D1241" t="s">
        <v>304</v>
      </c>
      <c r="E1241" t="s">
        <v>621</v>
      </c>
      <c r="F1241" t="s">
        <v>622</v>
      </c>
      <c r="G1241" t="s">
        <v>878</v>
      </c>
      <c r="J1241" t="s">
        <v>1560</v>
      </c>
      <c r="K1241" t="s">
        <v>55</v>
      </c>
      <c r="L1241" t="s">
        <v>1559</v>
      </c>
      <c r="Q1241" t="str">
        <f t="shared" si="57"/>
        <v>May</v>
      </c>
      <c r="R1241">
        <f t="shared" si="58"/>
        <v>2014</v>
      </c>
      <c r="S1241" t="str">
        <f>VLOOKUP($W1241,TBL_Categories,2,FALSE)</f>
        <v>Irregular</v>
      </c>
      <c r="T1241">
        <f>VLOOKUP($W1241,TBL_Categories,3,FALSE)</f>
        <v>0</v>
      </c>
      <c r="U1241" t="str">
        <f>VLOOKUP($W1241,TBL_Categories,4,FALSE)</f>
        <v>No</v>
      </c>
      <c r="V1241" t="str">
        <f>VLOOKUP($W1241,TBL_Categories,5,FALSE)</f>
        <v>None</v>
      </c>
      <c r="W1241" t="str">
        <f t="shared" si="59"/>
        <v>Business Expenses (Koolikai)|Repairs</v>
      </c>
    </row>
    <row r="1242" spans="1:23" x14ac:dyDescent="0.25">
      <c r="A1242" t="s">
        <v>296</v>
      </c>
      <c r="B1242" s="5">
        <v>41765</v>
      </c>
      <c r="C1242">
        <v>-3.89</v>
      </c>
      <c r="D1242" t="s">
        <v>304</v>
      </c>
      <c r="E1242" t="s">
        <v>428</v>
      </c>
      <c r="F1242" t="s">
        <v>472</v>
      </c>
      <c r="G1242" t="s">
        <v>342</v>
      </c>
      <c r="K1242" t="s">
        <v>61</v>
      </c>
      <c r="L1242" t="s">
        <v>401</v>
      </c>
      <c r="Q1242" t="str">
        <f t="shared" si="57"/>
        <v>May</v>
      </c>
      <c r="R1242">
        <f t="shared" si="58"/>
        <v>2014</v>
      </c>
      <c r="S1242" t="str">
        <f>VLOOKUP($W1242,TBL_Categories,2,FALSE)</f>
        <v>Monthly</v>
      </c>
      <c r="T1242">
        <f>VLOOKUP($W1242,TBL_Categories,3,FALSE)</f>
        <v>0</v>
      </c>
      <c r="U1242" t="str">
        <f>VLOOKUP($W1242,TBL_Categories,4,FALSE)</f>
        <v>No</v>
      </c>
      <c r="V1242" t="str">
        <f>VLOOKUP($W1242,TBL_Categories,5,FALSE)</f>
        <v>None</v>
      </c>
      <c r="W1242" t="str">
        <f t="shared" si="59"/>
        <v>Food &amp; Dining|Groceries</v>
      </c>
    </row>
    <row r="1243" spans="1:23" x14ac:dyDescent="0.25">
      <c r="A1243" t="s">
        <v>284</v>
      </c>
      <c r="B1243" s="5">
        <v>41764</v>
      </c>
      <c r="C1243">
        <v>-500</v>
      </c>
      <c r="D1243" t="s">
        <v>304</v>
      </c>
      <c r="E1243" t="s">
        <v>338</v>
      </c>
      <c r="F1243" t="s">
        <v>339</v>
      </c>
      <c r="G1243" t="s">
        <v>340</v>
      </c>
      <c r="K1243" t="s">
        <v>66</v>
      </c>
      <c r="L1243" t="s">
        <v>1533</v>
      </c>
      <c r="Q1243" t="str">
        <f t="shared" si="57"/>
        <v>May</v>
      </c>
      <c r="R1243">
        <f t="shared" si="58"/>
        <v>2014</v>
      </c>
      <c r="S1243" t="str">
        <f>VLOOKUP($W1243,TBL_Categories,2,FALSE)</f>
        <v>Monthly</v>
      </c>
      <c r="T1243">
        <f>VLOOKUP($W1243,TBL_Categories,3,FALSE)</f>
        <v>0</v>
      </c>
      <c r="U1243" t="str">
        <f>VLOOKUP($W1243,TBL_Categories,4,FALSE)</f>
        <v>No</v>
      </c>
      <c r="V1243" t="str">
        <f>VLOOKUP($W1243,TBL_Categories,5,FALSE)</f>
        <v>None</v>
      </c>
      <c r="W1243" t="str">
        <f t="shared" si="59"/>
        <v>Kids|American Funds 529A</v>
      </c>
    </row>
    <row r="1244" spans="1:23" x14ac:dyDescent="0.25">
      <c r="A1244" t="s">
        <v>633</v>
      </c>
      <c r="B1244" s="5">
        <v>41764</v>
      </c>
      <c r="C1244">
        <v>-62.45</v>
      </c>
      <c r="D1244" t="s">
        <v>304</v>
      </c>
      <c r="E1244" t="s">
        <v>698</v>
      </c>
      <c r="G1244" t="s">
        <v>333</v>
      </c>
      <c r="K1244" t="s">
        <v>61</v>
      </c>
      <c r="L1244" t="s">
        <v>1530</v>
      </c>
      <c r="Q1244" t="str">
        <f t="shared" si="57"/>
        <v>May</v>
      </c>
      <c r="R1244">
        <f t="shared" si="58"/>
        <v>2014</v>
      </c>
      <c r="S1244" t="str">
        <f>VLOOKUP($W1244,TBL_Categories,2,FALSE)</f>
        <v>Monthly</v>
      </c>
      <c r="T1244">
        <f>VLOOKUP($W1244,TBL_Categories,3,FALSE)</f>
        <v>0</v>
      </c>
      <c r="U1244" t="str">
        <f>VLOOKUP($W1244,TBL_Categories,4,FALSE)</f>
        <v>No</v>
      </c>
      <c r="V1244" t="str">
        <f>VLOOKUP($W1244,TBL_Categories,5,FALSE)</f>
        <v>None</v>
      </c>
      <c r="W1244" t="str">
        <f t="shared" si="59"/>
        <v>Food &amp; Dining|Restaurants</v>
      </c>
    </row>
    <row r="1245" spans="1:23" x14ac:dyDescent="0.25">
      <c r="A1245" t="s">
        <v>294</v>
      </c>
      <c r="B1245" s="5">
        <v>41763</v>
      </c>
      <c r="C1245">
        <v>-155</v>
      </c>
      <c r="D1245" t="s">
        <v>304</v>
      </c>
      <c r="E1245" t="s">
        <v>1026</v>
      </c>
      <c r="F1245" t="s">
        <v>1027</v>
      </c>
      <c r="G1245" t="s">
        <v>513</v>
      </c>
      <c r="J1245">
        <v>7231</v>
      </c>
      <c r="K1245" t="s">
        <v>55</v>
      </c>
      <c r="L1245" t="s">
        <v>1559</v>
      </c>
      <c r="Q1245" t="str">
        <f t="shared" si="57"/>
        <v>May</v>
      </c>
      <c r="R1245">
        <f t="shared" si="58"/>
        <v>2014</v>
      </c>
      <c r="S1245" t="str">
        <f>VLOOKUP($W1245,TBL_Categories,2,FALSE)</f>
        <v>Irregular</v>
      </c>
      <c r="T1245">
        <f>VLOOKUP($W1245,TBL_Categories,3,FALSE)</f>
        <v>0</v>
      </c>
      <c r="U1245" t="str">
        <f>VLOOKUP($W1245,TBL_Categories,4,FALSE)</f>
        <v>No</v>
      </c>
      <c r="V1245" t="str">
        <f>VLOOKUP($W1245,TBL_Categories,5,FALSE)</f>
        <v>None</v>
      </c>
      <c r="W1245" t="str">
        <f t="shared" si="59"/>
        <v>Business Expenses (Koolikai)|Repairs</v>
      </c>
    </row>
    <row r="1246" spans="1:23" x14ac:dyDescent="0.25">
      <c r="A1246" t="s">
        <v>296</v>
      </c>
      <c r="B1246" s="5">
        <v>41763</v>
      </c>
      <c r="C1246">
        <v>-2.4900000000000002</v>
      </c>
      <c r="D1246" t="s">
        <v>304</v>
      </c>
      <c r="E1246" t="s">
        <v>428</v>
      </c>
      <c r="F1246" t="s">
        <v>472</v>
      </c>
      <c r="G1246" t="s">
        <v>887</v>
      </c>
      <c r="J1246" t="s">
        <v>1550</v>
      </c>
      <c r="K1246" t="s">
        <v>61</v>
      </c>
      <c r="L1246" t="s">
        <v>401</v>
      </c>
      <c r="Q1246" t="str">
        <f t="shared" si="57"/>
        <v>May</v>
      </c>
      <c r="R1246">
        <f t="shared" si="58"/>
        <v>2014</v>
      </c>
      <c r="S1246" t="str">
        <f>VLOOKUP($W1246,TBL_Categories,2,FALSE)</f>
        <v>Monthly</v>
      </c>
      <c r="T1246">
        <f>VLOOKUP($W1246,TBL_Categories,3,FALSE)</f>
        <v>0</v>
      </c>
      <c r="U1246" t="str">
        <f>VLOOKUP($W1246,TBL_Categories,4,FALSE)</f>
        <v>No</v>
      </c>
      <c r="V1246" t="str">
        <f>VLOOKUP($W1246,TBL_Categories,5,FALSE)</f>
        <v>None</v>
      </c>
      <c r="W1246" t="str">
        <f t="shared" si="59"/>
        <v>Food &amp; Dining|Groceries</v>
      </c>
    </row>
    <row r="1247" spans="1:23" x14ac:dyDescent="0.25">
      <c r="A1247" t="s">
        <v>296</v>
      </c>
      <c r="B1247" s="5">
        <v>41763</v>
      </c>
      <c r="C1247">
        <v>-6.3</v>
      </c>
      <c r="D1247" t="s">
        <v>304</v>
      </c>
      <c r="E1247" t="s">
        <v>613</v>
      </c>
      <c r="F1247" t="s">
        <v>537</v>
      </c>
      <c r="G1247" t="s">
        <v>449</v>
      </c>
      <c r="K1247" t="s">
        <v>66</v>
      </c>
      <c r="L1247" t="s">
        <v>1555</v>
      </c>
      <c r="Q1247" t="str">
        <f t="shared" si="57"/>
        <v>May</v>
      </c>
      <c r="R1247">
        <f t="shared" si="58"/>
        <v>2014</v>
      </c>
      <c r="S1247" t="str">
        <f>VLOOKUP($W1247,TBL_Categories,2,FALSE)</f>
        <v>Monthly</v>
      </c>
      <c r="T1247">
        <f>VLOOKUP($W1247,TBL_Categories,3,FALSE)</f>
        <v>0</v>
      </c>
      <c r="U1247" t="str">
        <f>VLOOKUP($W1247,TBL_Categories,4,FALSE)</f>
        <v>No</v>
      </c>
      <c r="V1247" t="str">
        <f>VLOOKUP($W1247,TBL_Categories,5,FALSE)</f>
        <v>None</v>
      </c>
      <c r="W1247" t="str">
        <f t="shared" si="59"/>
        <v>Kids|Kids Activities</v>
      </c>
    </row>
    <row r="1248" spans="1:23" x14ac:dyDescent="0.25">
      <c r="A1248" t="s">
        <v>296</v>
      </c>
      <c r="B1248" s="5">
        <v>41763</v>
      </c>
      <c r="C1248">
        <v>-7.66</v>
      </c>
      <c r="D1248" t="s">
        <v>304</v>
      </c>
      <c r="E1248" t="s">
        <v>613</v>
      </c>
      <c r="F1248" t="s">
        <v>537</v>
      </c>
      <c r="G1248" t="s">
        <v>449</v>
      </c>
      <c r="K1248" t="s">
        <v>66</v>
      </c>
      <c r="L1248" t="s">
        <v>1555</v>
      </c>
      <c r="Q1248" t="str">
        <f t="shared" si="57"/>
        <v>May</v>
      </c>
      <c r="R1248">
        <f t="shared" si="58"/>
        <v>2014</v>
      </c>
      <c r="S1248" t="str">
        <f>VLOOKUP($W1248,TBL_Categories,2,FALSE)</f>
        <v>Monthly</v>
      </c>
      <c r="T1248">
        <f>VLOOKUP($W1248,TBL_Categories,3,FALSE)</f>
        <v>0</v>
      </c>
      <c r="U1248" t="str">
        <f>VLOOKUP($W1248,TBL_Categories,4,FALSE)</f>
        <v>No</v>
      </c>
      <c r="V1248" t="str">
        <f>VLOOKUP($W1248,TBL_Categories,5,FALSE)</f>
        <v>None</v>
      </c>
      <c r="W1248" t="str">
        <f t="shared" si="59"/>
        <v>Kids|Kids Activities</v>
      </c>
    </row>
    <row r="1249" spans="1:23" x14ac:dyDescent="0.25">
      <c r="A1249" t="s">
        <v>296</v>
      </c>
      <c r="B1249" s="5">
        <v>41763</v>
      </c>
      <c r="C1249">
        <v>-8.75</v>
      </c>
      <c r="D1249" t="s">
        <v>304</v>
      </c>
      <c r="E1249" t="s">
        <v>667</v>
      </c>
      <c r="F1249" t="s">
        <v>1108</v>
      </c>
      <c r="G1249" t="s">
        <v>416</v>
      </c>
      <c r="K1249" t="s">
        <v>17</v>
      </c>
      <c r="L1249" t="s">
        <v>1576</v>
      </c>
      <c r="Q1249" t="str">
        <f t="shared" si="57"/>
        <v>May</v>
      </c>
      <c r="R1249">
        <f t="shared" si="58"/>
        <v>2014</v>
      </c>
      <c r="S1249" t="str">
        <f>VLOOKUP($W1249,TBL_Categories,2,FALSE)</f>
        <v>Unplanned</v>
      </c>
      <c r="T1249">
        <f>VLOOKUP($W1249,TBL_Categories,3,FALSE)</f>
        <v>0</v>
      </c>
      <c r="U1249" t="str">
        <f>VLOOKUP($W1249,TBL_Categories,4,FALSE)</f>
        <v>No</v>
      </c>
      <c r="V1249" t="str">
        <f>VLOOKUP($W1249,TBL_Categories,5,FALSE)</f>
        <v>None</v>
      </c>
      <c r="W1249" t="str">
        <f t="shared" si="59"/>
        <v>Entertainment|Movies &amp; DVDs</v>
      </c>
    </row>
    <row r="1250" spans="1:23" x14ac:dyDescent="0.25">
      <c r="A1250" t="s">
        <v>296</v>
      </c>
      <c r="B1250" s="5">
        <v>41763</v>
      </c>
      <c r="C1250">
        <v>-9.31</v>
      </c>
      <c r="D1250" t="s">
        <v>304</v>
      </c>
      <c r="E1250" t="s">
        <v>613</v>
      </c>
      <c r="F1250" t="s">
        <v>537</v>
      </c>
      <c r="G1250" t="s">
        <v>333</v>
      </c>
      <c r="K1250" t="s">
        <v>61</v>
      </c>
      <c r="L1250" t="s">
        <v>1530</v>
      </c>
      <c r="Q1250" t="str">
        <f t="shared" si="57"/>
        <v>May</v>
      </c>
      <c r="R1250">
        <f t="shared" si="58"/>
        <v>2014</v>
      </c>
      <c r="S1250" t="str">
        <f>VLOOKUP($W1250,TBL_Categories,2,FALSE)</f>
        <v>Monthly</v>
      </c>
      <c r="T1250">
        <f>VLOOKUP($W1250,TBL_Categories,3,FALSE)</f>
        <v>0</v>
      </c>
      <c r="U1250" t="str">
        <f>VLOOKUP($W1250,TBL_Categories,4,FALSE)</f>
        <v>No</v>
      </c>
      <c r="V1250" t="str">
        <f>VLOOKUP($W1250,TBL_Categories,5,FALSE)</f>
        <v>None</v>
      </c>
      <c r="W1250" t="str">
        <f t="shared" si="59"/>
        <v>Food &amp; Dining|Restaurants</v>
      </c>
    </row>
    <row r="1251" spans="1:23" x14ac:dyDescent="0.25">
      <c r="A1251" t="s">
        <v>296</v>
      </c>
      <c r="B1251" s="5">
        <v>41763</v>
      </c>
      <c r="C1251">
        <v>-38</v>
      </c>
      <c r="D1251" t="s">
        <v>304</v>
      </c>
      <c r="E1251" t="s">
        <v>686</v>
      </c>
      <c r="F1251" t="s">
        <v>1650</v>
      </c>
      <c r="G1251" t="s">
        <v>449</v>
      </c>
      <c r="K1251" t="s">
        <v>66</v>
      </c>
      <c r="L1251" t="s">
        <v>1555</v>
      </c>
      <c r="Q1251" t="str">
        <f t="shared" si="57"/>
        <v>May</v>
      </c>
      <c r="R1251">
        <f t="shared" si="58"/>
        <v>2014</v>
      </c>
      <c r="S1251" t="str">
        <f>VLOOKUP($W1251,TBL_Categories,2,FALSE)</f>
        <v>Monthly</v>
      </c>
      <c r="T1251">
        <f>VLOOKUP($W1251,TBL_Categories,3,FALSE)</f>
        <v>0</v>
      </c>
      <c r="U1251" t="str">
        <f>VLOOKUP($W1251,TBL_Categories,4,FALSE)</f>
        <v>No</v>
      </c>
      <c r="V1251" t="str">
        <f>VLOOKUP($W1251,TBL_Categories,5,FALSE)</f>
        <v>None</v>
      </c>
      <c r="W1251" t="str">
        <f t="shared" si="59"/>
        <v>Kids|Kids Activities</v>
      </c>
    </row>
    <row r="1252" spans="1:23" x14ac:dyDescent="0.25">
      <c r="A1252" t="s">
        <v>288</v>
      </c>
      <c r="B1252" s="5">
        <v>41762</v>
      </c>
      <c r="C1252" s="4">
        <v>2295</v>
      </c>
      <c r="D1252" t="s">
        <v>304</v>
      </c>
      <c r="E1252" t="s">
        <v>383</v>
      </c>
      <c r="F1252" t="s">
        <v>394</v>
      </c>
      <c r="G1252" t="s">
        <v>305</v>
      </c>
      <c r="I1252" t="s">
        <v>272</v>
      </c>
      <c r="K1252" t="s">
        <v>33</v>
      </c>
      <c r="L1252" t="s">
        <v>1519</v>
      </c>
      <c r="Q1252" t="str">
        <f t="shared" si="57"/>
        <v>May</v>
      </c>
      <c r="R1252">
        <f t="shared" si="58"/>
        <v>2014</v>
      </c>
      <c r="S1252" t="str">
        <f>VLOOKUP($W1252,TBL_Categories,2,FALSE)</f>
        <v>Monthly</v>
      </c>
      <c r="T1252">
        <f>VLOOKUP($W1252,TBL_Categories,3,FALSE)</f>
        <v>0</v>
      </c>
      <c r="U1252" t="str">
        <f>VLOOKUP($W1252,TBL_Categories,4,FALSE)</f>
        <v>No</v>
      </c>
      <c r="V1252" t="str">
        <f>VLOOKUP($W1252,TBL_Categories,5,FALSE)</f>
        <v>None</v>
      </c>
      <c r="W1252" t="str">
        <f t="shared" si="59"/>
        <v>Business Income (Koolikai)|Rent</v>
      </c>
    </row>
    <row r="1253" spans="1:23" x14ac:dyDescent="0.25">
      <c r="A1253" t="s">
        <v>288</v>
      </c>
      <c r="B1253" s="5">
        <v>41762</v>
      </c>
      <c r="C1253">
        <v>88.66</v>
      </c>
      <c r="D1253" t="s">
        <v>304</v>
      </c>
      <c r="E1253" t="s">
        <v>383</v>
      </c>
      <c r="G1253" t="s">
        <v>387</v>
      </c>
      <c r="I1253" t="s">
        <v>272</v>
      </c>
      <c r="K1253" t="s">
        <v>55</v>
      </c>
      <c r="L1253" t="s">
        <v>1558</v>
      </c>
      <c r="Q1253" t="str">
        <f t="shared" si="57"/>
        <v>May</v>
      </c>
      <c r="R1253">
        <f t="shared" si="58"/>
        <v>2014</v>
      </c>
      <c r="S1253" t="str">
        <f>VLOOKUP($W1253,TBL_Categories,2,FALSE)</f>
        <v>Monthly</v>
      </c>
      <c r="T1253">
        <f>VLOOKUP($W1253,TBL_Categories,3,FALSE)</f>
        <v>0</v>
      </c>
      <c r="U1253" t="str">
        <f>VLOOKUP($W1253,TBL_Categories,4,FALSE)</f>
        <v>No</v>
      </c>
      <c r="V1253" t="str">
        <f>VLOOKUP($W1253,TBL_Categories,5,FALSE)</f>
        <v>None</v>
      </c>
      <c r="W1253" t="str">
        <f t="shared" si="59"/>
        <v>Business Expenses (Koolikai)|Utilities (Business)</v>
      </c>
    </row>
    <row r="1254" spans="1:23" x14ac:dyDescent="0.25">
      <c r="A1254" t="s">
        <v>296</v>
      </c>
      <c r="B1254" s="5">
        <v>41762</v>
      </c>
      <c r="C1254">
        <v>-103.39</v>
      </c>
      <c r="D1254" t="s">
        <v>304</v>
      </c>
      <c r="E1254" t="s">
        <v>433</v>
      </c>
      <c r="F1254" t="s">
        <v>481</v>
      </c>
      <c r="G1254" t="s">
        <v>887</v>
      </c>
      <c r="J1254" t="s">
        <v>1550</v>
      </c>
      <c r="K1254" t="s">
        <v>61</v>
      </c>
      <c r="L1254" t="s">
        <v>401</v>
      </c>
      <c r="Q1254" t="str">
        <f t="shared" si="57"/>
        <v>May</v>
      </c>
      <c r="R1254">
        <f t="shared" si="58"/>
        <v>2014</v>
      </c>
      <c r="S1254" t="str">
        <f>VLOOKUP($W1254,TBL_Categories,2,FALSE)</f>
        <v>Monthly</v>
      </c>
      <c r="T1254">
        <f>VLOOKUP($W1254,TBL_Categories,3,FALSE)</f>
        <v>0</v>
      </c>
      <c r="U1254" t="str">
        <f>VLOOKUP($W1254,TBL_Categories,4,FALSE)</f>
        <v>No</v>
      </c>
      <c r="V1254" t="str">
        <f>VLOOKUP($W1254,TBL_Categories,5,FALSE)</f>
        <v>None</v>
      </c>
      <c r="W1254" t="str">
        <f t="shared" si="59"/>
        <v>Food &amp; Dining|Groceries</v>
      </c>
    </row>
    <row r="1255" spans="1:23" x14ac:dyDescent="0.25">
      <c r="A1255" t="s">
        <v>284</v>
      </c>
      <c r="B1255" s="5">
        <v>41761</v>
      </c>
      <c r="C1255" s="4">
        <v>-2033.91</v>
      </c>
      <c r="D1255" t="s">
        <v>304</v>
      </c>
      <c r="E1255" t="s">
        <v>318</v>
      </c>
      <c r="F1255" t="s">
        <v>378</v>
      </c>
      <c r="G1255" t="s">
        <v>379</v>
      </c>
      <c r="J1255">
        <v>9602</v>
      </c>
      <c r="K1255" t="s">
        <v>55</v>
      </c>
      <c r="L1255" t="s">
        <v>1525</v>
      </c>
      <c r="Q1255" t="str">
        <f t="shared" si="57"/>
        <v>May</v>
      </c>
      <c r="R1255">
        <f t="shared" si="58"/>
        <v>2014</v>
      </c>
      <c r="S1255" t="str">
        <f>VLOOKUP($W1255,TBL_Categories,2,FALSE)</f>
        <v>Monthly</v>
      </c>
      <c r="T1255">
        <f>VLOOKUP($W1255,TBL_Categories,3,FALSE)</f>
        <v>0</v>
      </c>
      <c r="U1255" t="str">
        <f>VLOOKUP($W1255,TBL_Categories,4,FALSE)</f>
        <v>No</v>
      </c>
      <c r="V1255" t="str">
        <f>VLOOKUP($W1255,TBL_Categories,5,FALSE)</f>
        <v>None</v>
      </c>
      <c r="W1255" t="str">
        <f t="shared" si="59"/>
        <v>Business Expenses (Koolikai)|Mortgage (Business)</v>
      </c>
    </row>
    <row r="1256" spans="1:23" x14ac:dyDescent="0.25">
      <c r="A1256" t="s">
        <v>284</v>
      </c>
      <c r="B1256" s="5">
        <v>41761</v>
      </c>
      <c r="C1256" s="4">
        <v>-2480.02</v>
      </c>
      <c r="D1256" t="s">
        <v>304</v>
      </c>
      <c r="E1256" t="s">
        <v>321</v>
      </c>
      <c r="F1256" t="s">
        <v>365</v>
      </c>
      <c r="G1256" t="s">
        <v>13</v>
      </c>
      <c r="K1256" t="s">
        <v>13</v>
      </c>
      <c r="Q1256" t="str">
        <f t="shared" si="57"/>
        <v>May</v>
      </c>
      <c r="R1256">
        <f t="shared" si="58"/>
        <v>2014</v>
      </c>
      <c r="S1256" t="str">
        <f>VLOOKUP($W1256,TBL_Categories,2,FALSE)</f>
        <v>Account</v>
      </c>
      <c r="T1256">
        <f>VLOOKUP($W1256,TBL_Categories,3,FALSE)</f>
        <v>0</v>
      </c>
      <c r="U1256" t="str">
        <f>VLOOKUP($W1256,TBL_Categories,4,FALSE)</f>
        <v>No</v>
      </c>
      <c r="V1256" t="str">
        <f>VLOOKUP($W1256,TBL_Categories,5,FALSE)</f>
        <v>None</v>
      </c>
      <c r="W1256" t="str">
        <f t="shared" si="59"/>
        <v>[MasterCard (Capital One)]</v>
      </c>
    </row>
    <row r="1257" spans="1:23" x14ac:dyDescent="0.25">
      <c r="A1257" t="s">
        <v>284</v>
      </c>
      <c r="B1257" s="5">
        <v>41761</v>
      </c>
      <c r="C1257" s="4">
        <v>-3517.65</v>
      </c>
      <c r="D1257" t="s">
        <v>304</v>
      </c>
      <c r="E1257" t="s">
        <v>318</v>
      </c>
      <c r="F1257" t="s">
        <v>378</v>
      </c>
      <c r="G1257" t="s">
        <v>380</v>
      </c>
      <c r="J1257">
        <v>7231</v>
      </c>
      <c r="K1257" t="s">
        <v>55</v>
      </c>
      <c r="L1257" t="s">
        <v>1525</v>
      </c>
      <c r="Q1257" t="str">
        <f t="shared" si="57"/>
        <v>May</v>
      </c>
      <c r="R1257">
        <f t="shared" si="58"/>
        <v>2014</v>
      </c>
      <c r="S1257" t="str">
        <f>VLOOKUP($W1257,TBL_Categories,2,FALSE)</f>
        <v>Monthly</v>
      </c>
      <c r="T1257">
        <f>VLOOKUP($W1257,TBL_Categories,3,FALSE)</f>
        <v>0</v>
      </c>
      <c r="U1257" t="str">
        <f>VLOOKUP($W1257,TBL_Categories,4,FALSE)</f>
        <v>No</v>
      </c>
      <c r="V1257" t="str">
        <f>VLOOKUP($W1257,TBL_Categories,5,FALSE)</f>
        <v>None</v>
      </c>
      <c r="W1257" t="str">
        <f t="shared" si="59"/>
        <v>Business Expenses (Koolikai)|Mortgage (Business)</v>
      </c>
    </row>
    <row r="1258" spans="1:23" x14ac:dyDescent="0.25">
      <c r="A1258" t="s">
        <v>296</v>
      </c>
      <c r="B1258" s="5">
        <v>41761</v>
      </c>
      <c r="C1258" s="4">
        <v>2480.02</v>
      </c>
      <c r="D1258" t="s">
        <v>304</v>
      </c>
      <c r="E1258" t="s">
        <v>321</v>
      </c>
      <c r="F1258" t="s">
        <v>365</v>
      </c>
      <c r="G1258" t="s">
        <v>9</v>
      </c>
      <c r="K1258" t="s">
        <v>9</v>
      </c>
      <c r="Q1258" t="str">
        <f t="shared" si="57"/>
        <v>May</v>
      </c>
      <c r="R1258">
        <f t="shared" si="58"/>
        <v>2014</v>
      </c>
      <c r="S1258" t="str">
        <f>VLOOKUP($W1258,TBL_Categories,2,FALSE)</f>
        <v>Account</v>
      </c>
      <c r="T1258">
        <f>VLOOKUP($W1258,TBL_Categories,3,FALSE)</f>
        <v>0</v>
      </c>
      <c r="U1258" t="str">
        <f>VLOOKUP($W1258,TBL_Categories,4,FALSE)</f>
        <v>No</v>
      </c>
      <c r="V1258" t="str">
        <f>VLOOKUP($W1258,TBL_Categories,5,FALSE)</f>
        <v>None</v>
      </c>
      <c r="W1258" t="str">
        <f t="shared" si="59"/>
        <v>[First Tech - Checking (5544)]</v>
      </c>
    </row>
    <row r="1259" spans="1:23" x14ac:dyDescent="0.25">
      <c r="A1259" t="s">
        <v>296</v>
      </c>
      <c r="B1259" s="5">
        <v>41761</v>
      </c>
      <c r="C1259">
        <v>-11.24</v>
      </c>
      <c r="D1259" t="s">
        <v>304</v>
      </c>
      <c r="E1259" t="s">
        <v>428</v>
      </c>
      <c r="G1259" t="s">
        <v>342</v>
      </c>
      <c r="K1259" t="s">
        <v>61</v>
      </c>
      <c r="L1259" t="s">
        <v>401</v>
      </c>
      <c r="Q1259" t="str">
        <f t="shared" si="57"/>
        <v>May</v>
      </c>
      <c r="R1259">
        <f t="shared" si="58"/>
        <v>2014</v>
      </c>
      <c r="S1259" t="str">
        <f>VLOOKUP($W1259,TBL_Categories,2,FALSE)</f>
        <v>Monthly</v>
      </c>
      <c r="T1259">
        <f>VLOOKUP($W1259,TBL_Categories,3,FALSE)</f>
        <v>0</v>
      </c>
      <c r="U1259" t="str">
        <f>VLOOKUP($W1259,TBL_Categories,4,FALSE)</f>
        <v>No</v>
      </c>
      <c r="V1259" t="str">
        <f>VLOOKUP($W1259,TBL_Categories,5,FALSE)</f>
        <v>None</v>
      </c>
      <c r="W1259" t="str">
        <f t="shared" si="59"/>
        <v>Food &amp; Dining|Groceries</v>
      </c>
    </row>
    <row r="1260" spans="1:23" x14ac:dyDescent="0.25">
      <c r="A1260" t="s">
        <v>296</v>
      </c>
      <c r="B1260" s="5">
        <v>41761</v>
      </c>
      <c r="C1260">
        <v>-21.89</v>
      </c>
      <c r="D1260" t="s">
        <v>304</v>
      </c>
      <c r="E1260" t="s">
        <v>433</v>
      </c>
      <c r="F1260" t="s">
        <v>1107</v>
      </c>
      <c r="G1260" t="s">
        <v>887</v>
      </c>
      <c r="J1260" t="s">
        <v>1550</v>
      </c>
      <c r="K1260" t="s">
        <v>61</v>
      </c>
      <c r="L1260" t="s">
        <v>401</v>
      </c>
      <c r="Q1260" t="str">
        <f t="shared" si="57"/>
        <v>May</v>
      </c>
      <c r="R1260">
        <f t="shared" si="58"/>
        <v>2014</v>
      </c>
      <c r="S1260" t="str">
        <f>VLOOKUP($W1260,TBL_Categories,2,FALSE)</f>
        <v>Monthly</v>
      </c>
      <c r="T1260">
        <f>VLOOKUP($W1260,TBL_Categories,3,FALSE)</f>
        <v>0</v>
      </c>
      <c r="U1260" t="str">
        <f>VLOOKUP($W1260,TBL_Categories,4,FALSE)</f>
        <v>No</v>
      </c>
      <c r="V1260" t="str">
        <f>VLOOKUP($W1260,TBL_Categories,5,FALSE)</f>
        <v>None</v>
      </c>
      <c r="W1260" t="str">
        <f t="shared" si="59"/>
        <v>Food &amp; Dining|Groceries</v>
      </c>
    </row>
    <row r="1261" spans="1:23" x14ac:dyDescent="0.25">
      <c r="A1261" t="s">
        <v>296</v>
      </c>
      <c r="B1261" s="5">
        <v>41761</v>
      </c>
      <c r="C1261">
        <v>-22.03</v>
      </c>
      <c r="D1261" t="s">
        <v>304</v>
      </c>
      <c r="E1261" t="s">
        <v>443</v>
      </c>
      <c r="F1261" t="s">
        <v>484</v>
      </c>
      <c r="G1261" t="s">
        <v>444</v>
      </c>
      <c r="I1261" t="s">
        <v>272</v>
      </c>
      <c r="K1261" t="s">
        <v>54</v>
      </c>
      <c r="L1261" t="s">
        <v>1581</v>
      </c>
      <c r="Q1261" t="str">
        <f t="shared" si="57"/>
        <v>May</v>
      </c>
      <c r="R1261">
        <f t="shared" si="58"/>
        <v>2014</v>
      </c>
      <c r="S1261" t="str">
        <f>VLOOKUP($W1261,TBL_Categories,2,FALSE)</f>
        <v>Monthly</v>
      </c>
      <c r="T1261">
        <f>VLOOKUP($W1261,TBL_Categories,3,FALSE)</f>
        <v>0</v>
      </c>
      <c r="U1261" t="str">
        <f>VLOOKUP($W1261,TBL_Categories,4,FALSE)</f>
        <v>No</v>
      </c>
      <c r="V1261" t="str">
        <f>VLOOKUP($W1261,TBL_Categories,5,FALSE)</f>
        <v>None</v>
      </c>
      <c r="W1261" t="str">
        <f t="shared" si="59"/>
        <v>Bills &amp; Utilities|Television</v>
      </c>
    </row>
    <row r="1262" spans="1:23" x14ac:dyDescent="0.25">
      <c r="A1262" t="s">
        <v>296</v>
      </c>
      <c r="B1262" s="5">
        <v>41761</v>
      </c>
      <c r="C1262">
        <v>-64.08</v>
      </c>
      <c r="D1262" t="s">
        <v>304</v>
      </c>
      <c r="E1262" t="s">
        <v>443</v>
      </c>
      <c r="G1262" t="s">
        <v>445</v>
      </c>
      <c r="I1262" t="s">
        <v>272</v>
      </c>
      <c r="K1262" t="s">
        <v>55</v>
      </c>
      <c r="L1262" t="s">
        <v>1582</v>
      </c>
      <c r="Q1262" t="str">
        <f t="shared" si="57"/>
        <v>May</v>
      </c>
      <c r="R1262">
        <f t="shared" si="58"/>
        <v>2014</v>
      </c>
      <c r="S1262" t="str">
        <f>VLOOKUP($W1262,TBL_Categories,2,FALSE)</f>
        <v>Monthly</v>
      </c>
      <c r="T1262">
        <f>VLOOKUP($W1262,TBL_Categories,3,FALSE)</f>
        <v>0</v>
      </c>
      <c r="U1262" t="str">
        <f>VLOOKUP($W1262,TBL_Categories,4,FALSE)</f>
        <v>No</v>
      </c>
      <c r="V1262" t="str">
        <f>VLOOKUP($W1262,TBL_Categories,5,FALSE)</f>
        <v>None</v>
      </c>
      <c r="W1262" t="str">
        <f t="shared" si="59"/>
        <v>Business Expenses (Koolikai)|Internet</v>
      </c>
    </row>
    <row r="1263" spans="1:23" x14ac:dyDescent="0.25">
      <c r="A1263" t="s">
        <v>296</v>
      </c>
      <c r="B1263" s="5">
        <v>41761</v>
      </c>
      <c r="C1263">
        <v>-44.08</v>
      </c>
      <c r="D1263" t="s">
        <v>304</v>
      </c>
      <c r="E1263" t="s">
        <v>443</v>
      </c>
      <c r="G1263" t="s">
        <v>446</v>
      </c>
      <c r="I1263" t="s">
        <v>272</v>
      </c>
      <c r="K1263" t="s">
        <v>54</v>
      </c>
      <c r="L1263" t="s">
        <v>1583</v>
      </c>
      <c r="Q1263" t="str">
        <f t="shared" si="57"/>
        <v>May</v>
      </c>
      <c r="R1263">
        <f t="shared" si="58"/>
        <v>2014</v>
      </c>
      <c r="S1263" t="str">
        <f>VLOOKUP($W1263,TBL_Categories,2,FALSE)</f>
        <v>Monthly</v>
      </c>
      <c r="T1263">
        <f>VLOOKUP($W1263,TBL_Categories,3,FALSE)</f>
        <v>0</v>
      </c>
      <c r="U1263" t="str">
        <f>VLOOKUP($W1263,TBL_Categories,4,FALSE)</f>
        <v>No</v>
      </c>
      <c r="V1263" t="str">
        <f>VLOOKUP($W1263,TBL_Categories,5,FALSE)</f>
        <v>None</v>
      </c>
      <c r="W1263" t="str">
        <f t="shared" si="59"/>
        <v>Bills &amp; Utilities|Home Phone</v>
      </c>
    </row>
    <row r="1264" spans="1:23" x14ac:dyDescent="0.25">
      <c r="A1264" t="s">
        <v>296</v>
      </c>
      <c r="B1264" s="5">
        <v>41761</v>
      </c>
      <c r="C1264">
        <v>-569.88</v>
      </c>
      <c r="D1264" t="s">
        <v>304</v>
      </c>
      <c r="E1264" t="s">
        <v>692</v>
      </c>
      <c r="F1264" t="s">
        <v>937</v>
      </c>
      <c r="G1264" t="s">
        <v>940</v>
      </c>
      <c r="K1264" t="s">
        <v>29</v>
      </c>
      <c r="L1264" t="s">
        <v>1573</v>
      </c>
      <c r="O1264" t="s">
        <v>1598</v>
      </c>
      <c r="Q1264" t="str">
        <f t="shared" si="57"/>
        <v>May</v>
      </c>
      <c r="R1264">
        <f t="shared" si="58"/>
        <v>2014</v>
      </c>
      <c r="S1264" t="str">
        <f>VLOOKUP($W1264,TBL_Categories,2,FALSE)</f>
        <v>Irregular</v>
      </c>
      <c r="T1264">
        <f>VLOOKUP($W1264,TBL_Categories,3,FALSE)</f>
        <v>0</v>
      </c>
      <c r="U1264" t="str">
        <f>VLOOKUP($W1264,TBL_Categories,4,FALSE)</f>
        <v>No</v>
      </c>
      <c r="V1264" t="str">
        <f>VLOOKUP($W1264,TBL_Categories,5,FALSE)</f>
        <v>None</v>
      </c>
      <c r="W1264" t="str">
        <f t="shared" si="59"/>
        <v>Work Expense|Reimbursable expense</v>
      </c>
    </row>
    <row r="1265" spans="1:23" x14ac:dyDescent="0.25">
      <c r="A1265" t="s">
        <v>284</v>
      </c>
      <c r="B1265" s="5">
        <v>41760</v>
      </c>
      <c r="C1265" s="4">
        <v>-1976</v>
      </c>
      <c r="D1265" t="s">
        <v>304</v>
      </c>
      <c r="E1265" t="s">
        <v>314</v>
      </c>
      <c r="F1265" t="s">
        <v>315</v>
      </c>
      <c r="G1265" t="s">
        <v>316</v>
      </c>
      <c r="K1265" t="s">
        <v>66</v>
      </c>
      <c r="L1265" t="s">
        <v>1522</v>
      </c>
      <c r="Q1265" t="str">
        <f t="shared" si="57"/>
        <v>May</v>
      </c>
      <c r="R1265">
        <f t="shared" si="58"/>
        <v>2014</v>
      </c>
      <c r="S1265" t="str">
        <f>VLOOKUP($W1265,TBL_Categories,2,FALSE)</f>
        <v>Monthly</v>
      </c>
      <c r="T1265">
        <f>VLOOKUP($W1265,TBL_Categories,3,FALSE)</f>
        <v>0</v>
      </c>
      <c r="U1265" t="str">
        <f>VLOOKUP($W1265,TBL_Categories,4,FALSE)</f>
        <v>No</v>
      </c>
      <c r="V1265" t="str">
        <f>VLOOKUP($W1265,TBL_Categories,5,FALSE)</f>
        <v>None</v>
      </c>
      <c r="W1265" t="str">
        <f t="shared" si="59"/>
        <v>Kids|Daycare</v>
      </c>
    </row>
    <row r="1266" spans="1:23" x14ac:dyDescent="0.25">
      <c r="A1266" t="s">
        <v>290</v>
      </c>
      <c r="B1266" s="5">
        <v>41760</v>
      </c>
      <c r="C1266">
        <v>-8.65</v>
      </c>
      <c r="D1266" t="s">
        <v>304</v>
      </c>
      <c r="E1266" t="s">
        <v>892</v>
      </c>
      <c r="F1266" t="s">
        <v>742</v>
      </c>
      <c r="G1266" t="s">
        <v>342</v>
      </c>
      <c r="K1266" t="s">
        <v>61</v>
      </c>
      <c r="L1266" t="s">
        <v>401</v>
      </c>
      <c r="Q1266" t="str">
        <f t="shared" si="57"/>
        <v>May</v>
      </c>
      <c r="R1266">
        <f t="shared" si="58"/>
        <v>2014</v>
      </c>
      <c r="S1266" t="str">
        <f>VLOOKUP($W1266,TBL_Categories,2,FALSE)</f>
        <v>Monthly</v>
      </c>
      <c r="T1266">
        <f>VLOOKUP($W1266,TBL_Categories,3,FALSE)</f>
        <v>0</v>
      </c>
      <c r="U1266" t="str">
        <f>VLOOKUP($W1266,TBL_Categories,4,FALSE)</f>
        <v>No</v>
      </c>
      <c r="V1266" t="str">
        <f>VLOOKUP($W1266,TBL_Categories,5,FALSE)</f>
        <v>None</v>
      </c>
      <c r="W1266" t="str">
        <f t="shared" si="59"/>
        <v>Food &amp; Dining|Groceries</v>
      </c>
    </row>
    <row r="1267" spans="1:23" x14ac:dyDescent="0.25">
      <c r="A1267" t="s">
        <v>633</v>
      </c>
      <c r="B1267" s="5">
        <v>41760</v>
      </c>
      <c r="C1267">
        <v>-2.4500000000000002</v>
      </c>
      <c r="D1267" t="s">
        <v>304</v>
      </c>
      <c r="E1267" t="s">
        <v>939</v>
      </c>
      <c r="F1267" t="s">
        <v>937</v>
      </c>
      <c r="G1267" t="s">
        <v>940</v>
      </c>
      <c r="K1267" t="s">
        <v>29</v>
      </c>
      <c r="L1267" t="s">
        <v>1573</v>
      </c>
      <c r="O1267" t="s">
        <v>1598</v>
      </c>
      <c r="Q1267" t="str">
        <f t="shared" si="57"/>
        <v>May</v>
      </c>
      <c r="R1267">
        <f t="shared" si="58"/>
        <v>2014</v>
      </c>
      <c r="S1267" t="str">
        <f>VLOOKUP($W1267,TBL_Categories,2,FALSE)</f>
        <v>Irregular</v>
      </c>
      <c r="T1267">
        <f>VLOOKUP($W1267,TBL_Categories,3,FALSE)</f>
        <v>0</v>
      </c>
      <c r="U1267" t="str">
        <f>VLOOKUP($W1267,TBL_Categories,4,FALSE)</f>
        <v>No</v>
      </c>
      <c r="V1267" t="str">
        <f>VLOOKUP($W1267,TBL_Categories,5,FALSE)</f>
        <v>None</v>
      </c>
      <c r="W1267" t="str">
        <f t="shared" si="59"/>
        <v>Work Expense|Reimbursable expense</v>
      </c>
    </row>
    <row r="1268" spans="1:23" x14ac:dyDescent="0.25">
      <c r="A1268" t="s">
        <v>633</v>
      </c>
      <c r="B1268" s="5">
        <v>41760</v>
      </c>
      <c r="C1268">
        <v>-4.12</v>
      </c>
      <c r="D1268" t="s">
        <v>304</v>
      </c>
      <c r="E1268" t="s">
        <v>679</v>
      </c>
      <c r="F1268" t="s">
        <v>941</v>
      </c>
      <c r="G1268" t="s">
        <v>333</v>
      </c>
      <c r="K1268" t="s">
        <v>61</v>
      </c>
      <c r="L1268" t="s">
        <v>1530</v>
      </c>
      <c r="Q1268" t="str">
        <f t="shared" si="57"/>
        <v>May</v>
      </c>
      <c r="R1268">
        <f t="shared" si="58"/>
        <v>2014</v>
      </c>
      <c r="S1268" t="str">
        <f>VLOOKUP($W1268,TBL_Categories,2,FALSE)</f>
        <v>Monthly</v>
      </c>
      <c r="T1268">
        <f>VLOOKUP($W1268,TBL_Categories,3,FALSE)</f>
        <v>0</v>
      </c>
      <c r="U1268" t="str">
        <f>VLOOKUP($W1268,TBL_Categories,4,FALSE)</f>
        <v>No</v>
      </c>
      <c r="V1268" t="str">
        <f>VLOOKUP($W1268,TBL_Categories,5,FALSE)</f>
        <v>None</v>
      </c>
      <c r="W1268" t="str">
        <f t="shared" si="59"/>
        <v>Food &amp; Dining|Restaurants</v>
      </c>
    </row>
    <row r="1269" spans="1:23" x14ac:dyDescent="0.25">
      <c r="A1269" t="s">
        <v>633</v>
      </c>
      <c r="B1269" s="5">
        <v>41760</v>
      </c>
      <c r="C1269">
        <v>-10.95</v>
      </c>
      <c r="D1269" t="s">
        <v>304</v>
      </c>
      <c r="E1269" t="s">
        <v>939</v>
      </c>
      <c r="F1269" t="s">
        <v>937</v>
      </c>
      <c r="G1269" t="s">
        <v>938</v>
      </c>
      <c r="J1269" t="s">
        <v>1550</v>
      </c>
      <c r="K1269" t="s">
        <v>29</v>
      </c>
      <c r="L1269" t="s">
        <v>1573</v>
      </c>
      <c r="O1269" t="s">
        <v>1598</v>
      </c>
      <c r="Q1269" t="str">
        <f t="shared" si="57"/>
        <v>May</v>
      </c>
      <c r="R1269">
        <f t="shared" si="58"/>
        <v>2014</v>
      </c>
      <c r="S1269" t="str">
        <f>VLOOKUP($W1269,TBL_Categories,2,FALSE)</f>
        <v>Irregular</v>
      </c>
      <c r="T1269">
        <f>VLOOKUP($W1269,TBL_Categories,3,FALSE)</f>
        <v>0</v>
      </c>
      <c r="U1269" t="str">
        <f>VLOOKUP($W1269,TBL_Categories,4,FALSE)</f>
        <v>No</v>
      </c>
      <c r="V1269" t="str">
        <f>VLOOKUP($W1269,TBL_Categories,5,FALSE)</f>
        <v>None</v>
      </c>
      <c r="W1269" t="str">
        <f t="shared" si="59"/>
        <v>Work Expense|Reimbursable expense</v>
      </c>
    </row>
    <row r="1270" spans="1:23" x14ac:dyDescent="0.25">
      <c r="A1270" t="s">
        <v>633</v>
      </c>
      <c r="B1270" s="5">
        <v>41760</v>
      </c>
      <c r="C1270">
        <v>-53.63</v>
      </c>
      <c r="D1270" t="s">
        <v>304</v>
      </c>
      <c r="E1270" t="s">
        <v>942</v>
      </c>
      <c r="F1270" t="s">
        <v>937</v>
      </c>
      <c r="G1270" t="s">
        <v>940</v>
      </c>
      <c r="K1270" t="s">
        <v>29</v>
      </c>
      <c r="L1270" t="s">
        <v>1573</v>
      </c>
      <c r="O1270" t="s">
        <v>1598</v>
      </c>
      <c r="Q1270" t="str">
        <f t="shared" si="57"/>
        <v>May</v>
      </c>
      <c r="R1270">
        <f t="shared" si="58"/>
        <v>2014</v>
      </c>
      <c r="S1270" t="str">
        <f>VLOOKUP($W1270,TBL_Categories,2,FALSE)</f>
        <v>Irregular</v>
      </c>
      <c r="T1270">
        <f>VLOOKUP($W1270,TBL_Categories,3,FALSE)</f>
        <v>0</v>
      </c>
      <c r="U1270" t="str">
        <f>VLOOKUP($W1270,TBL_Categories,4,FALSE)</f>
        <v>No</v>
      </c>
      <c r="V1270" t="str">
        <f>VLOOKUP($W1270,TBL_Categories,5,FALSE)</f>
        <v>None</v>
      </c>
      <c r="W1270" t="str">
        <f t="shared" si="59"/>
        <v>Work Expense|Reimbursable expense</v>
      </c>
    </row>
    <row r="1271" spans="1:23" x14ac:dyDescent="0.25">
      <c r="A1271" t="s">
        <v>633</v>
      </c>
      <c r="B1271" s="5">
        <v>41760</v>
      </c>
      <c r="C1271">
        <v>-54.93</v>
      </c>
      <c r="D1271" t="s">
        <v>304</v>
      </c>
      <c r="E1271" t="s">
        <v>689</v>
      </c>
      <c r="F1271" t="s">
        <v>937</v>
      </c>
      <c r="G1271" t="s">
        <v>938</v>
      </c>
      <c r="J1271" t="s">
        <v>1550</v>
      </c>
      <c r="K1271" t="s">
        <v>29</v>
      </c>
      <c r="L1271" t="s">
        <v>1573</v>
      </c>
      <c r="O1271" t="s">
        <v>1598</v>
      </c>
      <c r="Q1271" t="str">
        <f t="shared" si="57"/>
        <v>May</v>
      </c>
      <c r="R1271">
        <f t="shared" si="58"/>
        <v>2014</v>
      </c>
      <c r="S1271" t="str">
        <f>VLOOKUP($W1271,TBL_Categories,2,FALSE)</f>
        <v>Irregular</v>
      </c>
      <c r="T1271">
        <f>VLOOKUP($W1271,TBL_Categories,3,FALSE)</f>
        <v>0</v>
      </c>
      <c r="U1271" t="str">
        <f>VLOOKUP($W1271,TBL_Categories,4,FALSE)</f>
        <v>No</v>
      </c>
      <c r="V1271" t="str">
        <f>VLOOKUP($W1271,TBL_Categories,5,FALSE)</f>
        <v>None</v>
      </c>
      <c r="W1271" t="str">
        <f t="shared" si="59"/>
        <v>Work Expense|Reimbursable expense</v>
      </c>
    </row>
    <row r="1272" spans="1:23" x14ac:dyDescent="0.25">
      <c r="A1272" t="s">
        <v>633</v>
      </c>
      <c r="B1272" s="5">
        <v>41760</v>
      </c>
      <c r="C1272">
        <v>-100</v>
      </c>
      <c r="D1272" t="s">
        <v>304</v>
      </c>
      <c r="E1272" t="s">
        <v>936</v>
      </c>
      <c r="F1272" t="s">
        <v>628</v>
      </c>
      <c r="G1272" t="s">
        <v>333</v>
      </c>
      <c r="K1272" t="s">
        <v>61</v>
      </c>
      <c r="L1272" t="s">
        <v>1530</v>
      </c>
      <c r="Q1272" t="str">
        <f t="shared" si="57"/>
        <v>May</v>
      </c>
      <c r="R1272">
        <f t="shared" si="58"/>
        <v>2014</v>
      </c>
      <c r="S1272" t="str">
        <f>VLOOKUP($W1272,TBL_Categories,2,FALSE)</f>
        <v>Monthly</v>
      </c>
      <c r="T1272">
        <f>VLOOKUP($W1272,TBL_Categories,3,FALSE)</f>
        <v>0</v>
      </c>
      <c r="U1272" t="str">
        <f>VLOOKUP($W1272,TBL_Categories,4,FALSE)</f>
        <v>No</v>
      </c>
      <c r="V1272" t="str">
        <f>VLOOKUP($W1272,TBL_Categories,5,FALSE)</f>
        <v>None</v>
      </c>
      <c r="W1272" t="str">
        <f t="shared" si="59"/>
        <v>Food &amp; Dining|Restaurants</v>
      </c>
    </row>
    <row r="1273" spans="1:23" x14ac:dyDescent="0.25">
      <c r="A1273" t="s">
        <v>296</v>
      </c>
      <c r="B1273" s="5">
        <v>41760</v>
      </c>
      <c r="C1273">
        <v>-21.36</v>
      </c>
      <c r="D1273" t="s">
        <v>304</v>
      </c>
      <c r="E1273" t="s">
        <v>1102</v>
      </c>
      <c r="F1273" t="s">
        <v>1103</v>
      </c>
      <c r="G1273" t="s">
        <v>938</v>
      </c>
      <c r="J1273" t="s">
        <v>1550</v>
      </c>
      <c r="K1273" t="s">
        <v>29</v>
      </c>
      <c r="L1273" t="s">
        <v>1573</v>
      </c>
      <c r="O1273" t="s">
        <v>1598</v>
      </c>
      <c r="Q1273" t="str">
        <f t="shared" si="57"/>
        <v>May</v>
      </c>
      <c r="R1273">
        <f t="shared" si="58"/>
        <v>2014</v>
      </c>
      <c r="S1273" t="str">
        <f>VLOOKUP($W1273,TBL_Categories,2,FALSE)</f>
        <v>Irregular</v>
      </c>
      <c r="T1273">
        <f>VLOOKUP($W1273,TBL_Categories,3,FALSE)</f>
        <v>0</v>
      </c>
      <c r="U1273" t="str">
        <f>VLOOKUP($W1273,TBL_Categories,4,FALSE)</f>
        <v>No</v>
      </c>
      <c r="V1273" t="str">
        <f>VLOOKUP($W1273,TBL_Categories,5,FALSE)</f>
        <v>None</v>
      </c>
      <c r="W1273" t="str">
        <f t="shared" si="59"/>
        <v>Work Expense|Reimbursable expense</v>
      </c>
    </row>
    <row r="1274" spans="1:23" x14ac:dyDescent="0.25">
      <c r="A1274" t="s">
        <v>296</v>
      </c>
      <c r="B1274" s="5">
        <v>41760</v>
      </c>
      <c r="C1274">
        <v>-30.89</v>
      </c>
      <c r="D1274" t="s">
        <v>304</v>
      </c>
      <c r="E1274" t="s">
        <v>655</v>
      </c>
      <c r="F1274" t="s">
        <v>1104</v>
      </c>
      <c r="G1274" t="s">
        <v>940</v>
      </c>
      <c r="K1274" t="s">
        <v>29</v>
      </c>
      <c r="L1274" t="s">
        <v>1573</v>
      </c>
      <c r="O1274" t="s">
        <v>1598</v>
      </c>
      <c r="Q1274" t="str">
        <f t="shared" si="57"/>
        <v>May</v>
      </c>
      <c r="R1274">
        <f t="shared" si="58"/>
        <v>2014</v>
      </c>
      <c r="S1274" t="str">
        <f>VLOOKUP($W1274,TBL_Categories,2,FALSE)</f>
        <v>Irregular</v>
      </c>
      <c r="T1274">
        <f>VLOOKUP($W1274,TBL_Categories,3,FALSE)</f>
        <v>0</v>
      </c>
      <c r="U1274" t="str">
        <f>VLOOKUP($W1274,TBL_Categories,4,FALSE)</f>
        <v>No</v>
      </c>
      <c r="V1274" t="str">
        <f>VLOOKUP($W1274,TBL_Categories,5,FALSE)</f>
        <v>None</v>
      </c>
      <c r="W1274" t="str">
        <f t="shared" si="59"/>
        <v>Work Expense|Reimbursable expense</v>
      </c>
    </row>
    <row r="1275" spans="1:23" x14ac:dyDescent="0.25">
      <c r="A1275" t="s">
        <v>296</v>
      </c>
      <c r="B1275" s="5">
        <v>41760</v>
      </c>
      <c r="C1275">
        <v>-35</v>
      </c>
      <c r="D1275" t="s">
        <v>304</v>
      </c>
      <c r="E1275" t="s">
        <v>1105</v>
      </c>
      <c r="F1275" t="s">
        <v>1106</v>
      </c>
      <c r="G1275" t="s">
        <v>73</v>
      </c>
      <c r="K1275" t="s">
        <v>73</v>
      </c>
      <c r="Q1275" t="str">
        <f t="shared" si="57"/>
        <v>May</v>
      </c>
      <c r="R1275">
        <f t="shared" si="58"/>
        <v>2014</v>
      </c>
      <c r="S1275" t="str">
        <f>VLOOKUP($W1275,TBL_Categories,2,FALSE)</f>
        <v>Annual</v>
      </c>
      <c r="T1275">
        <f>VLOOKUP($W1275,TBL_Categories,3,FALSE)</f>
        <v>0</v>
      </c>
      <c r="U1275" t="str">
        <f>VLOOKUP($W1275,TBL_Categories,4,FALSE)</f>
        <v>No</v>
      </c>
      <c r="V1275" t="str">
        <f>VLOOKUP($W1275,TBL_Categories,5,FALSE)</f>
        <v>None</v>
      </c>
      <c r="W1275" t="str">
        <f t="shared" si="59"/>
        <v>Subscriptions &amp; Dues</v>
      </c>
    </row>
    <row r="1276" spans="1:23" x14ac:dyDescent="0.25">
      <c r="A1276" t="s">
        <v>280</v>
      </c>
      <c r="B1276" s="5">
        <v>41759</v>
      </c>
      <c r="C1276">
        <v>19.37</v>
      </c>
      <c r="D1276" t="s">
        <v>304</v>
      </c>
      <c r="E1276" t="s">
        <v>309</v>
      </c>
      <c r="G1276" t="s">
        <v>8</v>
      </c>
      <c r="H1276" t="s">
        <v>310</v>
      </c>
      <c r="K1276" t="s">
        <v>8</v>
      </c>
      <c r="Q1276" t="str">
        <f t="shared" si="57"/>
        <v>Apr</v>
      </c>
      <c r="R1276">
        <f t="shared" si="58"/>
        <v>2014</v>
      </c>
      <c r="S1276" t="str">
        <f>VLOOKUP($W1276,TBL_Categories,2,FALSE)</f>
        <v>Monthly</v>
      </c>
      <c r="T1276">
        <f>VLOOKUP($W1276,TBL_Categories,3,FALSE)</f>
        <v>0</v>
      </c>
      <c r="U1276" t="str">
        <f>VLOOKUP($W1276,TBL_Categories,4,FALSE)</f>
        <v>No</v>
      </c>
      <c r="V1276" t="str">
        <f>VLOOKUP($W1276,TBL_Categories,5,FALSE)</f>
        <v>None</v>
      </c>
      <c r="W1276" t="str">
        <f t="shared" si="59"/>
        <v>Interest Income</v>
      </c>
    </row>
    <row r="1277" spans="1:23" x14ac:dyDescent="0.25">
      <c r="A1277" t="s">
        <v>281</v>
      </c>
      <c r="B1277" s="5">
        <v>41759</v>
      </c>
      <c r="C1277">
        <v>48.61</v>
      </c>
      <c r="D1277" t="s">
        <v>304</v>
      </c>
      <c r="E1277" t="s">
        <v>309</v>
      </c>
      <c r="G1277" t="s">
        <v>8</v>
      </c>
      <c r="H1277" t="s">
        <v>310</v>
      </c>
      <c r="K1277" t="s">
        <v>8</v>
      </c>
      <c r="Q1277" t="str">
        <f t="shared" si="57"/>
        <v>Apr</v>
      </c>
      <c r="R1277">
        <f t="shared" si="58"/>
        <v>2014</v>
      </c>
      <c r="S1277" t="str">
        <f>VLOOKUP($W1277,TBL_Categories,2,FALSE)</f>
        <v>Monthly</v>
      </c>
      <c r="T1277">
        <f>VLOOKUP($W1277,TBL_Categories,3,FALSE)</f>
        <v>0</v>
      </c>
      <c r="U1277" t="str">
        <f>VLOOKUP($W1277,TBL_Categories,4,FALSE)</f>
        <v>No</v>
      </c>
      <c r="V1277" t="str">
        <f>VLOOKUP($W1277,TBL_Categories,5,FALSE)</f>
        <v>None</v>
      </c>
      <c r="W1277" t="str">
        <f t="shared" si="59"/>
        <v>Interest Income</v>
      </c>
    </row>
    <row r="1278" spans="1:23" x14ac:dyDescent="0.25">
      <c r="A1278" t="s">
        <v>282</v>
      </c>
      <c r="B1278" s="5">
        <v>41759</v>
      </c>
      <c r="C1278">
        <v>0.02</v>
      </c>
      <c r="D1278" t="s">
        <v>304</v>
      </c>
      <c r="E1278" t="s">
        <v>309</v>
      </c>
      <c r="G1278" t="s">
        <v>8</v>
      </c>
      <c r="H1278" t="s">
        <v>310</v>
      </c>
      <c r="K1278" t="s">
        <v>8</v>
      </c>
      <c r="Q1278" t="str">
        <f t="shared" si="57"/>
        <v>Apr</v>
      </c>
      <c r="R1278">
        <f t="shared" si="58"/>
        <v>2014</v>
      </c>
      <c r="S1278" t="str">
        <f>VLOOKUP($W1278,TBL_Categories,2,FALSE)</f>
        <v>Monthly</v>
      </c>
      <c r="T1278">
        <f>VLOOKUP($W1278,TBL_Categories,3,FALSE)</f>
        <v>0</v>
      </c>
      <c r="U1278" t="str">
        <f>VLOOKUP($W1278,TBL_Categories,4,FALSE)</f>
        <v>No</v>
      </c>
      <c r="V1278" t="str">
        <f>VLOOKUP($W1278,TBL_Categories,5,FALSE)</f>
        <v>None</v>
      </c>
      <c r="W1278" t="str">
        <f t="shared" si="59"/>
        <v>Interest Income</v>
      </c>
    </row>
    <row r="1279" spans="1:23" x14ac:dyDescent="0.25">
      <c r="A1279" t="s">
        <v>283</v>
      </c>
      <c r="B1279" s="5">
        <v>41759</v>
      </c>
      <c r="C1279">
        <v>2.06</v>
      </c>
      <c r="D1279" t="s">
        <v>304</v>
      </c>
      <c r="E1279" t="s">
        <v>309</v>
      </c>
      <c r="G1279" t="s">
        <v>8</v>
      </c>
      <c r="H1279" t="s">
        <v>310</v>
      </c>
      <c r="K1279" t="s">
        <v>8</v>
      </c>
      <c r="Q1279" t="str">
        <f t="shared" si="57"/>
        <v>Apr</v>
      </c>
      <c r="R1279">
        <f t="shared" si="58"/>
        <v>2014</v>
      </c>
      <c r="S1279" t="str">
        <f>VLOOKUP($W1279,TBL_Categories,2,FALSE)</f>
        <v>Monthly</v>
      </c>
      <c r="T1279">
        <f>VLOOKUP($W1279,TBL_Categories,3,FALSE)</f>
        <v>0</v>
      </c>
      <c r="U1279" t="str">
        <f>VLOOKUP($W1279,TBL_Categories,4,FALSE)</f>
        <v>No</v>
      </c>
      <c r="V1279" t="str">
        <f>VLOOKUP($W1279,TBL_Categories,5,FALSE)</f>
        <v>None</v>
      </c>
      <c r="W1279" t="str">
        <f t="shared" si="59"/>
        <v>Interest Income</v>
      </c>
    </row>
    <row r="1280" spans="1:23" x14ac:dyDescent="0.25">
      <c r="A1280" t="s">
        <v>287</v>
      </c>
      <c r="B1280" s="5">
        <v>41759</v>
      </c>
      <c r="C1280">
        <v>0.01</v>
      </c>
      <c r="D1280" t="s">
        <v>304</v>
      </c>
      <c r="E1280" t="s">
        <v>396</v>
      </c>
      <c r="F1280" t="s">
        <v>595</v>
      </c>
      <c r="G1280" t="s">
        <v>8</v>
      </c>
      <c r="K1280" t="s">
        <v>8</v>
      </c>
      <c r="Q1280" t="str">
        <f t="shared" si="57"/>
        <v>Apr</v>
      </c>
      <c r="R1280">
        <f t="shared" si="58"/>
        <v>2014</v>
      </c>
      <c r="S1280" t="str">
        <f>VLOOKUP($W1280,TBL_Categories,2,FALSE)</f>
        <v>Monthly</v>
      </c>
      <c r="T1280">
        <f>VLOOKUP($W1280,TBL_Categories,3,FALSE)</f>
        <v>0</v>
      </c>
      <c r="U1280" t="str">
        <f>VLOOKUP($W1280,TBL_Categories,4,FALSE)</f>
        <v>No</v>
      </c>
      <c r="V1280" t="str">
        <f>VLOOKUP($W1280,TBL_Categories,5,FALSE)</f>
        <v>None</v>
      </c>
      <c r="W1280" t="str">
        <f t="shared" si="59"/>
        <v>Interest Income</v>
      </c>
    </row>
    <row r="1281" spans="1:23" x14ac:dyDescent="0.25">
      <c r="A1281" t="s">
        <v>289</v>
      </c>
      <c r="B1281" s="5">
        <v>41759</v>
      </c>
      <c r="C1281">
        <v>0.18</v>
      </c>
      <c r="D1281" t="s">
        <v>304</v>
      </c>
      <c r="E1281" t="s">
        <v>396</v>
      </c>
      <c r="F1281" t="s">
        <v>595</v>
      </c>
      <c r="G1281" t="s">
        <v>8</v>
      </c>
      <c r="K1281" t="s">
        <v>8</v>
      </c>
      <c r="Q1281" t="str">
        <f t="shared" si="57"/>
        <v>Apr</v>
      </c>
      <c r="R1281">
        <f t="shared" si="58"/>
        <v>2014</v>
      </c>
      <c r="S1281" t="str">
        <f>VLOOKUP($W1281,TBL_Categories,2,FALSE)</f>
        <v>Monthly</v>
      </c>
      <c r="T1281">
        <f>VLOOKUP($W1281,TBL_Categories,3,FALSE)</f>
        <v>0</v>
      </c>
      <c r="U1281" t="str">
        <f>VLOOKUP($W1281,TBL_Categories,4,FALSE)</f>
        <v>No</v>
      </c>
      <c r="V1281" t="str">
        <f>VLOOKUP($W1281,TBL_Categories,5,FALSE)</f>
        <v>None</v>
      </c>
      <c r="W1281" t="str">
        <f t="shared" si="59"/>
        <v>Interest Income</v>
      </c>
    </row>
    <row r="1282" spans="1:23" x14ac:dyDescent="0.25">
      <c r="A1282" t="s">
        <v>290</v>
      </c>
      <c r="B1282" s="5">
        <v>41759</v>
      </c>
      <c r="C1282">
        <v>0.11</v>
      </c>
      <c r="D1282" t="s">
        <v>304</v>
      </c>
      <c r="E1282" t="s">
        <v>399</v>
      </c>
      <c r="G1282" t="s">
        <v>8</v>
      </c>
      <c r="K1282" t="s">
        <v>8</v>
      </c>
      <c r="Q1282" t="str">
        <f t="shared" ref="Q1282:Q1345" si="60">TEXT($B1282,"MMM")</f>
        <v>Apr</v>
      </c>
      <c r="R1282">
        <f t="shared" ref="R1282:R1345" si="61">YEAR($B1282)</f>
        <v>2014</v>
      </c>
      <c r="S1282" t="str">
        <f>VLOOKUP($W1282,TBL_Categories,2,FALSE)</f>
        <v>Monthly</v>
      </c>
      <c r="T1282">
        <f>VLOOKUP($W1282,TBL_Categories,3,FALSE)</f>
        <v>0</v>
      </c>
      <c r="U1282" t="str">
        <f>VLOOKUP($W1282,TBL_Categories,4,FALSE)</f>
        <v>No</v>
      </c>
      <c r="V1282" t="str">
        <f>VLOOKUP($W1282,TBL_Categories,5,FALSE)</f>
        <v>None</v>
      </c>
      <c r="W1282" t="str">
        <f t="shared" ref="W1282:W1345" si="62">IF(ISBLANK($L1282),$K1282,CONCATENATE($K1282,"|",$L1282))</f>
        <v>Interest Income</v>
      </c>
    </row>
    <row r="1283" spans="1:23" x14ac:dyDescent="0.25">
      <c r="A1283" t="s">
        <v>290</v>
      </c>
      <c r="B1283" s="5">
        <v>41759</v>
      </c>
      <c r="C1283">
        <v>3</v>
      </c>
      <c r="D1283" t="s">
        <v>304</v>
      </c>
      <c r="E1283" t="s">
        <v>403</v>
      </c>
      <c r="G1283" t="s">
        <v>397</v>
      </c>
      <c r="K1283" t="s">
        <v>53</v>
      </c>
      <c r="L1283" t="s">
        <v>1562</v>
      </c>
      <c r="Q1283" t="str">
        <f t="shared" si="60"/>
        <v>Apr</v>
      </c>
      <c r="R1283">
        <f t="shared" si="61"/>
        <v>2014</v>
      </c>
      <c r="S1283" t="str">
        <f>VLOOKUP($W1283,TBL_Categories,2,FALSE)</f>
        <v>Monthly</v>
      </c>
      <c r="T1283">
        <f>VLOOKUP($W1283,TBL_Categories,3,FALSE)</f>
        <v>0</v>
      </c>
      <c r="U1283" t="str">
        <f>VLOOKUP($W1283,TBL_Categories,4,FALSE)</f>
        <v>No</v>
      </c>
      <c r="V1283" t="str">
        <f>VLOOKUP($W1283,TBL_Categories,5,FALSE)</f>
        <v>None</v>
      </c>
      <c r="W1283" t="str">
        <f t="shared" si="62"/>
        <v>Bank Fees &amp; Charges|ATM Fee</v>
      </c>
    </row>
    <row r="1284" spans="1:23" x14ac:dyDescent="0.25">
      <c r="A1284" t="s">
        <v>633</v>
      </c>
      <c r="B1284" s="5">
        <v>41759</v>
      </c>
      <c r="C1284">
        <v>-2.25</v>
      </c>
      <c r="D1284" t="s">
        <v>304</v>
      </c>
      <c r="E1284" t="s">
        <v>935</v>
      </c>
      <c r="G1284" t="s">
        <v>333</v>
      </c>
      <c r="K1284" t="s">
        <v>61</v>
      </c>
      <c r="L1284" t="s">
        <v>1530</v>
      </c>
      <c r="Q1284" t="str">
        <f t="shared" si="60"/>
        <v>Apr</v>
      </c>
      <c r="R1284">
        <f t="shared" si="61"/>
        <v>2014</v>
      </c>
      <c r="S1284" t="str">
        <f>VLOOKUP($W1284,TBL_Categories,2,FALSE)</f>
        <v>Monthly</v>
      </c>
      <c r="T1284">
        <f>VLOOKUP($W1284,TBL_Categories,3,FALSE)</f>
        <v>0</v>
      </c>
      <c r="U1284" t="str">
        <f>VLOOKUP($W1284,TBL_Categories,4,FALSE)</f>
        <v>No</v>
      </c>
      <c r="V1284" t="str">
        <f>VLOOKUP($W1284,TBL_Categories,5,FALSE)</f>
        <v>None</v>
      </c>
      <c r="W1284" t="str">
        <f t="shared" si="62"/>
        <v>Food &amp; Dining|Restaurants</v>
      </c>
    </row>
    <row r="1285" spans="1:23" x14ac:dyDescent="0.25">
      <c r="A1285" t="s">
        <v>633</v>
      </c>
      <c r="B1285" s="5">
        <v>41759</v>
      </c>
      <c r="C1285">
        <v>-5.95</v>
      </c>
      <c r="D1285" t="s">
        <v>304</v>
      </c>
      <c r="E1285" t="s">
        <v>936</v>
      </c>
      <c r="F1285" t="s">
        <v>628</v>
      </c>
      <c r="G1285" t="s">
        <v>333</v>
      </c>
      <c r="K1285" t="s">
        <v>61</v>
      </c>
      <c r="L1285" t="s">
        <v>1530</v>
      </c>
      <c r="Q1285" t="str">
        <f t="shared" si="60"/>
        <v>Apr</v>
      </c>
      <c r="R1285">
        <f t="shared" si="61"/>
        <v>2014</v>
      </c>
      <c r="S1285" t="str">
        <f>VLOOKUP($W1285,TBL_Categories,2,FALSE)</f>
        <v>Monthly</v>
      </c>
      <c r="T1285">
        <f>VLOOKUP($W1285,TBL_Categories,3,FALSE)</f>
        <v>0</v>
      </c>
      <c r="U1285" t="str">
        <f>VLOOKUP($W1285,TBL_Categories,4,FALSE)</f>
        <v>No</v>
      </c>
      <c r="V1285" t="str">
        <f>VLOOKUP($W1285,TBL_Categories,5,FALSE)</f>
        <v>None</v>
      </c>
      <c r="W1285" t="str">
        <f t="shared" si="62"/>
        <v>Food &amp; Dining|Restaurants</v>
      </c>
    </row>
    <row r="1286" spans="1:23" x14ac:dyDescent="0.25">
      <c r="A1286" t="s">
        <v>633</v>
      </c>
      <c r="B1286" s="5">
        <v>41759</v>
      </c>
      <c r="C1286">
        <v>-10.86</v>
      </c>
      <c r="D1286" t="s">
        <v>304</v>
      </c>
      <c r="E1286" t="s">
        <v>935</v>
      </c>
      <c r="F1286" t="s">
        <v>937</v>
      </c>
      <c r="G1286" t="s">
        <v>938</v>
      </c>
      <c r="J1286" t="s">
        <v>1550</v>
      </c>
      <c r="K1286" t="s">
        <v>29</v>
      </c>
      <c r="L1286" t="s">
        <v>1573</v>
      </c>
      <c r="O1286" t="s">
        <v>1598</v>
      </c>
      <c r="Q1286" t="str">
        <f t="shared" si="60"/>
        <v>Apr</v>
      </c>
      <c r="R1286">
        <f t="shared" si="61"/>
        <v>2014</v>
      </c>
      <c r="S1286" t="str">
        <f>VLOOKUP($W1286,TBL_Categories,2,FALSE)</f>
        <v>Irregular</v>
      </c>
      <c r="T1286">
        <f>VLOOKUP($W1286,TBL_Categories,3,FALSE)</f>
        <v>0</v>
      </c>
      <c r="U1286" t="str">
        <f>VLOOKUP($W1286,TBL_Categories,4,FALSE)</f>
        <v>No</v>
      </c>
      <c r="V1286" t="str">
        <f>VLOOKUP($W1286,TBL_Categories,5,FALSE)</f>
        <v>None</v>
      </c>
      <c r="W1286" t="str">
        <f t="shared" si="62"/>
        <v>Work Expense|Reimbursable expense</v>
      </c>
    </row>
    <row r="1287" spans="1:23" x14ac:dyDescent="0.25">
      <c r="A1287" t="s">
        <v>284</v>
      </c>
      <c r="B1287" s="5">
        <v>41758</v>
      </c>
      <c r="C1287" s="4">
        <v>3165.19</v>
      </c>
      <c r="D1287" t="s">
        <v>304</v>
      </c>
      <c r="E1287" t="s">
        <v>361</v>
      </c>
      <c r="F1287" t="s">
        <v>312</v>
      </c>
      <c r="G1287" t="s">
        <v>12</v>
      </c>
      <c r="K1287" t="s">
        <v>12</v>
      </c>
      <c r="Q1287" t="str">
        <f t="shared" si="60"/>
        <v>Apr</v>
      </c>
      <c r="R1287">
        <f t="shared" si="61"/>
        <v>2014</v>
      </c>
      <c r="S1287" t="str">
        <f>VLOOKUP($W1287,TBL_Categories,2,FALSE)</f>
        <v>Monthly</v>
      </c>
      <c r="T1287">
        <f>VLOOKUP($W1287,TBL_Categories,3,FALSE)</f>
        <v>0</v>
      </c>
      <c r="U1287" t="str">
        <f>VLOOKUP($W1287,TBL_Categories,4,FALSE)</f>
        <v>No</v>
      </c>
      <c r="V1287" t="str">
        <f>VLOOKUP($W1287,TBL_Categories,5,FALSE)</f>
        <v>None</v>
      </c>
      <c r="W1287" t="str">
        <f t="shared" si="62"/>
        <v>Net Salary</v>
      </c>
    </row>
    <row r="1288" spans="1:23" x14ac:dyDescent="0.25">
      <c r="A1288" t="s">
        <v>284</v>
      </c>
      <c r="B1288" s="5">
        <v>41758</v>
      </c>
      <c r="C1288" s="4">
        <v>6195.6</v>
      </c>
      <c r="D1288" t="s">
        <v>304</v>
      </c>
      <c r="E1288" t="s">
        <v>363</v>
      </c>
      <c r="F1288" t="s">
        <v>359</v>
      </c>
      <c r="G1288" t="s">
        <v>12</v>
      </c>
      <c r="K1288" t="s">
        <v>12</v>
      </c>
      <c r="Q1288" t="str">
        <f t="shared" si="60"/>
        <v>Apr</v>
      </c>
      <c r="R1288">
        <f t="shared" si="61"/>
        <v>2014</v>
      </c>
      <c r="S1288" t="str">
        <f>VLOOKUP($W1288,TBL_Categories,2,FALSE)</f>
        <v>Monthly</v>
      </c>
      <c r="T1288">
        <f>VLOOKUP($W1288,TBL_Categories,3,FALSE)</f>
        <v>0</v>
      </c>
      <c r="U1288" t="str">
        <f>VLOOKUP($W1288,TBL_Categories,4,FALSE)</f>
        <v>No</v>
      </c>
      <c r="V1288" t="str">
        <f>VLOOKUP($W1288,TBL_Categories,5,FALSE)</f>
        <v>None</v>
      </c>
      <c r="W1288" t="str">
        <f t="shared" si="62"/>
        <v>Net Salary</v>
      </c>
    </row>
    <row r="1289" spans="1:23" x14ac:dyDescent="0.25">
      <c r="A1289" t="s">
        <v>284</v>
      </c>
      <c r="B1289" s="5">
        <v>41758</v>
      </c>
      <c r="C1289" s="4">
        <v>11977</v>
      </c>
      <c r="D1289" t="s">
        <v>304</v>
      </c>
      <c r="E1289" t="s">
        <v>782</v>
      </c>
      <c r="F1289" t="s">
        <v>783</v>
      </c>
      <c r="G1289" t="s">
        <v>584</v>
      </c>
      <c r="K1289" t="s">
        <v>74</v>
      </c>
      <c r="L1289" t="s">
        <v>1523</v>
      </c>
      <c r="Q1289" t="str">
        <f t="shared" si="60"/>
        <v>Apr</v>
      </c>
      <c r="R1289">
        <f t="shared" si="61"/>
        <v>2014</v>
      </c>
      <c r="S1289" t="str">
        <f>VLOOKUP($W1289,TBL_Categories,2,FALSE)</f>
        <v>Unplanned</v>
      </c>
      <c r="T1289">
        <f>VLOOKUP($W1289,TBL_Categories,3,FALSE)</f>
        <v>0</v>
      </c>
      <c r="U1289" t="str">
        <f>VLOOKUP($W1289,TBL_Categories,4,FALSE)</f>
        <v>No</v>
      </c>
      <c r="V1289" t="str">
        <f>VLOOKUP($W1289,TBL_Categories,5,FALSE)</f>
        <v>None</v>
      </c>
      <c r="W1289" t="str">
        <f t="shared" si="62"/>
        <v>Tax|Fed</v>
      </c>
    </row>
    <row r="1290" spans="1:23" x14ac:dyDescent="0.25">
      <c r="A1290" t="s">
        <v>284</v>
      </c>
      <c r="B1290" s="5">
        <v>41758</v>
      </c>
      <c r="C1290">
        <v>-211.72</v>
      </c>
      <c r="D1290" t="s">
        <v>304</v>
      </c>
      <c r="E1290" t="s">
        <v>582</v>
      </c>
      <c r="F1290" t="s">
        <v>1659</v>
      </c>
      <c r="G1290" t="s">
        <v>313</v>
      </c>
      <c r="K1290" t="s">
        <v>54</v>
      </c>
      <c r="L1290" t="s">
        <v>1521</v>
      </c>
      <c r="Q1290" t="str">
        <f t="shared" si="60"/>
        <v>Apr</v>
      </c>
      <c r="R1290">
        <f t="shared" si="61"/>
        <v>2014</v>
      </c>
      <c r="S1290" t="str">
        <f>VLOOKUP($W1290,TBL_Categories,2,FALSE)</f>
        <v>Monthly</v>
      </c>
      <c r="T1290">
        <f>VLOOKUP($W1290,TBL_Categories,3,FALSE)</f>
        <v>0</v>
      </c>
      <c r="U1290" t="str">
        <f>VLOOKUP($W1290,TBL_Categories,4,FALSE)</f>
        <v>No</v>
      </c>
      <c r="V1290" t="str">
        <f>VLOOKUP($W1290,TBL_Categories,5,FALSE)</f>
        <v>None</v>
      </c>
      <c r="W1290" t="str">
        <f t="shared" si="62"/>
        <v>Bills &amp; Utilities|Utilities</v>
      </c>
    </row>
    <row r="1291" spans="1:23" x14ac:dyDescent="0.25">
      <c r="A1291" t="s">
        <v>290</v>
      </c>
      <c r="B1291" s="5">
        <v>41758</v>
      </c>
      <c r="C1291">
        <v>-34.83</v>
      </c>
      <c r="D1291" t="s">
        <v>304</v>
      </c>
      <c r="E1291" t="s">
        <v>889</v>
      </c>
      <c r="F1291" t="s">
        <v>890</v>
      </c>
      <c r="G1291" t="s">
        <v>333</v>
      </c>
      <c r="I1291" t="s">
        <v>272</v>
      </c>
      <c r="K1291" t="s">
        <v>61</v>
      </c>
      <c r="L1291" t="s">
        <v>1530</v>
      </c>
      <c r="Q1291" t="str">
        <f t="shared" si="60"/>
        <v>Apr</v>
      </c>
      <c r="R1291">
        <f t="shared" si="61"/>
        <v>2014</v>
      </c>
      <c r="S1291" t="str">
        <f>VLOOKUP($W1291,TBL_Categories,2,FALSE)</f>
        <v>Monthly</v>
      </c>
      <c r="T1291">
        <f>VLOOKUP($W1291,TBL_Categories,3,FALSE)</f>
        <v>0</v>
      </c>
      <c r="U1291" t="str">
        <f>VLOOKUP($W1291,TBL_Categories,4,FALSE)</f>
        <v>No</v>
      </c>
      <c r="V1291" t="str">
        <f>VLOOKUP($W1291,TBL_Categories,5,FALSE)</f>
        <v>None</v>
      </c>
      <c r="W1291" t="str">
        <f t="shared" si="62"/>
        <v>Food &amp; Dining|Restaurants</v>
      </c>
    </row>
    <row r="1292" spans="1:23" x14ac:dyDescent="0.25">
      <c r="A1292" t="s">
        <v>290</v>
      </c>
      <c r="B1292" s="5">
        <v>41758</v>
      </c>
      <c r="C1292">
        <v>-3</v>
      </c>
      <c r="D1292" t="s">
        <v>304</v>
      </c>
      <c r="E1292" t="s">
        <v>889</v>
      </c>
      <c r="G1292" t="s">
        <v>397</v>
      </c>
      <c r="I1292" t="s">
        <v>272</v>
      </c>
      <c r="K1292" t="s">
        <v>53</v>
      </c>
      <c r="L1292" t="s">
        <v>1562</v>
      </c>
      <c r="Q1292" t="str">
        <f t="shared" si="60"/>
        <v>Apr</v>
      </c>
      <c r="R1292">
        <f t="shared" si="61"/>
        <v>2014</v>
      </c>
      <c r="S1292" t="str">
        <f>VLOOKUP($W1292,TBL_Categories,2,FALSE)</f>
        <v>Monthly</v>
      </c>
      <c r="T1292">
        <f>VLOOKUP($W1292,TBL_Categories,3,FALSE)</f>
        <v>0</v>
      </c>
      <c r="U1292" t="str">
        <f>VLOOKUP($W1292,TBL_Categories,4,FALSE)</f>
        <v>No</v>
      </c>
      <c r="V1292" t="str">
        <f>VLOOKUP($W1292,TBL_Categories,5,FALSE)</f>
        <v>None</v>
      </c>
      <c r="W1292" t="str">
        <f t="shared" si="62"/>
        <v>Bank Fees &amp; Charges|ATM Fee</v>
      </c>
    </row>
    <row r="1293" spans="1:23" x14ac:dyDescent="0.25">
      <c r="A1293" t="s">
        <v>290</v>
      </c>
      <c r="B1293" s="5">
        <v>41758</v>
      </c>
      <c r="C1293">
        <v>-5.17</v>
      </c>
      <c r="D1293" t="s">
        <v>304</v>
      </c>
      <c r="E1293" t="s">
        <v>889</v>
      </c>
      <c r="F1293" t="s">
        <v>891</v>
      </c>
      <c r="G1293" t="s">
        <v>342</v>
      </c>
      <c r="I1293" t="s">
        <v>272</v>
      </c>
      <c r="K1293" t="s">
        <v>61</v>
      </c>
      <c r="L1293" t="s">
        <v>401</v>
      </c>
      <c r="Q1293" t="str">
        <f t="shared" si="60"/>
        <v>Apr</v>
      </c>
      <c r="R1293">
        <f t="shared" si="61"/>
        <v>2014</v>
      </c>
      <c r="S1293" t="str">
        <f>VLOOKUP($W1293,TBL_Categories,2,FALSE)</f>
        <v>Monthly</v>
      </c>
      <c r="T1293">
        <f>VLOOKUP($W1293,TBL_Categories,3,FALSE)</f>
        <v>0</v>
      </c>
      <c r="U1293" t="str">
        <f>VLOOKUP($W1293,TBL_Categories,4,FALSE)</f>
        <v>No</v>
      </c>
      <c r="V1293" t="str">
        <f>VLOOKUP($W1293,TBL_Categories,5,FALSE)</f>
        <v>None</v>
      </c>
      <c r="W1293" t="str">
        <f t="shared" si="62"/>
        <v>Food &amp; Dining|Groceries</v>
      </c>
    </row>
    <row r="1294" spans="1:23" x14ac:dyDescent="0.25">
      <c r="A1294" t="s">
        <v>296</v>
      </c>
      <c r="B1294" s="5">
        <v>41758</v>
      </c>
      <c r="C1294">
        <v>-8.65</v>
      </c>
      <c r="D1294" t="s">
        <v>304</v>
      </c>
      <c r="E1294" t="s">
        <v>650</v>
      </c>
      <c r="F1294" t="s">
        <v>937</v>
      </c>
      <c r="G1294" t="s">
        <v>940</v>
      </c>
      <c r="K1294" t="s">
        <v>29</v>
      </c>
      <c r="L1294" t="s">
        <v>1573</v>
      </c>
      <c r="O1294" t="s">
        <v>1598</v>
      </c>
      <c r="Q1294" t="str">
        <f t="shared" si="60"/>
        <v>Apr</v>
      </c>
      <c r="R1294">
        <f t="shared" si="61"/>
        <v>2014</v>
      </c>
      <c r="S1294" t="str">
        <f>VLOOKUP($W1294,TBL_Categories,2,FALSE)</f>
        <v>Irregular</v>
      </c>
      <c r="T1294">
        <f>VLOOKUP($W1294,TBL_Categories,3,FALSE)</f>
        <v>0</v>
      </c>
      <c r="U1294" t="str">
        <f>VLOOKUP($W1294,TBL_Categories,4,FALSE)</f>
        <v>No</v>
      </c>
      <c r="V1294" t="str">
        <f>VLOOKUP($W1294,TBL_Categories,5,FALSE)</f>
        <v>None</v>
      </c>
      <c r="W1294" t="str">
        <f t="shared" si="62"/>
        <v>Work Expense|Reimbursable expense</v>
      </c>
    </row>
    <row r="1295" spans="1:23" x14ac:dyDescent="0.25">
      <c r="A1295" t="s">
        <v>284</v>
      </c>
      <c r="B1295" s="5">
        <v>41757</v>
      </c>
      <c r="C1295">
        <v>-100</v>
      </c>
      <c r="D1295" t="s">
        <v>304</v>
      </c>
      <c r="E1295" t="s">
        <v>781</v>
      </c>
      <c r="F1295" t="s">
        <v>636</v>
      </c>
      <c r="G1295" t="s">
        <v>657</v>
      </c>
      <c r="K1295" t="s">
        <v>657</v>
      </c>
      <c r="Q1295" t="str">
        <f t="shared" si="60"/>
        <v>Apr</v>
      </c>
      <c r="R1295">
        <f t="shared" si="61"/>
        <v>2014</v>
      </c>
      <c r="S1295" t="e">
        <f>VLOOKUP($W1295,TBL_Categories,2,FALSE)</f>
        <v>#N/A</v>
      </c>
      <c r="T1295" t="e">
        <f>VLOOKUP($W1295,TBL_Categories,3,FALSE)</f>
        <v>#N/A</v>
      </c>
      <c r="U1295" t="e">
        <f>VLOOKUP($W1295,TBL_Categories,4,FALSE)</f>
        <v>#N/A</v>
      </c>
      <c r="V1295" t="e">
        <f>VLOOKUP($W1295,TBL_Categories,5,FALSE)</f>
        <v>#N/A</v>
      </c>
      <c r="W1295" t="str">
        <f t="shared" si="62"/>
        <v>[Chase Freedom XX9381]</v>
      </c>
    </row>
    <row r="1296" spans="1:23" x14ac:dyDescent="0.25">
      <c r="A1296" t="s">
        <v>284</v>
      </c>
      <c r="B1296" s="5">
        <v>41757</v>
      </c>
      <c r="C1296">
        <v>-115</v>
      </c>
      <c r="D1296" t="s">
        <v>304</v>
      </c>
      <c r="E1296" t="s">
        <v>325</v>
      </c>
      <c r="F1296" t="s">
        <v>351</v>
      </c>
      <c r="G1296" t="s">
        <v>326</v>
      </c>
      <c r="K1296" t="s">
        <v>63</v>
      </c>
      <c r="L1296" t="s">
        <v>1528</v>
      </c>
      <c r="Q1296" t="str">
        <f t="shared" si="60"/>
        <v>Apr</v>
      </c>
      <c r="R1296">
        <f t="shared" si="61"/>
        <v>2014</v>
      </c>
      <c r="S1296" t="str">
        <f>VLOOKUP($W1296,TBL_Categories,2,FALSE)</f>
        <v>Monthly</v>
      </c>
      <c r="T1296">
        <f>VLOOKUP($W1296,TBL_Categories,3,FALSE)</f>
        <v>0</v>
      </c>
      <c r="U1296" t="str">
        <f>VLOOKUP($W1296,TBL_Categories,4,FALSE)</f>
        <v>No</v>
      </c>
      <c r="V1296" t="str">
        <f>VLOOKUP($W1296,TBL_Categories,5,FALSE)</f>
        <v>None</v>
      </c>
      <c r="W1296" t="str">
        <f t="shared" si="62"/>
        <v>Home|Home Services</v>
      </c>
    </row>
    <row r="1297" spans="1:23" x14ac:dyDescent="0.25">
      <c r="A1297" t="s">
        <v>633</v>
      </c>
      <c r="B1297" s="5">
        <v>41757</v>
      </c>
      <c r="C1297">
        <v>100</v>
      </c>
      <c r="D1297" t="s">
        <v>304</v>
      </c>
      <c r="E1297" t="s">
        <v>822</v>
      </c>
      <c r="G1297" t="s">
        <v>9</v>
      </c>
      <c r="K1297" t="s">
        <v>9</v>
      </c>
      <c r="Q1297" t="str">
        <f t="shared" si="60"/>
        <v>Apr</v>
      </c>
      <c r="R1297">
        <f t="shared" si="61"/>
        <v>2014</v>
      </c>
      <c r="S1297" t="str">
        <f>VLOOKUP($W1297,TBL_Categories,2,FALSE)</f>
        <v>Account</v>
      </c>
      <c r="T1297">
        <f>VLOOKUP($W1297,TBL_Categories,3,FALSE)</f>
        <v>0</v>
      </c>
      <c r="U1297" t="str">
        <f>VLOOKUP($W1297,TBL_Categories,4,FALSE)</f>
        <v>No</v>
      </c>
      <c r="V1297" t="str">
        <f>VLOOKUP($W1297,TBL_Categories,5,FALSE)</f>
        <v>None</v>
      </c>
      <c r="W1297" t="str">
        <f t="shared" si="62"/>
        <v>[First Tech - Checking (5544)]</v>
      </c>
    </row>
    <row r="1298" spans="1:23" x14ac:dyDescent="0.25">
      <c r="A1298" t="s">
        <v>633</v>
      </c>
      <c r="B1298" s="5">
        <v>41757</v>
      </c>
      <c r="C1298">
        <v>-32.44</v>
      </c>
      <c r="D1298" t="s">
        <v>304</v>
      </c>
      <c r="E1298" t="s">
        <v>934</v>
      </c>
      <c r="G1298" t="s">
        <v>333</v>
      </c>
      <c r="K1298" t="s">
        <v>61</v>
      </c>
      <c r="L1298" t="s">
        <v>1530</v>
      </c>
      <c r="Q1298" t="str">
        <f t="shared" si="60"/>
        <v>Apr</v>
      </c>
      <c r="R1298">
        <f t="shared" si="61"/>
        <v>2014</v>
      </c>
      <c r="S1298" t="str">
        <f>VLOOKUP($W1298,TBL_Categories,2,FALSE)</f>
        <v>Monthly</v>
      </c>
      <c r="T1298">
        <f>VLOOKUP($W1298,TBL_Categories,3,FALSE)</f>
        <v>0</v>
      </c>
      <c r="U1298" t="str">
        <f>VLOOKUP($W1298,TBL_Categories,4,FALSE)</f>
        <v>No</v>
      </c>
      <c r="V1298" t="str">
        <f>VLOOKUP($W1298,TBL_Categories,5,FALSE)</f>
        <v>None</v>
      </c>
      <c r="W1298" t="str">
        <f t="shared" si="62"/>
        <v>Food &amp; Dining|Restaurants</v>
      </c>
    </row>
    <row r="1299" spans="1:23" x14ac:dyDescent="0.25">
      <c r="A1299" t="s">
        <v>296</v>
      </c>
      <c r="B1299" s="5">
        <v>41757</v>
      </c>
      <c r="C1299">
        <v>-7.05</v>
      </c>
      <c r="D1299" t="s">
        <v>304</v>
      </c>
      <c r="E1299" t="s">
        <v>451</v>
      </c>
      <c r="F1299" t="s">
        <v>1101</v>
      </c>
      <c r="G1299" t="s">
        <v>345</v>
      </c>
      <c r="K1299" t="s">
        <v>66</v>
      </c>
      <c r="L1299" t="s">
        <v>1536</v>
      </c>
      <c r="Q1299" t="str">
        <f t="shared" si="60"/>
        <v>Apr</v>
      </c>
      <c r="R1299">
        <f t="shared" si="61"/>
        <v>2014</v>
      </c>
      <c r="S1299" t="str">
        <f>VLOOKUP($W1299,TBL_Categories,2,FALSE)</f>
        <v>Monthly</v>
      </c>
      <c r="T1299">
        <f>VLOOKUP($W1299,TBL_Categories,3,FALSE)</f>
        <v>0</v>
      </c>
      <c r="U1299" t="str">
        <f>VLOOKUP($W1299,TBL_Categories,4,FALSE)</f>
        <v>No</v>
      </c>
      <c r="V1299" t="str">
        <f>VLOOKUP($W1299,TBL_Categories,5,FALSE)</f>
        <v>None</v>
      </c>
      <c r="W1299" t="str">
        <f t="shared" si="62"/>
        <v>Kids|Toys</v>
      </c>
    </row>
    <row r="1300" spans="1:23" x14ac:dyDescent="0.25">
      <c r="A1300" t="s">
        <v>296</v>
      </c>
      <c r="B1300" s="5">
        <v>41756</v>
      </c>
      <c r="C1300">
        <v>-3</v>
      </c>
      <c r="D1300" t="s">
        <v>304</v>
      </c>
      <c r="E1300" t="s">
        <v>431</v>
      </c>
      <c r="F1300" t="s">
        <v>562</v>
      </c>
      <c r="G1300" t="s">
        <v>432</v>
      </c>
      <c r="K1300" t="s">
        <v>52</v>
      </c>
      <c r="L1300" t="s">
        <v>1577</v>
      </c>
      <c r="Q1300" t="str">
        <f t="shared" si="60"/>
        <v>Apr</v>
      </c>
      <c r="R1300">
        <f t="shared" si="61"/>
        <v>2014</v>
      </c>
      <c r="S1300" t="str">
        <f>VLOOKUP($W1300,TBL_Categories,2,FALSE)</f>
        <v>Monthly</v>
      </c>
      <c r="T1300">
        <f>VLOOKUP($W1300,TBL_Categories,3,FALSE)</f>
        <v>0</v>
      </c>
      <c r="U1300" t="str">
        <f>VLOOKUP($W1300,TBL_Categories,4,FALSE)</f>
        <v>No</v>
      </c>
      <c r="V1300" t="str">
        <f>VLOOKUP($W1300,TBL_Categories,5,FALSE)</f>
        <v>None</v>
      </c>
      <c r="W1300" t="str">
        <f t="shared" si="62"/>
        <v>Auto &amp; Transport|Parking</v>
      </c>
    </row>
    <row r="1301" spans="1:23" x14ac:dyDescent="0.25">
      <c r="A1301" t="s">
        <v>296</v>
      </c>
      <c r="B1301" s="5">
        <v>41756</v>
      </c>
      <c r="C1301">
        <v>-19</v>
      </c>
      <c r="D1301" t="s">
        <v>304</v>
      </c>
      <c r="E1301" t="s">
        <v>454</v>
      </c>
      <c r="F1301" t="s">
        <v>1100</v>
      </c>
      <c r="G1301" t="s">
        <v>449</v>
      </c>
      <c r="K1301" t="s">
        <v>66</v>
      </c>
      <c r="L1301" t="s">
        <v>1555</v>
      </c>
      <c r="Q1301" t="str">
        <f t="shared" si="60"/>
        <v>Apr</v>
      </c>
      <c r="R1301">
        <f t="shared" si="61"/>
        <v>2014</v>
      </c>
      <c r="S1301" t="str">
        <f>VLOOKUP($W1301,TBL_Categories,2,FALSE)</f>
        <v>Monthly</v>
      </c>
      <c r="T1301">
        <f>VLOOKUP($W1301,TBL_Categories,3,FALSE)</f>
        <v>0</v>
      </c>
      <c r="U1301" t="str">
        <f>VLOOKUP($W1301,TBL_Categories,4,FALSE)</f>
        <v>No</v>
      </c>
      <c r="V1301" t="str">
        <f>VLOOKUP($W1301,TBL_Categories,5,FALSE)</f>
        <v>None</v>
      </c>
      <c r="W1301" t="str">
        <f t="shared" si="62"/>
        <v>Kids|Kids Activities</v>
      </c>
    </row>
    <row r="1302" spans="1:23" x14ac:dyDescent="0.25">
      <c r="A1302" t="s">
        <v>291</v>
      </c>
      <c r="B1302" s="5">
        <v>41755</v>
      </c>
      <c r="C1302">
        <v>0</v>
      </c>
      <c r="D1302" t="s">
        <v>304</v>
      </c>
      <c r="E1302" t="s">
        <v>308</v>
      </c>
      <c r="G1302" t="s">
        <v>15</v>
      </c>
      <c r="K1302" t="s">
        <v>15</v>
      </c>
      <c r="Q1302" t="str">
        <f t="shared" si="60"/>
        <v>Apr</v>
      </c>
      <c r="R1302">
        <f t="shared" si="61"/>
        <v>2014</v>
      </c>
      <c r="S1302" t="str">
        <f>VLOOKUP($W1302,TBL_Categories,2,FALSE)</f>
        <v>Account</v>
      </c>
      <c r="T1302">
        <f>VLOOKUP($W1302,TBL_Categories,3,FALSE)</f>
        <v>0</v>
      </c>
      <c r="U1302" t="str">
        <f>VLOOKUP($W1302,TBL_Categories,4,FALSE)</f>
        <v>No</v>
      </c>
      <c r="V1302" t="str">
        <f>VLOOKUP($W1302,TBL_Categories,5,FALSE)</f>
        <v>None</v>
      </c>
      <c r="W1302" t="str">
        <f t="shared" si="62"/>
        <v>[American Express (Costco)]</v>
      </c>
    </row>
    <row r="1303" spans="1:23" x14ac:dyDescent="0.25">
      <c r="A1303" t="s">
        <v>296</v>
      </c>
      <c r="B1303" s="5">
        <v>41755</v>
      </c>
      <c r="C1303">
        <v>-99.29</v>
      </c>
      <c r="D1303" t="s">
        <v>304</v>
      </c>
      <c r="E1303" t="s">
        <v>433</v>
      </c>
      <c r="F1303" t="s">
        <v>475</v>
      </c>
      <c r="G1303" t="s">
        <v>887</v>
      </c>
      <c r="J1303" t="s">
        <v>1550</v>
      </c>
      <c r="K1303" t="s">
        <v>61</v>
      </c>
      <c r="L1303" t="s">
        <v>401</v>
      </c>
      <c r="Q1303" t="str">
        <f t="shared" si="60"/>
        <v>Apr</v>
      </c>
      <c r="R1303">
        <f t="shared" si="61"/>
        <v>2014</v>
      </c>
      <c r="S1303" t="str">
        <f>VLOOKUP($W1303,TBL_Categories,2,FALSE)</f>
        <v>Monthly</v>
      </c>
      <c r="T1303">
        <f>VLOOKUP($W1303,TBL_Categories,3,FALSE)</f>
        <v>0</v>
      </c>
      <c r="U1303" t="str">
        <f>VLOOKUP($W1303,TBL_Categories,4,FALSE)</f>
        <v>No</v>
      </c>
      <c r="V1303" t="str">
        <f>VLOOKUP($W1303,TBL_Categories,5,FALSE)</f>
        <v>None</v>
      </c>
      <c r="W1303" t="str">
        <f t="shared" si="62"/>
        <v>Food &amp; Dining|Groceries</v>
      </c>
    </row>
    <row r="1304" spans="1:23" x14ac:dyDescent="0.25">
      <c r="A1304" t="s">
        <v>284</v>
      </c>
      <c r="B1304" s="5">
        <v>41754</v>
      </c>
      <c r="C1304">
        <v>-90</v>
      </c>
      <c r="D1304" t="s">
        <v>304</v>
      </c>
      <c r="E1304" t="s">
        <v>348</v>
      </c>
      <c r="F1304" t="s">
        <v>334</v>
      </c>
      <c r="G1304" t="s">
        <v>322</v>
      </c>
      <c r="H1304">
        <v>2130</v>
      </c>
      <c r="K1304" t="s">
        <v>66</v>
      </c>
      <c r="L1304" t="s">
        <v>1527</v>
      </c>
      <c r="Q1304" t="str">
        <f t="shared" si="60"/>
        <v>Apr</v>
      </c>
      <c r="R1304">
        <f t="shared" si="61"/>
        <v>2014</v>
      </c>
      <c r="S1304" t="str">
        <f>VLOOKUP($W1304,TBL_Categories,2,FALSE)</f>
        <v>Monthly</v>
      </c>
      <c r="T1304">
        <f>VLOOKUP($W1304,TBL_Categories,3,FALSE)</f>
        <v>0</v>
      </c>
      <c r="U1304" t="str">
        <f>VLOOKUP($W1304,TBL_Categories,4,FALSE)</f>
        <v>No</v>
      </c>
      <c r="V1304" t="str">
        <f>VLOOKUP($W1304,TBL_Categories,5,FALSE)</f>
        <v>None</v>
      </c>
      <c r="W1304" t="str">
        <f t="shared" si="62"/>
        <v>Kids|Babysitter</v>
      </c>
    </row>
    <row r="1305" spans="1:23" x14ac:dyDescent="0.25">
      <c r="A1305" t="s">
        <v>296</v>
      </c>
      <c r="B1305" s="5">
        <v>41754</v>
      </c>
      <c r="C1305">
        <v>-3.69</v>
      </c>
      <c r="D1305" t="s">
        <v>304</v>
      </c>
      <c r="E1305" t="s">
        <v>424</v>
      </c>
      <c r="F1305" t="s">
        <v>471</v>
      </c>
      <c r="G1305" t="s">
        <v>342</v>
      </c>
      <c r="K1305" t="s">
        <v>61</v>
      </c>
      <c r="L1305" t="s">
        <v>401</v>
      </c>
      <c r="Q1305" t="str">
        <f t="shared" si="60"/>
        <v>Apr</v>
      </c>
      <c r="R1305">
        <f t="shared" si="61"/>
        <v>2014</v>
      </c>
      <c r="S1305" t="str">
        <f>VLOOKUP($W1305,TBL_Categories,2,FALSE)</f>
        <v>Monthly</v>
      </c>
      <c r="T1305">
        <f>VLOOKUP($W1305,TBL_Categories,3,FALSE)</f>
        <v>0</v>
      </c>
      <c r="U1305" t="str">
        <f>VLOOKUP($W1305,TBL_Categories,4,FALSE)</f>
        <v>No</v>
      </c>
      <c r="V1305" t="str">
        <f>VLOOKUP($W1305,TBL_Categories,5,FALSE)</f>
        <v>None</v>
      </c>
      <c r="W1305" t="str">
        <f t="shared" si="62"/>
        <v>Food &amp; Dining|Groceries</v>
      </c>
    </row>
    <row r="1306" spans="1:23" x14ac:dyDescent="0.25">
      <c r="A1306" t="s">
        <v>296</v>
      </c>
      <c r="B1306" s="5">
        <v>41754</v>
      </c>
      <c r="C1306">
        <v>-5.49</v>
      </c>
      <c r="D1306" t="s">
        <v>304</v>
      </c>
      <c r="E1306" t="s">
        <v>426</v>
      </c>
      <c r="F1306" t="s">
        <v>487</v>
      </c>
      <c r="G1306" t="s">
        <v>887</v>
      </c>
      <c r="J1306" t="s">
        <v>1550</v>
      </c>
      <c r="K1306" t="s">
        <v>61</v>
      </c>
      <c r="L1306" t="s">
        <v>401</v>
      </c>
      <c r="Q1306" t="str">
        <f t="shared" si="60"/>
        <v>Apr</v>
      </c>
      <c r="R1306">
        <f t="shared" si="61"/>
        <v>2014</v>
      </c>
      <c r="S1306" t="str">
        <f>VLOOKUP($W1306,TBL_Categories,2,FALSE)</f>
        <v>Monthly</v>
      </c>
      <c r="T1306">
        <f>VLOOKUP($W1306,TBL_Categories,3,FALSE)</f>
        <v>0</v>
      </c>
      <c r="U1306" t="str">
        <f>VLOOKUP($W1306,TBL_Categories,4,FALSE)</f>
        <v>No</v>
      </c>
      <c r="V1306" t="str">
        <f>VLOOKUP($W1306,TBL_Categories,5,FALSE)</f>
        <v>None</v>
      </c>
      <c r="W1306" t="str">
        <f t="shared" si="62"/>
        <v>Food &amp; Dining|Groceries</v>
      </c>
    </row>
    <row r="1307" spans="1:23" x14ac:dyDescent="0.25">
      <c r="A1307" t="s">
        <v>281</v>
      </c>
      <c r="B1307" s="5">
        <v>41753</v>
      </c>
      <c r="C1307">
        <v>20.82</v>
      </c>
      <c r="D1307" t="s">
        <v>304</v>
      </c>
      <c r="E1307" t="s">
        <v>767</v>
      </c>
      <c r="G1307" t="s">
        <v>8</v>
      </c>
      <c r="K1307" t="s">
        <v>8</v>
      </c>
      <c r="Q1307" t="str">
        <f t="shared" si="60"/>
        <v>Apr</v>
      </c>
      <c r="R1307">
        <f t="shared" si="61"/>
        <v>2014</v>
      </c>
      <c r="S1307" t="str">
        <f>VLOOKUP($W1307,TBL_Categories,2,FALSE)</f>
        <v>Monthly</v>
      </c>
      <c r="T1307">
        <f>VLOOKUP($W1307,TBL_Categories,3,FALSE)</f>
        <v>0</v>
      </c>
      <c r="U1307" t="str">
        <f>VLOOKUP($W1307,TBL_Categories,4,FALSE)</f>
        <v>No</v>
      </c>
      <c r="V1307" t="str">
        <f>VLOOKUP($W1307,TBL_Categories,5,FALSE)</f>
        <v>None</v>
      </c>
      <c r="W1307" t="str">
        <f t="shared" si="62"/>
        <v>Interest Income</v>
      </c>
    </row>
    <row r="1308" spans="1:23" x14ac:dyDescent="0.25">
      <c r="A1308" t="s">
        <v>284</v>
      </c>
      <c r="B1308" s="5">
        <v>41753</v>
      </c>
      <c r="C1308">
        <v>216.17</v>
      </c>
      <c r="D1308" t="s">
        <v>304</v>
      </c>
      <c r="E1308" t="s">
        <v>639</v>
      </c>
      <c r="F1308" t="s">
        <v>1668</v>
      </c>
      <c r="G1308" t="s">
        <v>940</v>
      </c>
      <c r="K1308" t="s">
        <v>29</v>
      </c>
      <c r="L1308" t="s">
        <v>1573</v>
      </c>
      <c r="O1308" t="s">
        <v>1671</v>
      </c>
      <c r="Q1308" t="str">
        <f t="shared" si="60"/>
        <v>Apr</v>
      </c>
      <c r="R1308">
        <f t="shared" si="61"/>
        <v>2014</v>
      </c>
      <c r="S1308" t="str">
        <f>VLOOKUP($W1308,TBL_Categories,2,FALSE)</f>
        <v>Irregular</v>
      </c>
      <c r="T1308">
        <f>VLOOKUP($W1308,TBL_Categories,3,FALSE)</f>
        <v>0</v>
      </c>
      <c r="U1308" t="str">
        <f>VLOOKUP($W1308,TBL_Categories,4,FALSE)</f>
        <v>No</v>
      </c>
      <c r="V1308" t="str">
        <f>VLOOKUP($W1308,TBL_Categories,5,FALSE)</f>
        <v>None</v>
      </c>
      <c r="W1308" t="str">
        <f t="shared" si="62"/>
        <v>Work Expense|Reimbursable expense</v>
      </c>
    </row>
    <row r="1309" spans="1:23" x14ac:dyDescent="0.25">
      <c r="A1309" t="s">
        <v>288</v>
      </c>
      <c r="B1309" s="5">
        <v>41753</v>
      </c>
      <c r="C1309" s="4">
        <v>2195</v>
      </c>
      <c r="D1309" t="s">
        <v>304</v>
      </c>
      <c r="E1309" t="s">
        <v>385</v>
      </c>
      <c r="F1309" t="s">
        <v>394</v>
      </c>
      <c r="G1309" t="s">
        <v>390</v>
      </c>
      <c r="J1309">
        <v>9602</v>
      </c>
      <c r="K1309" t="s">
        <v>33</v>
      </c>
      <c r="L1309" t="s">
        <v>1519</v>
      </c>
      <c r="Q1309" t="str">
        <f t="shared" si="60"/>
        <v>Apr</v>
      </c>
      <c r="R1309">
        <f t="shared" si="61"/>
        <v>2014</v>
      </c>
      <c r="S1309" t="str">
        <f>VLOOKUP($W1309,TBL_Categories,2,FALSE)</f>
        <v>Monthly</v>
      </c>
      <c r="T1309">
        <f>VLOOKUP($W1309,TBL_Categories,3,FALSE)</f>
        <v>0</v>
      </c>
      <c r="U1309" t="str">
        <f>VLOOKUP($W1309,TBL_Categories,4,FALSE)</f>
        <v>No</v>
      </c>
      <c r="V1309" t="str">
        <f>VLOOKUP($W1309,TBL_Categories,5,FALSE)</f>
        <v>None</v>
      </c>
      <c r="W1309" t="str">
        <f t="shared" si="62"/>
        <v>Business Income (Koolikai)|Rent</v>
      </c>
    </row>
    <row r="1310" spans="1:23" x14ac:dyDescent="0.25">
      <c r="A1310" t="s">
        <v>288</v>
      </c>
      <c r="B1310" s="5">
        <v>41753</v>
      </c>
      <c r="C1310">
        <v>-146.69999999999999</v>
      </c>
      <c r="D1310" t="s">
        <v>304</v>
      </c>
      <c r="E1310" t="s">
        <v>391</v>
      </c>
      <c r="G1310" t="s">
        <v>31</v>
      </c>
      <c r="K1310" t="s">
        <v>31</v>
      </c>
      <c r="Q1310" t="str">
        <f t="shared" si="60"/>
        <v>Apr</v>
      </c>
      <c r="R1310">
        <f t="shared" si="61"/>
        <v>2014</v>
      </c>
      <c r="S1310" t="str">
        <f>VLOOKUP($W1310,TBL_Categories,2,FALSE)</f>
        <v>Account</v>
      </c>
      <c r="T1310">
        <f>VLOOKUP($W1310,TBL_Categories,3,FALSE)</f>
        <v>0</v>
      </c>
      <c r="U1310" t="str">
        <f>VLOOKUP($W1310,TBL_Categories,4,FALSE)</f>
        <v>No</v>
      </c>
      <c r="V1310" t="str">
        <f>VLOOKUP($W1310,TBL_Categories,5,FALSE)</f>
        <v>None</v>
      </c>
      <c r="W1310" t="str">
        <f t="shared" si="62"/>
        <v>[Koolikai Credit Card]</v>
      </c>
    </row>
    <row r="1311" spans="1:23" x14ac:dyDescent="0.25">
      <c r="A1311" t="s">
        <v>294</v>
      </c>
      <c r="B1311" s="5">
        <v>41753</v>
      </c>
      <c r="C1311">
        <v>146.69999999999999</v>
      </c>
      <c r="D1311" t="s">
        <v>304</v>
      </c>
      <c r="E1311" t="s">
        <v>391</v>
      </c>
      <c r="G1311" t="s">
        <v>24</v>
      </c>
      <c r="K1311" t="s">
        <v>24</v>
      </c>
      <c r="Q1311" t="str">
        <f t="shared" si="60"/>
        <v>Apr</v>
      </c>
      <c r="R1311">
        <f t="shared" si="61"/>
        <v>2014</v>
      </c>
      <c r="S1311" t="str">
        <f>VLOOKUP($W1311,TBL_Categories,2,FALSE)</f>
        <v>Account</v>
      </c>
      <c r="T1311">
        <f>VLOOKUP($W1311,TBL_Categories,3,FALSE)</f>
        <v>0</v>
      </c>
      <c r="U1311" t="str">
        <f>VLOOKUP($W1311,TBL_Categories,4,FALSE)</f>
        <v>No</v>
      </c>
      <c r="V1311" t="str">
        <f>VLOOKUP($W1311,TBL_Categories,5,FALSE)</f>
        <v>None</v>
      </c>
      <c r="W1311" t="str">
        <f t="shared" si="62"/>
        <v>[Koolikai - Checking XX2129]</v>
      </c>
    </row>
    <row r="1312" spans="1:23" x14ac:dyDescent="0.25">
      <c r="A1312" t="s">
        <v>296</v>
      </c>
      <c r="B1312" s="5">
        <v>41753</v>
      </c>
      <c r="C1312">
        <v>-7.62</v>
      </c>
      <c r="D1312" t="s">
        <v>304</v>
      </c>
      <c r="E1312" t="s">
        <v>463</v>
      </c>
      <c r="F1312" t="s">
        <v>1099</v>
      </c>
      <c r="G1312" t="s">
        <v>333</v>
      </c>
      <c r="K1312" t="s">
        <v>61</v>
      </c>
      <c r="L1312" t="s">
        <v>1530</v>
      </c>
      <c r="Q1312" t="str">
        <f t="shared" si="60"/>
        <v>Apr</v>
      </c>
      <c r="R1312">
        <f t="shared" si="61"/>
        <v>2014</v>
      </c>
      <c r="S1312" t="str">
        <f>VLOOKUP($W1312,TBL_Categories,2,FALSE)</f>
        <v>Monthly</v>
      </c>
      <c r="T1312">
        <f>VLOOKUP($W1312,TBL_Categories,3,FALSE)</f>
        <v>0</v>
      </c>
      <c r="U1312" t="str">
        <f>VLOOKUP($W1312,TBL_Categories,4,FALSE)</f>
        <v>No</v>
      </c>
      <c r="V1312" t="str">
        <f>VLOOKUP($W1312,TBL_Categories,5,FALSE)</f>
        <v>None</v>
      </c>
      <c r="W1312" t="str">
        <f t="shared" si="62"/>
        <v>Food &amp; Dining|Restaurants</v>
      </c>
    </row>
    <row r="1313" spans="1:23" x14ac:dyDescent="0.25">
      <c r="A1313" t="s">
        <v>284</v>
      </c>
      <c r="B1313" s="5">
        <v>41752</v>
      </c>
      <c r="C1313">
        <v>-183.85</v>
      </c>
      <c r="D1313" t="s">
        <v>304</v>
      </c>
      <c r="E1313" t="s">
        <v>352</v>
      </c>
      <c r="F1313" t="s">
        <v>353</v>
      </c>
      <c r="G1313" t="s">
        <v>354</v>
      </c>
      <c r="K1313" t="s">
        <v>52</v>
      </c>
      <c r="L1313" t="s">
        <v>1544</v>
      </c>
      <c r="Q1313" t="str">
        <f t="shared" si="60"/>
        <v>Apr</v>
      </c>
      <c r="R1313">
        <f t="shared" si="61"/>
        <v>2014</v>
      </c>
      <c r="S1313" t="str">
        <f>VLOOKUP($W1313,TBL_Categories,2,FALSE)</f>
        <v>Monthly</v>
      </c>
      <c r="T1313">
        <f>VLOOKUP($W1313,TBL_Categories,3,FALSE)</f>
        <v>0</v>
      </c>
      <c r="U1313" t="str">
        <f>VLOOKUP($W1313,TBL_Categories,4,FALSE)</f>
        <v>No</v>
      </c>
      <c r="V1313" t="str">
        <f>VLOOKUP($W1313,TBL_Categories,5,FALSE)</f>
        <v>None</v>
      </c>
      <c r="W1313" t="str">
        <f t="shared" si="62"/>
        <v>Auto &amp; Transport|Auto Lease Payment</v>
      </c>
    </row>
    <row r="1314" spans="1:23" x14ac:dyDescent="0.25">
      <c r="A1314" t="s">
        <v>284</v>
      </c>
      <c r="B1314" s="5">
        <v>41752</v>
      </c>
      <c r="C1314">
        <v>-185.36</v>
      </c>
      <c r="D1314" t="s">
        <v>304</v>
      </c>
      <c r="E1314" t="s">
        <v>780</v>
      </c>
      <c r="F1314" t="s">
        <v>330</v>
      </c>
      <c r="G1314" t="s">
        <v>15</v>
      </c>
      <c r="K1314" t="s">
        <v>15</v>
      </c>
      <c r="Q1314" t="str">
        <f t="shared" si="60"/>
        <v>Apr</v>
      </c>
      <c r="R1314">
        <f t="shared" si="61"/>
        <v>2014</v>
      </c>
      <c r="S1314" t="str">
        <f>VLOOKUP($W1314,TBL_Categories,2,FALSE)</f>
        <v>Account</v>
      </c>
      <c r="T1314">
        <f>VLOOKUP($W1314,TBL_Categories,3,FALSE)</f>
        <v>0</v>
      </c>
      <c r="U1314" t="str">
        <f>VLOOKUP($W1314,TBL_Categories,4,FALSE)</f>
        <v>No</v>
      </c>
      <c r="V1314" t="str">
        <f>VLOOKUP($W1314,TBL_Categories,5,FALSE)</f>
        <v>None</v>
      </c>
      <c r="W1314" t="str">
        <f t="shared" si="62"/>
        <v>[American Express (Costco)]</v>
      </c>
    </row>
    <row r="1315" spans="1:23" x14ac:dyDescent="0.25">
      <c r="A1315" t="s">
        <v>296</v>
      </c>
      <c r="B1315" s="5">
        <v>41752</v>
      </c>
      <c r="C1315">
        <v>25</v>
      </c>
      <c r="D1315" t="s">
        <v>304</v>
      </c>
      <c r="E1315" t="s">
        <v>429</v>
      </c>
      <c r="G1315" t="s">
        <v>14</v>
      </c>
      <c r="K1315" t="s">
        <v>14</v>
      </c>
      <c r="Q1315" t="str">
        <f t="shared" si="60"/>
        <v>Apr</v>
      </c>
      <c r="R1315">
        <f t="shared" si="61"/>
        <v>2014</v>
      </c>
      <c r="S1315" t="str">
        <f>VLOOKUP($W1315,TBL_Categories,2,FALSE)</f>
        <v>Monthly</v>
      </c>
      <c r="T1315">
        <f>VLOOKUP($W1315,TBL_Categories,3,FALSE)</f>
        <v>0</v>
      </c>
      <c r="U1315" t="str">
        <f>VLOOKUP($W1315,TBL_Categories,4,FALSE)</f>
        <v>No</v>
      </c>
      <c r="V1315" t="str">
        <f>VLOOKUP($W1315,TBL_Categories,5,FALSE)</f>
        <v>None</v>
      </c>
      <c r="W1315" t="str">
        <f t="shared" si="62"/>
        <v>Other Inc</v>
      </c>
    </row>
    <row r="1316" spans="1:23" x14ac:dyDescent="0.25">
      <c r="A1316" t="s">
        <v>291</v>
      </c>
      <c r="B1316" s="5">
        <v>41751</v>
      </c>
      <c r="C1316">
        <v>185.36</v>
      </c>
      <c r="D1316" t="s">
        <v>304</v>
      </c>
      <c r="E1316" t="s">
        <v>921</v>
      </c>
      <c r="G1316" t="s">
        <v>9</v>
      </c>
      <c r="K1316" t="s">
        <v>9</v>
      </c>
      <c r="Q1316" t="str">
        <f t="shared" si="60"/>
        <v>Apr</v>
      </c>
      <c r="R1316">
        <f t="shared" si="61"/>
        <v>2014</v>
      </c>
      <c r="S1316" t="str">
        <f>VLOOKUP($W1316,TBL_Categories,2,FALSE)</f>
        <v>Account</v>
      </c>
      <c r="T1316">
        <f>VLOOKUP($W1316,TBL_Categories,3,FALSE)</f>
        <v>0</v>
      </c>
      <c r="U1316" t="str">
        <f>VLOOKUP($W1316,TBL_Categories,4,FALSE)</f>
        <v>No</v>
      </c>
      <c r="V1316" t="str">
        <f>VLOOKUP($W1316,TBL_Categories,5,FALSE)</f>
        <v>None</v>
      </c>
      <c r="W1316" t="str">
        <f t="shared" si="62"/>
        <v>[First Tech - Checking (5544)]</v>
      </c>
    </row>
    <row r="1317" spans="1:23" x14ac:dyDescent="0.25">
      <c r="A1317" t="s">
        <v>633</v>
      </c>
      <c r="B1317" s="5">
        <v>41751</v>
      </c>
      <c r="C1317">
        <v>-45.28</v>
      </c>
      <c r="D1317" t="s">
        <v>304</v>
      </c>
      <c r="E1317" t="s">
        <v>716</v>
      </c>
      <c r="G1317" t="s">
        <v>333</v>
      </c>
      <c r="K1317" t="s">
        <v>61</v>
      </c>
      <c r="L1317" t="s">
        <v>1530</v>
      </c>
      <c r="Q1317" t="str">
        <f t="shared" si="60"/>
        <v>Apr</v>
      </c>
      <c r="R1317">
        <f t="shared" si="61"/>
        <v>2014</v>
      </c>
      <c r="S1317" t="str">
        <f>VLOOKUP($W1317,TBL_Categories,2,FALSE)</f>
        <v>Monthly</v>
      </c>
      <c r="T1317">
        <f>VLOOKUP($W1317,TBL_Categories,3,FALSE)</f>
        <v>0</v>
      </c>
      <c r="U1317" t="str">
        <f>VLOOKUP($W1317,TBL_Categories,4,FALSE)</f>
        <v>No</v>
      </c>
      <c r="V1317" t="str">
        <f>VLOOKUP($W1317,TBL_Categories,5,FALSE)</f>
        <v>None</v>
      </c>
      <c r="W1317" t="str">
        <f t="shared" si="62"/>
        <v>Food &amp; Dining|Restaurants</v>
      </c>
    </row>
    <row r="1318" spans="1:23" x14ac:dyDescent="0.25">
      <c r="A1318" t="s">
        <v>296</v>
      </c>
      <c r="B1318" s="5">
        <v>41751</v>
      </c>
      <c r="C1318">
        <v>-8.98</v>
      </c>
      <c r="D1318" t="s">
        <v>304</v>
      </c>
      <c r="E1318" t="s">
        <v>433</v>
      </c>
      <c r="F1318" t="s">
        <v>475</v>
      </c>
      <c r="G1318" t="s">
        <v>887</v>
      </c>
      <c r="J1318" t="s">
        <v>1550</v>
      </c>
      <c r="K1318" t="s">
        <v>61</v>
      </c>
      <c r="L1318" t="s">
        <v>401</v>
      </c>
      <c r="Q1318" t="str">
        <f t="shared" si="60"/>
        <v>Apr</v>
      </c>
      <c r="R1318">
        <f t="shared" si="61"/>
        <v>2014</v>
      </c>
      <c r="S1318" t="str">
        <f>VLOOKUP($W1318,TBL_Categories,2,FALSE)</f>
        <v>Monthly</v>
      </c>
      <c r="T1318">
        <f>VLOOKUP($W1318,TBL_Categories,3,FALSE)</f>
        <v>0</v>
      </c>
      <c r="U1318" t="str">
        <f>VLOOKUP($W1318,TBL_Categories,4,FALSE)</f>
        <v>No</v>
      </c>
      <c r="V1318" t="str">
        <f>VLOOKUP($W1318,TBL_Categories,5,FALSE)</f>
        <v>None</v>
      </c>
      <c r="W1318" t="str">
        <f t="shared" si="62"/>
        <v>Food &amp; Dining|Groceries</v>
      </c>
    </row>
    <row r="1319" spans="1:23" x14ac:dyDescent="0.25">
      <c r="A1319" t="s">
        <v>284</v>
      </c>
      <c r="B1319" s="5">
        <v>41750</v>
      </c>
      <c r="C1319" s="4">
        <v>-1000</v>
      </c>
      <c r="D1319" t="s">
        <v>304</v>
      </c>
      <c r="E1319" t="s">
        <v>778</v>
      </c>
      <c r="G1319" t="s">
        <v>581</v>
      </c>
      <c r="H1319">
        <v>2128</v>
      </c>
      <c r="K1319" t="s">
        <v>55</v>
      </c>
      <c r="L1319" t="s">
        <v>1520</v>
      </c>
      <c r="Q1319" t="str">
        <f t="shared" si="60"/>
        <v>Apr</v>
      </c>
      <c r="R1319">
        <f t="shared" si="61"/>
        <v>2014</v>
      </c>
      <c r="S1319" t="str">
        <f>VLOOKUP($W1319,TBL_Categories,2,FALSE)</f>
        <v>Irregular</v>
      </c>
      <c r="T1319">
        <f>VLOOKUP($W1319,TBL_Categories,3,FALSE)</f>
        <v>0</v>
      </c>
      <c r="U1319" t="str">
        <f>VLOOKUP($W1319,TBL_Categories,4,FALSE)</f>
        <v>No</v>
      </c>
      <c r="V1319" t="str">
        <f>VLOOKUP($W1319,TBL_Categories,5,FALSE)</f>
        <v>None</v>
      </c>
      <c r="W1319" t="str">
        <f t="shared" si="62"/>
        <v>Business Expenses (Koolikai)|Security Deposit</v>
      </c>
    </row>
    <row r="1320" spans="1:23" x14ac:dyDescent="0.25">
      <c r="A1320" t="s">
        <v>284</v>
      </c>
      <c r="B1320" s="5">
        <v>41750</v>
      </c>
      <c r="C1320" s="4">
        <v>-2100</v>
      </c>
      <c r="D1320" t="s">
        <v>304</v>
      </c>
      <c r="E1320" t="s">
        <v>778</v>
      </c>
      <c r="G1320" t="s">
        <v>779</v>
      </c>
      <c r="H1320">
        <v>2129</v>
      </c>
      <c r="K1320" t="s">
        <v>55</v>
      </c>
      <c r="L1320" t="s">
        <v>1519</v>
      </c>
      <c r="Q1320" t="str">
        <f t="shared" si="60"/>
        <v>Apr</v>
      </c>
      <c r="R1320">
        <f t="shared" si="61"/>
        <v>2014</v>
      </c>
      <c r="S1320" t="e">
        <f>VLOOKUP($W1320,TBL_Categories,2,FALSE)</f>
        <v>#N/A</v>
      </c>
      <c r="T1320" t="e">
        <f>VLOOKUP($W1320,TBL_Categories,3,FALSE)</f>
        <v>#N/A</v>
      </c>
      <c r="U1320" t="e">
        <f>VLOOKUP($W1320,TBL_Categories,4,FALSE)</f>
        <v>#N/A</v>
      </c>
      <c r="V1320" t="e">
        <f>VLOOKUP($W1320,TBL_Categories,5,FALSE)</f>
        <v>#N/A</v>
      </c>
      <c r="W1320" t="str">
        <f t="shared" si="62"/>
        <v>Business Expenses (Koolikai)|Rent</v>
      </c>
    </row>
    <row r="1321" spans="1:23" x14ac:dyDescent="0.25">
      <c r="A1321" t="s">
        <v>633</v>
      </c>
      <c r="B1321" s="5">
        <v>41750</v>
      </c>
      <c r="C1321">
        <v>-48.21</v>
      </c>
      <c r="D1321" t="s">
        <v>304</v>
      </c>
      <c r="E1321" t="s">
        <v>654</v>
      </c>
      <c r="G1321" t="s">
        <v>409</v>
      </c>
      <c r="K1321" t="s">
        <v>52</v>
      </c>
      <c r="L1321" t="s">
        <v>1568</v>
      </c>
      <c r="Q1321" t="str">
        <f t="shared" si="60"/>
        <v>Apr</v>
      </c>
      <c r="R1321">
        <f t="shared" si="61"/>
        <v>2014</v>
      </c>
      <c r="S1321" t="str">
        <f>VLOOKUP($W1321,TBL_Categories,2,FALSE)</f>
        <v>Monthly</v>
      </c>
      <c r="T1321">
        <f>VLOOKUP($W1321,TBL_Categories,3,FALSE)</f>
        <v>0</v>
      </c>
      <c r="U1321" t="str">
        <f>VLOOKUP($W1321,TBL_Categories,4,FALSE)</f>
        <v>No</v>
      </c>
      <c r="V1321" t="str">
        <f>VLOOKUP($W1321,TBL_Categories,5,FALSE)</f>
        <v>None</v>
      </c>
      <c r="W1321" t="str">
        <f t="shared" si="62"/>
        <v>Auto &amp; Transport|Gas &amp; Fuel</v>
      </c>
    </row>
    <row r="1322" spans="1:23" x14ac:dyDescent="0.25">
      <c r="A1322" t="s">
        <v>296</v>
      </c>
      <c r="B1322" s="5">
        <v>41749</v>
      </c>
      <c r="C1322">
        <v>-2.99</v>
      </c>
      <c r="D1322" t="s">
        <v>304</v>
      </c>
      <c r="E1322" t="s">
        <v>428</v>
      </c>
      <c r="F1322" t="s">
        <v>472</v>
      </c>
      <c r="G1322" t="s">
        <v>342</v>
      </c>
      <c r="K1322" t="s">
        <v>61</v>
      </c>
      <c r="L1322" t="s">
        <v>401</v>
      </c>
      <c r="Q1322" t="str">
        <f t="shared" si="60"/>
        <v>Apr</v>
      </c>
      <c r="R1322">
        <f t="shared" si="61"/>
        <v>2014</v>
      </c>
      <c r="S1322" t="str">
        <f>VLOOKUP($W1322,TBL_Categories,2,FALSE)</f>
        <v>Monthly</v>
      </c>
      <c r="T1322">
        <f>VLOOKUP($W1322,TBL_Categories,3,FALSE)</f>
        <v>0</v>
      </c>
      <c r="U1322" t="str">
        <f>VLOOKUP($W1322,TBL_Categories,4,FALSE)</f>
        <v>No</v>
      </c>
      <c r="V1322" t="str">
        <f>VLOOKUP($W1322,TBL_Categories,5,FALSE)</f>
        <v>None</v>
      </c>
      <c r="W1322" t="str">
        <f t="shared" si="62"/>
        <v>Food &amp; Dining|Groceries</v>
      </c>
    </row>
    <row r="1323" spans="1:23" x14ac:dyDescent="0.25">
      <c r="A1323" t="s">
        <v>296</v>
      </c>
      <c r="B1323" s="5">
        <v>41749</v>
      </c>
      <c r="C1323">
        <v>-121.53</v>
      </c>
      <c r="D1323" t="s">
        <v>304</v>
      </c>
      <c r="E1323" t="s">
        <v>706</v>
      </c>
      <c r="F1323" t="s">
        <v>1098</v>
      </c>
      <c r="G1323" t="s">
        <v>1051</v>
      </c>
      <c r="J1323" t="s">
        <v>1550</v>
      </c>
      <c r="K1323" t="s">
        <v>52</v>
      </c>
      <c r="L1323" t="s">
        <v>1586</v>
      </c>
      <c r="Q1323" t="str">
        <f t="shared" si="60"/>
        <v>Apr</v>
      </c>
      <c r="R1323">
        <f t="shared" si="61"/>
        <v>2014</v>
      </c>
      <c r="S1323" t="str">
        <f>VLOOKUP($W1323,TBL_Categories,2,FALSE)</f>
        <v>Unplanned</v>
      </c>
      <c r="T1323">
        <f>VLOOKUP($W1323,TBL_Categories,3,FALSE)</f>
        <v>0</v>
      </c>
      <c r="U1323" t="str">
        <f>VLOOKUP($W1323,TBL_Categories,4,FALSE)</f>
        <v>No</v>
      </c>
      <c r="V1323" t="str">
        <f>VLOOKUP($W1323,TBL_Categories,5,FALSE)</f>
        <v>None</v>
      </c>
      <c r="W1323" t="str">
        <f t="shared" si="62"/>
        <v>Auto &amp; Transport|Service &amp; Parts</v>
      </c>
    </row>
    <row r="1324" spans="1:23" x14ac:dyDescent="0.25">
      <c r="A1324" t="s">
        <v>284</v>
      </c>
      <c r="B1324" s="5">
        <v>41748</v>
      </c>
      <c r="C1324">
        <v>145.35</v>
      </c>
      <c r="D1324" t="s">
        <v>304</v>
      </c>
      <c r="E1324" t="s">
        <v>639</v>
      </c>
      <c r="F1324" t="s">
        <v>394</v>
      </c>
      <c r="G1324" t="s">
        <v>588</v>
      </c>
      <c r="I1324" t="s">
        <v>272</v>
      </c>
      <c r="K1324" t="s">
        <v>66</v>
      </c>
      <c r="L1324" t="s">
        <v>1537</v>
      </c>
      <c r="Q1324" t="str">
        <f t="shared" si="60"/>
        <v>Apr</v>
      </c>
      <c r="R1324">
        <f t="shared" si="61"/>
        <v>2014</v>
      </c>
      <c r="S1324" t="str">
        <f>VLOOKUP($W1324,TBL_Categories,2,FALSE)</f>
        <v>Monthly</v>
      </c>
      <c r="T1324">
        <f>VLOOKUP($W1324,TBL_Categories,3,FALSE)</f>
        <v>0</v>
      </c>
      <c r="U1324" t="str">
        <f>VLOOKUP($W1324,TBL_Categories,4,FALSE)</f>
        <v>No</v>
      </c>
      <c r="V1324" t="str">
        <f>VLOOKUP($W1324,TBL_Categories,5,FALSE)</f>
        <v>None</v>
      </c>
      <c r="W1324" t="str">
        <f t="shared" si="62"/>
        <v>Kids|Clothing</v>
      </c>
    </row>
    <row r="1325" spans="1:23" x14ac:dyDescent="0.25">
      <c r="A1325" t="s">
        <v>284</v>
      </c>
      <c r="B1325" s="5">
        <v>41748</v>
      </c>
      <c r="C1325">
        <v>145.35</v>
      </c>
      <c r="D1325" t="s">
        <v>304</v>
      </c>
      <c r="E1325" t="s">
        <v>639</v>
      </c>
      <c r="G1325" t="s">
        <v>345</v>
      </c>
      <c r="I1325" t="s">
        <v>272</v>
      </c>
      <c r="K1325" t="s">
        <v>66</v>
      </c>
      <c r="L1325" t="s">
        <v>1536</v>
      </c>
      <c r="Q1325" t="str">
        <f t="shared" si="60"/>
        <v>Apr</v>
      </c>
      <c r="R1325">
        <f t="shared" si="61"/>
        <v>2014</v>
      </c>
      <c r="S1325" t="str">
        <f>VLOOKUP($W1325,TBL_Categories,2,FALSE)</f>
        <v>Monthly</v>
      </c>
      <c r="T1325">
        <f>VLOOKUP($W1325,TBL_Categories,3,FALSE)</f>
        <v>0</v>
      </c>
      <c r="U1325" t="str">
        <f>VLOOKUP($W1325,TBL_Categories,4,FALSE)</f>
        <v>No</v>
      </c>
      <c r="V1325" t="str">
        <f>VLOOKUP($W1325,TBL_Categories,5,FALSE)</f>
        <v>None</v>
      </c>
      <c r="W1325" t="str">
        <f t="shared" si="62"/>
        <v>Kids|Toys</v>
      </c>
    </row>
    <row r="1326" spans="1:23" x14ac:dyDescent="0.25">
      <c r="A1326" t="s">
        <v>296</v>
      </c>
      <c r="B1326" s="5">
        <v>41748</v>
      </c>
      <c r="C1326">
        <v>-3.1</v>
      </c>
      <c r="D1326" t="s">
        <v>304</v>
      </c>
      <c r="E1326" t="s">
        <v>453</v>
      </c>
      <c r="F1326" t="s">
        <v>474</v>
      </c>
      <c r="G1326" t="s">
        <v>432</v>
      </c>
      <c r="K1326" t="s">
        <v>52</v>
      </c>
      <c r="L1326" t="s">
        <v>1577</v>
      </c>
      <c r="Q1326" t="str">
        <f t="shared" si="60"/>
        <v>Apr</v>
      </c>
      <c r="R1326">
        <f t="shared" si="61"/>
        <v>2014</v>
      </c>
      <c r="S1326" t="str">
        <f>VLOOKUP($W1326,TBL_Categories,2,FALSE)</f>
        <v>Monthly</v>
      </c>
      <c r="T1326">
        <f>VLOOKUP($W1326,TBL_Categories,3,FALSE)</f>
        <v>0</v>
      </c>
      <c r="U1326" t="str">
        <f>VLOOKUP($W1326,TBL_Categories,4,FALSE)</f>
        <v>No</v>
      </c>
      <c r="V1326" t="str">
        <f>VLOOKUP($W1326,TBL_Categories,5,FALSE)</f>
        <v>None</v>
      </c>
      <c r="W1326" t="str">
        <f t="shared" si="62"/>
        <v>Auto &amp; Transport|Parking</v>
      </c>
    </row>
    <row r="1327" spans="1:23" x14ac:dyDescent="0.25">
      <c r="A1327" t="s">
        <v>296</v>
      </c>
      <c r="B1327" s="5">
        <v>41748</v>
      </c>
      <c r="C1327">
        <v>-36</v>
      </c>
      <c r="D1327" t="s">
        <v>304</v>
      </c>
      <c r="E1327" t="s">
        <v>662</v>
      </c>
      <c r="F1327" t="s">
        <v>1085</v>
      </c>
      <c r="G1327" t="s">
        <v>316</v>
      </c>
      <c r="K1327" t="s">
        <v>66</v>
      </c>
      <c r="L1327" t="s">
        <v>1522</v>
      </c>
      <c r="Q1327" t="str">
        <f t="shared" si="60"/>
        <v>Apr</v>
      </c>
      <c r="R1327">
        <f t="shared" si="61"/>
        <v>2014</v>
      </c>
      <c r="S1327" t="str">
        <f>VLOOKUP($W1327,TBL_Categories,2,FALSE)</f>
        <v>Monthly</v>
      </c>
      <c r="T1327">
        <f>VLOOKUP($W1327,TBL_Categories,3,FALSE)</f>
        <v>0</v>
      </c>
      <c r="U1327" t="str">
        <f>VLOOKUP($W1327,TBL_Categories,4,FALSE)</f>
        <v>No</v>
      </c>
      <c r="V1327" t="str">
        <f>VLOOKUP($W1327,TBL_Categories,5,FALSE)</f>
        <v>None</v>
      </c>
      <c r="W1327" t="str">
        <f t="shared" si="62"/>
        <v>Kids|Daycare</v>
      </c>
    </row>
    <row r="1328" spans="1:23" x14ac:dyDescent="0.25">
      <c r="A1328" t="s">
        <v>296</v>
      </c>
      <c r="B1328" s="5">
        <v>41748</v>
      </c>
      <c r="C1328">
        <v>-53</v>
      </c>
      <c r="D1328" t="s">
        <v>304</v>
      </c>
      <c r="E1328" t="s">
        <v>991</v>
      </c>
      <c r="F1328" t="s">
        <v>1096</v>
      </c>
      <c r="G1328" t="s">
        <v>398</v>
      </c>
      <c r="K1328" t="s">
        <v>70</v>
      </c>
      <c r="L1328" t="s">
        <v>1563</v>
      </c>
      <c r="Q1328" t="str">
        <f t="shared" si="60"/>
        <v>Apr</v>
      </c>
      <c r="R1328">
        <f t="shared" si="61"/>
        <v>2014</v>
      </c>
      <c r="S1328" t="str">
        <f>VLOOKUP($W1328,TBL_Categories,2,FALSE)</f>
        <v>Monthly</v>
      </c>
      <c r="T1328">
        <f>VLOOKUP($W1328,TBL_Categories,3,FALSE)</f>
        <v>0</v>
      </c>
      <c r="U1328" t="str">
        <f>VLOOKUP($W1328,TBL_Categories,4,FALSE)</f>
        <v>No</v>
      </c>
      <c r="V1328" t="str">
        <f>VLOOKUP($W1328,TBL_Categories,5,FALSE)</f>
        <v>None</v>
      </c>
      <c r="W1328" t="str">
        <f t="shared" si="62"/>
        <v>Personal Care|Hair</v>
      </c>
    </row>
    <row r="1329" spans="1:23" x14ac:dyDescent="0.25">
      <c r="A1329" t="s">
        <v>296</v>
      </c>
      <c r="B1329" s="5">
        <v>41748</v>
      </c>
      <c r="C1329">
        <v>-2</v>
      </c>
      <c r="D1329" t="s">
        <v>304</v>
      </c>
      <c r="E1329" t="s">
        <v>433</v>
      </c>
      <c r="F1329" t="s">
        <v>1097</v>
      </c>
      <c r="G1329" t="s">
        <v>1020</v>
      </c>
      <c r="I1329" t="s">
        <v>272</v>
      </c>
      <c r="J1329" t="s">
        <v>1550</v>
      </c>
      <c r="K1329" t="s">
        <v>66</v>
      </c>
      <c r="L1329" t="s">
        <v>1536</v>
      </c>
      <c r="Q1329" t="str">
        <f t="shared" si="60"/>
        <v>Apr</v>
      </c>
      <c r="R1329">
        <f t="shared" si="61"/>
        <v>2014</v>
      </c>
      <c r="S1329" t="str">
        <f>VLOOKUP($W1329,TBL_Categories,2,FALSE)</f>
        <v>Monthly</v>
      </c>
      <c r="T1329">
        <f>VLOOKUP($W1329,TBL_Categories,3,FALSE)</f>
        <v>0</v>
      </c>
      <c r="U1329" t="str">
        <f>VLOOKUP($W1329,TBL_Categories,4,FALSE)</f>
        <v>No</v>
      </c>
      <c r="V1329" t="str">
        <f>VLOOKUP($W1329,TBL_Categories,5,FALSE)</f>
        <v>None</v>
      </c>
      <c r="W1329" t="str">
        <f t="shared" si="62"/>
        <v>Kids|Toys</v>
      </c>
    </row>
    <row r="1330" spans="1:23" x14ac:dyDescent="0.25">
      <c r="A1330" t="s">
        <v>296</v>
      </c>
      <c r="B1330" s="5">
        <v>41748</v>
      </c>
      <c r="C1330">
        <v>-113.57</v>
      </c>
      <c r="D1330" t="s">
        <v>304</v>
      </c>
      <c r="E1330" t="s">
        <v>433</v>
      </c>
      <c r="G1330" t="s">
        <v>887</v>
      </c>
      <c r="I1330" t="s">
        <v>272</v>
      </c>
      <c r="J1330" t="s">
        <v>1550</v>
      </c>
      <c r="K1330" t="s">
        <v>61</v>
      </c>
      <c r="L1330" t="s">
        <v>401</v>
      </c>
      <c r="Q1330" t="str">
        <f t="shared" si="60"/>
        <v>Apr</v>
      </c>
      <c r="R1330">
        <f t="shared" si="61"/>
        <v>2014</v>
      </c>
      <c r="S1330" t="str">
        <f>VLOOKUP($W1330,TBL_Categories,2,FALSE)</f>
        <v>Monthly</v>
      </c>
      <c r="T1330">
        <f>VLOOKUP($W1330,TBL_Categories,3,FALSE)</f>
        <v>0</v>
      </c>
      <c r="U1330" t="str">
        <f>VLOOKUP($W1330,TBL_Categories,4,FALSE)</f>
        <v>No</v>
      </c>
      <c r="V1330" t="str">
        <f>VLOOKUP($W1330,TBL_Categories,5,FALSE)</f>
        <v>None</v>
      </c>
      <c r="W1330" t="str">
        <f t="shared" si="62"/>
        <v>Food &amp; Dining|Groceries</v>
      </c>
    </row>
    <row r="1331" spans="1:23" x14ac:dyDescent="0.25">
      <c r="A1331" t="s">
        <v>290</v>
      </c>
      <c r="B1331" s="5">
        <v>41747</v>
      </c>
      <c r="C1331">
        <v>-3.34</v>
      </c>
      <c r="D1331" t="s">
        <v>304</v>
      </c>
      <c r="E1331" t="s">
        <v>400</v>
      </c>
      <c r="F1331" t="s">
        <v>695</v>
      </c>
      <c r="G1331" t="s">
        <v>888</v>
      </c>
      <c r="J1331" t="s">
        <v>1550</v>
      </c>
      <c r="K1331" t="s">
        <v>63</v>
      </c>
      <c r="L1331" t="s">
        <v>1546</v>
      </c>
      <c r="Q1331" t="str">
        <f t="shared" si="60"/>
        <v>Apr</v>
      </c>
      <c r="R1331">
        <f t="shared" si="61"/>
        <v>2014</v>
      </c>
      <c r="S1331" t="str">
        <f>VLOOKUP($W1331,TBL_Categories,2,FALSE)</f>
        <v>Monthly</v>
      </c>
      <c r="T1331">
        <f>VLOOKUP($W1331,TBL_Categories,3,FALSE)</f>
        <v>0</v>
      </c>
      <c r="U1331" t="str">
        <f>VLOOKUP($W1331,TBL_Categories,4,FALSE)</f>
        <v>No</v>
      </c>
      <c r="V1331" t="str">
        <f>VLOOKUP($W1331,TBL_Categories,5,FALSE)</f>
        <v>None</v>
      </c>
      <c r="W1331" t="str">
        <f t="shared" si="62"/>
        <v>Home|Furnishings</v>
      </c>
    </row>
    <row r="1332" spans="1:23" x14ac:dyDescent="0.25">
      <c r="A1332" t="s">
        <v>296</v>
      </c>
      <c r="B1332" s="5">
        <v>41747</v>
      </c>
      <c r="C1332">
        <v>-3.82</v>
      </c>
      <c r="D1332" t="s">
        <v>304</v>
      </c>
      <c r="E1332" t="s">
        <v>531</v>
      </c>
      <c r="F1332" t="s">
        <v>990</v>
      </c>
      <c r="G1332" t="s">
        <v>1046</v>
      </c>
      <c r="J1332" t="s">
        <v>1550</v>
      </c>
      <c r="K1332" t="s">
        <v>55</v>
      </c>
      <c r="L1332" t="s">
        <v>1553</v>
      </c>
      <c r="Q1332" t="str">
        <f t="shared" si="60"/>
        <v>Apr</v>
      </c>
      <c r="R1332">
        <f t="shared" si="61"/>
        <v>2014</v>
      </c>
      <c r="S1332" t="str">
        <f>VLOOKUP($W1332,TBL_Categories,2,FALSE)</f>
        <v>Monthly</v>
      </c>
      <c r="T1332">
        <f>VLOOKUP($W1332,TBL_Categories,3,FALSE)</f>
        <v>0</v>
      </c>
      <c r="U1332" t="str">
        <f>VLOOKUP($W1332,TBL_Categories,4,FALSE)</f>
        <v>No</v>
      </c>
      <c r="V1332" t="str">
        <f>VLOOKUP($W1332,TBL_Categories,5,FALSE)</f>
        <v>None</v>
      </c>
      <c r="W1332" t="str">
        <f t="shared" si="62"/>
        <v>Business Expenses (Koolikai)|Office Expenses (Business)</v>
      </c>
    </row>
    <row r="1333" spans="1:23" x14ac:dyDescent="0.25">
      <c r="A1333" t="s">
        <v>296</v>
      </c>
      <c r="B1333" s="5">
        <v>41747</v>
      </c>
      <c r="C1333">
        <v>-10.26</v>
      </c>
      <c r="D1333" t="s">
        <v>304</v>
      </c>
      <c r="E1333" t="s">
        <v>677</v>
      </c>
      <c r="F1333" t="s">
        <v>1093</v>
      </c>
      <c r="G1333" t="s">
        <v>333</v>
      </c>
      <c r="K1333" t="s">
        <v>61</v>
      </c>
      <c r="L1333" t="s">
        <v>1530</v>
      </c>
      <c r="Q1333" t="str">
        <f t="shared" si="60"/>
        <v>Apr</v>
      </c>
      <c r="R1333">
        <f t="shared" si="61"/>
        <v>2014</v>
      </c>
      <c r="S1333" t="str">
        <f>VLOOKUP($W1333,TBL_Categories,2,FALSE)</f>
        <v>Monthly</v>
      </c>
      <c r="T1333">
        <f>VLOOKUP($W1333,TBL_Categories,3,FALSE)</f>
        <v>0</v>
      </c>
      <c r="U1333" t="str">
        <f>VLOOKUP($W1333,TBL_Categories,4,FALSE)</f>
        <v>No</v>
      </c>
      <c r="V1333" t="str">
        <f>VLOOKUP($W1333,TBL_Categories,5,FALSE)</f>
        <v>None</v>
      </c>
      <c r="W1333" t="str">
        <f t="shared" si="62"/>
        <v>Food &amp; Dining|Restaurants</v>
      </c>
    </row>
    <row r="1334" spans="1:23" x14ac:dyDescent="0.25">
      <c r="A1334" t="s">
        <v>296</v>
      </c>
      <c r="B1334" s="5">
        <v>41747</v>
      </c>
      <c r="C1334">
        <v>-17.07</v>
      </c>
      <c r="D1334" t="s">
        <v>304</v>
      </c>
      <c r="E1334" t="s">
        <v>433</v>
      </c>
      <c r="F1334" t="s">
        <v>481</v>
      </c>
      <c r="G1334" t="s">
        <v>887</v>
      </c>
      <c r="I1334" t="s">
        <v>272</v>
      </c>
      <c r="J1334" t="s">
        <v>1550</v>
      </c>
      <c r="K1334" t="s">
        <v>61</v>
      </c>
      <c r="L1334" t="s">
        <v>401</v>
      </c>
      <c r="Q1334" t="str">
        <f t="shared" si="60"/>
        <v>Apr</v>
      </c>
      <c r="R1334">
        <f t="shared" si="61"/>
        <v>2014</v>
      </c>
      <c r="S1334" t="str">
        <f>VLOOKUP($W1334,TBL_Categories,2,FALSE)</f>
        <v>Monthly</v>
      </c>
      <c r="T1334">
        <f>VLOOKUP($W1334,TBL_Categories,3,FALSE)</f>
        <v>0</v>
      </c>
      <c r="U1334" t="str">
        <f>VLOOKUP($W1334,TBL_Categories,4,FALSE)</f>
        <v>No</v>
      </c>
      <c r="V1334" t="str">
        <f>VLOOKUP($W1334,TBL_Categories,5,FALSE)</f>
        <v>None</v>
      </c>
      <c r="W1334" t="str">
        <f t="shared" si="62"/>
        <v>Food &amp; Dining|Groceries</v>
      </c>
    </row>
    <row r="1335" spans="1:23" x14ac:dyDescent="0.25">
      <c r="A1335" t="s">
        <v>296</v>
      </c>
      <c r="B1335" s="5">
        <v>41747</v>
      </c>
      <c r="C1335">
        <v>-4.37</v>
      </c>
      <c r="D1335" t="s">
        <v>304</v>
      </c>
      <c r="E1335" t="s">
        <v>433</v>
      </c>
      <c r="G1335" t="s">
        <v>888</v>
      </c>
      <c r="I1335" t="s">
        <v>272</v>
      </c>
      <c r="J1335" t="s">
        <v>1550</v>
      </c>
      <c r="K1335" t="s">
        <v>63</v>
      </c>
      <c r="L1335" t="s">
        <v>1546</v>
      </c>
      <c r="Q1335" t="str">
        <f t="shared" si="60"/>
        <v>Apr</v>
      </c>
      <c r="R1335">
        <f t="shared" si="61"/>
        <v>2014</v>
      </c>
      <c r="S1335" t="str">
        <f>VLOOKUP($W1335,TBL_Categories,2,FALSE)</f>
        <v>Monthly</v>
      </c>
      <c r="T1335">
        <f>VLOOKUP($W1335,TBL_Categories,3,FALSE)</f>
        <v>0</v>
      </c>
      <c r="U1335" t="str">
        <f>VLOOKUP($W1335,TBL_Categories,4,FALSE)</f>
        <v>No</v>
      </c>
      <c r="V1335" t="str">
        <f>VLOOKUP($W1335,TBL_Categories,5,FALSE)</f>
        <v>None</v>
      </c>
      <c r="W1335" t="str">
        <f t="shared" si="62"/>
        <v>Home|Furnishings</v>
      </c>
    </row>
    <row r="1336" spans="1:23" x14ac:dyDescent="0.25">
      <c r="A1336" t="s">
        <v>296</v>
      </c>
      <c r="B1336" s="5">
        <v>41747</v>
      </c>
      <c r="C1336">
        <v>-208.8</v>
      </c>
      <c r="D1336" t="s">
        <v>304</v>
      </c>
      <c r="E1336" t="s">
        <v>1094</v>
      </c>
      <c r="F1336" t="s">
        <v>1095</v>
      </c>
      <c r="G1336" t="s">
        <v>449</v>
      </c>
      <c r="K1336" t="s">
        <v>66</v>
      </c>
      <c r="L1336" t="s">
        <v>1555</v>
      </c>
      <c r="Q1336" t="str">
        <f t="shared" si="60"/>
        <v>Apr</v>
      </c>
      <c r="R1336">
        <f t="shared" si="61"/>
        <v>2014</v>
      </c>
      <c r="S1336" t="str">
        <f>VLOOKUP($W1336,TBL_Categories,2,FALSE)</f>
        <v>Monthly</v>
      </c>
      <c r="T1336">
        <f>VLOOKUP($W1336,TBL_Categories,3,FALSE)</f>
        <v>0</v>
      </c>
      <c r="U1336" t="str">
        <f>VLOOKUP($W1336,TBL_Categories,4,FALSE)</f>
        <v>No</v>
      </c>
      <c r="V1336" t="str">
        <f>VLOOKUP($W1336,TBL_Categories,5,FALSE)</f>
        <v>None</v>
      </c>
      <c r="W1336" t="str">
        <f t="shared" si="62"/>
        <v>Kids|Kids Activities</v>
      </c>
    </row>
    <row r="1337" spans="1:23" x14ac:dyDescent="0.25">
      <c r="A1337" t="s">
        <v>296</v>
      </c>
      <c r="B1337" s="5">
        <v>41746</v>
      </c>
      <c r="C1337">
        <v>-13.42</v>
      </c>
      <c r="D1337" t="s">
        <v>304</v>
      </c>
      <c r="E1337" t="s">
        <v>431</v>
      </c>
      <c r="F1337" t="s">
        <v>492</v>
      </c>
      <c r="G1337" t="s">
        <v>432</v>
      </c>
      <c r="K1337" t="s">
        <v>52</v>
      </c>
      <c r="L1337" t="s">
        <v>1577</v>
      </c>
      <c r="Q1337" t="str">
        <f t="shared" si="60"/>
        <v>Apr</v>
      </c>
      <c r="R1337">
        <f t="shared" si="61"/>
        <v>2014</v>
      </c>
      <c r="S1337" t="str">
        <f>VLOOKUP($W1337,TBL_Categories,2,FALSE)</f>
        <v>Monthly</v>
      </c>
      <c r="T1337">
        <f>VLOOKUP($W1337,TBL_Categories,3,FALSE)</f>
        <v>0</v>
      </c>
      <c r="U1337" t="str">
        <f>VLOOKUP($W1337,TBL_Categories,4,FALSE)</f>
        <v>No</v>
      </c>
      <c r="V1337" t="str">
        <f>VLOOKUP($W1337,TBL_Categories,5,FALSE)</f>
        <v>None</v>
      </c>
      <c r="W1337" t="str">
        <f t="shared" si="62"/>
        <v>Auto &amp; Transport|Parking</v>
      </c>
    </row>
    <row r="1338" spans="1:23" x14ac:dyDescent="0.25">
      <c r="A1338" t="s">
        <v>296</v>
      </c>
      <c r="B1338" s="5">
        <v>41746</v>
      </c>
      <c r="C1338">
        <v>-344</v>
      </c>
      <c r="D1338" t="s">
        <v>304</v>
      </c>
      <c r="E1338" t="s">
        <v>1091</v>
      </c>
      <c r="F1338" t="s">
        <v>1092</v>
      </c>
      <c r="G1338" t="s">
        <v>17</v>
      </c>
      <c r="K1338" t="s">
        <v>17</v>
      </c>
      <c r="Q1338" t="str">
        <f t="shared" si="60"/>
        <v>Apr</v>
      </c>
      <c r="R1338">
        <f t="shared" si="61"/>
        <v>2014</v>
      </c>
      <c r="S1338" t="str">
        <f>VLOOKUP($W1338,TBL_Categories,2,FALSE)</f>
        <v>Monthly</v>
      </c>
      <c r="T1338">
        <f>VLOOKUP($W1338,TBL_Categories,3,FALSE)</f>
        <v>0</v>
      </c>
      <c r="U1338" t="str">
        <f>VLOOKUP($W1338,TBL_Categories,4,FALSE)</f>
        <v>No</v>
      </c>
      <c r="V1338" t="str">
        <f>VLOOKUP($W1338,TBL_Categories,5,FALSE)</f>
        <v>None</v>
      </c>
      <c r="W1338" t="str">
        <f t="shared" si="62"/>
        <v>Entertainment</v>
      </c>
    </row>
    <row r="1339" spans="1:23" x14ac:dyDescent="0.25">
      <c r="A1339" t="s">
        <v>296</v>
      </c>
      <c r="B1339" s="5">
        <v>41744</v>
      </c>
      <c r="C1339">
        <v>-47.67</v>
      </c>
      <c r="D1339" t="s">
        <v>304</v>
      </c>
      <c r="E1339" t="s">
        <v>1067</v>
      </c>
      <c r="F1339" t="s">
        <v>569</v>
      </c>
      <c r="G1339" t="s">
        <v>468</v>
      </c>
      <c r="K1339" t="s">
        <v>62</v>
      </c>
      <c r="L1339" t="s">
        <v>1592</v>
      </c>
      <c r="Q1339" t="str">
        <f t="shared" si="60"/>
        <v>Apr</v>
      </c>
      <c r="R1339">
        <f t="shared" si="61"/>
        <v>2014</v>
      </c>
      <c r="S1339" t="str">
        <f>VLOOKUP($W1339,TBL_Categories,2,FALSE)</f>
        <v>Irregular</v>
      </c>
      <c r="T1339">
        <f>VLOOKUP($W1339,TBL_Categories,3,FALSE)</f>
        <v>0</v>
      </c>
      <c r="U1339" t="str">
        <f>VLOOKUP($W1339,TBL_Categories,4,FALSE)</f>
        <v>No</v>
      </c>
      <c r="V1339" t="str">
        <f>VLOOKUP($W1339,TBL_Categories,5,FALSE)</f>
        <v>None</v>
      </c>
      <c r="W1339" t="str">
        <f t="shared" si="62"/>
        <v>Health &amp; Fitness|Pharmacy</v>
      </c>
    </row>
    <row r="1340" spans="1:23" x14ac:dyDescent="0.25">
      <c r="A1340" t="s">
        <v>296</v>
      </c>
      <c r="B1340" s="5">
        <v>41744</v>
      </c>
      <c r="C1340">
        <v>-65</v>
      </c>
      <c r="D1340" t="s">
        <v>304</v>
      </c>
      <c r="E1340" t="s">
        <v>680</v>
      </c>
      <c r="F1340" t="s">
        <v>1090</v>
      </c>
      <c r="G1340" t="s">
        <v>398</v>
      </c>
      <c r="K1340" t="s">
        <v>70</v>
      </c>
      <c r="L1340" t="s">
        <v>1563</v>
      </c>
      <c r="Q1340" t="str">
        <f t="shared" si="60"/>
        <v>Apr</v>
      </c>
      <c r="R1340">
        <f t="shared" si="61"/>
        <v>2014</v>
      </c>
      <c r="S1340" t="str">
        <f>VLOOKUP($W1340,TBL_Categories,2,FALSE)</f>
        <v>Monthly</v>
      </c>
      <c r="T1340">
        <f>VLOOKUP($W1340,TBL_Categories,3,FALSE)</f>
        <v>0</v>
      </c>
      <c r="U1340" t="str">
        <f>VLOOKUP($W1340,TBL_Categories,4,FALSE)</f>
        <v>No</v>
      </c>
      <c r="V1340" t="str">
        <f>VLOOKUP($W1340,TBL_Categories,5,FALSE)</f>
        <v>None</v>
      </c>
      <c r="W1340" t="str">
        <f t="shared" si="62"/>
        <v>Personal Care|Hair</v>
      </c>
    </row>
    <row r="1341" spans="1:23" x14ac:dyDescent="0.25">
      <c r="A1341" t="s">
        <v>284</v>
      </c>
      <c r="B1341" s="5">
        <v>41743</v>
      </c>
      <c r="C1341" s="4">
        <v>3165.19</v>
      </c>
      <c r="D1341" t="s">
        <v>304</v>
      </c>
      <c r="E1341" t="s">
        <v>361</v>
      </c>
      <c r="F1341" t="s">
        <v>312</v>
      </c>
      <c r="G1341" t="s">
        <v>12</v>
      </c>
      <c r="K1341" t="s">
        <v>12</v>
      </c>
      <c r="Q1341" t="str">
        <f t="shared" si="60"/>
        <v>Apr</v>
      </c>
      <c r="R1341">
        <f t="shared" si="61"/>
        <v>2014</v>
      </c>
      <c r="S1341" t="str">
        <f>VLOOKUP($W1341,TBL_Categories,2,FALSE)</f>
        <v>Monthly</v>
      </c>
      <c r="T1341">
        <f>VLOOKUP($W1341,TBL_Categories,3,FALSE)</f>
        <v>0</v>
      </c>
      <c r="U1341" t="str">
        <f>VLOOKUP($W1341,TBL_Categories,4,FALSE)</f>
        <v>No</v>
      </c>
      <c r="V1341" t="str">
        <f>VLOOKUP($W1341,TBL_Categories,5,FALSE)</f>
        <v>None</v>
      </c>
      <c r="W1341" t="str">
        <f t="shared" si="62"/>
        <v>Net Salary</v>
      </c>
    </row>
    <row r="1342" spans="1:23" x14ac:dyDescent="0.25">
      <c r="A1342" t="s">
        <v>284</v>
      </c>
      <c r="B1342" s="5">
        <v>41743</v>
      </c>
      <c r="C1342">
        <v>-111.93</v>
      </c>
      <c r="D1342" t="s">
        <v>304</v>
      </c>
      <c r="E1342" t="s">
        <v>324</v>
      </c>
      <c r="F1342" t="s">
        <v>777</v>
      </c>
      <c r="G1342" t="s">
        <v>313</v>
      </c>
      <c r="K1342" t="s">
        <v>54</v>
      </c>
      <c r="L1342" t="s">
        <v>1521</v>
      </c>
      <c r="Q1342" t="str">
        <f t="shared" si="60"/>
        <v>Apr</v>
      </c>
      <c r="R1342">
        <f t="shared" si="61"/>
        <v>2014</v>
      </c>
      <c r="S1342" t="str">
        <f>VLOOKUP($W1342,TBL_Categories,2,FALSE)</f>
        <v>Monthly</v>
      </c>
      <c r="T1342">
        <f>VLOOKUP($W1342,TBL_Categories,3,FALSE)</f>
        <v>0</v>
      </c>
      <c r="U1342" t="str">
        <f>VLOOKUP($W1342,TBL_Categories,4,FALSE)</f>
        <v>No</v>
      </c>
      <c r="V1342" t="str">
        <f>VLOOKUP($W1342,TBL_Categories,5,FALSE)</f>
        <v>None</v>
      </c>
      <c r="W1342" t="str">
        <f t="shared" si="62"/>
        <v>Bills &amp; Utilities|Utilities</v>
      </c>
    </row>
    <row r="1343" spans="1:23" x14ac:dyDescent="0.25">
      <c r="A1343" t="s">
        <v>633</v>
      </c>
      <c r="B1343" s="5">
        <v>41743</v>
      </c>
      <c r="C1343">
        <v>-64.180000000000007</v>
      </c>
      <c r="D1343" t="s">
        <v>304</v>
      </c>
      <c r="E1343" t="s">
        <v>672</v>
      </c>
      <c r="G1343" t="s">
        <v>333</v>
      </c>
      <c r="K1343" t="s">
        <v>61</v>
      </c>
      <c r="L1343" t="s">
        <v>1530</v>
      </c>
      <c r="Q1343" t="str">
        <f t="shared" si="60"/>
        <v>Apr</v>
      </c>
      <c r="R1343">
        <f t="shared" si="61"/>
        <v>2014</v>
      </c>
      <c r="S1343" t="str">
        <f>VLOOKUP($W1343,TBL_Categories,2,FALSE)</f>
        <v>Monthly</v>
      </c>
      <c r="T1343">
        <f>VLOOKUP($W1343,TBL_Categories,3,FALSE)</f>
        <v>0</v>
      </c>
      <c r="U1343" t="str">
        <f>VLOOKUP($W1343,TBL_Categories,4,FALSE)</f>
        <v>No</v>
      </c>
      <c r="V1343" t="str">
        <f>VLOOKUP($W1343,TBL_Categories,5,FALSE)</f>
        <v>None</v>
      </c>
      <c r="W1343" t="str">
        <f t="shared" si="62"/>
        <v>Food &amp; Dining|Restaurants</v>
      </c>
    </row>
    <row r="1344" spans="1:23" x14ac:dyDescent="0.25">
      <c r="A1344" t="s">
        <v>296</v>
      </c>
      <c r="B1344" s="5">
        <v>41743</v>
      </c>
      <c r="C1344">
        <v>-4.93</v>
      </c>
      <c r="D1344" t="s">
        <v>304</v>
      </c>
      <c r="E1344" t="s">
        <v>958</v>
      </c>
      <c r="F1344" t="s">
        <v>959</v>
      </c>
      <c r="G1344" t="s">
        <v>333</v>
      </c>
      <c r="K1344" t="s">
        <v>61</v>
      </c>
      <c r="L1344" t="s">
        <v>1530</v>
      </c>
      <c r="Q1344" t="str">
        <f t="shared" si="60"/>
        <v>Apr</v>
      </c>
      <c r="R1344">
        <f t="shared" si="61"/>
        <v>2014</v>
      </c>
      <c r="S1344" t="str">
        <f>VLOOKUP($W1344,TBL_Categories,2,FALSE)</f>
        <v>Monthly</v>
      </c>
      <c r="T1344">
        <f>VLOOKUP($W1344,TBL_Categories,3,FALSE)</f>
        <v>0</v>
      </c>
      <c r="U1344" t="str">
        <f>VLOOKUP($W1344,TBL_Categories,4,FALSE)</f>
        <v>No</v>
      </c>
      <c r="V1344" t="str">
        <f>VLOOKUP($W1344,TBL_Categories,5,FALSE)</f>
        <v>None</v>
      </c>
      <c r="W1344" t="str">
        <f t="shared" si="62"/>
        <v>Food &amp; Dining|Restaurants</v>
      </c>
    </row>
    <row r="1345" spans="1:23" x14ac:dyDescent="0.25">
      <c r="A1345" t="s">
        <v>633</v>
      </c>
      <c r="B1345" s="5">
        <v>41742</v>
      </c>
      <c r="C1345">
        <v>-12.84</v>
      </c>
      <c r="D1345" t="s">
        <v>304</v>
      </c>
      <c r="E1345" t="s">
        <v>715</v>
      </c>
      <c r="G1345" t="s">
        <v>773</v>
      </c>
      <c r="J1345" t="s">
        <v>1550</v>
      </c>
      <c r="K1345" t="s">
        <v>61</v>
      </c>
      <c r="L1345" t="s">
        <v>1530</v>
      </c>
      <c r="Q1345" t="str">
        <f t="shared" si="60"/>
        <v>Apr</v>
      </c>
      <c r="R1345">
        <f t="shared" si="61"/>
        <v>2014</v>
      </c>
      <c r="S1345" t="str">
        <f>VLOOKUP($W1345,TBL_Categories,2,FALSE)</f>
        <v>Monthly</v>
      </c>
      <c r="T1345">
        <f>VLOOKUP($W1345,TBL_Categories,3,FALSE)</f>
        <v>0</v>
      </c>
      <c r="U1345" t="str">
        <f>VLOOKUP($W1345,TBL_Categories,4,FALSE)</f>
        <v>No</v>
      </c>
      <c r="V1345" t="str">
        <f>VLOOKUP($W1345,TBL_Categories,5,FALSE)</f>
        <v>None</v>
      </c>
      <c r="W1345" t="str">
        <f t="shared" si="62"/>
        <v>Food &amp; Dining|Restaurants</v>
      </c>
    </row>
    <row r="1346" spans="1:23" x14ac:dyDescent="0.25">
      <c r="A1346" t="s">
        <v>294</v>
      </c>
      <c r="B1346" s="5">
        <v>41742</v>
      </c>
      <c r="C1346">
        <v>-146.69999999999999</v>
      </c>
      <c r="D1346" t="s">
        <v>304</v>
      </c>
      <c r="E1346" t="s">
        <v>335</v>
      </c>
      <c r="G1346" t="s">
        <v>336</v>
      </c>
      <c r="K1346" t="s">
        <v>55</v>
      </c>
      <c r="L1346" t="s">
        <v>1532</v>
      </c>
      <c r="Q1346" t="str">
        <f t="shared" ref="Q1346:Q1409" si="63">TEXT($B1346,"MMM")</f>
        <v>Apr</v>
      </c>
      <c r="R1346">
        <f t="shared" ref="R1346:R1409" si="64">YEAR($B1346)</f>
        <v>2014</v>
      </c>
      <c r="S1346" t="str">
        <f>VLOOKUP($W1346,TBL_Categories,2,FALSE)</f>
        <v>Monthly</v>
      </c>
      <c r="T1346">
        <f>VLOOKUP($W1346,TBL_Categories,3,FALSE)</f>
        <v>0</v>
      </c>
      <c r="U1346" t="str">
        <f>VLOOKUP($W1346,TBL_Categories,4,FALSE)</f>
        <v>No</v>
      </c>
      <c r="V1346" t="str">
        <f>VLOOKUP($W1346,TBL_Categories,5,FALSE)</f>
        <v>None</v>
      </c>
      <c r="W1346" t="str">
        <f t="shared" ref="W1346:W1409" si="65">IF(ISBLANK($L1346),$K1346,CONCATENATE($K1346,"|",$L1346))</f>
        <v>Business Expenses (Koolikai)|Cell Phone</v>
      </c>
    </row>
    <row r="1347" spans="1:23" x14ac:dyDescent="0.25">
      <c r="A1347" t="s">
        <v>296</v>
      </c>
      <c r="B1347" s="5">
        <v>41742</v>
      </c>
      <c r="C1347">
        <v>-5.98</v>
      </c>
      <c r="D1347" t="s">
        <v>304</v>
      </c>
      <c r="E1347" t="s">
        <v>433</v>
      </c>
      <c r="F1347" t="s">
        <v>475</v>
      </c>
      <c r="G1347" t="s">
        <v>887</v>
      </c>
      <c r="J1347" t="s">
        <v>1550</v>
      </c>
      <c r="K1347" t="s">
        <v>61</v>
      </c>
      <c r="L1347" t="s">
        <v>401</v>
      </c>
      <c r="Q1347" t="str">
        <f t="shared" si="63"/>
        <v>Apr</v>
      </c>
      <c r="R1347">
        <f t="shared" si="64"/>
        <v>2014</v>
      </c>
      <c r="S1347" t="str">
        <f>VLOOKUP($W1347,TBL_Categories,2,FALSE)</f>
        <v>Monthly</v>
      </c>
      <c r="T1347">
        <f>VLOOKUP($W1347,TBL_Categories,3,FALSE)</f>
        <v>0</v>
      </c>
      <c r="U1347" t="str">
        <f>VLOOKUP($W1347,TBL_Categories,4,FALSE)</f>
        <v>No</v>
      </c>
      <c r="V1347" t="str">
        <f>VLOOKUP($W1347,TBL_Categories,5,FALSE)</f>
        <v>None</v>
      </c>
      <c r="W1347" t="str">
        <f t="shared" si="65"/>
        <v>Food &amp; Dining|Groceries</v>
      </c>
    </row>
    <row r="1348" spans="1:23" x14ac:dyDescent="0.25">
      <c r="A1348" t="s">
        <v>296</v>
      </c>
      <c r="B1348" s="5">
        <v>41742</v>
      </c>
      <c r="C1348">
        <v>-15</v>
      </c>
      <c r="D1348" t="s">
        <v>304</v>
      </c>
      <c r="E1348" t="s">
        <v>1088</v>
      </c>
      <c r="F1348" t="s">
        <v>1089</v>
      </c>
      <c r="G1348" t="s">
        <v>449</v>
      </c>
      <c r="K1348" t="s">
        <v>66</v>
      </c>
      <c r="L1348" t="s">
        <v>1555</v>
      </c>
      <c r="Q1348" t="str">
        <f t="shared" si="63"/>
        <v>Apr</v>
      </c>
      <c r="R1348">
        <f t="shared" si="64"/>
        <v>2014</v>
      </c>
      <c r="S1348" t="str">
        <f>VLOOKUP($W1348,TBL_Categories,2,FALSE)</f>
        <v>Monthly</v>
      </c>
      <c r="T1348">
        <f>VLOOKUP($W1348,TBL_Categories,3,FALSE)</f>
        <v>0</v>
      </c>
      <c r="U1348" t="str">
        <f>VLOOKUP($W1348,TBL_Categories,4,FALSE)</f>
        <v>No</v>
      </c>
      <c r="V1348" t="str">
        <f>VLOOKUP($W1348,TBL_Categories,5,FALSE)</f>
        <v>None</v>
      </c>
      <c r="W1348" t="str">
        <f t="shared" si="65"/>
        <v>Kids|Kids Activities</v>
      </c>
    </row>
    <row r="1349" spans="1:23" x14ac:dyDescent="0.25">
      <c r="A1349" t="s">
        <v>296</v>
      </c>
      <c r="B1349" s="5">
        <v>41742</v>
      </c>
      <c r="C1349">
        <v>-128.63999999999999</v>
      </c>
      <c r="D1349" t="s">
        <v>304</v>
      </c>
      <c r="E1349" t="s">
        <v>433</v>
      </c>
      <c r="F1349" t="s">
        <v>475</v>
      </c>
      <c r="G1349" t="s">
        <v>887</v>
      </c>
      <c r="J1349" t="s">
        <v>1550</v>
      </c>
      <c r="K1349" t="s">
        <v>61</v>
      </c>
      <c r="L1349" t="s">
        <v>401</v>
      </c>
      <c r="Q1349" t="str">
        <f t="shared" si="63"/>
        <v>Apr</v>
      </c>
      <c r="R1349">
        <f t="shared" si="64"/>
        <v>2014</v>
      </c>
      <c r="S1349" t="str">
        <f>VLOOKUP($W1349,TBL_Categories,2,FALSE)</f>
        <v>Monthly</v>
      </c>
      <c r="T1349">
        <f>VLOOKUP($W1349,TBL_Categories,3,FALSE)</f>
        <v>0</v>
      </c>
      <c r="U1349" t="str">
        <f>VLOOKUP($W1349,TBL_Categories,4,FALSE)</f>
        <v>No</v>
      </c>
      <c r="V1349" t="str">
        <f>VLOOKUP($W1349,TBL_Categories,5,FALSE)</f>
        <v>None</v>
      </c>
      <c r="W1349" t="str">
        <f t="shared" si="65"/>
        <v>Food &amp; Dining|Groceries</v>
      </c>
    </row>
    <row r="1350" spans="1:23" x14ac:dyDescent="0.25">
      <c r="A1350" t="s">
        <v>296</v>
      </c>
      <c r="B1350" s="5">
        <v>41740</v>
      </c>
      <c r="C1350">
        <v>-2.89</v>
      </c>
      <c r="D1350" t="s">
        <v>304</v>
      </c>
      <c r="E1350" t="s">
        <v>424</v>
      </c>
      <c r="F1350" t="s">
        <v>1087</v>
      </c>
      <c r="G1350" t="s">
        <v>342</v>
      </c>
      <c r="K1350" t="s">
        <v>61</v>
      </c>
      <c r="L1350" t="s">
        <v>401</v>
      </c>
      <c r="Q1350" t="str">
        <f t="shared" si="63"/>
        <v>Apr</v>
      </c>
      <c r="R1350">
        <f t="shared" si="64"/>
        <v>2014</v>
      </c>
      <c r="S1350" t="str">
        <f>VLOOKUP($W1350,TBL_Categories,2,FALSE)</f>
        <v>Monthly</v>
      </c>
      <c r="T1350">
        <f>VLOOKUP($W1350,TBL_Categories,3,FALSE)</f>
        <v>0</v>
      </c>
      <c r="U1350" t="str">
        <f>VLOOKUP($W1350,TBL_Categories,4,FALSE)</f>
        <v>No</v>
      </c>
      <c r="V1350" t="str">
        <f>VLOOKUP($W1350,TBL_Categories,5,FALSE)</f>
        <v>None</v>
      </c>
      <c r="W1350" t="str">
        <f t="shared" si="65"/>
        <v>Food &amp; Dining|Groceries</v>
      </c>
    </row>
    <row r="1351" spans="1:23" x14ac:dyDescent="0.25">
      <c r="A1351" t="s">
        <v>296</v>
      </c>
      <c r="B1351" s="5">
        <v>41739</v>
      </c>
      <c r="C1351">
        <v>-3.5</v>
      </c>
      <c r="D1351" t="s">
        <v>304</v>
      </c>
      <c r="E1351" t="s">
        <v>428</v>
      </c>
      <c r="F1351" t="s">
        <v>472</v>
      </c>
      <c r="G1351" t="s">
        <v>342</v>
      </c>
      <c r="K1351" t="s">
        <v>61</v>
      </c>
      <c r="L1351" t="s">
        <v>401</v>
      </c>
      <c r="Q1351" t="str">
        <f t="shared" si="63"/>
        <v>Apr</v>
      </c>
      <c r="R1351">
        <f t="shared" si="64"/>
        <v>2014</v>
      </c>
      <c r="S1351" t="str">
        <f>VLOOKUP($W1351,TBL_Categories,2,FALSE)</f>
        <v>Monthly</v>
      </c>
      <c r="T1351">
        <f>VLOOKUP($W1351,TBL_Categories,3,FALSE)</f>
        <v>0</v>
      </c>
      <c r="U1351" t="str">
        <f>VLOOKUP($W1351,TBL_Categories,4,FALSE)</f>
        <v>No</v>
      </c>
      <c r="V1351" t="str">
        <f>VLOOKUP($W1351,TBL_Categories,5,FALSE)</f>
        <v>None</v>
      </c>
      <c r="W1351" t="str">
        <f t="shared" si="65"/>
        <v>Food &amp; Dining|Groceries</v>
      </c>
    </row>
    <row r="1352" spans="1:23" x14ac:dyDescent="0.25">
      <c r="A1352" t="s">
        <v>296</v>
      </c>
      <c r="B1352" s="5">
        <v>41739</v>
      </c>
      <c r="C1352">
        <v>-8.3800000000000008</v>
      </c>
      <c r="D1352" t="s">
        <v>304</v>
      </c>
      <c r="E1352" t="s">
        <v>428</v>
      </c>
      <c r="F1352" t="s">
        <v>472</v>
      </c>
      <c r="G1352" t="s">
        <v>342</v>
      </c>
      <c r="K1352" t="s">
        <v>61</v>
      </c>
      <c r="L1352" t="s">
        <v>401</v>
      </c>
      <c r="Q1352" t="str">
        <f t="shared" si="63"/>
        <v>Apr</v>
      </c>
      <c r="R1352">
        <f t="shared" si="64"/>
        <v>2014</v>
      </c>
      <c r="S1352" t="str">
        <f>VLOOKUP($W1352,TBL_Categories,2,FALSE)</f>
        <v>Monthly</v>
      </c>
      <c r="T1352">
        <f>VLOOKUP($W1352,TBL_Categories,3,FALSE)</f>
        <v>0</v>
      </c>
      <c r="U1352" t="str">
        <f>VLOOKUP($W1352,TBL_Categories,4,FALSE)</f>
        <v>No</v>
      </c>
      <c r="V1352" t="str">
        <f>VLOOKUP($W1352,TBL_Categories,5,FALSE)</f>
        <v>None</v>
      </c>
      <c r="W1352" t="str">
        <f t="shared" si="65"/>
        <v>Food &amp; Dining|Groceries</v>
      </c>
    </row>
    <row r="1353" spans="1:23" x14ac:dyDescent="0.25">
      <c r="A1353" t="s">
        <v>296</v>
      </c>
      <c r="B1353" s="5">
        <v>41739</v>
      </c>
      <c r="C1353">
        <v>-11.95</v>
      </c>
      <c r="D1353" t="s">
        <v>304</v>
      </c>
      <c r="E1353" t="s">
        <v>987</v>
      </c>
      <c r="F1353" t="s">
        <v>1086</v>
      </c>
      <c r="G1353" t="s">
        <v>601</v>
      </c>
      <c r="K1353" t="s">
        <v>54</v>
      </c>
      <c r="L1353" t="s">
        <v>1556</v>
      </c>
      <c r="Q1353" t="str">
        <f t="shared" si="63"/>
        <v>Apr</v>
      </c>
      <c r="R1353">
        <f t="shared" si="64"/>
        <v>2014</v>
      </c>
      <c r="S1353" t="str">
        <f>VLOOKUP($W1353,TBL_Categories,2,FALSE)</f>
        <v>Hidden</v>
      </c>
      <c r="T1353">
        <f>VLOOKUP($W1353,TBL_Categories,3,FALSE)</f>
        <v>0</v>
      </c>
      <c r="U1353" t="str">
        <f>VLOOKUP($W1353,TBL_Categories,4,FALSE)</f>
        <v>No</v>
      </c>
      <c r="V1353" t="str">
        <f>VLOOKUP($W1353,TBL_Categories,5,FALSE)</f>
        <v>None</v>
      </c>
      <c r="W1353" t="str">
        <f t="shared" si="65"/>
        <v>Bills &amp; Utilities|Mobile Phone</v>
      </c>
    </row>
    <row r="1354" spans="1:23" x14ac:dyDescent="0.25">
      <c r="A1354" t="s">
        <v>284</v>
      </c>
      <c r="B1354" s="5">
        <v>41738</v>
      </c>
      <c r="C1354">
        <v>-10</v>
      </c>
      <c r="D1354" t="s">
        <v>304</v>
      </c>
      <c r="E1354" t="s">
        <v>639</v>
      </c>
      <c r="F1354" t="s">
        <v>334</v>
      </c>
      <c r="G1354" t="s">
        <v>588</v>
      </c>
      <c r="H1354">
        <v>2125</v>
      </c>
      <c r="K1354" t="s">
        <v>66</v>
      </c>
      <c r="L1354" t="s">
        <v>1537</v>
      </c>
      <c r="Q1354" t="str">
        <f t="shared" si="63"/>
        <v>Apr</v>
      </c>
      <c r="R1354">
        <f t="shared" si="64"/>
        <v>2014</v>
      </c>
      <c r="S1354" t="str">
        <f>VLOOKUP($W1354,TBL_Categories,2,FALSE)</f>
        <v>Monthly</v>
      </c>
      <c r="T1354">
        <f>VLOOKUP($W1354,TBL_Categories,3,FALSE)</f>
        <v>0</v>
      </c>
      <c r="U1354" t="str">
        <f>VLOOKUP($W1354,TBL_Categories,4,FALSE)</f>
        <v>No</v>
      </c>
      <c r="V1354" t="str">
        <f>VLOOKUP($W1354,TBL_Categories,5,FALSE)</f>
        <v>None</v>
      </c>
      <c r="W1354" t="str">
        <f t="shared" si="65"/>
        <v>Kids|Clothing</v>
      </c>
    </row>
    <row r="1355" spans="1:23" x14ac:dyDescent="0.25">
      <c r="A1355" t="s">
        <v>284</v>
      </c>
      <c r="B1355" s="5">
        <v>41738</v>
      </c>
      <c r="C1355">
        <v>-10.5</v>
      </c>
      <c r="D1355" t="s">
        <v>304</v>
      </c>
      <c r="E1355" t="s">
        <v>639</v>
      </c>
      <c r="F1355" t="s">
        <v>334</v>
      </c>
      <c r="G1355" t="s">
        <v>345</v>
      </c>
      <c r="H1355">
        <v>2126</v>
      </c>
      <c r="K1355" t="s">
        <v>66</v>
      </c>
      <c r="L1355" t="s">
        <v>1536</v>
      </c>
      <c r="Q1355" t="str">
        <f t="shared" si="63"/>
        <v>Apr</v>
      </c>
      <c r="R1355">
        <f t="shared" si="64"/>
        <v>2014</v>
      </c>
      <c r="S1355" t="str">
        <f>VLOOKUP($W1355,TBL_Categories,2,FALSE)</f>
        <v>Monthly</v>
      </c>
      <c r="T1355">
        <f>VLOOKUP($W1355,TBL_Categories,3,FALSE)</f>
        <v>0</v>
      </c>
      <c r="U1355" t="str">
        <f>VLOOKUP($W1355,TBL_Categories,4,FALSE)</f>
        <v>No</v>
      </c>
      <c r="V1355" t="str">
        <f>VLOOKUP($W1355,TBL_Categories,5,FALSE)</f>
        <v>None</v>
      </c>
      <c r="W1355" t="str">
        <f t="shared" si="65"/>
        <v>Kids|Toys</v>
      </c>
    </row>
    <row r="1356" spans="1:23" x14ac:dyDescent="0.25">
      <c r="A1356" t="s">
        <v>284</v>
      </c>
      <c r="B1356" s="5">
        <v>41738</v>
      </c>
      <c r="C1356">
        <v>-91</v>
      </c>
      <c r="D1356" t="s">
        <v>304</v>
      </c>
      <c r="E1356" t="s">
        <v>639</v>
      </c>
      <c r="G1356" t="s">
        <v>345</v>
      </c>
      <c r="H1356">
        <v>2299</v>
      </c>
      <c r="I1356" t="s">
        <v>272</v>
      </c>
      <c r="K1356" t="s">
        <v>66</v>
      </c>
      <c r="L1356" t="s">
        <v>1536</v>
      </c>
      <c r="Q1356" t="str">
        <f t="shared" si="63"/>
        <v>Apr</v>
      </c>
      <c r="R1356">
        <f t="shared" si="64"/>
        <v>2014</v>
      </c>
      <c r="S1356" t="str">
        <f>VLOOKUP($W1356,TBL_Categories,2,FALSE)</f>
        <v>Monthly</v>
      </c>
      <c r="T1356">
        <f>VLOOKUP($W1356,TBL_Categories,3,FALSE)</f>
        <v>0</v>
      </c>
      <c r="U1356" t="str">
        <f>VLOOKUP($W1356,TBL_Categories,4,FALSE)</f>
        <v>No</v>
      </c>
      <c r="V1356" t="str">
        <f>VLOOKUP($W1356,TBL_Categories,5,FALSE)</f>
        <v>None</v>
      </c>
      <c r="W1356" t="str">
        <f t="shared" si="65"/>
        <v>Kids|Toys</v>
      </c>
    </row>
    <row r="1357" spans="1:23" x14ac:dyDescent="0.25">
      <c r="A1357" t="s">
        <v>284</v>
      </c>
      <c r="B1357" s="5">
        <v>41738</v>
      </c>
      <c r="C1357">
        <v>-91</v>
      </c>
      <c r="D1357" t="s">
        <v>304</v>
      </c>
      <c r="E1357" t="s">
        <v>639</v>
      </c>
      <c r="G1357" t="s">
        <v>342</v>
      </c>
      <c r="H1357">
        <v>2299</v>
      </c>
      <c r="I1357" t="s">
        <v>272</v>
      </c>
      <c r="K1357" t="s">
        <v>61</v>
      </c>
      <c r="L1357" t="s">
        <v>401</v>
      </c>
      <c r="Q1357" t="str">
        <f t="shared" si="63"/>
        <v>Apr</v>
      </c>
      <c r="R1357">
        <f t="shared" si="64"/>
        <v>2014</v>
      </c>
      <c r="S1357" t="str">
        <f>VLOOKUP($W1357,TBL_Categories,2,FALSE)</f>
        <v>Monthly</v>
      </c>
      <c r="T1357">
        <f>VLOOKUP($W1357,TBL_Categories,3,FALSE)</f>
        <v>0</v>
      </c>
      <c r="U1357" t="str">
        <f>VLOOKUP($W1357,TBL_Categories,4,FALSE)</f>
        <v>No</v>
      </c>
      <c r="V1357" t="str">
        <f>VLOOKUP($W1357,TBL_Categories,5,FALSE)</f>
        <v>None</v>
      </c>
      <c r="W1357" t="str">
        <f t="shared" si="65"/>
        <v>Food &amp; Dining|Groceries</v>
      </c>
    </row>
    <row r="1358" spans="1:23" x14ac:dyDescent="0.25">
      <c r="A1358" t="s">
        <v>296</v>
      </c>
      <c r="B1358" s="5">
        <v>41738</v>
      </c>
      <c r="C1358">
        <v>-36</v>
      </c>
      <c r="D1358" t="s">
        <v>304</v>
      </c>
      <c r="E1358" t="s">
        <v>662</v>
      </c>
      <c r="F1358" t="s">
        <v>1085</v>
      </c>
      <c r="G1358" t="s">
        <v>316</v>
      </c>
      <c r="K1358" t="s">
        <v>66</v>
      </c>
      <c r="L1358" t="s">
        <v>1522</v>
      </c>
      <c r="Q1358" t="str">
        <f t="shared" si="63"/>
        <v>Apr</v>
      </c>
      <c r="R1358">
        <f t="shared" si="64"/>
        <v>2014</v>
      </c>
      <c r="S1358" t="str">
        <f>VLOOKUP($W1358,TBL_Categories,2,FALSE)</f>
        <v>Monthly</v>
      </c>
      <c r="T1358">
        <f>VLOOKUP($W1358,TBL_Categories,3,FALSE)</f>
        <v>0</v>
      </c>
      <c r="U1358" t="str">
        <f>VLOOKUP($W1358,TBL_Categories,4,FALSE)</f>
        <v>No</v>
      </c>
      <c r="V1358" t="str">
        <f>VLOOKUP($W1358,TBL_Categories,5,FALSE)</f>
        <v>None</v>
      </c>
      <c r="W1358" t="str">
        <f t="shared" si="65"/>
        <v>Kids|Daycare</v>
      </c>
    </row>
    <row r="1359" spans="1:23" x14ac:dyDescent="0.25">
      <c r="A1359" t="s">
        <v>284</v>
      </c>
      <c r="B1359" s="5">
        <v>41737</v>
      </c>
      <c r="C1359">
        <v>-352.62</v>
      </c>
      <c r="D1359" t="s">
        <v>304</v>
      </c>
      <c r="E1359" t="s">
        <v>368</v>
      </c>
      <c r="F1359" t="s">
        <v>350</v>
      </c>
      <c r="G1359" t="s">
        <v>23</v>
      </c>
      <c r="K1359" t="s">
        <v>23</v>
      </c>
      <c r="Q1359" t="str">
        <f t="shared" si="63"/>
        <v>Apr</v>
      </c>
      <c r="R1359">
        <f t="shared" si="64"/>
        <v>2014</v>
      </c>
      <c r="S1359" t="str">
        <f>VLOOKUP($W1359,TBL_Categories,2,FALSE)</f>
        <v>Account</v>
      </c>
      <c r="T1359">
        <f>VLOOKUP($W1359,TBL_Categories,3,FALSE)</f>
        <v>0</v>
      </c>
      <c r="U1359" t="str">
        <f>VLOOKUP($W1359,TBL_Categories,4,FALSE)</f>
        <v>No</v>
      </c>
      <c r="V1359" t="str">
        <f>VLOOKUP($W1359,TBL_Categories,5,FALSE)</f>
        <v>None</v>
      </c>
      <c r="W1359" t="str">
        <f t="shared" si="65"/>
        <v>[Target Red Card]</v>
      </c>
    </row>
    <row r="1360" spans="1:23" x14ac:dyDescent="0.25">
      <c r="A1360" t="s">
        <v>296</v>
      </c>
      <c r="B1360" s="5">
        <v>41737</v>
      </c>
      <c r="C1360">
        <v>25</v>
      </c>
      <c r="D1360" t="s">
        <v>304</v>
      </c>
      <c r="E1360" t="s">
        <v>429</v>
      </c>
      <c r="G1360" t="s">
        <v>14</v>
      </c>
      <c r="K1360" t="s">
        <v>14</v>
      </c>
      <c r="Q1360" t="str">
        <f t="shared" si="63"/>
        <v>Apr</v>
      </c>
      <c r="R1360">
        <f t="shared" si="64"/>
        <v>2014</v>
      </c>
      <c r="S1360" t="str">
        <f>VLOOKUP($W1360,TBL_Categories,2,FALSE)</f>
        <v>Monthly</v>
      </c>
      <c r="T1360">
        <f>VLOOKUP($W1360,TBL_Categories,3,FALSE)</f>
        <v>0</v>
      </c>
      <c r="U1360" t="str">
        <f>VLOOKUP($W1360,TBL_Categories,4,FALSE)</f>
        <v>No</v>
      </c>
      <c r="V1360" t="str">
        <f>VLOOKUP($W1360,TBL_Categories,5,FALSE)</f>
        <v>None</v>
      </c>
      <c r="W1360" t="str">
        <f t="shared" si="65"/>
        <v>Other Inc</v>
      </c>
    </row>
    <row r="1361" spans="1:23" x14ac:dyDescent="0.25">
      <c r="A1361" t="s">
        <v>296</v>
      </c>
      <c r="B1361" s="5">
        <v>41737</v>
      </c>
      <c r="C1361">
        <v>-23.26</v>
      </c>
      <c r="D1361" t="s">
        <v>304</v>
      </c>
      <c r="E1361" t="s">
        <v>433</v>
      </c>
      <c r="F1361" t="s">
        <v>1084</v>
      </c>
      <c r="G1361" t="s">
        <v>1042</v>
      </c>
      <c r="J1361" t="s">
        <v>1550</v>
      </c>
      <c r="K1361" t="s">
        <v>66</v>
      </c>
      <c r="L1361" t="s">
        <v>1537</v>
      </c>
      <c r="Q1361" t="str">
        <f t="shared" si="63"/>
        <v>Apr</v>
      </c>
      <c r="R1361">
        <f t="shared" si="64"/>
        <v>2014</v>
      </c>
      <c r="S1361" t="str">
        <f>VLOOKUP($W1361,TBL_Categories,2,FALSE)</f>
        <v>Monthly</v>
      </c>
      <c r="T1361">
        <f>VLOOKUP($W1361,TBL_Categories,3,FALSE)</f>
        <v>0</v>
      </c>
      <c r="U1361" t="str">
        <f>VLOOKUP($W1361,TBL_Categories,4,FALSE)</f>
        <v>No</v>
      </c>
      <c r="V1361" t="str">
        <f>VLOOKUP($W1361,TBL_Categories,5,FALSE)</f>
        <v>None</v>
      </c>
      <c r="W1361" t="str">
        <f t="shared" si="65"/>
        <v>Kids|Clothing</v>
      </c>
    </row>
    <row r="1362" spans="1:23" x14ac:dyDescent="0.25">
      <c r="A1362" t="s">
        <v>296</v>
      </c>
      <c r="B1362" s="5">
        <v>41737</v>
      </c>
      <c r="C1362">
        <v>-13.11</v>
      </c>
      <c r="D1362" t="s">
        <v>304</v>
      </c>
      <c r="E1362" t="s">
        <v>433</v>
      </c>
      <c r="F1362" t="s">
        <v>475</v>
      </c>
      <c r="G1362" t="s">
        <v>915</v>
      </c>
      <c r="I1362" t="s">
        <v>272</v>
      </c>
      <c r="J1362" t="s">
        <v>1550</v>
      </c>
      <c r="K1362" t="s">
        <v>20</v>
      </c>
      <c r="Q1362" t="str">
        <f t="shared" si="63"/>
        <v>Apr</v>
      </c>
      <c r="R1362">
        <f t="shared" si="64"/>
        <v>2014</v>
      </c>
      <c r="S1362" t="str">
        <f>VLOOKUP($W1362,TBL_Categories,2,FALSE)</f>
        <v>Monthly</v>
      </c>
      <c r="T1362">
        <f>VLOOKUP($W1362,TBL_Categories,3,FALSE)</f>
        <v>0</v>
      </c>
      <c r="U1362" t="str">
        <f>VLOOKUP($W1362,TBL_Categories,4,FALSE)</f>
        <v>No</v>
      </c>
      <c r="V1362" t="str">
        <f>VLOOKUP($W1362,TBL_Categories,5,FALSE)</f>
        <v>None</v>
      </c>
      <c r="W1362" t="str">
        <f t="shared" si="65"/>
        <v>Gifts</v>
      </c>
    </row>
    <row r="1363" spans="1:23" x14ac:dyDescent="0.25">
      <c r="A1363" t="s">
        <v>296</v>
      </c>
      <c r="B1363" s="5">
        <v>41737</v>
      </c>
      <c r="C1363">
        <v>-13.87</v>
      </c>
      <c r="D1363" t="s">
        <v>304</v>
      </c>
      <c r="E1363" t="s">
        <v>433</v>
      </c>
      <c r="G1363" t="s">
        <v>887</v>
      </c>
      <c r="I1363" t="s">
        <v>272</v>
      </c>
      <c r="J1363" t="s">
        <v>1550</v>
      </c>
      <c r="K1363" t="s">
        <v>61</v>
      </c>
      <c r="L1363" t="s">
        <v>401</v>
      </c>
      <c r="Q1363" t="str">
        <f t="shared" si="63"/>
        <v>Apr</v>
      </c>
      <c r="R1363">
        <f t="shared" si="64"/>
        <v>2014</v>
      </c>
      <c r="S1363" t="str">
        <f>VLOOKUP($W1363,TBL_Categories,2,FALSE)</f>
        <v>Monthly</v>
      </c>
      <c r="T1363">
        <f>VLOOKUP($W1363,TBL_Categories,3,FALSE)</f>
        <v>0</v>
      </c>
      <c r="U1363" t="str">
        <f>VLOOKUP($W1363,TBL_Categories,4,FALSE)</f>
        <v>No</v>
      </c>
      <c r="V1363" t="str">
        <f>VLOOKUP($W1363,TBL_Categories,5,FALSE)</f>
        <v>None</v>
      </c>
      <c r="W1363" t="str">
        <f t="shared" si="65"/>
        <v>Food &amp; Dining|Groceries</v>
      </c>
    </row>
    <row r="1364" spans="1:23" x14ac:dyDescent="0.25">
      <c r="A1364" t="s">
        <v>284</v>
      </c>
      <c r="B1364" s="5">
        <v>41736</v>
      </c>
      <c r="C1364" s="4">
        <v>-3748.69</v>
      </c>
      <c r="D1364" t="s">
        <v>304</v>
      </c>
      <c r="E1364" t="s">
        <v>344</v>
      </c>
      <c r="F1364" t="s">
        <v>349</v>
      </c>
      <c r="G1364" t="s">
        <v>320</v>
      </c>
      <c r="K1364" t="s">
        <v>63</v>
      </c>
      <c r="L1364" t="s">
        <v>1526</v>
      </c>
      <c r="Q1364" t="str">
        <f t="shared" si="63"/>
        <v>Apr</v>
      </c>
      <c r="R1364">
        <f t="shared" si="64"/>
        <v>2014</v>
      </c>
      <c r="S1364" t="str">
        <f>VLOOKUP($W1364,TBL_Categories,2,FALSE)</f>
        <v>Monthly</v>
      </c>
      <c r="T1364">
        <f>VLOOKUP($W1364,TBL_Categories,3,FALSE)</f>
        <v>0</v>
      </c>
      <c r="U1364" t="str">
        <f>VLOOKUP($W1364,TBL_Categories,4,FALSE)</f>
        <v>No</v>
      </c>
      <c r="V1364" t="str">
        <f>VLOOKUP($W1364,TBL_Categories,5,FALSE)</f>
        <v>None</v>
      </c>
      <c r="W1364" t="str">
        <f t="shared" si="65"/>
        <v>Home|Mortgage</v>
      </c>
    </row>
    <row r="1365" spans="1:23" x14ac:dyDescent="0.25">
      <c r="A1365" t="s">
        <v>633</v>
      </c>
      <c r="B1365" s="5">
        <v>41736</v>
      </c>
      <c r="C1365">
        <v>-75.56</v>
      </c>
      <c r="D1365" t="s">
        <v>304</v>
      </c>
      <c r="E1365" t="s">
        <v>717</v>
      </c>
      <c r="G1365" t="s">
        <v>333</v>
      </c>
      <c r="K1365" t="s">
        <v>61</v>
      </c>
      <c r="L1365" t="s">
        <v>1530</v>
      </c>
      <c r="Q1365" t="str">
        <f t="shared" si="63"/>
        <v>Apr</v>
      </c>
      <c r="R1365">
        <f t="shared" si="64"/>
        <v>2014</v>
      </c>
      <c r="S1365" t="str">
        <f>VLOOKUP($W1365,TBL_Categories,2,FALSE)</f>
        <v>Monthly</v>
      </c>
      <c r="T1365">
        <f>VLOOKUP($W1365,TBL_Categories,3,FALSE)</f>
        <v>0</v>
      </c>
      <c r="U1365" t="str">
        <f>VLOOKUP($W1365,TBL_Categories,4,FALSE)</f>
        <v>No</v>
      </c>
      <c r="V1365" t="str">
        <f>VLOOKUP($W1365,TBL_Categories,5,FALSE)</f>
        <v>None</v>
      </c>
      <c r="W1365" t="str">
        <f t="shared" si="65"/>
        <v>Food &amp; Dining|Restaurants</v>
      </c>
    </row>
    <row r="1366" spans="1:23" x14ac:dyDescent="0.25">
      <c r="A1366" t="s">
        <v>296</v>
      </c>
      <c r="B1366" s="5">
        <v>41736</v>
      </c>
      <c r="C1366">
        <v>-13.42</v>
      </c>
      <c r="D1366" t="s">
        <v>304</v>
      </c>
      <c r="E1366" t="s">
        <v>431</v>
      </c>
      <c r="F1366" t="s">
        <v>492</v>
      </c>
      <c r="G1366" t="s">
        <v>432</v>
      </c>
      <c r="K1366" t="s">
        <v>52</v>
      </c>
      <c r="L1366" t="s">
        <v>1577</v>
      </c>
      <c r="Q1366" t="str">
        <f t="shared" si="63"/>
        <v>Apr</v>
      </c>
      <c r="R1366">
        <f t="shared" si="64"/>
        <v>2014</v>
      </c>
      <c r="S1366" t="str">
        <f>VLOOKUP($W1366,TBL_Categories,2,FALSE)</f>
        <v>Monthly</v>
      </c>
      <c r="T1366">
        <f>VLOOKUP($W1366,TBL_Categories,3,FALSE)</f>
        <v>0</v>
      </c>
      <c r="U1366" t="str">
        <f>VLOOKUP($W1366,TBL_Categories,4,FALSE)</f>
        <v>No</v>
      </c>
      <c r="V1366" t="str">
        <f>VLOOKUP($W1366,TBL_Categories,5,FALSE)</f>
        <v>None</v>
      </c>
      <c r="W1366" t="str">
        <f t="shared" si="65"/>
        <v>Auto &amp; Transport|Parking</v>
      </c>
    </row>
    <row r="1367" spans="1:23" x14ac:dyDescent="0.25">
      <c r="A1367" t="s">
        <v>296</v>
      </c>
      <c r="B1367" s="5">
        <v>41736</v>
      </c>
      <c r="C1367">
        <v>-73.8</v>
      </c>
      <c r="D1367" t="s">
        <v>304</v>
      </c>
      <c r="E1367" t="s">
        <v>433</v>
      </c>
      <c r="F1367" t="s">
        <v>475</v>
      </c>
      <c r="G1367" t="s">
        <v>887</v>
      </c>
      <c r="J1367" t="s">
        <v>1550</v>
      </c>
      <c r="K1367" t="s">
        <v>61</v>
      </c>
      <c r="L1367" t="s">
        <v>401</v>
      </c>
      <c r="Q1367" t="str">
        <f t="shared" si="63"/>
        <v>Apr</v>
      </c>
      <c r="R1367">
        <f t="shared" si="64"/>
        <v>2014</v>
      </c>
      <c r="S1367" t="str">
        <f>VLOOKUP($W1367,TBL_Categories,2,FALSE)</f>
        <v>Monthly</v>
      </c>
      <c r="T1367">
        <f>VLOOKUP($W1367,TBL_Categories,3,FALSE)</f>
        <v>0</v>
      </c>
      <c r="U1367" t="str">
        <f>VLOOKUP($W1367,TBL_Categories,4,FALSE)</f>
        <v>No</v>
      </c>
      <c r="V1367" t="str">
        <f>VLOOKUP($W1367,TBL_Categories,5,FALSE)</f>
        <v>None</v>
      </c>
      <c r="W1367" t="str">
        <f t="shared" si="65"/>
        <v>Food &amp; Dining|Groceries</v>
      </c>
    </row>
    <row r="1368" spans="1:23" x14ac:dyDescent="0.25">
      <c r="A1368" t="s">
        <v>296</v>
      </c>
      <c r="B1368" s="5">
        <v>41735</v>
      </c>
      <c r="C1368">
        <v>-18.989999999999998</v>
      </c>
      <c r="D1368" t="s">
        <v>304</v>
      </c>
      <c r="E1368" t="s">
        <v>451</v>
      </c>
      <c r="F1368" t="s">
        <v>1082</v>
      </c>
      <c r="G1368" t="s">
        <v>341</v>
      </c>
      <c r="K1368" t="s">
        <v>72</v>
      </c>
      <c r="L1368" t="s">
        <v>1534</v>
      </c>
      <c r="Q1368" t="str">
        <f t="shared" si="63"/>
        <v>Apr</v>
      </c>
      <c r="R1368">
        <f t="shared" si="64"/>
        <v>2014</v>
      </c>
      <c r="S1368" t="str">
        <f>VLOOKUP($W1368,TBL_Categories,2,FALSE)</f>
        <v>Annual</v>
      </c>
      <c r="T1368">
        <f>VLOOKUP($W1368,TBL_Categories,3,FALSE)</f>
        <v>0</v>
      </c>
      <c r="U1368" t="str">
        <f>VLOOKUP($W1368,TBL_Categories,4,FALSE)</f>
        <v>No</v>
      </c>
      <c r="V1368" t="str">
        <f>VLOOKUP($W1368,TBL_Categories,5,FALSE)</f>
        <v>None</v>
      </c>
      <c r="W1368" t="str">
        <f t="shared" si="65"/>
        <v>Shopping|Electronics &amp; Software</v>
      </c>
    </row>
    <row r="1369" spans="1:23" x14ac:dyDescent="0.25">
      <c r="A1369" t="s">
        <v>296</v>
      </c>
      <c r="B1369" s="5">
        <v>41735</v>
      </c>
      <c r="C1369">
        <v>-54.95</v>
      </c>
      <c r="D1369" t="s">
        <v>304</v>
      </c>
      <c r="E1369" t="s">
        <v>684</v>
      </c>
      <c r="F1369" t="s">
        <v>1083</v>
      </c>
      <c r="G1369" t="s">
        <v>1030</v>
      </c>
      <c r="J1369" t="s">
        <v>274</v>
      </c>
      <c r="K1369" t="s">
        <v>73</v>
      </c>
      <c r="Q1369" t="str">
        <f t="shared" si="63"/>
        <v>Apr</v>
      </c>
      <c r="R1369">
        <f t="shared" si="64"/>
        <v>2014</v>
      </c>
      <c r="S1369" t="str">
        <f>VLOOKUP($W1369,TBL_Categories,2,FALSE)</f>
        <v>Annual</v>
      </c>
      <c r="T1369">
        <f>VLOOKUP($W1369,TBL_Categories,3,FALSE)</f>
        <v>0</v>
      </c>
      <c r="U1369" t="str">
        <f>VLOOKUP($W1369,TBL_Categories,4,FALSE)</f>
        <v>No</v>
      </c>
      <c r="V1369" t="str">
        <f>VLOOKUP($W1369,TBL_Categories,5,FALSE)</f>
        <v>None</v>
      </c>
      <c r="W1369" t="str">
        <f t="shared" si="65"/>
        <v>Subscriptions &amp; Dues</v>
      </c>
    </row>
    <row r="1370" spans="1:23" x14ac:dyDescent="0.25">
      <c r="A1370" t="s">
        <v>299</v>
      </c>
      <c r="B1370" s="5">
        <v>41735</v>
      </c>
      <c r="C1370">
        <v>352.62</v>
      </c>
      <c r="D1370" t="s">
        <v>304</v>
      </c>
      <c r="E1370" t="s">
        <v>366</v>
      </c>
      <c r="G1370" t="s">
        <v>9</v>
      </c>
      <c r="K1370" t="s">
        <v>9</v>
      </c>
      <c r="Q1370" t="str">
        <f t="shared" si="63"/>
        <v>Apr</v>
      </c>
      <c r="R1370">
        <f t="shared" si="64"/>
        <v>2014</v>
      </c>
      <c r="S1370" t="str">
        <f>VLOOKUP($W1370,TBL_Categories,2,FALSE)</f>
        <v>Account</v>
      </c>
      <c r="T1370">
        <f>VLOOKUP($W1370,TBL_Categories,3,FALSE)</f>
        <v>0</v>
      </c>
      <c r="U1370" t="str">
        <f>VLOOKUP($W1370,TBL_Categories,4,FALSE)</f>
        <v>No</v>
      </c>
      <c r="V1370" t="str">
        <f>VLOOKUP($W1370,TBL_Categories,5,FALSE)</f>
        <v>None</v>
      </c>
      <c r="W1370" t="str">
        <f t="shared" si="65"/>
        <v>[First Tech - Checking (5544)]</v>
      </c>
    </row>
    <row r="1371" spans="1:23" x14ac:dyDescent="0.25">
      <c r="A1371" t="s">
        <v>296</v>
      </c>
      <c r="B1371" s="5">
        <v>41734</v>
      </c>
      <c r="C1371">
        <v>-21.35</v>
      </c>
      <c r="D1371" t="s">
        <v>304</v>
      </c>
      <c r="E1371" t="s">
        <v>683</v>
      </c>
      <c r="F1371" t="s">
        <v>1078</v>
      </c>
      <c r="G1371" t="s">
        <v>773</v>
      </c>
      <c r="J1371" t="s">
        <v>1550</v>
      </c>
      <c r="K1371" t="s">
        <v>61</v>
      </c>
      <c r="L1371" t="s">
        <v>1530</v>
      </c>
      <c r="Q1371" t="str">
        <f t="shared" si="63"/>
        <v>Apr</v>
      </c>
      <c r="R1371">
        <f t="shared" si="64"/>
        <v>2014</v>
      </c>
      <c r="S1371" t="str">
        <f>VLOOKUP($W1371,TBL_Categories,2,FALSE)</f>
        <v>Monthly</v>
      </c>
      <c r="T1371">
        <f>VLOOKUP($W1371,TBL_Categories,3,FALSE)</f>
        <v>0</v>
      </c>
      <c r="U1371" t="str">
        <f>VLOOKUP($W1371,TBL_Categories,4,FALSE)</f>
        <v>No</v>
      </c>
      <c r="V1371" t="str">
        <f>VLOOKUP($W1371,TBL_Categories,5,FALSE)</f>
        <v>None</v>
      </c>
      <c r="W1371" t="str">
        <f t="shared" si="65"/>
        <v>Food &amp; Dining|Restaurants</v>
      </c>
    </row>
    <row r="1372" spans="1:23" x14ac:dyDescent="0.25">
      <c r="A1372" t="s">
        <v>296</v>
      </c>
      <c r="B1372" s="5">
        <v>41734</v>
      </c>
      <c r="C1372">
        <v>-63.18</v>
      </c>
      <c r="D1372" t="s">
        <v>304</v>
      </c>
      <c r="E1372" t="s">
        <v>1079</v>
      </c>
      <c r="F1372" t="s">
        <v>1080</v>
      </c>
      <c r="G1372" t="s">
        <v>458</v>
      </c>
      <c r="K1372" t="s">
        <v>52</v>
      </c>
      <c r="L1372" t="s">
        <v>1586</v>
      </c>
      <c r="Q1372" t="str">
        <f t="shared" si="63"/>
        <v>Apr</v>
      </c>
      <c r="R1372">
        <f t="shared" si="64"/>
        <v>2014</v>
      </c>
      <c r="S1372" t="str">
        <f>VLOOKUP($W1372,TBL_Categories,2,FALSE)</f>
        <v>Unplanned</v>
      </c>
      <c r="T1372">
        <f>VLOOKUP($W1372,TBL_Categories,3,FALSE)</f>
        <v>0</v>
      </c>
      <c r="U1372" t="str">
        <f>VLOOKUP($W1372,TBL_Categories,4,FALSE)</f>
        <v>No</v>
      </c>
      <c r="V1372" t="str">
        <f>VLOOKUP($W1372,TBL_Categories,5,FALSE)</f>
        <v>None</v>
      </c>
      <c r="W1372" t="str">
        <f t="shared" si="65"/>
        <v>Auto &amp; Transport|Service &amp; Parts</v>
      </c>
    </row>
    <row r="1373" spans="1:23" x14ac:dyDescent="0.25">
      <c r="A1373" t="s">
        <v>296</v>
      </c>
      <c r="B1373" s="5">
        <v>41734</v>
      </c>
      <c r="C1373">
        <v>-167.44</v>
      </c>
      <c r="D1373" t="s">
        <v>304</v>
      </c>
      <c r="E1373" t="s">
        <v>1079</v>
      </c>
      <c r="F1373" t="s">
        <v>1081</v>
      </c>
      <c r="G1373" t="s">
        <v>458</v>
      </c>
      <c r="K1373" t="s">
        <v>52</v>
      </c>
      <c r="L1373" t="s">
        <v>1586</v>
      </c>
      <c r="Q1373" t="str">
        <f t="shared" si="63"/>
        <v>Apr</v>
      </c>
      <c r="R1373">
        <f t="shared" si="64"/>
        <v>2014</v>
      </c>
      <c r="S1373" t="str">
        <f>VLOOKUP($W1373,TBL_Categories,2,FALSE)</f>
        <v>Unplanned</v>
      </c>
      <c r="T1373">
        <f>VLOOKUP($W1373,TBL_Categories,3,FALSE)</f>
        <v>0</v>
      </c>
      <c r="U1373" t="str">
        <f>VLOOKUP($W1373,TBL_Categories,4,FALSE)</f>
        <v>No</v>
      </c>
      <c r="V1373" t="str">
        <f>VLOOKUP($W1373,TBL_Categories,5,FALSE)</f>
        <v>None</v>
      </c>
      <c r="W1373" t="str">
        <f t="shared" si="65"/>
        <v>Auto &amp; Transport|Service &amp; Parts</v>
      </c>
    </row>
    <row r="1374" spans="1:23" x14ac:dyDescent="0.25">
      <c r="A1374" t="s">
        <v>288</v>
      </c>
      <c r="B1374" s="5">
        <v>41733</v>
      </c>
      <c r="C1374" s="4">
        <v>2295</v>
      </c>
      <c r="D1374" t="s">
        <v>304</v>
      </c>
      <c r="E1374" t="s">
        <v>383</v>
      </c>
      <c r="F1374" t="s">
        <v>394</v>
      </c>
      <c r="G1374" t="s">
        <v>305</v>
      </c>
      <c r="I1374" t="s">
        <v>272</v>
      </c>
      <c r="K1374" t="s">
        <v>33</v>
      </c>
      <c r="L1374" t="s">
        <v>1519</v>
      </c>
      <c r="Q1374" t="str">
        <f t="shared" si="63"/>
        <v>Apr</v>
      </c>
      <c r="R1374">
        <f t="shared" si="64"/>
        <v>2014</v>
      </c>
      <c r="S1374" t="str">
        <f>VLOOKUP($W1374,TBL_Categories,2,FALSE)</f>
        <v>Monthly</v>
      </c>
      <c r="T1374">
        <f>VLOOKUP($W1374,TBL_Categories,3,FALSE)</f>
        <v>0</v>
      </c>
      <c r="U1374" t="str">
        <f>VLOOKUP($W1374,TBL_Categories,4,FALSE)</f>
        <v>No</v>
      </c>
      <c r="V1374" t="str">
        <f>VLOOKUP($W1374,TBL_Categories,5,FALSE)</f>
        <v>None</v>
      </c>
      <c r="W1374" t="str">
        <f t="shared" si="65"/>
        <v>Business Income (Koolikai)|Rent</v>
      </c>
    </row>
    <row r="1375" spans="1:23" x14ac:dyDescent="0.25">
      <c r="A1375" t="s">
        <v>288</v>
      </c>
      <c r="B1375" s="5">
        <v>41733</v>
      </c>
      <c r="C1375">
        <v>100</v>
      </c>
      <c r="D1375" t="s">
        <v>304</v>
      </c>
      <c r="E1375" t="s">
        <v>383</v>
      </c>
      <c r="G1375" t="s">
        <v>387</v>
      </c>
      <c r="I1375" t="s">
        <v>272</v>
      </c>
      <c r="K1375" t="s">
        <v>55</v>
      </c>
      <c r="L1375" t="s">
        <v>1558</v>
      </c>
      <c r="Q1375" t="str">
        <f t="shared" si="63"/>
        <v>Apr</v>
      </c>
      <c r="R1375">
        <f t="shared" si="64"/>
        <v>2014</v>
      </c>
      <c r="S1375" t="str">
        <f>VLOOKUP($W1375,TBL_Categories,2,FALSE)</f>
        <v>Monthly</v>
      </c>
      <c r="T1375">
        <f>VLOOKUP($W1375,TBL_Categories,3,FALSE)</f>
        <v>0</v>
      </c>
      <c r="U1375" t="str">
        <f>VLOOKUP($W1375,TBL_Categories,4,FALSE)</f>
        <v>No</v>
      </c>
      <c r="V1375" t="str">
        <f>VLOOKUP($W1375,TBL_Categories,5,FALSE)</f>
        <v>None</v>
      </c>
      <c r="W1375" t="str">
        <f t="shared" si="65"/>
        <v>Business Expenses (Koolikai)|Utilities (Business)</v>
      </c>
    </row>
    <row r="1376" spans="1:23" x14ac:dyDescent="0.25">
      <c r="A1376" t="s">
        <v>296</v>
      </c>
      <c r="B1376" s="5">
        <v>41733</v>
      </c>
      <c r="C1376">
        <v>-4.92</v>
      </c>
      <c r="D1376" t="s">
        <v>304</v>
      </c>
      <c r="E1376" t="s">
        <v>465</v>
      </c>
      <c r="F1376" t="s">
        <v>545</v>
      </c>
      <c r="G1376" t="s">
        <v>333</v>
      </c>
      <c r="K1376" t="s">
        <v>61</v>
      </c>
      <c r="L1376" t="s">
        <v>1530</v>
      </c>
      <c r="Q1376" t="str">
        <f t="shared" si="63"/>
        <v>Apr</v>
      </c>
      <c r="R1376">
        <f t="shared" si="64"/>
        <v>2014</v>
      </c>
      <c r="S1376" t="str">
        <f>VLOOKUP($W1376,TBL_Categories,2,FALSE)</f>
        <v>Monthly</v>
      </c>
      <c r="T1376">
        <f>VLOOKUP($W1376,TBL_Categories,3,FALSE)</f>
        <v>0</v>
      </c>
      <c r="U1376" t="str">
        <f>VLOOKUP($W1376,TBL_Categories,4,FALSE)</f>
        <v>No</v>
      </c>
      <c r="V1376" t="str">
        <f>VLOOKUP($W1376,TBL_Categories,5,FALSE)</f>
        <v>None</v>
      </c>
      <c r="W1376" t="str">
        <f t="shared" si="65"/>
        <v>Food &amp; Dining|Restaurants</v>
      </c>
    </row>
    <row r="1377" spans="1:23" x14ac:dyDescent="0.25">
      <c r="A1377" t="s">
        <v>296</v>
      </c>
      <c r="B1377" s="5">
        <v>41733</v>
      </c>
      <c r="C1377">
        <v>-8.1999999999999993</v>
      </c>
      <c r="D1377" t="s">
        <v>304</v>
      </c>
      <c r="E1377" t="s">
        <v>465</v>
      </c>
      <c r="F1377" t="s">
        <v>545</v>
      </c>
      <c r="G1377" t="s">
        <v>333</v>
      </c>
      <c r="K1377" t="s">
        <v>61</v>
      </c>
      <c r="L1377" t="s">
        <v>1530</v>
      </c>
      <c r="Q1377" t="str">
        <f t="shared" si="63"/>
        <v>Apr</v>
      </c>
      <c r="R1377">
        <f t="shared" si="64"/>
        <v>2014</v>
      </c>
      <c r="S1377" t="str">
        <f>VLOOKUP($W1377,TBL_Categories,2,FALSE)</f>
        <v>Monthly</v>
      </c>
      <c r="T1377">
        <f>VLOOKUP($W1377,TBL_Categories,3,FALSE)</f>
        <v>0</v>
      </c>
      <c r="U1377" t="str">
        <f>VLOOKUP($W1377,TBL_Categories,4,FALSE)</f>
        <v>No</v>
      </c>
      <c r="V1377" t="str">
        <f>VLOOKUP($W1377,TBL_Categories,5,FALSE)</f>
        <v>None</v>
      </c>
      <c r="W1377" t="str">
        <f t="shared" si="65"/>
        <v>Food &amp; Dining|Restaurants</v>
      </c>
    </row>
    <row r="1378" spans="1:23" x14ac:dyDescent="0.25">
      <c r="A1378" t="s">
        <v>296</v>
      </c>
      <c r="B1378" s="5">
        <v>41733</v>
      </c>
      <c r="C1378">
        <v>-12</v>
      </c>
      <c r="D1378" t="s">
        <v>304</v>
      </c>
      <c r="E1378" t="s">
        <v>1074</v>
      </c>
      <c r="F1378" t="s">
        <v>1075</v>
      </c>
      <c r="G1378" t="s">
        <v>357</v>
      </c>
      <c r="K1378" t="s">
        <v>63</v>
      </c>
      <c r="L1378" t="s">
        <v>1546</v>
      </c>
      <c r="Q1378" t="str">
        <f t="shared" si="63"/>
        <v>Apr</v>
      </c>
      <c r="R1378">
        <f t="shared" si="64"/>
        <v>2014</v>
      </c>
      <c r="S1378" t="str">
        <f>VLOOKUP($W1378,TBL_Categories,2,FALSE)</f>
        <v>Monthly</v>
      </c>
      <c r="T1378">
        <f>VLOOKUP($W1378,TBL_Categories,3,FALSE)</f>
        <v>0</v>
      </c>
      <c r="U1378" t="str">
        <f>VLOOKUP($W1378,TBL_Categories,4,FALSE)</f>
        <v>No</v>
      </c>
      <c r="V1378" t="str">
        <f>VLOOKUP($W1378,TBL_Categories,5,FALSE)</f>
        <v>None</v>
      </c>
      <c r="W1378" t="str">
        <f t="shared" si="65"/>
        <v>Home|Furnishings</v>
      </c>
    </row>
    <row r="1379" spans="1:23" x14ac:dyDescent="0.25">
      <c r="A1379" t="s">
        <v>296</v>
      </c>
      <c r="B1379" s="5">
        <v>41733</v>
      </c>
      <c r="C1379">
        <v>-12</v>
      </c>
      <c r="D1379" t="s">
        <v>304</v>
      </c>
      <c r="E1379" t="s">
        <v>1074</v>
      </c>
      <c r="F1379" t="s">
        <v>1075</v>
      </c>
      <c r="G1379" t="s">
        <v>357</v>
      </c>
      <c r="K1379" t="s">
        <v>63</v>
      </c>
      <c r="L1379" t="s">
        <v>1546</v>
      </c>
      <c r="Q1379" t="str">
        <f t="shared" si="63"/>
        <v>Apr</v>
      </c>
      <c r="R1379">
        <f t="shared" si="64"/>
        <v>2014</v>
      </c>
      <c r="S1379" t="str">
        <f>VLOOKUP($W1379,TBL_Categories,2,FALSE)</f>
        <v>Monthly</v>
      </c>
      <c r="T1379">
        <f>VLOOKUP($W1379,TBL_Categories,3,FALSE)</f>
        <v>0</v>
      </c>
      <c r="U1379" t="str">
        <f>VLOOKUP($W1379,TBL_Categories,4,FALSE)</f>
        <v>No</v>
      </c>
      <c r="V1379" t="str">
        <f>VLOOKUP($W1379,TBL_Categories,5,FALSE)</f>
        <v>None</v>
      </c>
      <c r="W1379" t="str">
        <f t="shared" si="65"/>
        <v>Home|Furnishings</v>
      </c>
    </row>
    <row r="1380" spans="1:23" x14ac:dyDescent="0.25">
      <c r="A1380" t="s">
        <v>296</v>
      </c>
      <c r="B1380" s="5">
        <v>41733</v>
      </c>
      <c r="C1380">
        <v>-13.43</v>
      </c>
      <c r="D1380" t="s">
        <v>304</v>
      </c>
      <c r="E1380" t="s">
        <v>431</v>
      </c>
      <c r="F1380" t="s">
        <v>1068</v>
      </c>
      <c r="G1380" t="s">
        <v>432</v>
      </c>
      <c r="K1380" t="s">
        <v>52</v>
      </c>
      <c r="L1380" t="s">
        <v>1577</v>
      </c>
      <c r="Q1380" t="str">
        <f t="shared" si="63"/>
        <v>Apr</v>
      </c>
      <c r="R1380">
        <f t="shared" si="64"/>
        <v>2014</v>
      </c>
      <c r="S1380" t="str">
        <f>VLOOKUP($W1380,TBL_Categories,2,FALSE)</f>
        <v>Monthly</v>
      </c>
      <c r="T1380">
        <f>VLOOKUP($W1380,TBL_Categories,3,FALSE)</f>
        <v>0</v>
      </c>
      <c r="U1380" t="str">
        <f>VLOOKUP($W1380,TBL_Categories,4,FALSE)</f>
        <v>No</v>
      </c>
      <c r="V1380" t="str">
        <f>VLOOKUP($W1380,TBL_Categories,5,FALSE)</f>
        <v>None</v>
      </c>
      <c r="W1380" t="str">
        <f t="shared" si="65"/>
        <v>Auto &amp; Transport|Parking</v>
      </c>
    </row>
    <row r="1381" spans="1:23" x14ac:dyDescent="0.25">
      <c r="A1381" t="s">
        <v>296</v>
      </c>
      <c r="B1381" s="5">
        <v>41733</v>
      </c>
      <c r="C1381">
        <v>-25</v>
      </c>
      <c r="D1381" t="s">
        <v>304</v>
      </c>
      <c r="E1381" t="s">
        <v>433</v>
      </c>
      <c r="F1381" t="s">
        <v>475</v>
      </c>
      <c r="G1381" t="s">
        <v>887</v>
      </c>
      <c r="J1381" t="s">
        <v>1550</v>
      </c>
      <c r="K1381" t="s">
        <v>61</v>
      </c>
      <c r="L1381" t="s">
        <v>401</v>
      </c>
      <c r="Q1381" t="str">
        <f t="shared" si="63"/>
        <v>Apr</v>
      </c>
      <c r="R1381">
        <f t="shared" si="64"/>
        <v>2014</v>
      </c>
      <c r="S1381" t="str">
        <f>VLOOKUP($W1381,TBL_Categories,2,FALSE)</f>
        <v>Monthly</v>
      </c>
      <c r="T1381">
        <f>VLOOKUP($W1381,TBL_Categories,3,FALSE)</f>
        <v>0</v>
      </c>
      <c r="U1381" t="str">
        <f>VLOOKUP($W1381,TBL_Categories,4,FALSE)</f>
        <v>No</v>
      </c>
      <c r="V1381" t="str">
        <f>VLOOKUP($W1381,TBL_Categories,5,FALSE)</f>
        <v>None</v>
      </c>
      <c r="W1381" t="str">
        <f t="shared" si="65"/>
        <v>Food &amp; Dining|Groceries</v>
      </c>
    </row>
    <row r="1382" spans="1:23" x14ac:dyDescent="0.25">
      <c r="A1382" t="s">
        <v>296</v>
      </c>
      <c r="B1382" s="5">
        <v>41733</v>
      </c>
      <c r="C1382">
        <v>-27.38</v>
      </c>
      <c r="D1382" t="s">
        <v>304</v>
      </c>
      <c r="E1382" t="s">
        <v>720</v>
      </c>
      <c r="F1382" t="s">
        <v>1076</v>
      </c>
      <c r="G1382" t="s">
        <v>20</v>
      </c>
      <c r="K1382" t="s">
        <v>20</v>
      </c>
      <c r="Q1382" t="str">
        <f t="shared" si="63"/>
        <v>Apr</v>
      </c>
      <c r="R1382">
        <f t="shared" si="64"/>
        <v>2014</v>
      </c>
      <c r="S1382" t="str">
        <f>VLOOKUP($W1382,TBL_Categories,2,FALSE)</f>
        <v>Monthly</v>
      </c>
      <c r="T1382">
        <f>VLOOKUP($W1382,TBL_Categories,3,FALSE)</f>
        <v>0</v>
      </c>
      <c r="U1382" t="str">
        <f>VLOOKUP($W1382,TBL_Categories,4,FALSE)</f>
        <v>No</v>
      </c>
      <c r="V1382" t="str">
        <f>VLOOKUP($W1382,TBL_Categories,5,FALSE)</f>
        <v>None</v>
      </c>
      <c r="W1382" t="str">
        <f t="shared" si="65"/>
        <v>Gifts</v>
      </c>
    </row>
    <row r="1383" spans="1:23" x14ac:dyDescent="0.25">
      <c r="A1383" t="s">
        <v>296</v>
      </c>
      <c r="B1383" s="5">
        <v>41733</v>
      </c>
      <c r="C1383">
        <v>-27.95</v>
      </c>
      <c r="D1383" t="s">
        <v>304</v>
      </c>
      <c r="E1383" t="s">
        <v>1074</v>
      </c>
      <c r="F1383" t="s">
        <v>1075</v>
      </c>
      <c r="G1383" t="s">
        <v>357</v>
      </c>
      <c r="K1383" t="s">
        <v>63</v>
      </c>
      <c r="L1383" t="s">
        <v>1546</v>
      </c>
      <c r="Q1383" t="str">
        <f t="shared" si="63"/>
        <v>Apr</v>
      </c>
      <c r="R1383">
        <f t="shared" si="64"/>
        <v>2014</v>
      </c>
      <c r="S1383" t="str">
        <f>VLOOKUP($W1383,TBL_Categories,2,FALSE)</f>
        <v>Monthly</v>
      </c>
      <c r="T1383">
        <f>VLOOKUP($W1383,TBL_Categories,3,FALSE)</f>
        <v>0</v>
      </c>
      <c r="U1383" t="str">
        <f>VLOOKUP($W1383,TBL_Categories,4,FALSE)</f>
        <v>No</v>
      </c>
      <c r="V1383" t="str">
        <f>VLOOKUP($W1383,TBL_Categories,5,FALSE)</f>
        <v>None</v>
      </c>
      <c r="W1383" t="str">
        <f t="shared" si="65"/>
        <v>Home|Furnishings</v>
      </c>
    </row>
    <row r="1384" spans="1:23" x14ac:dyDescent="0.25">
      <c r="A1384" t="s">
        <v>296</v>
      </c>
      <c r="B1384" s="5">
        <v>41733</v>
      </c>
      <c r="C1384">
        <v>-34.86</v>
      </c>
      <c r="D1384" t="s">
        <v>304</v>
      </c>
      <c r="E1384" t="s">
        <v>1077</v>
      </c>
      <c r="F1384" t="s">
        <v>1672</v>
      </c>
      <c r="G1384" t="s">
        <v>940</v>
      </c>
      <c r="K1384" t="s">
        <v>29</v>
      </c>
      <c r="L1384" t="s">
        <v>1573</v>
      </c>
      <c r="O1384" t="s">
        <v>1671</v>
      </c>
      <c r="Q1384" t="str">
        <f t="shared" si="63"/>
        <v>Apr</v>
      </c>
      <c r="R1384">
        <f t="shared" si="64"/>
        <v>2014</v>
      </c>
      <c r="S1384" t="str">
        <f>VLOOKUP($W1384,TBL_Categories,2,FALSE)</f>
        <v>Irregular</v>
      </c>
      <c r="T1384">
        <f>VLOOKUP($W1384,TBL_Categories,3,FALSE)</f>
        <v>0</v>
      </c>
      <c r="U1384" t="str">
        <f>VLOOKUP($W1384,TBL_Categories,4,FALSE)</f>
        <v>No</v>
      </c>
      <c r="V1384" t="str">
        <f>VLOOKUP($W1384,TBL_Categories,5,FALSE)</f>
        <v>None</v>
      </c>
      <c r="W1384" t="str">
        <f t="shared" si="65"/>
        <v>Work Expense|Reimbursable expense</v>
      </c>
    </row>
    <row r="1385" spans="1:23" x14ac:dyDescent="0.25">
      <c r="A1385" t="s">
        <v>284</v>
      </c>
      <c r="B1385" s="5">
        <v>41732</v>
      </c>
      <c r="C1385">
        <v>-115</v>
      </c>
      <c r="D1385" t="s">
        <v>304</v>
      </c>
      <c r="E1385" t="s">
        <v>325</v>
      </c>
      <c r="F1385" t="s">
        <v>351</v>
      </c>
      <c r="G1385" t="s">
        <v>326</v>
      </c>
      <c r="K1385" t="s">
        <v>63</v>
      </c>
      <c r="L1385" t="s">
        <v>1528</v>
      </c>
      <c r="Q1385" t="str">
        <f t="shared" si="63"/>
        <v>Apr</v>
      </c>
      <c r="R1385">
        <f t="shared" si="64"/>
        <v>2014</v>
      </c>
      <c r="S1385" t="str">
        <f>VLOOKUP($W1385,TBL_Categories,2,FALSE)</f>
        <v>Monthly</v>
      </c>
      <c r="T1385">
        <f>VLOOKUP($W1385,TBL_Categories,3,FALSE)</f>
        <v>0</v>
      </c>
      <c r="U1385" t="str">
        <f>VLOOKUP($W1385,TBL_Categories,4,FALSE)</f>
        <v>No</v>
      </c>
      <c r="V1385" t="str">
        <f>VLOOKUP($W1385,TBL_Categories,5,FALSE)</f>
        <v>None</v>
      </c>
      <c r="W1385" t="str">
        <f t="shared" si="65"/>
        <v>Home|Home Services</v>
      </c>
    </row>
    <row r="1386" spans="1:23" x14ac:dyDescent="0.25">
      <c r="A1386" t="s">
        <v>284</v>
      </c>
      <c r="B1386" s="5">
        <v>41732</v>
      </c>
      <c r="C1386">
        <v>-500</v>
      </c>
      <c r="D1386" t="s">
        <v>304</v>
      </c>
      <c r="E1386" t="s">
        <v>338</v>
      </c>
      <c r="F1386" t="s">
        <v>339</v>
      </c>
      <c r="G1386" t="s">
        <v>340</v>
      </c>
      <c r="K1386" t="s">
        <v>66</v>
      </c>
      <c r="L1386" t="s">
        <v>1533</v>
      </c>
      <c r="Q1386" t="str">
        <f t="shared" si="63"/>
        <v>Apr</v>
      </c>
      <c r="R1386">
        <f t="shared" si="64"/>
        <v>2014</v>
      </c>
      <c r="S1386" t="str">
        <f>VLOOKUP($W1386,TBL_Categories,2,FALSE)</f>
        <v>Monthly</v>
      </c>
      <c r="T1386">
        <f>VLOOKUP($W1386,TBL_Categories,3,FALSE)</f>
        <v>0</v>
      </c>
      <c r="U1386" t="str">
        <f>VLOOKUP($W1386,TBL_Categories,4,FALSE)</f>
        <v>No</v>
      </c>
      <c r="V1386" t="str">
        <f>VLOOKUP($W1386,TBL_Categories,5,FALSE)</f>
        <v>None</v>
      </c>
      <c r="W1386" t="str">
        <f t="shared" si="65"/>
        <v>Kids|American Funds 529A</v>
      </c>
    </row>
    <row r="1387" spans="1:23" x14ac:dyDescent="0.25">
      <c r="A1387" t="s">
        <v>290</v>
      </c>
      <c r="B1387" s="5">
        <v>41732</v>
      </c>
      <c r="C1387">
        <v>-34.770000000000003</v>
      </c>
      <c r="D1387" t="s">
        <v>304</v>
      </c>
      <c r="E1387" t="s">
        <v>400</v>
      </c>
      <c r="G1387" t="s">
        <v>887</v>
      </c>
      <c r="J1387" t="s">
        <v>1550</v>
      </c>
      <c r="K1387" t="s">
        <v>61</v>
      </c>
      <c r="L1387" t="s">
        <v>401</v>
      </c>
      <c r="Q1387" t="str">
        <f t="shared" si="63"/>
        <v>Apr</v>
      </c>
      <c r="R1387">
        <f t="shared" si="64"/>
        <v>2014</v>
      </c>
      <c r="S1387" t="str">
        <f>VLOOKUP($W1387,TBL_Categories,2,FALSE)</f>
        <v>Monthly</v>
      </c>
      <c r="T1387">
        <f>VLOOKUP($W1387,TBL_Categories,3,FALSE)</f>
        <v>0</v>
      </c>
      <c r="U1387" t="str">
        <f>VLOOKUP($W1387,TBL_Categories,4,FALSE)</f>
        <v>No</v>
      </c>
      <c r="V1387" t="str">
        <f>VLOOKUP($W1387,TBL_Categories,5,FALSE)</f>
        <v>None</v>
      </c>
      <c r="W1387" t="str">
        <f t="shared" si="65"/>
        <v>Food &amp; Dining|Groceries</v>
      </c>
    </row>
    <row r="1388" spans="1:23" x14ac:dyDescent="0.25">
      <c r="A1388" t="s">
        <v>290</v>
      </c>
      <c r="B1388" s="5">
        <v>41732</v>
      </c>
      <c r="C1388">
        <v>-181.31</v>
      </c>
      <c r="D1388" t="s">
        <v>304</v>
      </c>
      <c r="E1388" t="s">
        <v>400</v>
      </c>
      <c r="F1388" t="s">
        <v>1670</v>
      </c>
      <c r="G1388" t="s">
        <v>940</v>
      </c>
      <c r="K1388" t="s">
        <v>29</v>
      </c>
      <c r="L1388" t="s">
        <v>1573</v>
      </c>
      <c r="O1388" t="s">
        <v>1671</v>
      </c>
      <c r="Q1388" t="str">
        <f t="shared" si="63"/>
        <v>Apr</v>
      </c>
      <c r="R1388">
        <f t="shared" si="64"/>
        <v>2014</v>
      </c>
      <c r="S1388" t="str">
        <f>VLOOKUP($W1388,TBL_Categories,2,FALSE)</f>
        <v>Irregular</v>
      </c>
      <c r="T1388">
        <f>VLOOKUP($W1388,TBL_Categories,3,FALSE)</f>
        <v>0</v>
      </c>
      <c r="U1388" t="str">
        <f>VLOOKUP($W1388,TBL_Categories,4,FALSE)</f>
        <v>No</v>
      </c>
      <c r="V1388" t="str">
        <f>VLOOKUP($W1388,TBL_Categories,5,FALSE)</f>
        <v>None</v>
      </c>
      <c r="W1388" t="str">
        <f t="shared" si="65"/>
        <v>Work Expense|Reimbursable expense</v>
      </c>
    </row>
    <row r="1389" spans="1:23" x14ac:dyDescent="0.25">
      <c r="A1389" t="s">
        <v>296</v>
      </c>
      <c r="B1389" s="5">
        <v>41732</v>
      </c>
      <c r="C1389">
        <v>-3.25</v>
      </c>
      <c r="D1389" t="s">
        <v>304</v>
      </c>
      <c r="E1389" t="s">
        <v>612</v>
      </c>
      <c r="F1389" t="s">
        <v>628</v>
      </c>
      <c r="G1389" t="s">
        <v>333</v>
      </c>
      <c r="K1389" t="s">
        <v>61</v>
      </c>
      <c r="L1389" t="s">
        <v>1530</v>
      </c>
      <c r="Q1389" t="str">
        <f t="shared" si="63"/>
        <v>Apr</v>
      </c>
      <c r="R1389">
        <f t="shared" si="64"/>
        <v>2014</v>
      </c>
      <c r="S1389" t="str">
        <f>VLOOKUP($W1389,TBL_Categories,2,FALSE)</f>
        <v>Monthly</v>
      </c>
      <c r="T1389">
        <f>VLOOKUP($W1389,TBL_Categories,3,FALSE)</f>
        <v>0</v>
      </c>
      <c r="U1389" t="str">
        <f>VLOOKUP($W1389,TBL_Categories,4,FALSE)</f>
        <v>No</v>
      </c>
      <c r="V1389" t="str">
        <f>VLOOKUP($W1389,TBL_Categories,5,FALSE)</f>
        <v>None</v>
      </c>
      <c r="W1389" t="str">
        <f t="shared" si="65"/>
        <v>Food &amp; Dining|Restaurants</v>
      </c>
    </row>
    <row r="1390" spans="1:23" x14ac:dyDescent="0.25">
      <c r="A1390" t="s">
        <v>296</v>
      </c>
      <c r="B1390" s="5">
        <v>41732</v>
      </c>
      <c r="C1390">
        <v>-10</v>
      </c>
      <c r="D1390" t="s">
        <v>304</v>
      </c>
      <c r="E1390" t="s">
        <v>426</v>
      </c>
      <c r="F1390" t="s">
        <v>487</v>
      </c>
      <c r="G1390" t="s">
        <v>1059</v>
      </c>
      <c r="J1390" t="s">
        <v>1550</v>
      </c>
      <c r="K1390" t="s">
        <v>62</v>
      </c>
      <c r="L1390" t="s">
        <v>1592</v>
      </c>
      <c r="Q1390" t="str">
        <f t="shared" si="63"/>
        <v>Apr</v>
      </c>
      <c r="R1390">
        <f t="shared" si="64"/>
        <v>2014</v>
      </c>
      <c r="S1390" t="str">
        <f>VLOOKUP($W1390,TBL_Categories,2,FALSE)</f>
        <v>Irregular</v>
      </c>
      <c r="T1390">
        <f>VLOOKUP($W1390,TBL_Categories,3,FALSE)</f>
        <v>0</v>
      </c>
      <c r="U1390" t="str">
        <f>VLOOKUP($W1390,TBL_Categories,4,FALSE)</f>
        <v>No</v>
      </c>
      <c r="V1390" t="str">
        <f>VLOOKUP($W1390,TBL_Categories,5,FALSE)</f>
        <v>None</v>
      </c>
      <c r="W1390" t="str">
        <f t="shared" si="65"/>
        <v>Health &amp; Fitness|Pharmacy</v>
      </c>
    </row>
    <row r="1391" spans="1:23" x14ac:dyDescent="0.25">
      <c r="A1391" t="s">
        <v>296</v>
      </c>
      <c r="B1391" s="5">
        <v>41732</v>
      </c>
      <c r="C1391">
        <v>-10.95</v>
      </c>
      <c r="D1391" t="s">
        <v>304</v>
      </c>
      <c r="E1391" t="s">
        <v>433</v>
      </c>
      <c r="F1391" t="s">
        <v>475</v>
      </c>
      <c r="G1391" t="s">
        <v>887</v>
      </c>
      <c r="J1391" t="s">
        <v>1550</v>
      </c>
      <c r="K1391" t="s">
        <v>61</v>
      </c>
      <c r="L1391" t="s">
        <v>401</v>
      </c>
      <c r="Q1391" t="str">
        <f t="shared" si="63"/>
        <v>Apr</v>
      </c>
      <c r="R1391">
        <f t="shared" si="64"/>
        <v>2014</v>
      </c>
      <c r="S1391" t="str">
        <f>VLOOKUP($W1391,TBL_Categories,2,FALSE)</f>
        <v>Monthly</v>
      </c>
      <c r="T1391">
        <f>VLOOKUP($W1391,TBL_Categories,3,FALSE)</f>
        <v>0</v>
      </c>
      <c r="U1391" t="str">
        <f>VLOOKUP($W1391,TBL_Categories,4,FALSE)</f>
        <v>No</v>
      </c>
      <c r="V1391" t="str">
        <f>VLOOKUP($W1391,TBL_Categories,5,FALSE)</f>
        <v>None</v>
      </c>
      <c r="W1391" t="str">
        <f t="shared" si="65"/>
        <v>Food &amp; Dining|Groceries</v>
      </c>
    </row>
    <row r="1392" spans="1:23" x14ac:dyDescent="0.25">
      <c r="A1392" t="s">
        <v>296</v>
      </c>
      <c r="B1392" s="5">
        <v>41732</v>
      </c>
      <c r="C1392">
        <v>-100</v>
      </c>
      <c r="D1392" t="s">
        <v>304</v>
      </c>
      <c r="E1392" t="s">
        <v>331</v>
      </c>
      <c r="F1392" t="s">
        <v>628</v>
      </c>
      <c r="G1392" t="s">
        <v>773</v>
      </c>
      <c r="J1392" t="s">
        <v>1550</v>
      </c>
      <c r="K1392" t="s">
        <v>61</v>
      </c>
      <c r="L1392" t="s">
        <v>1530</v>
      </c>
      <c r="Q1392" t="str">
        <f t="shared" si="63"/>
        <v>Apr</v>
      </c>
      <c r="R1392">
        <f t="shared" si="64"/>
        <v>2014</v>
      </c>
      <c r="S1392" t="str">
        <f>VLOOKUP($W1392,TBL_Categories,2,FALSE)</f>
        <v>Monthly</v>
      </c>
      <c r="T1392">
        <f>VLOOKUP($W1392,TBL_Categories,3,FALSE)</f>
        <v>0</v>
      </c>
      <c r="U1392" t="str">
        <f>VLOOKUP($W1392,TBL_Categories,4,FALSE)</f>
        <v>No</v>
      </c>
      <c r="V1392" t="str">
        <f>VLOOKUP($W1392,TBL_Categories,5,FALSE)</f>
        <v>None</v>
      </c>
      <c r="W1392" t="str">
        <f t="shared" si="65"/>
        <v>Food &amp; Dining|Restaurants</v>
      </c>
    </row>
    <row r="1393" spans="1:23" x14ac:dyDescent="0.25">
      <c r="A1393" t="s">
        <v>284</v>
      </c>
      <c r="B1393" s="5">
        <v>41731</v>
      </c>
      <c r="C1393" s="4">
        <v>-2033.91</v>
      </c>
      <c r="D1393" t="s">
        <v>304</v>
      </c>
      <c r="E1393" t="s">
        <v>318</v>
      </c>
      <c r="F1393" t="s">
        <v>378</v>
      </c>
      <c r="G1393" t="s">
        <v>379</v>
      </c>
      <c r="J1393">
        <v>9602</v>
      </c>
      <c r="K1393" t="s">
        <v>55</v>
      </c>
      <c r="L1393" t="s">
        <v>1525</v>
      </c>
      <c r="Q1393" t="str">
        <f t="shared" si="63"/>
        <v>Apr</v>
      </c>
      <c r="R1393">
        <f t="shared" si="64"/>
        <v>2014</v>
      </c>
      <c r="S1393" t="str">
        <f>VLOOKUP($W1393,TBL_Categories,2,FALSE)</f>
        <v>Monthly</v>
      </c>
      <c r="T1393">
        <f>VLOOKUP($W1393,TBL_Categories,3,FALSE)</f>
        <v>0</v>
      </c>
      <c r="U1393" t="str">
        <f>VLOOKUP($W1393,TBL_Categories,4,FALSE)</f>
        <v>No</v>
      </c>
      <c r="V1393" t="str">
        <f>VLOOKUP($W1393,TBL_Categories,5,FALSE)</f>
        <v>None</v>
      </c>
      <c r="W1393" t="str">
        <f t="shared" si="65"/>
        <v>Business Expenses (Koolikai)|Mortgage (Business)</v>
      </c>
    </row>
    <row r="1394" spans="1:23" x14ac:dyDescent="0.25">
      <c r="A1394" t="s">
        <v>284</v>
      </c>
      <c r="B1394" s="5">
        <v>41731</v>
      </c>
      <c r="C1394" s="4">
        <v>-3517.65</v>
      </c>
      <c r="D1394" t="s">
        <v>304</v>
      </c>
      <c r="E1394" t="s">
        <v>318</v>
      </c>
      <c r="F1394" t="s">
        <v>378</v>
      </c>
      <c r="G1394" t="s">
        <v>380</v>
      </c>
      <c r="J1394">
        <v>7231</v>
      </c>
      <c r="K1394" t="s">
        <v>55</v>
      </c>
      <c r="L1394" t="s">
        <v>1525</v>
      </c>
      <c r="Q1394" t="str">
        <f t="shared" si="63"/>
        <v>Apr</v>
      </c>
      <c r="R1394">
        <f t="shared" si="64"/>
        <v>2014</v>
      </c>
      <c r="S1394" t="str">
        <f>VLOOKUP($W1394,TBL_Categories,2,FALSE)</f>
        <v>Monthly</v>
      </c>
      <c r="T1394">
        <f>VLOOKUP($W1394,TBL_Categories,3,FALSE)</f>
        <v>0</v>
      </c>
      <c r="U1394" t="str">
        <f>VLOOKUP($W1394,TBL_Categories,4,FALSE)</f>
        <v>No</v>
      </c>
      <c r="V1394" t="str">
        <f>VLOOKUP($W1394,TBL_Categories,5,FALSE)</f>
        <v>None</v>
      </c>
      <c r="W1394" t="str">
        <f t="shared" si="65"/>
        <v>Business Expenses (Koolikai)|Mortgage (Business)</v>
      </c>
    </row>
    <row r="1395" spans="1:23" x14ac:dyDescent="0.25">
      <c r="A1395" t="s">
        <v>284</v>
      </c>
      <c r="B1395" s="5">
        <v>41731</v>
      </c>
      <c r="C1395" s="4">
        <v>-6892.04</v>
      </c>
      <c r="D1395" t="s">
        <v>304</v>
      </c>
      <c r="E1395" t="s">
        <v>321</v>
      </c>
      <c r="G1395" t="s">
        <v>13</v>
      </c>
      <c r="K1395" t="s">
        <v>13</v>
      </c>
      <c r="Q1395" t="str">
        <f t="shared" si="63"/>
        <v>Apr</v>
      </c>
      <c r="R1395">
        <f t="shared" si="64"/>
        <v>2014</v>
      </c>
      <c r="S1395" t="str">
        <f>VLOOKUP($W1395,TBL_Categories,2,FALSE)</f>
        <v>Account</v>
      </c>
      <c r="T1395">
        <f>VLOOKUP($W1395,TBL_Categories,3,FALSE)</f>
        <v>0</v>
      </c>
      <c r="U1395" t="str">
        <f>VLOOKUP($W1395,TBL_Categories,4,FALSE)</f>
        <v>No</v>
      </c>
      <c r="V1395" t="str">
        <f>VLOOKUP($W1395,TBL_Categories,5,FALSE)</f>
        <v>None</v>
      </c>
      <c r="W1395" t="str">
        <f t="shared" si="65"/>
        <v>[MasterCard (Capital One)]</v>
      </c>
    </row>
    <row r="1396" spans="1:23" x14ac:dyDescent="0.25">
      <c r="A1396" t="s">
        <v>296</v>
      </c>
      <c r="B1396" s="5">
        <v>41731</v>
      </c>
      <c r="C1396" s="4">
        <v>6892.04</v>
      </c>
      <c r="D1396" t="s">
        <v>304</v>
      </c>
      <c r="E1396" t="s">
        <v>321</v>
      </c>
      <c r="G1396" t="s">
        <v>9</v>
      </c>
      <c r="K1396" t="s">
        <v>9</v>
      </c>
      <c r="Q1396" t="str">
        <f t="shared" si="63"/>
        <v>Apr</v>
      </c>
      <c r="R1396">
        <f t="shared" si="64"/>
        <v>2014</v>
      </c>
      <c r="S1396" t="str">
        <f>VLOOKUP($W1396,TBL_Categories,2,FALSE)</f>
        <v>Account</v>
      </c>
      <c r="T1396">
        <f>VLOOKUP($W1396,TBL_Categories,3,FALSE)</f>
        <v>0</v>
      </c>
      <c r="U1396" t="str">
        <f>VLOOKUP($W1396,TBL_Categories,4,FALSE)</f>
        <v>No</v>
      </c>
      <c r="V1396" t="str">
        <f>VLOOKUP($W1396,TBL_Categories,5,FALSE)</f>
        <v>None</v>
      </c>
      <c r="W1396" t="str">
        <f t="shared" si="65"/>
        <v>[First Tech - Checking (5544)]</v>
      </c>
    </row>
    <row r="1397" spans="1:23" x14ac:dyDescent="0.25">
      <c r="A1397" t="s">
        <v>296</v>
      </c>
      <c r="B1397" s="5">
        <v>41731</v>
      </c>
      <c r="C1397">
        <v>-22.03</v>
      </c>
      <c r="D1397" t="s">
        <v>304</v>
      </c>
      <c r="E1397" t="s">
        <v>443</v>
      </c>
      <c r="F1397" t="s">
        <v>484</v>
      </c>
      <c r="G1397" t="s">
        <v>444</v>
      </c>
      <c r="I1397" t="s">
        <v>272</v>
      </c>
      <c r="K1397" t="s">
        <v>54</v>
      </c>
      <c r="L1397" t="s">
        <v>1581</v>
      </c>
      <c r="Q1397" t="str">
        <f t="shared" si="63"/>
        <v>Apr</v>
      </c>
      <c r="R1397">
        <f t="shared" si="64"/>
        <v>2014</v>
      </c>
      <c r="S1397" t="str">
        <f>VLOOKUP($W1397,TBL_Categories,2,FALSE)</f>
        <v>Monthly</v>
      </c>
      <c r="T1397">
        <f>VLOOKUP($W1397,TBL_Categories,3,FALSE)</f>
        <v>0</v>
      </c>
      <c r="U1397" t="str">
        <f>VLOOKUP($W1397,TBL_Categories,4,FALSE)</f>
        <v>No</v>
      </c>
      <c r="V1397" t="str">
        <f>VLOOKUP($W1397,TBL_Categories,5,FALSE)</f>
        <v>None</v>
      </c>
      <c r="W1397" t="str">
        <f t="shared" si="65"/>
        <v>Bills &amp; Utilities|Television</v>
      </c>
    </row>
    <row r="1398" spans="1:23" x14ac:dyDescent="0.25">
      <c r="A1398" t="s">
        <v>296</v>
      </c>
      <c r="B1398" s="5">
        <v>41731</v>
      </c>
      <c r="C1398">
        <v>-64.08</v>
      </c>
      <c r="D1398" t="s">
        <v>304</v>
      </c>
      <c r="E1398" t="s">
        <v>443</v>
      </c>
      <c r="G1398" t="s">
        <v>445</v>
      </c>
      <c r="I1398" t="s">
        <v>272</v>
      </c>
      <c r="K1398" t="s">
        <v>55</v>
      </c>
      <c r="L1398" t="s">
        <v>1582</v>
      </c>
      <c r="Q1398" t="str">
        <f t="shared" si="63"/>
        <v>Apr</v>
      </c>
      <c r="R1398">
        <f t="shared" si="64"/>
        <v>2014</v>
      </c>
      <c r="S1398" t="str">
        <f>VLOOKUP($W1398,TBL_Categories,2,FALSE)</f>
        <v>Monthly</v>
      </c>
      <c r="T1398">
        <f>VLOOKUP($W1398,TBL_Categories,3,FALSE)</f>
        <v>0</v>
      </c>
      <c r="U1398" t="str">
        <f>VLOOKUP($W1398,TBL_Categories,4,FALSE)</f>
        <v>No</v>
      </c>
      <c r="V1398" t="str">
        <f>VLOOKUP($W1398,TBL_Categories,5,FALSE)</f>
        <v>None</v>
      </c>
      <c r="W1398" t="str">
        <f t="shared" si="65"/>
        <v>Business Expenses (Koolikai)|Internet</v>
      </c>
    </row>
    <row r="1399" spans="1:23" x14ac:dyDescent="0.25">
      <c r="A1399" t="s">
        <v>296</v>
      </c>
      <c r="B1399" s="5">
        <v>41731</v>
      </c>
      <c r="C1399">
        <v>-44.05</v>
      </c>
      <c r="D1399" t="s">
        <v>304</v>
      </c>
      <c r="E1399" t="s">
        <v>443</v>
      </c>
      <c r="G1399" t="s">
        <v>446</v>
      </c>
      <c r="I1399" t="s">
        <v>272</v>
      </c>
      <c r="K1399" t="s">
        <v>54</v>
      </c>
      <c r="L1399" t="s">
        <v>1583</v>
      </c>
      <c r="Q1399" t="str">
        <f t="shared" si="63"/>
        <v>Apr</v>
      </c>
      <c r="R1399">
        <f t="shared" si="64"/>
        <v>2014</v>
      </c>
      <c r="S1399" t="str">
        <f>VLOOKUP($W1399,TBL_Categories,2,FALSE)</f>
        <v>Monthly</v>
      </c>
      <c r="T1399">
        <f>VLOOKUP($W1399,TBL_Categories,3,FALSE)</f>
        <v>0</v>
      </c>
      <c r="U1399" t="str">
        <f>VLOOKUP($W1399,TBL_Categories,4,FALSE)</f>
        <v>No</v>
      </c>
      <c r="V1399" t="str">
        <f>VLOOKUP($W1399,TBL_Categories,5,FALSE)</f>
        <v>None</v>
      </c>
      <c r="W1399" t="str">
        <f t="shared" si="65"/>
        <v>Bills &amp; Utilities|Home Phone</v>
      </c>
    </row>
    <row r="1400" spans="1:23" x14ac:dyDescent="0.25">
      <c r="A1400" t="s">
        <v>284</v>
      </c>
      <c r="B1400" s="5">
        <v>41730</v>
      </c>
      <c r="C1400">
        <v>46.58</v>
      </c>
      <c r="D1400" t="s">
        <v>304</v>
      </c>
      <c r="E1400" t="s">
        <v>360</v>
      </c>
      <c r="F1400" t="s">
        <v>358</v>
      </c>
      <c r="G1400" t="s">
        <v>22</v>
      </c>
      <c r="K1400" t="s">
        <v>22</v>
      </c>
      <c r="Q1400" t="str">
        <f t="shared" si="63"/>
        <v>Apr</v>
      </c>
      <c r="R1400">
        <f t="shared" si="64"/>
        <v>2014</v>
      </c>
      <c r="S1400" t="str">
        <f>VLOOKUP($W1400,TBL_Categories,2,FALSE)</f>
        <v>Account</v>
      </c>
      <c r="T1400">
        <f>VLOOKUP($W1400,TBL_Categories,3,FALSE)</f>
        <v>0</v>
      </c>
      <c r="U1400" t="str">
        <f>VLOOKUP($W1400,TBL_Categories,4,FALSE)</f>
        <v>No</v>
      </c>
      <c r="V1400" t="str">
        <f>VLOOKUP($W1400,TBL_Categories,5,FALSE)</f>
        <v>None</v>
      </c>
      <c r="W1400" t="str">
        <f t="shared" si="65"/>
        <v>[Premera Health Care Payment]</v>
      </c>
    </row>
    <row r="1401" spans="1:23" x14ac:dyDescent="0.25">
      <c r="A1401" t="s">
        <v>284</v>
      </c>
      <c r="B1401" s="5">
        <v>41730</v>
      </c>
      <c r="C1401" s="4">
        <v>-1976</v>
      </c>
      <c r="D1401" t="s">
        <v>304</v>
      </c>
      <c r="E1401" t="s">
        <v>314</v>
      </c>
      <c r="F1401" t="s">
        <v>315</v>
      </c>
      <c r="G1401" t="s">
        <v>316</v>
      </c>
      <c r="K1401" t="s">
        <v>66</v>
      </c>
      <c r="L1401" t="s">
        <v>1522</v>
      </c>
      <c r="Q1401" t="str">
        <f t="shared" si="63"/>
        <v>Apr</v>
      </c>
      <c r="R1401">
        <f t="shared" si="64"/>
        <v>2014</v>
      </c>
      <c r="S1401" t="str">
        <f>VLOOKUP($W1401,TBL_Categories,2,FALSE)</f>
        <v>Monthly</v>
      </c>
      <c r="T1401">
        <f>VLOOKUP($W1401,TBL_Categories,3,FALSE)</f>
        <v>0</v>
      </c>
      <c r="U1401" t="str">
        <f>VLOOKUP($W1401,TBL_Categories,4,FALSE)</f>
        <v>No</v>
      </c>
      <c r="V1401" t="str">
        <f>VLOOKUP($W1401,TBL_Categories,5,FALSE)</f>
        <v>None</v>
      </c>
      <c r="W1401" t="str">
        <f t="shared" si="65"/>
        <v>Kids|Daycare</v>
      </c>
    </row>
    <row r="1402" spans="1:23" x14ac:dyDescent="0.25">
      <c r="A1402" t="s">
        <v>288</v>
      </c>
      <c r="B1402" s="5">
        <v>41730</v>
      </c>
      <c r="C1402" s="4">
        <v>2195</v>
      </c>
      <c r="D1402" t="s">
        <v>304</v>
      </c>
      <c r="E1402" t="s">
        <v>385</v>
      </c>
      <c r="G1402" t="s">
        <v>390</v>
      </c>
      <c r="J1402">
        <v>9602</v>
      </c>
      <c r="K1402" t="s">
        <v>33</v>
      </c>
      <c r="L1402" t="s">
        <v>1519</v>
      </c>
      <c r="Q1402" t="str">
        <f t="shared" si="63"/>
        <v>Apr</v>
      </c>
      <c r="R1402">
        <f t="shared" si="64"/>
        <v>2014</v>
      </c>
      <c r="S1402" t="str">
        <f>VLOOKUP($W1402,TBL_Categories,2,FALSE)</f>
        <v>Monthly</v>
      </c>
      <c r="T1402">
        <f>VLOOKUP($W1402,TBL_Categories,3,FALSE)</f>
        <v>0</v>
      </c>
      <c r="U1402" t="str">
        <f>VLOOKUP($W1402,TBL_Categories,4,FALSE)</f>
        <v>No</v>
      </c>
      <c r="V1402" t="str">
        <f>VLOOKUP($W1402,TBL_Categories,5,FALSE)</f>
        <v>None</v>
      </c>
      <c r="W1402" t="str">
        <f t="shared" si="65"/>
        <v>Business Income (Koolikai)|Rent</v>
      </c>
    </row>
    <row r="1403" spans="1:23" x14ac:dyDescent="0.25">
      <c r="A1403" t="s">
        <v>296</v>
      </c>
      <c r="B1403" s="5">
        <v>41730</v>
      </c>
      <c r="C1403">
        <v>-18.66</v>
      </c>
      <c r="D1403" t="s">
        <v>304</v>
      </c>
      <c r="E1403" t="s">
        <v>1072</v>
      </c>
      <c r="F1403" t="s">
        <v>1073</v>
      </c>
      <c r="G1403" t="s">
        <v>466</v>
      </c>
      <c r="K1403" t="s">
        <v>72</v>
      </c>
      <c r="L1403" t="s">
        <v>460</v>
      </c>
      <c r="Q1403" t="str">
        <f t="shared" si="63"/>
        <v>Apr</v>
      </c>
      <c r="R1403">
        <f t="shared" si="64"/>
        <v>2014</v>
      </c>
      <c r="S1403" t="str">
        <f>VLOOKUP($W1403,TBL_Categories,2,FALSE)</f>
        <v>Unplanned</v>
      </c>
      <c r="T1403">
        <f>VLOOKUP($W1403,TBL_Categories,3,FALSE)</f>
        <v>0</v>
      </c>
      <c r="U1403" t="str">
        <f>VLOOKUP($W1403,TBL_Categories,4,FALSE)</f>
        <v>No</v>
      </c>
      <c r="V1403" t="str">
        <f>VLOOKUP($W1403,TBL_Categories,5,FALSE)</f>
        <v>None</v>
      </c>
      <c r="W1403" t="str">
        <f t="shared" si="65"/>
        <v>Shopping|Books</v>
      </c>
    </row>
    <row r="1404" spans="1:23" x14ac:dyDescent="0.25">
      <c r="A1404" t="s">
        <v>298</v>
      </c>
      <c r="B1404" s="5">
        <v>41730</v>
      </c>
      <c r="C1404">
        <v>-46.58</v>
      </c>
      <c r="E1404" t="s">
        <v>360</v>
      </c>
      <c r="F1404" t="s">
        <v>358</v>
      </c>
      <c r="G1404" t="s">
        <v>9</v>
      </c>
      <c r="K1404" t="s">
        <v>9</v>
      </c>
      <c r="Q1404" t="str">
        <f t="shared" si="63"/>
        <v>Apr</v>
      </c>
      <c r="R1404">
        <f t="shared" si="64"/>
        <v>2014</v>
      </c>
      <c r="S1404" t="str">
        <f>VLOOKUP($W1404,TBL_Categories,2,FALSE)</f>
        <v>Account</v>
      </c>
      <c r="T1404">
        <f>VLOOKUP($W1404,TBL_Categories,3,FALSE)</f>
        <v>0</v>
      </c>
      <c r="U1404" t="str">
        <f>VLOOKUP($W1404,TBL_Categories,4,FALSE)</f>
        <v>No</v>
      </c>
      <c r="V1404" t="str">
        <f>VLOOKUP($W1404,TBL_Categories,5,FALSE)</f>
        <v>None</v>
      </c>
      <c r="W1404" t="str">
        <f t="shared" si="65"/>
        <v>[First Tech - Checking (5544)]</v>
      </c>
    </row>
    <row r="1405" spans="1:23" x14ac:dyDescent="0.25">
      <c r="A1405" t="s">
        <v>280</v>
      </c>
      <c r="B1405" s="5">
        <v>41729</v>
      </c>
      <c r="C1405">
        <v>20</v>
      </c>
      <c r="D1405" t="s">
        <v>304</v>
      </c>
      <c r="E1405" t="s">
        <v>309</v>
      </c>
      <c r="G1405" t="s">
        <v>8</v>
      </c>
      <c r="H1405" t="s">
        <v>310</v>
      </c>
      <c r="K1405" t="s">
        <v>8</v>
      </c>
      <c r="Q1405" t="str">
        <f t="shared" si="63"/>
        <v>Mar</v>
      </c>
      <c r="R1405">
        <f t="shared" si="64"/>
        <v>2014</v>
      </c>
      <c r="S1405" t="str">
        <f>VLOOKUP($W1405,TBL_Categories,2,FALSE)</f>
        <v>Monthly</v>
      </c>
      <c r="T1405">
        <f>VLOOKUP($W1405,TBL_Categories,3,FALSE)</f>
        <v>0</v>
      </c>
      <c r="U1405" t="str">
        <f>VLOOKUP($W1405,TBL_Categories,4,FALSE)</f>
        <v>No</v>
      </c>
      <c r="V1405" t="str">
        <f>VLOOKUP($W1405,TBL_Categories,5,FALSE)</f>
        <v>None</v>
      </c>
      <c r="W1405" t="str">
        <f t="shared" si="65"/>
        <v>Interest Income</v>
      </c>
    </row>
    <row r="1406" spans="1:23" x14ac:dyDescent="0.25">
      <c r="A1406" t="s">
        <v>281</v>
      </c>
      <c r="B1406" s="5">
        <v>41729</v>
      </c>
      <c r="C1406">
        <v>50.2</v>
      </c>
      <c r="D1406" t="s">
        <v>304</v>
      </c>
      <c r="E1406" t="s">
        <v>309</v>
      </c>
      <c r="G1406" t="s">
        <v>8</v>
      </c>
      <c r="H1406" t="s">
        <v>310</v>
      </c>
      <c r="K1406" t="s">
        <v>8</v>
      </c>
      <c r="Q1406" t="str">
        <f t="shared" si="63"/>
        <v>Mar</v>
      </c>
      <c r="R1406">
        <f t="shared" si="64"/>
        <v>2014</v>
      </c>
      <c r="S1406" t="str">
        <f>VLOOKUP($W1406,TBL_Categories,2,FALSE)</f>
        <v>Monthly</v>
      </c>
      <c r="T1406">
        <f>VLOOKUP($W1406,TBL_Categories,3,FALSE)</f>
        <v>0</v>
      </c>
      <c r="U1406" t="str">
        <f>VLOOKUP($W1406,TBL_Categories,4,FALSE)</f>
        <v>No</v>
      </c>
      <c r="V1406" t="str">
        <f>VLOOKUP($W1406,TBL_Categories,5,FALSE)</f>
        <v>None</v>
      </c>
      <c r="W1406" t="str">
        <f t="shared" si="65"/>
        <v>Interest Income</v>
      </c>
    </row>
    <row r="1407" spans="1:23" x14ac:dyDescent="0.25">
      <c r="A1407" t="s">
        <v>282</v>
      </c>
      <c r="B1407" s="5">
        <v>41729</v>
      </c>
      <c r="C1407">
        <v>0.02</v>
      </c>
      <c r="D1407" t="s">
        <v>304</v>
      </c>
      <c r="E1407" t="s">
        <v>309</v>
      </c>
      <c r="G1407" t="s">
        <v>8</v>
      </c>
      <c r="H1407" t="s">
        <v>310</v>
      </c>
      <c r="K1407" t="s">
        <v>8</v>
      </c>
      <c r="Q1407" t="str">
        <f t="shared" si="63"/>
        <v>Mar</v>
      </c>
      <c r="R1407">
        <f t="shared" si="64"/>
        <v>2014</v>
      </c>
      <c r="S1407" t="str">
        <f>VLOOKUP($W1407,TBL_Categories,2,FALSE)</f>
        <v>Monthly</v>
      </c>
      <c r="T1407">
        <f>VLOOKUP($W1407,TBL_Categories,3,FALSE)</f>
        <v>0</v>
      </c>
      <c r="U1407" t="str">
        <f>VLOOKUP($W1407,TBL_Categories,4,FALSE)</f>
        <v>No</v>
      </c>
      <c r="V1407" t="str">
        <f>VLOOKUP($W1407,TBL_Categories,5,FALSE)</f>
        <v>None</v>
      </c>
      <c r="W1407" t="str">
        <f t="shared" si="65"/>
        <v>Interest Income</v>
      </c>
    </row>
    <row r="1408" spans="1:23" x14ac:dyDescent="0.25">
      <c r="A1408" t="s">
        <v>283</v>
      </c>
      <c r="B1408" s="5">
        <v>41729</v>
      </c>
      <c r="C1408">
        <v>2.13</v>
      </c>
      <c r="D1408" t="s">
        <v>304</v>
      </c>
      <c r="E1408" t="s">
        <v>309</v>
      </c>
      <c r="G1408" t="s">
        <v>8</v>
      </c>
      <c r="H1408" t="s">
        <v>310</v>
      </c>
      <c r="K1408" t="s">
        <v>8</v>
      </c>
      <c r="Q1408" t="str">
        <f t="shared" si="63"/>
        <v>Mar</v>
      </c>
      <c r="R1408">
        <f t="shared" si="64"/>
        <v>2014</v>
      </c>
      <c r="S1408" t="str">
        <f>VLOOKUP($W1408,TBL_Categories,2,FALSE)</f>
        <v>Monthly</v>
      </c>
      <c r="T1408">
        <f>VLOOKUP($W1408,TBL_Categories,3,FALSE)</f>
        <v>0</v>
      </c>
      <c r="U1408" t="str">
        <f>VLOOKUP($W1408,TBL_Categories,4,FALSE)</f>
        <v>No</v>
      </c>
      <c r="V1408" t="str">
        <f>VLOOKUP($W1408,TBL_Categories,5,FALSE)</f>
        <v>None</v>
      </c>
      <c r="W1408" t="str">
        <f t="shared" si="65"/>
        <v>Interest Income</v>
      </c>
    </row>
    <row r="1409" spans="1:23" x14ac:dyDescent="0.25">
      <c r="A1409" t="s">
        <v>287</v>
      </c>
      <c r="B1409" s="5">
        <v>41729</v>
      </c>
      <c r="C1409">
        <v>0.01</v>
      </c>
      <c r="D1409" t="s">
        <v>304</v>
      </c>
      <c r="E1409" t="s">
        <v>396</v>
      </c>
      <c r="G1409" t="s">
        <v>8</v>
      </c>
      <c r="K1409" t="s">
        <v>8</v>
      </c>
      <c r="Q1409" t="str">
        <f t="shared" si="63"/>
        <v>Mar</v>
      </c>
      <c r="R1409">
        <f t="shared" si="64"/>
        <v>2014</v>
      </c>
      <c r="S1409" t="str">
        <f>VLOOKUP($W1409,TBL_Categories,2,FALSE)</f>
        <v>Monthly</v>
      </c>
      <c r="T1409">
        <f>VLOOKUP($W1409,TBL_Categories,3,FALSE)</f>
        <v>0</v>
      </c>
      <c r="U1409" t="str">
        <f>VLOOKUP($W1409,TBL_Categories,4,FALSE)</f>
        <v>No</v>
      </c>
      <c r="V1409" t="str">
        <f>VLOOKUP($W1409,TBL_Categories,5,FALSE)</f>
        <v>None</v>
      </c>
      <c r="W1409" t="str">
        <f t="shared" si="65"/>
        <v>Interest Income</v>
      </c>
    </row>
    <row r="1410" spans="1:23" x14ac:dyDescent="0.25">
      <c r="A1410" t="s">
        <v>289</v>
      </c>
      <c r="B1410" s="5">
        <v>41729</v>
      </c>
      <c r="C1410">
        <v>0.19</v>
      </c>
      <c r="D1410" t="s">
        <v>304</v>
      </c>
      <c r="E1410" t="s">
        <v>396</v>
      </c>
      <c r="G1410" t="s">
        <v>8</v>
      </c>
      <c r="K1410" t="s">
        <v>8</v>
      </c>
      <c r="Q1410" t="str">
        <f t="shared" ref="Q1410:Q1473" si="66">TEXT($B1410,"MMM")</f>
        <v>Mar</v>
      </c>
      <c r="R1410">
        <f t="shared" ref="R1410:R1473" si="67">YEAR($B1410)</f>
        <v>2014</v>
      </c>
      <c r="S1410" t="str">
        <f>VLOOKUP($W1410,TBL_Categories,2,FALSE)</f>
        <v>Monthly</v>
      </c>
      <c r="T1410">
        <f>VLOOKUP($W1410,TBL_Categories,3,FALSE)</f>
        <v>0</v>
      </c>
      <c r="U1410" t="str">
        <f>VLOOKUP($W1410,TBL_Categories,4,FALSE)</f>
        <v>No</v>
      </c>
      <c r="V1410" t="str">
        <f>VLOOKUP($W1410,TBL_Categories,5,FALSE)</f>
        <v>None</v>
      </c>
      <c r="W1410" t="str">
        <f t="shared" ref="W1410:W1473" si="68">IF(ISBLANK($L1410),$K1410,CONCATENATE($K1410,"|",$L1410))</f>
        <v>Interest Income</v>
      </c>
    </row>
    <row r="1411" spans="1:23" x14ac:dyDescent="0.25">
      <c r="A1411" t="s">
        <v>290</v>
      </c>
      <c r="B1411" s="5">
        <v>41729</v>
      </c>
      <c r="C1411">
        <v>0.13</v>
      </c>
      <c r="D1411" t="s">
        <v>304</v>
      </c>
      <c r="E1411" t="s">
        <v>399</v>
      </c>
      <c r="G1411" t="s">
        <v>8</v>
      </c>
      <c r="K1411" t="s">
        <v>8</v>
      </c>
      <c r="Q1411" t="str">
        <f t="shared" si="66"/>
        <v>Mar</v>
      </c>
      <c r="R1411">
        <f t="shared" si="67"/>
        <v>2014</v>
      </c>
      <c r="S1411" t="str">
        <f>VLOOKUP($W1411,TBL_Categories,2,FALSE)</f>
        <v>Monthly</v>
      </c>
      <c r="T1411">
        <f>VLOOKUP($W1411,TBL_Categories,3,FALSE)</f>
        <v>0</v>
      </c>
      <c r="U1411" t="str">
        <f>VLOOKUP($W1411,TBL_Categories,4,FALSE)</f>
        <v>No</v>
      </c>
      <c r="V1411" t="str">
        <f>VLOOKUP($W1411,TBL_Categories,5,FALSE)</f>
        <v>None</v>
      </c>
      <c r="W1411" t="str">
        <f t="shared" si="68"/>
        <v>Interest Income</v>
      </c>
    </row>
    <row r="1412" spans="1:23" x14ac:dyDescent="0.25">
      <c r="A1412" t="s">
        <v>290</v>
      </c>
      <c r="B1412" s="5">
        <v>41729</v>
      </c>
      <c r="C1412">
        <v>2</v>
      </c>
      <c r="D1412" t="s">
        <v>304</v>
      </c>
      <c r="E1412" t="s">
        <v>403</v>
      </c>
      <c r="G1412" t="s">
        <v>397</v>
      </c>
      <c r="K1412" t="s">
        <v>53</v>
      </c>
      <c r="L1412" t="s">
        <v>1562</v>
      </c>
      <c r="Q1412" t="str">
        <f t="shared" si="66"/>
        <v>Mar</v>
      </c>
      <c r="R1412">
        <f t="shared" si="67"/>
        <v>2014</v>
      </c>
      <c r="S1412" t="str">
        <f>VLOOKUP($W1412,TBL_Categories,2,FALSE)</f>
        <v>Monthly</v>
      </c>
      <c r="T1412">
        <f>VLOOKUP($W1412,TBL_Categories,3,FALSE)</f>
        <v>0</v>
      </c>
      <c r="U1412" t="str">
        <f>VLOOKUP($W1412,TBL_Categories,4,FALSE)</f>
        <v>No</v>
      </c>
      <c r="V1412" t="str">
        <f>VLOOKUP($W1412,TBL_Categories,5,FALSE)</f>
        <v>None</v>
      </c>
      <c r="W1412" t="str">
        <f t="shared" si="68"/>
        <v>Bank Fees &amp; Charges|ATM Fee</v>
      </c>
    </row>
    <row r="1413" spans="1:23" x14ac:dyDescent="0.25">
      <c r="A1413" t="s">
        <v>284</v>
      </c>
      <c r="B1413" s="5">
        <v>41728</v>
      </c>
      <c r="C1413" s="4">
        <v>3165.2</v>
      </c>
      <c r="D1413" t="s">
        <v>304</v>
      </c>
      <c r="E1413" t="s">
        <v>361</v>
      </c>
      <c r="F1413" t="s">
        <v>312</v>
      </c>
      <c r="G1413" t="s">
        <v>12</v>
      </c>
      <c r="K1413" t="s">
        <v>12</v>
      </c>
      <c r="Q1413" t="str">
        <f t="shared" si="66"/>
        <v>Mar</v>
      </c>
      <c r="R1413">
        <f t="shared" si="67"/>
        <v>2014</v>
      </c>
      <c r="S1413" t="str">
        <f>VLOOKUP($W1413,TBL_Categories,2,FALSE)</f>
        <v>Monthly</v>
      </c>
      <c r="T1413">
        <f>VLOOKUP($W1413,TBL_Categories,3,FALSE)</f>
        <v>0</v>
      </c>
      <c r="U1413" t="str">
        <f>VLOOKUP($W1413,TBL_Categories,4,FALSE)</f>
        <v>No</v>
      </c>
      <c r="V1413" t="str">
        <f>VLOOKUP($W1413,TBL_Categories,5,FALSE)</f>
        <v>None</v>
      </c>
      <c r="W1413" t="str">
        <f t="shared" si="68"/>
        <v>Net Salary</v>
      </c>
    </row>
    <row r="1414" spans="1:23" x14ac:dyDescent="0.25">
      <c r="A1414" t="s">
        <v>284</v>
      </c>
      <c r="B1414" s="5">
        <v>41728</v>
      </c>
      <c r="C1414" s="4">
        <v>6195.6</v>
      </c>
      <c r="D1414" t="s">
        <v>304</v>
      </c>
      <c r="E1414" t="s">
        <v>363</v>
      </c>
      <c r="F1414" t="s">
        <v>359</v>
      </c>
      <c r="G1414" t="s">
        <v>12</v>
      </c>
      <c r="K1414" t="s">
        <v>12</v>
      </c>
      <c r="Q1414" t="str">
        <f t="shared" si="66"/>
        <v>Mar</v>
      </c>
      <c r="R1414">
        <f t="shared" si="67"/>
        <v>2014</v>
      </c>
      <c r="S1414" t="str">
        <f>VLOOKUP($W1414,TBL_Categories,2,FALSE)</f>
        <v>Monthly</v>
      </c>
      <c r="T1414">
        <f>VLOOKUP($W1414,TBL_Categories,3,FALSE)</f>
        <v>0</v>
      </c>
      <c r="U1414" t="str">
        <f>VLOOKUP($W1414,TBL_Categories,4,FALSE)</f>
        <v>No</v>
      </c>
      <c r="V1414" t="str">
        <f>VLOOKUP($W1414,TBL_Categories,5,FALSE)</f>
        <v>None</v>
      </c>
      <c r="W1414" t="str">
        <f t="shared" si="68"/>
        <v>Net Salary</v>
      </c>
    </row>
    <row r="1415" spans="1:23" x14ac:dyDescent="0.25">
      <c r="A1415" t="s">
        <v>296</v>
      </c>
      <c r="B1415" s="5">
        <v>41728</v>
      </c>
      <c r="C1415">
        <v>-34</v>
      </c>
      <c r="D1415" t="s">
        <v>304</v>
      </c>
      <c r="E1415" t="s">
        <v>665</v>
      </c>
      <c r="F1415" t="s">
        <v>730</v>
      </c>
      <c r="G1415" t="s">
        <v>398</v>
      </c>
      <c r="K1415" t="s">
        <v>70</v>
      </c>
      <c r="L1415" t="s">
        <v>1563</v>
      </c>
      <c r="Q1415" t="str">
        <f t="shared" si="66"/>
        <v>Mar</v>
      </c>
      <c r="R1415">
        <f t="shared" si="67"/>
        <v>2014</v>
      </c>
      <c r="S1415" t="str">
        <f>VLOOKUP($W1415,TBL_Categories,2,FALSE)</f>
        <v>Monthly</v>
      </c>
      <c r="T1415">
        <f>VLOOKUP($W1415,TBL_Categories,3,FALSE)</f>
        <v>0</v>
      </c>
      <c r="U1415" t="str">
        <f>VLOOKUP($W1415,TBL_Categories,4,FALSE)</f>
        <v>No</v>
      </c>
      <c r="V1415" t="str">
        <f>VLOOKUP($W1415,TBL_Categories,5,FALSE)</f>
        <v>None</v>
      </c>
      <c r="W1415" t="str">
        <f t="shared" si="68"/>
        <v>Personal Care|Hair</v>
      </c>
    </row>
    <row r="1416" spans="1:23" x14ac:dyDescent="0.25">
      <c r="A1416" t="s">
        <v>296</v>
      </c>
      <c r="B1416" s="5">
        <v>41727</v>
      </c>
      <c r="C1416">
        <v>-54.5</v>
      </c>
      <c r="D1416" t="s">
        <v>304</v>
      </c>
      <c r="E1416" t="s">
        <v>693</v>
      </c>
      <c r="F1416" t="s">
        <v>1069</v>
      </c>
      <c r="G1416" t="s">
        <v>347</v>
      </c>
      <c r="K1416" t="s">
        <v>75</v>
      </c>
      <c r="L1416" t="s">
        <v>1540</v>
      </c>
      <c r="O1416" t="s">
        <v>1610</v>
      </c>
      <c r="Q1416" t="str">
        <f t="shared" si="66"/>
        <v>Mar</v>
      </c>
      <c r="R1416">
        <f t="shared" si="67"/>
        <v>2014</v>
      </c>
      <c r="S1416" t="str">
        <f>VLOOKUP($W1416,TBL_Categories,2,FALSE)</f>
        <v>Irregular</v>
      </c>
      <c r="T1416">
        <f>VLOOKUP($W1416,TBL_Categories,3,FALSE)</f>
        <v>0</v>
      </c>
      <c r="U1416" t="str">
        <f>VLOOKUP($W1416,TBL_Categories,4,FALSE)</f>
        <v>No</v>
      </c>
      <c r="V1416" t="str">
        <f>VLOOKUP($W1416,TBL_Categories,5,FALSE)</f>
        <v>None</v>
      </c>
      <c r="W1416" t="str">
        <f t="shared" si="68"/>
        <v>Vacation|Lodging</v>
      </c>
    </row>
    <row r="1417" spans="1:23" x14ac:dyDescent="0.25">
      <c r="A1417" t="s">
        <v>296</v>
      </c>
      <c r="B1417" s="5">
        <v>41727</v>
      </c>
      <c r="C1417">
        <v>-63.93</v>
      </c>
      <c r="D1417" t="s">
        <v>304</v>
      </c>
      <c r="E1417" t="s">
        <v>1070</v>
      </c>
      <c r="F1417" t="s">
        <v>1071</v>
      </c>
      <c r="G1417" t="s">
        <v>333</v>
      </c>
      <c r="K1417" t="s">
        <v>61</v>
      </c>
      <c r="L1417" t="s">
        <v>1530</v>
      </c>
      <c r="Q1417" t="str">
        <f t="shared" si="66"/>
        <v>Mar</v>
      </c>
      <c r="R1417">
        <f t="shared" si="67"/>
        <v>2014</v>
      </c>
      <c r="S1417" t="str">
        <f>VLOOKUP($W1417,TBL_Categories,2,FALSE)</f>
        <v>Monthly</v>
      </c>
      <c r="T1417">
        <f>VLOOKUP($W1417,TBL_Categories,3,FALSE)</f>
        <v>0</v>
      </c>
      <c r="U1417" t="str">
        <f>VLOOKUP($W1417,TBL_Categories,4,FALSE)</f>
        <v>No</v>
      </c>
      <c r="V1417" t="str">
        <f>VLOOKUP($W1417,TBL_Categories,5,FALSE)</f>
        <v>None</v>
      </c>
      <c r="W1417" t="str">
        <f t="shared" si="68"/>
        <v>Food &amp; Dining|Restaurants</v>
      </c>
    </row>
    <row r="1418" spans="1:23" x14ac:dyDescent="0.25">
      <c r="A1418" t="s">
        <v>296</v>
      </c>
      <c r="B1418" s="5">
        <v>41727</v>
      </c>
      <c r="C1418">
        <v>-19.260000000000002</v>
      </c>
      <c r="D1418" t="s">
        <v>304</v>
      </c>
      <c r="E1418" t="s">
        <v>433</v>
      </c>
      <c r="F1418" t="s">
        <v>475</v>
      </c>
      <c r="G1418" t="s">
        <v>915</v>
      </c>
      <c r="I1418" t="s">
        <v>272</v>
      </c>
      <c r="J1418" t="s">
        <v>1550</v>
      </c>
      <c r="K1418" t="s">
        <v>20</v>
      </c>
      <c r="Q1418" t="str">
        <f t="shared" si="66"/>
        <v>Mar</v>
      </c>
      <c r="R1418">
        <f t="shared" si="67"/>
        <v>2014</v>
      </c>
      <c r="S1418" t="str">
        <f>VLOOKUP($W1418,TBL_Categories,2,FALSE)</f>
        <v>Monthly</v>
      </c>
      <c r="T1418">
        <f>VLOOKUP($W1418,TBL_Categories,3,FALSE)</f>
        <v>0</v>
      </c>
      <c r="U1418" t="str">
        <f>VLOOKUP($W1418,TBL_Categories,4,FALSE)</f>
        <v>No</v>
      </c>
      <c r="V1418" t="str">
        <f>VLOOKUP($W1418,TBL_Categories,5,FALSE)</f>
        <v>None</v>
      </c>
      <c r="W1418" t="str">
        <f t="shared" si="68"/>
        <v>Gifts</v>
      </c>
    </row>
    <row r="1419" spans="1:23" x14ac:dyDescent="0.25">
      <c r="A1419" t="s">
        <v>296</v>
      </c>
      <c r="B1419" s="5">
        <v>41727</v>
      </c>
      <c r="C1419">
        <v>-104.07</v>
      </c>
      <c r="D1419" t="s">
        <v>304</v>
      </c>
      <c r="E1419" t="s">
        <v>433</v>
      </c>
      <c r="G1419" t="s">
        <v>887</v>
      </c>
      <c r="I1419" t="s">
        <v>272</v>
      </c>
      <c r="J1419" t="s">
        <v>1550</v>
      </c>
      <c r="K1419" t="s">
        <v>61</v>
      </c>
      <c r="L1419" t="s">
        <v>401</v>
      </c>
      <c r="Q1419" t="str">
        <f t="shared" si="66"/>
        <v>Mar</v>
      </c>
      <c r="R1419">
        <f t="shared" si="67"/>
        <v>2014</v>
      </c>
      <c r="S1419" t="str">
        <f>VLOOKUP($W1419,TBL_Categories,2,FALSE)</f>
        <v>Monthly</v>
      </c>
      <c r="T1419">
        <f>VLOOKUP($W1419,TBL_Categories,3,FALSE)</f>
        <v>0</v>
      </c>
      <c r="U1419" t="str">
        <f>VLOOKUP($W1419,TBL_Categories,4,FALSE)</f>
        <v>No</v>
      </c>
      <c r="V1419" t="str">
        <f>VLOOKUP($W1419,TBL_Categories,5,FALSE)</f>
        <v>None</v>
      </c>
      <c r="W1419" t="str">
        <f t="shared" si="68"/>
        <v>Food &amp; Dining|Groceries</v>
      </c>
    </row>
    <row r="1420" spans="1:23" x14ac:dyDescent="0.25">
      <c r="A1420" t="s">
        <v>284</v>
      </c>
      <c r="B1420" s="5">
        <v>41726</v>
      </c>
      <c r="C1420">
        <v>-60</v>
      </c>
      <c r="D1420" t="s">
        <v>304</v>
      </c>
      <c r="E1420" t="s">
        <v>348</v>
      </c>
      <c r="F1420" t="s">
        <v>334</v>
      </c>
      <c r="G1420" t="s">
        <v>322</v>
      </c>
      <c r="H1420">
        <v>2298</v>
      </c>
      <c r="K1420" t="s">
        <v>66</v>
      </c>
      <c r="L1420" t="s">
        <v>1527</v>
      </c>
      <c r="Q1420" t="str">
        <f t="shared" si="66"/>
        <v>Mar</v>
      </c>
      <c r="R1420">
        <f t="shared" si="67"/>
        <v>2014</v>
      </c>
      <c r="S1420" t="str">
        <f>VLOOKUP($W1420,TBL_Categories,2,FALSE)</f>
        <v>Monthly</v>
      </c>
      <c r="T1420">
        <f>VLOOKUP($W1420,TBL_Categories,3,FALSE)</f>
        <v>0</v>
      </c>
      <c r="U1420" t="str">
        <f>VLOOKUP($W1420,TBL_Categories,4,FALSE)</f>
        <v>No</v>
      </c>
      <c r="V1420" t="str">
        <f>VLOOKUP($W1420,TBL_Categories,5,FALSE)</f>
        <v>None</v>
      </c>
      <c r="W1420" t="str">
        <f t="shared" si="68"/>
        <v>Kids|Babysitter</v>
      </c>
    </row>
    <row r="1421" spans="1:23" x14ac:dyDescent="0.25">
      <c r="A1421" t="s">
        <v>296</v>
      </c>
      <c r="B1421" s="5">
        <v>41726</v>
      </c>
      <c r="C1421">
        <v>-13.43</v>
      </c>
      <c r="D1421" t="s">
        <v>304</v>
      </c>
      <c r="E1421" t="s">
        <v>431</v>
      </c>
      <c r="F1421" t="s">
        <v>1068</v>
      </c>
      <c r="G1421" t="s">
        <v>432</v>
      </c>
      <c r="K1421" t="s">
        <v>52</v>
      </c>
      <c r="L1421" t="s">
        <v>1577</v>
      </c>
      <c r="Q1421" t="str">
        <f t="shared" si="66"/>
        <v>Mar</v>
      </c>
      <c r="R1421">
        <f t="shared" si="67"/>
        <v>2014</v>
      </c>
      <c r="S1421" t="str">
        <f>VLOOKUP($W1421,TBL_Categories,2,FALSE)</f>
        <v>Monthly</v>
      </c>
      <c r="T1421">
        <f>VLOOKUP($W1421,TBL_Categories,3,FALSE)</f>
        <v>0</v>
      </c>
      <c r="U1421" t="str">
        <f>VLOOKUP($W1421,TBL_Categories,4,FALSE)</f>
        <v>No</v>
      </c>
      <c r="V1421" t="str">
        <f>VLOOKUP($W1421,TBL_Categories,5,FALSE)</f>
        <v>None</v>
      </c>
      <c r="W1421" t="str">
        <f t="shared" si="68"/>
        <v>Auto &amp; Transport|Parking</v>
      </c>
    </row>
    <row r="1422" spans="1:23" x14ac:dyDescent="0.25">
      <c r="A1422" t="s">
        <v>296</v>
      </c>
      <c r="B1422" s="5">
        <v>41725</v>
      </c>
      <c r="C1422">
        <v>-4</v>
      </c>
      <c r="D1422" t="s">
        <v>304</v>
      </c>
      <c r="E1422" t="s">
        <v>464</v>
      </c>
      <c r="F1422" t="s">
        <v>473</v>
      </c>
      <c r="G1422" t="s">
        <v>1036</v>
      </c>
      <c r="J1422" t="s">
        <v>1550</v>
      </c>
      <c r="K1422" t="s">
        <v>52</v>
      </c>
      <c r="L1422" t="s">
        <v>1577</v>
      </c>
      <c r="Q1422" t="str">
        <f t="shared" si="66"/>
        <v>Mar</v>
      </c>
      <c r="R1422">
        <f t="shared" si="67"/>
        <v>2014</v>
      </c>
      <c r="S1422" t="str">
        <f>VLOOKUP($W1422,TBL_Categories,2,FALSE)</f>
        <v>Monthly</v>
      </c>
      <c r="T1422">
        <f>VLOOKUP($W1422,TBL_Categories,3,FALSE)</f>
        <v>0</v>
      </c>
      <c r="U1422" t="str">
        <f>VLOOKUP($W1422,TBL_Categories,4,FALSE)</f>
        <v>No</v>
      </c>
      <c r="V1422" t="str">
        <f>VLOOKUP($W1422,TBL_Categories,5,FALSE)</f>
        <v>None</v>
      </c>
      <c r="W1422" t="str">
        <f t="shared" si="68"/>
        <v>Auto &amp; Transport|Parking</v>
      </c>
    </row>
    <row r="1423" spans="1:23" x14ac:dyDescent="0.25">
      <c r="A1423" t="s">
        <v>296</v>
      </c>
      <c r="B1423" s="5">
        <v>41725</v>
      </c>
      <c r="C1423">
        <v>-50</v>
      </c>
      <c r="D1423" t="s">
        <v>304</v>
      </c>
      <c r="E1423" t="s">
        <v>470</v>
      </c>
      <c r="F1423" t="s">
        <v>509</v>
      </c>
      <c r="G1423" t="s">
        <v>448</v>
      </c>
      <c r="K1423" t="s">
        <v>52</v>
      </c>
      <c r="L1423" t="s">
        <v>1585</v>
      </c>
      <c r="Q1423" t="str">
        <f t="shared" si="66"/>
        <v>Mar</v>
      </c>
      <c r="R1423">
        <f t="shared" si="67"/>
        <v>2014</v>
      </c>
      <c r="S1423" t="str">
        <f>VLOOKUP($W1423,TBL_Categories,2,FALSE)</f>
        <v>Irregular</v>
      </c>
      <c r="T1423">
        <f>VLOOKUP($W1423,TBL_Categories,3,FALSE)</f>
        <v>0</v>
      </c>
      <c r="U1423" t="str">
        <f>VLOOKUP($W1423,TBL_Categories,4,FALSE)</f>
        <v>No</v>
      </c>
      <c r="V1423" t="str">
        <f>VLOOKUP($W1423,TBL_Categories,5,FALSE)</f>
        <v>None</v>
      </c>
      <c r="W1423" t="str">
        <f t="shared" si="68"/>
        <v>Auto &amp; Transport|Tolls</v>
      </c>
    </row>
    <row r="1424" spans="1:23" x14ac:dyDescent="0.25">
      <c r="A1424" t="s">
        <v>296</v>
      </c>
      <c r="B1424" s="5">
        <v>41724</v>
      </c>
      <c r="C1424">
        <v>-163.13</v>
      </c>
      <c r="D1424" t="s">
        <v>304</v>
      </c>
      <c r="E1424" t="s">
        <v>1067</v>
      </c>
      <c r="F1424" t="s">
        <v>569</v>
      </c>
      <c r="G1424" t="s">
        <v>468</v>
      </c>
      <c r="K1424" t="s">
        <v>62</v>
      </c>
      <c r="L1424" t="s">
        <v>1592</v>
      </c>
      <c r="Q1424" t="str">
        <f t="shared" si="66"/>
        <v>Mar</v>
      </c>
      <c r="R1424">
        <f t="shared" si="67"/>
        <v>2014</v>
      </c>
      <c r="S1424" t="str">
        <f>VLOOKUP($W1424,TBL_Categories,2,FALSE)</f>
        <v>Irregular</v>
      </c>
      <c r="T1424">
        <f>VLOOKUP($W1424,TBL_Categories,3,FALSE)</f>
        <v>0</v>
      </c>
      <c r="U1424" t="str">
        <f>VLOOKUP($W1424,TBL_Categories,4,FALSE)</f>
        <v>No</v>
      </c>
      <c r="V1424" t="str">
        <f>VLOOKUP($W1424,TBL_Categories,5,FALSE)</f>
        <v>None</v>
      </c>
      <c r="W1424" t="str">
        <f t="shared" si="68"/>
        <v>Health &amp; Fitness|Pharmacy</v>
      </c>
    </row>
    <row r="1425" spans="1:23" x14ac:dyDescent="0.25">
      <c r="A1425" t="s">
        <v>296</v>
      </c>
      <c r="B1425" s="5">
        <v>41724</v>
      </c>
      <c r="C1425">
        <v>-3.5</v>
      </c>
      <c r="D1425" t="s">
        <v>304</v>
      </c>
      <c r="E1425" t="s">
        <v>453</v>
      </c>
      <c r="F1425" t="s">
        <v>474</v>
      </c>
      <c r="G1425" t="s">
        <v>432</v>
      </c>
      <c r="K1425" t="s">
        <v>52</v>
      </c>
      <c r="L1425" t="s">
        <v>1577</v>
      </c>
      <c r="Q1425" t="str">
        <f t="shared" si="66"/>
        <v>Mar</v>
      </c>
      <c r="R1425">
        <f t="shared" si="67"/>
        <v>2014</v>
      </c>
      <c r="S1425" t="str">
        <f>VLOOKUP($W1425,TBL_Categories,2,FALSE)</f>
        <v>Monthly</v>
      </c>
      <c r="T1425">
        <f>VLOOKUP($W1425,TBL_Categories,3,FALSE)</f>
        <v>0</v>
      </c>
      <c r="U1425" t="str">
        <f>VLOOKUP($W1425,TBL_Categories,4,FALSE)</f>
        <v>No</v>
      </c>
      <c r="V1425" t="str">
        <f>VLOOKUP($W1425,TBL_Categories,5,FALSE)</f>
        <v>None</v>
      </c>
      <c r="W1425" t="str">
        <f t="shared" si="68"/>
        <v>Auto &amp; Transport|Parking</v>
      </c>
    </row>
    <row r="1426" spans="1:23" x14ac:dyDescent="0.25">
      <c r="A1426" t="s">
        <v>296</v>
      </c>
      <c r="B1426" s="5">
        <v>41723</v>
      </c>
      <c r="C1426">
        <v>-10.029999999999999</v>
      </c>
      <c r="D1426" t="s">
        <v>304</v>
      </c>
      <c r="E1426" t="s">
        <v>1066</v>
      </c>
      <c r="F1426" t="s">
        <v>941</v>
      </c>
      <c r="G1426" t="s">
        <v>333</v>
      </c>
      <c r="K1426" t="s">
        <v>61</v>
      </c>
      <c r="L1426" t="s">
        <v>1530</v>
      </c>
      <c r="Q1426" t="str">
        <f t="shared" si="66"/>
        <v>Mar</v>
      </c>
      <c r="R1426">
        <f t="shared" si="67"/>
        <v>2014</v>
      </c>
      <c r="S1426" t="str">
        <f>VLOOKUP($W1426,TBL_Categories,2,FALSE)</f>
        <v>Monthly</v>
      </c>
      <c r="T1426">
        <f>VLOOKUP($W1426,TBL_Categories,3,FALSE)</f>
        <v>0</v>
      </c>
      <c r="U1426" t="str">
        <f>VLOOKUP($W1426,TBL_Categories,4,FALSE)</f>
        <v>No</v>
      </c>
      <c r="V1426" t="str">
        <f>VLOOKUP($W1426,TBL_Categories,5,FALSE)</f>
        <v>None</v>
      </c>
      <c r="W1426" t="str">
        <f t="shared" si="68"/>
        <v>Food &amp; Dining|Restaurants</v>
      </c>
    </row>
    <row r="1427" spans="1:23" x14ac:dyDescent="0.25">
      <c r="A1427" t="s">
        <v>284</v>
      </c>
      <c r="B1427" s="5">
        <v>41722</v>
      </c>
      <c r="C1427">
        <v>-7.65</v>
      </c>
      <c r="D1427" t="s">
        <v>304</v>
      </c>
      <c r="E1427" t="s">
        <v>775</v>
      </c>
      <c r="F1427" t="s">
        <v>337</v>
      </c>
      <c r="G1427" t="s">
        <v>18</v>
      </c>
      <c r="K1427" t="s">
        <v>18</v>
      </c>
      <c r="Q1427" t="str">
        <f t="shared" si="66"/>
        <v>Mar</v>
      </c>
      <c r="R1427">
        <f t="shared" si="67"/>
        <v>2014</v>
      </c>
      <c r="S1427" t="str">
        <f>VLOOKUP($W1427,TBL_Categories,2,FALSE)</f>
        <v>Account</v>
      </c>
      <c r="T1427">
        <f>VLOOKUP($W1427,TBL_Categories,3,FALSE)</f>
        <v>0</v>
      </c>
      <c r="U1427" t="str">
        <f>VLOOKUP($W1427,TBL_Categories,4,FALSE)</f>
        <v>No</v>
      </c>
      <c r="V1427" t="str">
        <f>VLOOKUP($W1427,TBL_Categories,5,FALSE)</f>
        <v>None</v>
      </c>
      <c r="W1427" t="str">
        <f t="shared" si="68"/>
        <v>[Discover Card]</v>
      </c>
    </row>
    <row r="1428" spans="1:23" x14ac:dyDescent="0.25">
      <c r="A1428" t="s">
        <v>284</v>
      </c>
      <c r="B1428" s="5">
        <v>41722</v>
      </c>
      <c r="C1428">
        <v>-40</v>
      </c>
      <c r="D1428" t="s">
        <v>304</v>
      </c>
      <c r="E1428" t="s">
        <v>638</v>
      </c>
      <c r="F1428" t="s">
        <v>776</v>
      </c>
      <c r="G1428" t="s">
        <v>587</v>
      </c>
      <c r="K1428" t="s">
        <v>60</v>
      </c>
      <c r="L1428" t="s">
        <v>1535</v>
      </c>
      <c r="Q1428" t="str">
        <f t="shared" si="66"/>
        <v>Mar</v>
      </c>
      <c r="R1428">
        <f t="shared" si="67"/>
        <v>2014</v>
      </c>
      <c r="S1428" t="str">
        <f>VLOOKUP($W1428,TBL_Categories,2,FALSE)</f>
        <v>Irregular</v>
      </c>
      <c r="T1428">
        <f>VLOOKUP($W1428,TBL_Categories,3,FALSE)</f>
        <v>0</v>
      </c>
      <c r="U1428" t="str">
        <f>VLOOKUP($W1428,TBL_Categories,4,FALSE)</f>
        <v>No</v>
      </c>
      <c r="V1428" t="str">
        <f>VLOOKUP($W1428,TBL_Categories,5,FALSE)</f>
        <v>None</v>
      </c>
      <c r="W1428" t="str">
        <f t="shared" si="68"/>
        <v>Financial|Financial Advisor</v>
      </c>
    </row>
    <row r="1429" spans="1:23" x14ac:dyDescent="0.25">
      <c r="A1429" t="s">
        <v>288</v>
      </c>
      <c r="B1429" s="5">
        <v>41722</v>
      </c>
      <c r="C1429">
        <v>-321.12</v>
      </c>
      <c r="D1429" t="s">
        <v>304</v>
      </c>
      <c r="E1429" t="s">
        <v>391</v>
      </c>
      <c r="F1429" t="s">
        <v>382</v>
      </c>
      <c r="G1429" t="s">
        <v>31</v>
      </c>
      <c r="K1429" t="s">
        <v>31</v>
      </c>
      <c r="Q1429" t="str">
        <f t="shared" si="66"/>
        <v>Mar</v>
      </c>
      <c r="R1429">
        <f t="shared" si="67"/>
        <v>2014</v>
      </c>
      <c r="S1429" t="str">
        <f>VLOOKUP($W1429,TBL_Categories,2,FALSE)</f>
        <v>Account</v>
      </c>
      <c r="T1429">
        <f>VLOOKUP($W1429,TBL_Categories,3,FALSE)</f>
        <v>0</v>
      </c>
      <c r="U1429" t="str">
        <f>VLOOKUP($W1429,TBL_Categories,4,FALSE)</f>
        <v>No</v>
      </c>
      <c r="V1429" t="str">
        <f>VLOOKUP($W1429,TBL_Categories,5,FALSE)</f>
        <v>None</v>
      </c>
      <c r="W1429" t="str">
        <f t="shared" si="68"/>
        <v>[Koolikai Credit Card]</v>
      </c>
    </row>
    <row r="1430" spans="1:23" x14ac:dyDescent="0.25">
      <c r="A1430" t="s">
        <v>294</v>
      </c>
      <c r="B1430" s="5">
        <v>41722</v>
      </c>
      <c r="C1430">
        <v>321.12</v>
      </c>
      <c r="D1430" t="s">
        <v>304</v>
      </c>
      <c r="E1430" t="s">
        <v>391</v>
      </c>
      <c r="F1430" t="s">
        <v>382</v>
      </c>
      <c r="G1430" t="s">
        <v>24</v>
      </c>
      <c r="K1430" t="s">
        <v>24</v>
      </c>
      <c r="Q1430" t="str">
        <f t="shared" si="66"/>
        <v>Mar</v>
      </c>
      <c r="R1430">
        <f t="shared" si="67"/>
        <v>2014</v>
      </c>
      <c r="S1430" t="str">
        <f>VLOOKUP($W1430,TBL_Categories,2,FALSE)</f>
        <v>Account</v>
      </c>
      <c r="T1430">
        <f>VLOOKUP($W1430,TBL_Categories,3,FALSE)</f>
        <v>0</v>
      </c>
      <c r="U1430" t="str">
        <f>VLOOKUP($W1430,TBL_Categories,4,FALSE)</f>
        <v>No</v>
      </c>
      <c r="V1430" t="str">
        <f>VLOOKUP($W1430,TBL_Categories,5,FALSE)</f>
        <v>None</v>
      </c>
      <c r="W1430" t="str">
        <f t="shared" si="68"/>
        <v>[Koolikai - Checking XX2129]</v>
      </c>
    </row>
    <row r="1431" spans="1:23" x14ac:dyDescent="0.25">
      <c r="A1431" t="s">
        <v>296</v>
      </c>
      <c r="B1431" s="5">
        <v>41722</v>
      </c>
      <c r="C1431">
        <v>-116.5</v>
      </c>
      <c r="D1431" t="s">
        <v>304</v>
      </c>
      <c r="E1431" t="s">
        <v>1064</v>
      </c>
      <c r="F1431" t="s">
        <v>1065</v>
      </c>
      <c r="G1431" t="s">
        <v>356</v>
      </c>
      <c r="K1431" t="s">
        <v>62</v>
      </c>
      <c r="L1431" t="s">
        <v>1545</v>
      </c>
      <c r="O1431" t="s">
        <v>1600</v>
      </c>
      <c r="Q1431" t="str">
        <f t="shared" si="66"/>
        <v>Mar</v>
      </c>
      <c r="R1431">
        <f t="shared" si="67"/>
        <v>2014</v>
      </c>
      <c r="S1431" t="str">
        <f>VLOOKUP($W1431,TBL_Categories,2,FALSE)</f>
        <v>Irregular</v>
      </c>
      <c r="T1431">
        <f>VLOOKUP($W1431,TBL_Categories,3,FALSE)</f>
        <v>0</v>
      </c>
      <c r="U1431" t="str">
        <f>VLOOKUP($W1431,TBL_Categories,4,FALSE)</f>
        <v>No</v>
      </c>
      <c r="V1431" t="str">
        <f>VLOOKUP($W1431,TBL_Categories,5,FALSE)</f>
        <v>None</v>
      </c>
      <c r="W1431" t="str">
        <f t="shared" si="68"/>
        <v>Health &amp; Fitness|Sports</v>
      </c>
    </row>
    <row r="1432" spans="1:23" x14ac:dyDescent="0.25">
      <c r="A1432" t="s">
        <v>293</v>
      </c>
      <c r="B1432" s="5">
        <v>41721</v>
      </c>
      <c r="C1432">
        <v>7.65</v>
      </c>
      <c r="D1432" t="s">
        <v>304</v>
      </c>
      <c r="E1432" t="s">
        <v>419</v>
      </c>
      <c r="G1432" t="s">
        <v>9</v>
      </c>
      <c r="K1432" t="s">
        <v>9</v>
      </c>
      <c r="Q1432" t="str">
        <f t="shared" si="66"/>
        <v>Mar</v>
      </c>
      <c r="R1432">
        <f t="shared" si="67"/>
        <v>2014</v>
      </c>
      <c r="S1432" t="str">
        <f>VLOOKUP($W1432,TBL_Categories,2,FALSE)</f>
        <v>Account</v>
      </c>
      <c r="T1432">
        <f>VLOOKUP($W1432,TBL_Categories,3,FALSE)</f>
        <v>0</v>
      </c>
      <c r="U1432" t="str">
        <f>VLOOKUP($W1432,TBL_Categories,4,FALSE)</f>
        <v>No</v>
      </c>
      <c r="V1432" t="str">
        <f>VLOOKUP($W1432,TBL_Categories,5,FALSE)</f>
        <v>None</v>
      </c>
      <c r="W1432" t="str">
        <f t="shared" si="68"/>
        <v>[First Tech - Checking (5544)]</v>
      </c>
    </row>
    <row r="1433" spans="1:23" x14ac:dyDescent="0.25">
      <c r="A1433" t="s">
        <v>296</v>
      </c>
      <c r="B1433" s="5">
        <v>41721</v>
      </c>
      <c r="C1433">
        <v>25</v>
      </c>
      <c r="D1433" t="s">
        <v>304</v>
      </c>
      <c r="E1433" t="s">
        <v>429</v>
      </c>
      <c r="F1433" t="s">
        <v>1063</v>
      </c>
      <c r="G1433" t="s">
        <v>14</v>
      </c>
      <c r="K1433" t="s">
        <v>14</v>
      </c>
      <c r="Q1433" t="str">
        <f t="shared" si="66"/>
        <v>Mar</v>
      </c>
      <c r="R1433">
        <f t="shared" si="67"/>
        <v>2014</v>
      </c>
      <c r="S1433" t="str">
        <f>VLOOKUP($W1433,TBL_Categories,2,FALSE)</f>
        <v>Monthly</v>
      </c>
      <c r="T1433">
        <f>VLOOKUP($W1433,TBL_Categories,3,FALSE)</f>
        <v>0</v>
      </c>
      <c r="U1433" t="str">
        <f>VLOOKUP($W1433,TBL_Categories,4,FALSE)</f>
        <v>No</v>
      </c>
      <c r="V1433" t="str">
        <f>VLOOKUP($W1433,TBL_Categories,5,FALSE)</f>
        <v>None</v>
      </c>
      <c r="W1433" t="str">
        <f t="shared" si="68"/>
        <v>Other Inc</v>
      </c>
    </row>
    <row r="1434" spans="1:23" x14ac:dyDescent="0.25">
      <c r="A1434" t="s">
        <v>296</v>
      </c>
      <c r="B1434" s="5">
        <v>41721</v>
      </c>
      <c r="C1434">
        <v>-11.45</v>
      </c>
      <c r="D1434" t="s">
        <v>304</v>
      </c>
      <c r="E1434" t="s">
        <v>957</v>
      </c>
      <c r="G1434" t="s">
        <v>333</v>
      </c>
      <c r="K1434" t="s">
        <v>61</v>
      </c>
      <c r="L1434" t="s">
        <v>1530</v>
      </c>
      <c r="Q1434" t="str">
        <f t="shared" si="66"/>
        <v>Mar</v>
      </c>
      <c r="R1434">
        <f t="shared" si="67"/>
        <v>2014</v>
      </c>
      <c r="S1434" t="str">
        <f>VLOOKUP($W1434,TBL_Categories,2,FALSE)</f>
        <v>Monthly</v>
      </c>
      <c r="T1434">
        <f>VLOOKUP($W1434,TBL_Categories,3,FALSE)</f>
        <v>0</v>
      </c>
      <c r="U1434" t="str">
        <f>VLOOKUP($W1434,TBL_Categories,4,FALSE)</f>
        <v>No</v>
      </c>
      <c r="V1434" t="str">
        <f>VLOOKUP($W1434,TBL_Categories,5,FALSE)</f>
        <v>None</v>
      </c>
      <c r="W1434" t="str">
        <f t="shared" si="68"/>
        <v>Food &amp; Dining|Restaurants</v>
      </c>
    </row>
    <row r="1435" spans="1:23" x14ac:dyDescent="0.25">
      <c r="A1435" t="s">
        <v>296</v>
      </c>
      <c r="B1435" s="5">
        <v>41720</v>
      </c>
      <c r="C1435">
        <v>-3.14</v>
      </c>
      <c r="D1435" t="s">
        <v>304</v>
      </c>
      <c r="E1435" t="s">
        <v>453</v>
      </c>
      <c r="F1435" t="s">
        <v>474</v>
      </c>
      <c r="G1435" t="s">
        <v>432</v>
      </c>
      <c r="K1435" t="s">
        <v>52</v>
      </c>
      <c r="L1435" t="s">
        <v>1577</v>
      </c>
      <c r="Q1435" t="str">
        <f t="shared" si="66"/>
        <v>Mar</v>
      </c>
      <c r="R1435">
        <f t="shared" si="67"/>
        <v>2014</v>
      </c>
      <c r="S1435" t="str">
        <f>VLOOKUP($W1435,TBL_Categories,2,FALSE)</f>
        <v>Monthly</v>
      </c>
      <c r="T1435">
        <f>VLOOKUP($W1435,TBL_Categories,3,FALSE)</f>
        <v>0</v>
      </c>
      <c r="U1435" t="str">
        <f>VLOOKUP($W1435,TBL_Categories,4,FALSE)</f>
        <v>No</v>
      </c>
      <c r="V1435" t="str">
        <f>VLOOKUP($W1435,TBL_Categories,5,FALSE)</f>
        <v>None</v>
      </c>
      <c r="W1435" t="str">
        <f t="shared" si="68"/>
        <v>Auto &amp; Transport|Parking</v>
      </c>
    </row>
    <row r="1436" spans="1:23" x14ac:dyDescent="0.25">
      <c r="A1436" t="s">
        <v>296</v>
      </c>
      <c r="B1436" s="5">
        <v>41720</v>
      </c>
      <c r="C1436">
        <v>-60.35</v>
      </c>
      <c r="D1436" t="s">
        <v>304</v>
      </c>
      <c r="E1436" t="s">
        <v>1062</v>
      </c>
      <c r="G1436" t="s">
        <v>333</v>
      </c>
      <c r="K1436" t="s">
        <v>61</v>
      </c>
      <c r="L1436" t="s">
        <v>1530</v>
      </c>
      <c r="Q1436" t="str">
        <f t="shared" si="66"/>
        <v>Mar</v>
      </c>
      <c r="R1436">
        <f t="shared" si="67"/>
        <v>2014</v>
      </c>
      <c r="S1436" t="str">
        <f>VLOOKUP($W1436,TBL_Categories,2,FALSE)</f>
        <v>Monthly</v>
      </c>
      <c r="T1436">
        <f>VLOOKUP($W1436,TBL_Categories,3,FALSE)</f>
        <v>0</v>
      </c>
      <c r="U1436" t="str">
        <f>VLOOKUP($W1436,TBL_Categories,4,FALSE)</f>
        <v>No</v>
      </c>
      <c r="V1436" t="str">
        <f>VLOOKUP($W1436,TBL_Categories,5,FALSE)</f>
        <v>None</v>
      </c>
      <c r="W1436" t="str">
        <f t="shared" si="68"/>
        <v>Food &amp; Dining|Restaurants</v>
      </c>
    </row>
    <row r="1437" spans="1:23" x14ac:dyDescent="0.25">
      <c r="A1437" t="s">
        <v>296</v>
      </c>
      <c r="B1437" s="5">
        <v>41720</v>
      </c>
      <c r="C1437">
        <v>-79.819999999999993</v>
      </c>
      <c r="D1437" t="s">
        <v>304</v>
      </c>
      <c r="E1437" t="s">
        <v>433</v>
      </c>
      <c r="G1437" t="s">
        <v>887</v>
      </c>
      <c r="J1437" t="s">
        <v>1550</v>
      </c>
      <c r="K1437" t="s">
        <v>61</v>
      </c>
      <c r="L1437" t="s">
        <v>401</v>
      </c>
      <c r="Q1437" t="str">
        <f t="shared" si="66"/>
        <v>Mar</v>
      </c>
      <c r="R1437">
        <f t="shared" si="67"/>
        <v>2014</v>
      </c>
      <c r="S1437" t="str">
        <f>VLOOKUP($W1437,TBL_Categories,2,FALSE)</f>
        <v>Monthly</v>
      </c>
      <c r="T1437">
        <f>VLOOKUP($W1437,TBL_Categories,3,FALSE)</f>
        <v>0</v>
      </c>
      <c r="U1437" t="str">
        <f>VLOOKUP($W1437,TBL_Categories,4,FALSE)</f>
        <v>No</v>
      </c>
      <c r="V1437" t="str">
        <f>VLOOKUP($W1437,TBL_Categories,5,FALSE)</f>
        <v>None</v>
      </c>
      <c r="W1437" t="str">
        <f t="shared" si="68"/>
        <v>Food &amp; Dining|Groceries</v>
      </c>
    </row>
    <row r="1438" spans="1:23" x14ac:dyDescent="0.25">
      <c r="A1438" t="s">
        <v>284</v>
      </c>
      <c r="B1438" s="5">
        <v>41719</v>
      </c>
      <c r="C1438">
        <v>-183.85</v>
      </c>
      <c r="D1438" t="s">
        <v>304</v>
      </c>
      <c r="E1438" t="s">
        <v>352</v>
      </c>
      <c r="F1438" t="s">
        <v>353</v>
      </c>
      <c r="G1438" t="s">
        <v>354</v>
      </c>
      <c r="K1438" t="s">
        <v>52</v>
      </c>
      <c r="L1438" t="s">
        <v>1544</v>
      </c>
      <c r="Q1438" t="str">
        <f t="shared" si="66"/>
        <v>Mar</v>
      </c>
      <c r="R1438">
        <f t="shared" si="67"/>
        <v>2014</v>
      </c>
      <c r="S1438" t="str">
        <f>VLOOKUP($W1438,TBL_Categories,2,FALSE)</f>
        <v>Monthly</v>
      </c>
      <c r="T1438">
        <f>VLOOKUP($W1438,TBL_Categories,3,FALSE)</f>
        <v>0</v>
      </c>
      <c r="U1438" t="str">
        <f>VLOOKUP($W1438,TBL_Categories,4,FALSE)</f>
        <v>No</v>
      </c>
      <c r="V1438" t="str">
        <f>VLOOKUP($W1438,TBL_Categories,5,FALSE)</f>
        <v>None</v>
      </c>
      <c r="W1438" t="str">
        <f t="shared" si="68"/>
        <v>Auto &amp; Transport|Auto Lease Payment</v>
      </c>
    </row>
    <row r="1439" spans="1:23" x14ac:dyDescent="0.25">
      <c r="A1439" t="s">
        <v>296</v>
      </c>
      <c r="B1439" s="5">
        <v>41719</v>
      </c>
      <c r="C1439">
        <v>-455</v>
      </c>
      <c r="D1439" t="s">
        <v>304</v>
      </c>
      <c r="E1439" t="s">
        <v>1060</v>
      </c>
      <c r="F1439" t="s">
        <v>1061</v>
      </c>
      <c r="G1439" t="s">
        <v>449</v>
      </c>
      <c r="K1439" t="s">
        <v>66</v>
      </c>
      <c r="L1439" t="s">
        <v>1555</v>
      </c>
      <c r="Q1439" t="str">
        <f t="shared" si="66"/>
        <v>Mar</v>
      </c>
      <c r="R1439">
        <f t="shared" si="67"/>
        <v>2014</v>
      </c>
      <c r="S1439" t="str">
        <f>VLOOKUP($W1439,TBL_Categories,2,FALSE)</f>
        <v>Monthly</v>
      </c>
      <c r="T1439">
        <f>VLOOKUP($W1439,TBL_Categories,3,FALSE)</f>
        <v>0</v>
      </c>
      <c r="U1439" t="str">
        <f>VLOOKUP($W1439,TBL_Categories,4,FALSE)</f>
        <v>No</v>
      </c>
      <c r="V1439" t="str">
        <f>VLOOKUP($W1439,TBL_Categories,5,FALSE)</f>
        <v>None</v>
      </c>
      <c r="W1439" t="str">
        <f t="shared" si="68"/>
        <v>Kids|Kids Activities</v>
      </c>
    </row>
    <row r="1440" spans="1:23" x14ac:dyDescent="0.25">
      <c r="A1440" t="s">
        <v>296</v>
      </c>
      <c r="B1440" s="5">
        <v>41719</v>
      </c>
      <c r="C1440">
        <v>-16.41</v>
      </c>
      <c r="D1440" t="s">
        <v>304</v>
      </c>
      <c r="E1440" t="s">
        <v>433</v>
      </c>
      <c r="G1440" t="s">
        <v>887</v>
      </c>
      <c r="J1440" t="s">
        <v>1550</v>
      </c>
      <c r="K1440" t="s">
        <v>61</v>
      </c>
      <c r="L1440" t="s">
        <v>401</v>
      </c>
      <c r="Q1440" t="str">
        <f t="shared" si="66"/>
        <v>Mar</v>
      </c>
      <c r="R1440">
        <f t="shared" si="67"/>
        <v>2014</v>
      </c>
      <c r="S1440" t="str">
        <f>VLOOKUP($W1440,TBL_Categories,2,FALSE)</f>
        <v>Monthly</v>
      </c>
      <c r="T1440">
        <f>VLOOKUP($W1440,TBL_Categories,3,FALSE)</f>
        <v>0</v>
      </c>
      <c r="U1440" t="str">
        <f>VLOOKUP($W1440,TBL_Categories,4,FALSE)</f>
        <v>No</v>
      </c>
      <c r="V1440" t="str">
        <f>VLOOKUP($W1440,TBL_Categories,5,FALSE)</f>
        <v>None</v>
      </c>
      <c r="W1440" t="str">
        <f t="shared" si="68"/>
        <v>Food &amp; Dining|Groceries</v>
      </c>
    </row>
    <row r="1441" spans="1:23" x14ac:dyDescent="0.25">
      <c r="A1441" t="s">
        <v>296</v>
      </c>
      <c r="B1441" s="5">
        <v>41719</v>
      </c>
      <c r="C1441">
        <v>-72.28</v>
      </c>
      <c r="D1441" t="s">
        <v>304</v>
      </c>
      <c r="E1441" t="s">
        <v>698</v>
      </c>
      <c r="G1441" t="s">
        <v>333</v>
      </c>
      <c r="K1441" t="s">
        <v>61</v>
      </c>
      <c r="L1441" t="s">
        <v>1530</v>
      </c>
      <c r="Q1441" t="str">
        <f t="shared" si="66"/>
        <v>Mar</v>
      </c>
      <c r="R1441">
        <f t="shared" si="67"/>
        <v>2014</v>
      </c>
      <c r="S1441" t="str">
        <f>VLOOKUP($W1441,TBL_Categories,2,FALSE)</f>
        <v>Monthly</v>
      </c>
      <c r="T1441">
        <f>VLOOKUP($W1441,TBL_Categories,3,FALSE)</f>
        <v>0</v>
      </c>
      <c r="U1441" t="str">
        <f>VLOOKUP($W1441,TBL_Categories,4,FALSE)</f>
        <v>No</v>
      </c>
      <c r="V1441" t="str">
        <f>VLOOKUP($W1441,TBL_Categories,5,FALSE)</f>
        <v>None</v>
      </c>
      <c r="W1441" t="str">
        <f t="shared" si="68"/>
        <v>Food &amp; Dining|Restaurants</v>
      </c>
    </row>
    <row r="1442" spans="1:23" x14ac:dyDescent="0.25">
      <c r="A1442" t="s">
        <v>296</v>
      </c>
      <c r="B1442" s="5">
        <v>41718</v>
      </c>
      <c r="C1442">
        <v>-12.71</v>
      </c>
      <c r="D1442" t="s">
        <v>304</v>
      </c>
      <c r="E1442" t="s">
        <v>433</v>
      </c>
      <c r="F1442" t="s">
        <v>475</v>
      </c>
      <c r="G1442" t="s">
        <v>887</v>
      </c>
      <c r="J1442" t="s">
        <v>1550</v>
      </c>
      <c r="K1442" t="s">
        <v>61</v>
      </c>
      <c r="L1442" t="s">
        <v>401</v>
      </c>
      <c r="Q1442" t="str">
        <f t="shared" si="66"/>
        <v>Mar</v>
      </c>
      <c r="R1442">
        <f t="shared" si="67"/>
        <v>2014</v>
      </c>
      <c r="S1442" t="str">
        <f>VLOOKUP($W1442,TBL_Categories,2,FALSE)</f>
        <v>Monthly</v>
      </c>
      <c r="T1442">
        <f>VLOOKUP($W1442,TBL_Categories,3,FALSE)</f>
        <v>0</v>
      </c>
      <c r="U1442" t="str">
        <f>VLOOKUP($W1442,TBL_Categories,4,FALSE)</f>
        <v>No</v>
      </c>
      <c r="V1442" t="str">
        <f>VLOOKUP($W1442,TBL_Categories,5,FALSE)</f>
        <v>None</v>
      </c>
      <c r="W1442" t="str">
        <f t="shared" si="68"/>
        <v>Food &amp; Dining|Groceries</v>
      </c>
    </row>
    <row r="1443" spans="1:23" x14ac:dyDescent="0.25">
      <c r="A1443" t="s">
        <v>296</v>
      </c>
      <c r="B1443" s="5">
        <v>41718</v>
      </c>
      <c r="C1443">
        <v>-10.93</v>
      </c>
      <c r="D1443" t="s">
        <v>304</v>
      </c>
      <c r="E1443" t="s">
        <v>426</v>
      </c>
      <c r="F1443" t="s">
        <v>487</v>
      </c>
      <c r="G1443" t="s">
        <v>1058</v>
      </c>
      <c r="I1443" t="s">
        <v>272</v>
      </c>
      <c r="J1443" t="s">
        <v>1550</v>
      </c>
      <c r="K1443" t="s">
        <v>55</v>
      </c>
      <c r="L1443" t="s">
        <v>1580</v>
      </c>
      <c r="Q1443" t="str">
        <f t="shared" si="66"/>
        <v>Mar</v>
      </c>
      <c r="R1443">
        <f t="shared" si="67"/>
        <v>2014</v>
      </c>
      <c r="S1443" t="str">
        <f>VLOOKUP($W1443,TBL_Categories,2,FALSE)</f>
        <v>Irregular</v>
      </c>
      <c r="T1443">
        <f>VLOOKUP($W1443,TBL_Categories,3,FALSE)</f>
        <v>0</v>
      </c>
      <c r="U1443" t="str">
        <f>VLOOKUP($W1443,TBL_Categories,4,FALSE)</f>
        <v>No</v>
      </c>
      <c r="V1443" t="str">
        <f>VLOOKUP($W1443,TBL_Categories,5,FALSE)</f>
        <v>None</v>
      </c>
      <c r="W1443" t="str">
        <f t="shared" si="68"/>
        <v>Business Expenses (Koolikai)|Supplies (Business)</v>
      </c>
    </row>
    <row r="1444" spans="1:23" x14ac:dyDescent="0.25">
      <c r="A1444" t="s">
        <v>296</v>
      </c>
      <c r="B1444" s="5">
        <v>41718</v>
      </c>
      <c r="C1444">
        <v>-10</v>
      </c>
      <c r="D1444" t="s">
        <v>304</v>
      </c>
      <c r="E1444" t="s">
        <v>426</v>
      </c>
      <c r="G1444" t="s">
        <v>1059</v>
      </c>
      <c r="I1444" t="s">
        <v>272</v>
      </c>
      <c r="J1444" t="s">
        <v>1550</v>
      </c>
      <c r="K1444" t="s">
        <v>62</v>
      </c>
      <c r="L1444" t="s">
        <v>1592</v>
      </c>
      <c r="Q1444" t="str">
        <f t="shared" si="66"/>
        <v>Mar</v>
      </c>
      <c r="R1444">
        <f t="shared" si="67"/>
        <v>2014</v>
      </c>
      <c r="S1444" t="str">
        <f>VLOOKUP($W1444,TBL_Categories,2,FALSE)</f>
        <v>Irregular</v>
      </c>
      <c r="T1444">
        <f>VLOOKUP($W1444,TBL_Categories,3,FALSE)</f>
        <v>0</v>
      </c>
      <c r="U1444" t="str">
        <f>VLOOKUP($W1444,TBL_Categories,4,FALSE)</f>
        <v>No</v>
      </c>
      <c r="V1444" t="str">
        <f>VLOOKUP($W1444,TBL_Categories,5,FALSE)</f>
        <v>None</v>
      </c>
      <c r="W1444" t="str">
        <f t="shared" si="68"/>
        <v>Health &amp; Fitness|Pharmacy</v>
      </c>
    </row>
    <row r="1445" spans="1:23" x14ac:dyDescent="0.25">
      <c r="A1445" t="s">
        <v>284</v>
      </c>
      <c r="B1445" s="5">
        <v>41717</v>
      </c>
      <c r="C1445">
        <v>0</v>
      </c>
      <c r="D1445" t="s">
        <v>304</v>
      </c>
      <c r="E1445" t="s">
        <v>308</v>
      </c>
      <c r="G1445" t="s">
        <v>9</v>
      </c>
      <c r="K1445" t="s">
        <v>9</v>
      </c>
      <c r="Q1445" t="str">
        <f t="shared" si="66"/>
        <v>Mar</v>
      </c>
      <c r="R1445">
        <f t="shared" si="67"/>
        <v>2014</v>
      </c>
      <c r="S1445" t="str">
        <f>VLOOKUP($W1445,TBL_Categories,2,FALSE)</f>
        <v>Account</v>
      </c>
      <c r="T1445">
        <f>VLOOKUP($W1445,TBL_Categories,3,FALSE)</f>
        <v>0</v>
      </c>
      <c r="U1445" t="str">
        <f>VLOOKUP($W1445,TBL_Categories,4,FALSE)</f>
        <v>No</v>
      </c>
      <c r="V1445" t="str">
        <f>VLOOKUP($W1445,TBL_Categories,5,FALSE)</f>
        <v>None</v>
      </c>
      <c r="W1445" t="str">
        <f t="shared" si="68"/>
        <v>[First Tech - Checking (5544)]</v>
      </c>
    </row>
    <row r="1446" spans="1:23" x14ac:dyDescent="0.25">
      <c r="A1446" t="s">
        <v>296</v>
      </c>
      <c r="B1446" s="5">
        <v>41717</v>
      </c>
      <c r="C1446">
        <v>-18.96</v>
      </c>
      <c r="D1446" t="s">
        <v>304</v>
      </c>
      <c r="E1446" t="s">
        <v>433</v>
      </c>
      <c r="F1446" t="s">
        <v>475</v>
      </c>
      <c r="G1446" t="s">
        <v>1058</v>
      </c>
      <c r="I1446" t="s">
        <v>272</v>
      </c>
      <c r="J1446" t="s">
        <v>1550</v>
      </c>
      <c r="K1446" t="s">
        <v>55</v>
      </c>
      <c r="L1446" t="s">
        <v>1580</v>
      </c>
      <c r="Q1446" t="str">
        <f t="shared" si="66"/>
        <v>Mar</v>
      </c>
      <c r="R1446">
        <f t="shared" si="67"/>
        <v>2014</v>
      </c>
      <c r="S1446" t="str">
        <f>VLOOKUP($W1446,TBL_Categories,2,FALSE)</f>
        <v>Irregular</v>
      </c>
      <c r="T1446">
        <f>VLOOKUP($W1446,TBL_Categories,3,FALSE)</f>
        <v>0</v>
      </c>
      <c r="U1446" t="str">
        <f>VLOOKUP($W1446,TBL_Categories,4,FALSE)</f>
        <v>No</v>
      </c>
      <c r="V1446" t="str">
        <f>VLOOKUP($W1446,TBL_Categories,5,FALSE)</f>
        <v>None</v>
      </c>
      <c r="W1446" t="str">
        <f t="shared" si="68"/>
        <v>Business Expenses (Koolikai)|Supplies (Business)</v>
      </c>
    </row>
    <row r="1447" spans="1:23" x14ac:dyDescent="0.25">
      <c r="A1447" t="s">
        <v>296</v>
      </c>
      <c r="B1447" s="5">
        <v>41717</v>
      </c>
      <c r="C1447">
        <v>-48.16</v>
      </c>
      <c r="D1447" t="s">
        <v>304</v>
      </c>
      <c r="E1447" t="s">
        <v>433</v>
      </c>
      <c r="G1447" t="s">
        <v>887</v>
      </c>
      <c r="I1447" t="s">
        <v>272</v>
      </c>
      <c r="J1447" t="s">
        <v>1550</v>
      </c>
      <c r="K1447" t="s">
        <v>61</v>
      </c>
      <c r="L1447" t="s">
        <v>401</v>
      </c>
      <c r="Q1447" t="str">
        <f t="shared" si="66"/>
        <v>Mar</v>
      </c>
      <c r="R1447">
        <f t="shared" si="67"/>
        <v>2014</v>
      </c>
      <c r="S1447" t="str">
        <f>VLOOKUP($W1447,TBL_Categories,2,FALSE)</f>
        <v>Monthly</v>
      </c>
      <c r="T1447">
        <f>VLOOKUP($W1447,TBL_Categories,3,FALSE)</f>
        <v>0</v>
      </c>
      <c r="U1447" t="str">
        <f>VLOOKUP($W1447,TBL_Categories,4,FALSE)</f>
        <v>No</v>
      </c>
      <c r="V1447" t="str">
        <f>VLOOKUP($W1447,TBL_Categories,5,FALSE)</f>
        <v>None</v>
      </c>
      <c r="W1447" t="str">
        <f t="shared" si="68"/>
        <v>Food &amp; Dining|Groceries</v>
      </c>
    </row>
    <row r="1448" spans="1:23" x14ac:dyDescent="0.25">
      <c r="A1448" t="s">
        <v>284</v>
      </c>
      <c r="B1448" s="5">
        <v>41716</v>
      </c>
      <c r="C1448">
        <v>-177.29</v>
      </c>
      <c r="D1448" t="s">
        <v>304</v>
      </c>
      <c r="E1448" t="s">
        <v>323</v>
      </c>
      <c r="F1448" t="s">
        <v>343</v>
      </c>
      <c r="G1448" t="s">
        <v>313</v>
      </c>
      <c r="K1448" t="s">
        <v>54</v>
      </c>
      <c r="L1448" t="s">
        <v>1521</v>
      </c>
      <c r="Q1448" t="str">
        <f t="shared" si="66"/>
        <v>Mar</v>
      </c>
      <c r="R1448">
        <f t="shared" si="67"/>
        <v>2014</v>
      </c>
      <c r="S1448" t="str">
        <f>VLOOKUP($W1448,TBL_Categories,2,FALSE)</f>
        <v>Monthly</v>
      </c>
      <c r="T1448">
        <f>VLOOKUP($W1448,TBL_Categories,3,FALSE)</f>
        <v>0</v>
      </c>
      <c r="U1448" t="str">
        <f>VLOOKUP($W1448,TBL_Categories,4,FALSE)</f>
        <v>No</v>
      </c>
      <c r="V1448" t="str">
        <f>VLOOKUP($W1448,TBL_Categories,5,FALSE)</f>
        <v>None</v>
      </c>
      <c r="W1448" t="str">
        <f t="shared" si="68"/>
        <v>Bills &amp; Utilities|Utilities</v>
      </c>
    </row>
    <row r="1449" spans="1:23" x14ac:dyDescent="0.25">
      <c r="A1449" t="s">
        <v>284</v>
      </c>
      <c r="B1449" s="5">
        <v>41715</v>
      </c>
      <c r="C1449">
        <v>-115</v>
      </c>
      <c r="D1449" t="s">
        <v>304</v>
      </c>
      <c r="E1449" t="s">
        <v>325</v>
      </c>
      <c r="F1449" t="s">
        <v>351</v>
      </c>
      <c r="G1449" t="s">
        <v>326</v>
      </c>
      <c r="K1449" t="s">
        <v>63</v>
      </c>
      <c r="L1449" t="s">
        <v>1528</v>
      </c>
      <c r="Q1449" t="str">
        <f t="shared" si="66"/>
        <v>Mar</v>
      </c>
      <c r="R1449">
        <f t="shared" si="67"/>
        <v>2014</v>
      </c>
      <c r="S1449" t="str">
        <f>VLOOKUP($W1449,TBL_Categories,2,FALSE)</f>
        <v>Monthly</v>
      </c>
      <c r="T1449">
        <f>VLOOKUP($W1449,TBL_Categories,3,FALSE)</f>
        <v>0</v>
      </c>
      <c r="U1449" t="str">
        <f>VLOOKUP($W1449,TBL_Categories,4,FALSE)</f>
        <v>No</v>
      </c>
      <c r="V1449" t="str">
        <f>VLOOKUP($W1449,TBL_Categories,5,FALSE)</f>
        <v>None</v>
      </c>
      <c r="W1449" t="str">
        <f t="shared" si="68"/>
        <v>Home|Home Services</v>
      </c>
    </row>
    <row r="1450" spans="1:23" x14ac:dyDescent="0.25">
      <c r="A1450" t="s">
        <v>296</v>
      </c>
      <c r="B1450" s="5">
        <v>41715</v>
      </c>
      <c r="C1450">
        <v>-6.23</v>
      </c>
      <c r="D1450" t="s">
        <v>304</v>
      </c>
      <c r="E1450" t="s">
        <v>428</v>
      </c>
      <c r="F1450" t="s">
        <v>472</v>
      </c>
      <c r="G1450" t="s">
        <v>887</v>
      </c>
      <c r="J1450" t="s">
        <v>1550</v>
      </c>
      <c r="K1450" t="s">
        <v>61</v>
      </c>
      <c r="L1450" t="s">
        <v>401</v>
      </c>
      <c r="Q1450" t="str">
        <f t="shared" si="66"/>
        <v>Mar</v>
      </c>
      <c r="R1450">
        <f t="shared" si="67"/>
        <v>2014</v>
      </c>
      <c r="S1450" t="str">
        <f>VLOOKUP($W1450,TBL_Categories,2,FALSE)</f>
        <v>Monthly</v>
      </c>
      <c r="T1450">
        <f>VLOOKUP($W1450,TBL_Categories,3,FALSE)</f>
        <v>0</v>
      </c>
      <c r="U1450" t="str">
        <f>VLOOKUP($W1450,TBL_Categories,4,FALSE)</f>
        <v>No</v>
      </c>
      <c r="V1450" t="str">
        <f>VLOOKUP($W1450,TBL_Categories,5,FALSE)</f>
        <v>None</v>
      </c>
      <c r="W1450" t="str">
        <f t="shared" si="68"/>
        <v>Food &amp; Dining|Groceries</v>
      </c>
    </row>
    <row r="1451" spans="1:23" x14ac:dyDescent="0.25">
      <c r="A1451" t="s">
        <v>633</v>
      </c>
      <c r="B1451" s="5">
        <v>41714</v>
      </c>
      <c r="C1451">
        <v>-100</v>
      </c>
      <c r="D1451" t="s">
        <v>304</v>
      </c>
      <c r="E1451" t="s">
        <v>430</v>
      </c>
      <c r="F1451" t="s">
        <v>745</v>
      </c>
      <c r="G1451" t="s">
        <v>773</v>
      </c>
      <c r="J1451" t="s">
        <v>1550</v>
      </c>
      <c r="K1451" t="s">
        <v>61</v>
      </c>
      <c r="L1451" t="s">
        <v>1530</v>
      </c>
      <c r="Q1451" t="str">
        <f t="shared" si="66"/>
        <v>Mar</v>
      </c>
      <c r="R1451">
        <f t="shared" si="67"/>
        <v>2014</v>
      </c>
      <c r="S1451" t="str">
        <f>VLOOKUP($W1451,TBL_Categories,2,FALSE)</f>
        <v>Monthly</v>
      </c>
      <c r="T1451">
        <f>VLOOKUP($W1451,TBL_Categories,3,FALSE)</f>
        <v>0</v>
      </c>
      <c r="U1451" t="str">
        <f>VLOOKUP($W1451,TBL_Categories,4,FALSE)</f>
        <v>No</v>
      </c>
      <c r="V1451" t="str">
        <f>VLOOKUP($W1451,TBL_Categories,5,FALSE)</f>
        <v>None</v>
      </c>
      <c r="W1451" t="str">
        <f t="shared" si="68"/>
        <v>Food &amp; Dining|Restaurants</v>
      </c>
    </row>
    <row r="1452" spans="1:23" x14ac:dyDescent="0.25">
      <c r="A1452" t="s">
        <v>296</v>
      </c>
      <c r="B1452" s="5">
        <v>41714</v>
      </c>
      <c r="C1452">
        <v>-15.75</v>
      </c>
      <c r="D1452" t="s">
        <v>304</v>
      </c>
      <c r="E1452" t="s">
        <v>755</v>
      </c>
      <c r="F1452" t="s">
        <v>756</v>
      </c>
      <c r="G1452" t="s">
        <v>773</v>
      </c>
      <c r="J1452" t="s">
        <v>1550</v>
      </c>
      <c r="K1452" t="s">
        <v>61</v>
      </c>
      <c r="L1452" t="s">
        <v>1530</v>
      </c>
      <c r="Q1452" t="str">
        <f t="shared" si="66"/>
        <v>Mar</v>
      </c>
      <c r="R1452">
        <f t="shared" si="67"/>
        <v>2014</v>
      </c>
      <c r="S1452" t="str">
        <f>VLOOKUP($W1452,TBL_Categories,2,FALSE)</f>
        <v>Monthly</v>
      </c>
      <c r="T1452">
        <f>VLOOKUP($W1452,TBL_Categories,3,FALSE)</f>
        <v>0</v>
      </c>
      <c r="U1452" t="str">
        <f>VLOOKUP($W1452,TBL_Categories,4,FALSE)</f>
        <v>No</v>
      </c>
      <c r="V1452" t="str">
        <f>VLOOKUP($W1452,TBL_Categories,5,FALSE)</f>
        <v>None</v>
      </c>
      <c r="W1452" t="str">
        <f t="shared" si="68"/>
        <v>Food &amp; Dining|Restaurants</v>
      </c>
    </row>
    <row r="1453" spans="1:23" x14ac:dyDescent="0.25">
      <c r="A1453" t="s">
        <v>296</v>
      </c>
      <c r="B1453" s="5">
        <v>41713</v>
      </c>
      <c r="C1453">
        <v>-14.08</v>
      </c>
      <c r="D1453" t="s">
        <v>304</v>
      </c>
      <c r="E1453" t="s">
        <v>711</v>
      </c>
      <c r="F1453" t="s">
        <v>752</v>
      </c>
      <c r="G1453" t="s">
        <v>1042</v>
      </c>
      <c r="J1453" t="s">
        <v>1550</v>
      </c>
      <c r="K1453" t="s">
        <v>66</v>
      </c>
      <c r="L1453" t="s">
        <v>1537</v>
      </c>
      <c r="Q1453" t="str">
        <f t="shared" si="66"/>
        <v>Mar</v>
      </c>
      <c r="R1453">
        <f t="shared" si="67"/>
        <v>2014</v>
      </c>
      <c r="S1453" t="str">
        <f>VLOOKUP($W1453,TBL_Categories,2,FALSE)</f>
        <v>Monthly</v>
      </c>
      <c r="T1453">
        <f>VLOOKUP($W1453,TBL_Categories,3,FALSE)</f>
        <v>0</v>
      </c>
      <c r="U1453" t="str">
        <f>VLOOKUP($W1453,TBL_Categories,4,FALSE)</f>
        <v>No</v>
      </c>
      <c r="V1453" t="str">
        <f>VLOOKUP($W1453,TBL_Categories,5,FALSE)</f>
        <v>None</v>
      </c>
      <c r="W1453" t="str">
        <f t="shared" si="68"/>
        <v>Kids|Clothing</v>
      </c>
    </row>
    <row r="1454" spans="1:23" x14ac:dyDescent="0.25">
      <c r="A1454" t="s">
        <v>296</v>
      </c>
      <c r="B1454" s="5">
        <v>41713</v>
      </c>
      <c r="C1454">
        <v>-17.22</v>
      </c>
      <c r="D1454" t="s">
        <v>304</v>
      </c>
      <c r="E1454" t="s">
        <v>671</v>
      </c>
      <c r="F1454" t="s">
        <v>753</v>
      </c>
      <c r="G1454" t="s">
        <v>333</v>
      </c>
      <c r="K1454" t="s">
        <v>61</v>
      </c>
      <c r="L1454" t="s">
        <v>1530</v>
      </c>
      <c r="Q1454" t="str">
        <f t="shared" si="66"/>
        <v>Mar</v>
      </c>
      <c r="R1454">
        <f t="shared" si="67"/>
        <v>2014</v>
      </c>
      <c r="S1454" t="str">
        <f>VLOOKUP($W1454,TBL_Categories,2,FALSE)</f>
        <v>Monthly</v>
      </c>
      <c r="T1454">
        <f>VLOOKUP($W1454,TBL_Categories,3,FALSE)</f>
        <v>0</v>
      </c>
      <c r="U1454" t="str">
        <f>VLOOKUP($W1454,TBL_Categories,4,FALSE)</f>
        <v>No</v>
      </c>
      <c r="V1454" t="str">
        <f>VLOOKUP($W1454,TBL_Categories,5,FALSE)</f>
        <v>None</v>
      </c>
      <c r="W1454" t="str">
        <f t="shared" si="68"/>
        <v>Food &amp; Dining|Restaurants</v>
      </c>
    </row>
    <row r="1455" spans="1:23" x14ac:dyDescent="0.25">
      <c r="A1455" t="s">
        <v>296</v>
      </c>
      <c r="B1455" s="5">
        <v>41713</v>
      </c>
      <c r="C1455">
        <v>-22.52</v>
      </c>
      <c r="D1455" t="s">
        <v>304</v>
      </c>
      <c r="E1455" t="s">
        <v>1057</v>
      </c>
      <c r="F1455" t="s">
        <v>754</v>
      </c>
      <c r="G1455" t="s">
        <v>1042</v>
      </c>
      <c r="J1455" t="s">
        <v>1550</v>
      </c>
      <c r="K1455" t="s">
        <v>66</v>
      </c>
      <c r="L1455" t="s">
        <v>1537</v>
      </c>
      <c r="Q1455" t="str">
        <f t="shared" si="66"/>
        <v>Mar</v>
      </c>
      <c r="R1455">
        <f t="shared" si="67"/>
        <v>2014</v>
      </c>
      <c r="S1455" t="str">
        <f>VLOOKUP($W1455,TBL_Categories,2,FALSE)</f>
        <v>Monthly</v>
      </c>
      <c r="T1455">
        <f>VLOOKUP($W1455,TBL_Categories,3,FALSE)</f>
        <v>0</v>
      </c>
      <c r="U1455" t="str">
        <f>VLOOKUP($W1455,TBL_Categories,4,FALSE)</f>
        <v>No</v>
      </c>
      <c r="V1455" t="str">
        <f>VLOOKUP($W1455,TBL_Categories,5,FALSE)</f>
        <v>None</v>
      </c>
      <c r="W1455" t="str">
        <f t="shared" si="68"/>
        <v>Kids|Clothing</v>
      </c>
    </row>
    <row r="1456" spans="1:23" x14ac:dyDescent="0.25">
      <c r="A1456" t="s">
        <v>284</v>
      </c>
      <c r="B1456" s="5">
        <v>41712</v>
      </c>
      <c r="C1456">
        <v>-150.02000000000001</v>
      </c>
      <c r="D1456" t="s">
        <v>304</v>
      </c>
      <c r="E1456" t="s">
        <v>324</v>
      </c>
      <c r="F1456" t="s">
        <v>648</v>
      </c>
      <c r="G1456" t="s">
        <v>313</v>
      </c>
      <c r="K1456" t="s">
        <v>54</v>
      </c>
      <c r="L1456" t="s">
        <v>1521</v>
      </c>
      <c r="Q1456" t="str">
        <f t="shared" si="66"/>
        <v>Mar</v>
      </c>
      <c r="R1456">
        <f t="shared" si="67"/>
        <v>2014</v>
      </c>
      <c r="S1456" t="str">
        <f>VLOOKUP($W1456,TBL_Categories,2,FALSE)</f>
        <v>Monthly</v>
      </c>
      <c r="T1456">
        <f>VLOOKUP($W1456,TBL_Categories,3,FALSE)</f>
        <v>0</v>
      </c>
      <c r="U1456" t="str">
        <f>VLOOKUP($W1456,TBL_Categories,4,FALSE)</f>
        <v>No</v>
      </c>
      <c r="V1456" t="str">
        <f>VLOOKUP($W1456,TBL_Categories,5,FALSE)</f>
        <v>None</v>
      </c>
      <c r="W1456" t="str">
        <f t="shared" si="68"/>
        <v>Bills &amp; Utilities|Utilities</v>
      </c>
    </row>
    <row r="1457" spans="1:23" x14ac:dyDescent="0.25">
      <c r="A1457" t="s">
        <v>633</v>
      </c>
      <c r="B1457" s="5">
        <v>41712</v>
      </c>
      <c r="C1457">
        <v>0</v>
      </c>
      <c r="D1457" t="s">
        <v>304</v>
      </c>
      <c r="E1457" t="s">
        <v>634</v>
      </c>
      <c r="G1457" t="s">
        <v>657</v>
      </c>
      <c r="K1457" t="s">
        <v>657</v>
      </c>
      <c r="Q1457" t="str">
        <f t="shared" si="66"/>
        <v>Mar</v>
      </c>
      <c r="R1457">
        <f t="shared" si="67"/>
        <v>2014</v>
      </c>
      <c r="S1457" t="e">
        <f>VLOOKUP($W1457,TBL_Categories,2,FALSE)</f>
        <v>#N/A</v>
      </c>
      <c r="T1457" t="e">
        <f>VLOOKUP($W1457,TBL_Categories,3,FALSE)</f>
        <v>#N/A</v>
      </c>
      <c r="U1457" t="e">
        <f>VLOOKUP($W1457,TBL_Categories,4,FALSE)</f>
        <v>#N/A</v>
      </c>
      <c r="V1457" t="e">
        <f>VLOOKUP($W1457,TBL_Categories,5,FALSE)</f>
        <v>#N/A</v>
      </c>
      <c r="W1457" t="str">
        <f t="shared" si="68"/>
        <v>[Chase Freedom XX9381]</v>
      </c>
    </row>
    <row r="1458" spans="1:23" x14ac:dyDescent="0.25">
      <c r="A1458" t="s">
        <v>296</v>
      </c>
      <c r="B1458" s="5">
        <v>41712</v>
      </c>
      <c r="C1458">
        <v>-5.42</v>
      </c>
      <c r="D1458" t="s">
        <v>304</v>
      </c>
      <c r="E1458" t="s">
        <v>452</v>
      </c>
      <c r="F1458" t="s">
        <v>750</v>
      </c>
      <c r="G1458" t="s">
        <v>333</v>
      </c>
      <c r="K1458" t="s">
        <v>61</v>
      </c>
      <c r="L1458" t="s">
        <v>1530</v>
      </c>
      <c r="Q1458" t="str">
        <f t="shared" si="66"/>
        <v>Mar</v>
      </c>
      <c r="R1458">
        <f t="shared" si="67"/>
        <v>2014</v>
      </c>
      <c r="S1458" t="str">
        <f>VLOOKUP($W1458,TBL_Categories,2,FALSE)</f>
        <v>Monthly</v>
      </c>
      <c r="T1458">
        <f>VLOOKUP($W1458,TBL_Categories,3,FALSE)</f>
        <v>0</v>
      </c>
      <c r="U1458" t="str">
        <f>VLOOKUP($W1458,TBL_Categories,4,FALSE)</f>
        <v>No</v>
      </c>
      <c r="V1458" t="str">
        <f>VLOOKUP($W1458,TBL_Categories,5,FALSE)</f>
        <v>None</v>
      </c>
      <c r="W1458" t="str">
        <f t="shared" si="68"/>
        <v>Food &amp; Dining|Restaurants</v>
      </c>
    </row>
    <row r="1459" spans="1:23" x14ac:dyDescent="0.25">
      <c r="A1459" t="s">
        <v>296</v>
      </c>
      <c r="B1459" s="5">
        <v>41712</v>
      </c>
      <c r="C1459">
        <v>-30.28</v>
      </c>
      <c r="D1459" t="s">
        <v>304</v>
      </c>
      <c r="E1459" t="s">
        <v>452</v>
      </c>
      <c r="F1459" t="s">
        <v>750</v>
      </c>
      <c r="G1459" t="s">
        <v>333</v>
      </c>
      <c r="K1459" t="s">
        <v>61</v>
      </c>
      <c r="L1459" t="s">
        <v>1530</v>
      </c>
      <c r="Q1459" t="str">
        <f t="shared" si="66"/>
        <v>Mar</v>
      </c>
      <c r="R1459">
        <f t="shared" si="67"/>
        <v>2014</v>
      </c>
      <c r="S1459" t="str">
        <f>VLOOKUP($W1459,TBL_Categories,2,FALSE)</f>
        <v>Monthly</v>
      </c>
      <c r="T1459">
        <f>VLOOKUP($W1459,TBL_Categories,3,FALSE)</f>
        <v>0</v>
      </c>
      <c r="U1459" t="str">
        <f>VLOOKUP($W1459,TBL_Categories,4,FALSE)</f>
        <v>No</v>
      </c>
      <c r="V1459" t="str">
        <f>VLOOKUP($W1459,TBL_Categories,5,FALSE)</f>
        <v>None</v>
      </c>
      <c r="W1459" t="str">
        <f t="shared" si="68"/>
        <v>Food &amp; Dining|Restaurants</v>
      </c>
    </row>
    <row r="1460" spans="1:23" x14ac:dyDescent="0.25">
      <c r="A1460" t="s">
        <v>296</v>
      </c>
      <c r="B1460" s="5">
        <v>41712</v>
      </c>
      <c r="C1460">
        <v>-31.83</v>
      </c>
      <c r="D1460" t="s">
        <v>304</v>
      </c>
      <c r="E1460" t="s">
        <v>1038</v>
      </c>
      <c r="F1460" t="s">
        <v>499</v>
      </c>
      <c r="G1460" t="s">
        <v>333</v>
      </c>
      <c r="K1460" t="s">
        <v>61</v>
      </c>
      <c r="L1460" t="s">
        <v>1530</v>
      </c>
      <c r="Q1460" t="str">
        <f t="shared" si="66"/>
        <v>Mar</v>
      </c>
      <c r="R1460">
        <f t="shared" si="67"/>
        <v>2014</v>
      </c>
      <c r="S1460" t="str">
        <f>VLOOKUP($W1460,TBL_Categories,2,FALSE)</f>
        <v>Monthly</v>
      </c>
      <c r="T1460">
        <f>VLOOKUP($W1460,TBL_Categories,3,FALSE)</f>
        <v>0</v>
      </c>
      <c r="U1460" t="str">
        <f>VLOOKUP($W1460,TBL_Categories,4,FALSE)</f>
        <v>No</v>
      </c>
      <c r="V1460" t="str">
        <f>VLOOKUP($W1460,TBL_Categories,5,FALSE)</f>
        <v>None</v>
      </c>
      <c r="W1460" t="str">
        <f t="shared" si="68"/>
        <v>Food &amp; Dining|Restaurants</v>
      </c>
    </row>
    <row r="1461" spans="1:23" x14ac:dyDescent="0.25">
      <c r="A1461" t="s">
        <v>296</v>
      </c>
      <c r="B1461" s="5">
        <v>41712</v>
      </c>
      <c r="C1461">
        <v>-71.88</v>
      </c>
      <c r="D1461" t="s">
        <v>304</v>
      </c>
      <c r="E1461" t="s">
        <v>437</v>
      </c>
      <c r="F1461" t="s">
        <v>751</v>
      </c>
      <c r="G1461" t="s">
        <v>345</v>
      </c>
      <c r="K1461" t="s">
        <v>66</v>
      </c>
      <c r="L1461" t="s">
        <v>1536</v>
      </c>
      <c r="Q1461" t="str">
        <f t="shared" si="66"/>
        <v>Mar</v>
      </c>
      <c r="R1461">
        <f t="shared" si="67"/>
        <v>2014</v>
      </c>
      <c r="S1461" t="str">
        <f>VLOOKUP($W1461,TBL_Categories,2,FALSE)</f>
        <v>Monthly</v>
      </c>
      <c r="T1461">
        <f>VLOOKUP($W1461,TBL_Categories,3,FALSE)</f>
        <v>0</v>
      </c>
      <c r="U1461" t="str">
        <f>VLOOKUP($W1461,TBL_Categories,4,FALSE)</f>
        <v>No</v>
      </c>
      <c r="V1461" t="str">
        <f>VLOOKUP($W1461,TBL_Categories,5,FALSE)</f>
        <v>None</v>
      </c>
      <c r="W1461" t="str">
        <f t="shared" si="68"/>
        <v>Kids|Toys</v>
      </c>
    </row>
    <row r="1462" spans="1:23" x14ac:dyDescent="0.25">
      <c r="A1462" t="s">
        <v>284</v>
      </c>
      <c r="B1462" s="5">
        <v>41711</v>
      </c>
      <c r="C1462" s="4">
        <v>3165.19</v>
      </c>
      <c r="D1462" t="s">
        <v>304</v>
      </c>
      <c r="E1462" t="s">
        <v>361</v>
      </c>
      <c r="F1462" t="s">
        <v>312</v>
      </c>
      <c r="G1462" t="s">
        <v>12</v>
      </c>
      <c r="K1462" t="s">
        <v>12</v>
      </c>
      <c r="Q1462" t="str">
        <f t="shared" si="66"/>
        <v>Mar</v>
      </c>
      <c r="R1462">
        <f t="shared" si="67"/>
        <v>2014</v>
      </c>
      <c r="S1462" t="str">
        <f>VLOOKUP($W1462,TBL_Categories,2,FALSE)</f>
        <v>Monthly</v>
      </c>
      <c r="T1462">
        <f>VLOOKUP($W1462,TBL_Categories,3,FALSE)</f>
        <v>0</v>
      </c>
      <c r="U1462" t="str">
        <f>VLOOKUP($W1462,TBL_Categories,4,FALSE)</f>
        <v>No</v>
      </c>
      <c r="V1462" t="str">
        <f>VLOOKUP($W1462,TBL_Categories,5,FALSE)</f>
        <v>None</v>
      </c>
      <c r="W1462" t="str">
        <f t="shared" si="68"/>
        <v>Net Salary</v>
      </c>
    </row>
    <row r="1463" spans="1:23" x14ac:dyDescent="0.25">
      <c r="A1463" t="s">
        <v>296</v>
      </c>
      <c r="B1463" s="5">
        <v>41711</v>
      </c>
      <c r="C1463">
        <v>-3.99</v>
      </c>
      <c r="D1463" t="s">
        <v>304</v>
      </c>
      <c r="E1463" t="s">
        <v>428</v>
      </c>
      <c r="F1463" t="s">
        <v>472</v>
      </c>
      <c r="G1463" t="s">
        <v>342</v>
      </c>
      <c r="K1463" t="s">
        <v>61</v>
      </c>
      <c r="L1463" t="s">
        <v>401</v>
      </c>
      <c r="Q1463" t="str">
        <f t="shared" si="66"/>
        <v>Mar</v>
      </c>
      <c r="R1463">
        <f t="shared" si="67"/>
        <v>2014</v>
      </c>
      <c r="S1463" t="str">
        <f>VLOOKUP($W1463,TBL_Categories,2,FALSE)</f>
        <v>Monthly</v>
      </c>
      <c r="T1463">
        <f>VLOOKUP($W1463,TBL_Categories,3,FALSE)</f>
        <v>0</v>
      </c>
      <c r="U1463" t="str">
        <f>VLOOKUP($W1463,TBL_Categories,4,FALSE)</f>
        <v>No</v>
      </c>
      <c r="V1463" t="str">
        <f>VLOOKUP($W1463,TBL_Categories,5,FALSE)</f>
        <v>None</v>
      </c>
      <c r="W1463" t="str">
        <f t="shared" si="68"/>
        <v>Food &amp; Dining|Groceries</v>
      </c>
    </row>
    <row r="1464" spans="1:23" x14ac:dyDescent="0.25">
      <c r="A1464" t="s">
        <v>296</v>
      </c>
      <c r="B1464" s="5">
        <v>41711</v>
      </c>
      <c r="C1464">
        <v>-10.84</v>
      </c>
      <c r="D1464" t="s">
        <v>304</v>
      </c>
      <c r="E1464" t="s">
        <v>746</v>
      </c>
      <c r="F1464" t="s">
        <v>747</v>
      </c>
      <c r="G1464" t="s">
        <v>333</v>
      </c>
      <c r="K1464" t="s">
        <v>61</v>
      </c>
      <c r="L1464" t="s">
        <v>1530</v>
      </c>
      <c r="Q1464" t="str">
        <f t="shared" si="66"/>
        <v>Mar</v>
      </c>
      <c r="R1464">
        <f t="shared" si="67"/>
        <v>2014</v>
      </c>
      <c r="S1464" t="str">
        <f>VLOOKUP($W1464,TBL_Categories,2,FALSE)</f>
        <v>Monthly</v>
      </c>
      <c r="T1464">
        <f>VLOOKUP($W1464,TBL_Categories,3,FALSE)</f>
        <v>0</v>
      </c>
      <c r="U1464" t="str">
        <f>VLOOKUP($W1464,TBL_Categories,4,FALSE)</f>
        <v>No</v>
      </c>
      <c r="V1464" t="str">
        <f>VLOOKUP($W1464,TBL_Categories,5,FALSE)</f>
        <v>None</v>
      </c>
      <c r="W1464" t="str">
        <f t="shared" si="68"/>
        <v>Food &amp; Dining|Restaurants</v>
      </c>
    </row>
    <row r="1465" spans="1:23" x14ac:dyDescent="0.25">
      <c r="A1465" t="s">
        <v>296</v>
      </c>
      <c r="B1465" s="5">
        <v>41711</v>
      </c>
      <c r="C1465">
        <v>-18.329999999999998</v>
      </c>
      <c r="D1465" t="s">
        <v>304</v>
      </c>
      <c r="E1465" t="s">
        <v>748</v>
      </c>
      <c r="F1465" t="s">
        <v>749</v>
      </c>
      <c r="G1465" t="s">
        <v>333</v>
      </c>
      <c r="K1465" t="s">
        <v>61</v>
      </c>
      <c r="L1465" t="s">
        <v>1530</v>
      </c>
      <c r="Q1465" t="str">
        <f t="shared" si="66"/>
        <v>Mar</v>
      </c>
      <c r="R1465">
        <f t="shared" si="67"/>
        <v>2014</v>
      </c>
      <c r="S1465" t="str">
        <f>VLOOKUP($W1465,TBL_Categories,2,FALSE)</f>
        <v>Monthly</v>
      </c>
      <c r="T1465">
        <f>VLOOKUP($W1465,TBL_Categories,3,FALSE)</f>
        <v>0</v>
      </c>
      <c r="U1465" t="str">
        <f>VLOOKUP($W1465,TBL_Categories,4,FALSE)</f>
        <v>No</v>
      </c>
      <c r="V1465" t="str">
        <f>VLOOKUP($W1465,TBL_Categories,5,FALSE)</f>
        <v>None</v>
      </c>
      <c r="W1465" t="str">
        <f t="shared" si="68"/>
        <v>Food &amp; Dining|Restaurants</v>
      </c>
    </row>
    <row r="1466" spans="1:23" x14ac:dyDescent="0.25">
      <c r="A1466" t="s">
        <v>294</v>
      </c>
      <c r="B1466" s="5">
        <v>41710</v>
      </c>
      <c r="C1466">
        <v>-146.69999999999999</v>
      </c>
      <c r="D1466" t="s">
        <v>304</v>
      </c>
      <c r="E1466" t="s">
        <v>335</v>
      </c>
      <c r="G1466" t="s">
        <v>336</v>
      </c>
      <c r="K1466" t="s">
        <v>55</v>
      </c>
      <c r="L1466" t="s">
        <v>1532</v>
      </c>
      <c r="Q1466" t="str">
        <f t="shared" si="66"/>
        <v>Mar</v>
      </c>
      <c r="R1466">
        <f t="shared" si="67"/>
        <v>2014</v>
      </c>
      <c r="S1466" t="str">
        <f>VLOOKUP($W1466,TBL_Categories,2,FALSE)</f>
        <v>Monthly</v>
      </c>
      <c r="T1466">
        <f>VLOOKUP($W1466,TBL_Categories,3,FALSE)</f>
        <v>0</v>
      </c>
      <c r="U1466" t="str">
        <f>VLOOKUP($W1466,TBL_Categories,4,FALSE)</f>
        <v>No</v>
      </c>
      <c r="V1466" t="str">
        <f>VLOOKUP($W1466,TBL_Categories,5,FALSE)</f>
        <v>None</v>
      </c>
      <c r="W1466" t="str">
        <f t="shared" si="68"/>
        <v>Business Expenses (Koolikai)|Cell Phone</v>
      </c>
    </row>
    <row r="1467" spans="1:23" x14ac:dyDescent="0.25">
      <c r="A1467" t="s">
        <v>296</v>
      </c>
      <c r="B1467" s="5">
        <v>41710</v>
      </c>
      <c r="C1467">
        <v>-10.94</v>
      </c>
      <c r="D1467" t="s">
        <v>304</v>
      </c>
      <c r="E1467" t="s">
        <v>465</v>
      </c>
      <c r="F1467" t="s">
        <v>545</v>
      </c>
      <c r="G1467" t="s">
        <v>333</v>
      </c>
      <c r="K1467" t="s">
        <v>61</v>
      </c>
      <c r="L1467" t="s">
        <v>1530</v>
      </c>
      <c r="Q1467" t="str">
        <f t="shared" si="66"/>
        <v>Mar</v>
      </c>
      <c r="R1467">
        <f t="shared" si="67"/>
        <v>2014</v>
      </c>
      <c r="S1467" t="str">
        <f>VLOOKUP($W1467,TBL_Categories,2,FALSE)</f>
        <v>Monthly</v>
      </c>
      <c r="T1467">
        <f>VLOOKUP($W1467,TBL_Categories,3,FALSE)</f>
        <v>0</v>
      </c>
      <c r="U1467" t="str">
        <f>VLOOKUP($W1467,TBL_Categories,4,FALSE)</f>
        <v>No</v>
      </c>
      <c r="V1467" t="str">
        <f>VLOOKUP($W1467,TBL_Categories,5,FALSE)</f>
        <v>None</v>
      </c>
      <c r="W1467" t="str">
        <f t="shared" si="68"/>
        <v>Food &amp; Dining|Restaurants</v>
      </c>
    </row>
    <row r="1468" spans="1:23" x14ac:dyDescent="0.25">
      <c r="A1468" t="s">
        <v>296</v>
      </c>
      <c r="B1468" s="5">
        <v>41710</v>
      </c>
      <c r="C1468">
        <v>-20</v>
      </c>
      <c r="D1468" t="s">
        <v>304</v>
      </c>
      <c r="E1468" t="s">
        <v>430</v>
      </c>
      <c r="F1468" t="s">
        <v>745</v>
      </c>
      <c r="G1468" t="s">
        <v>333</v>
      </c>
      <c r="K1468" t="s">
        <v>61</v>
      </c>
      <c r="L1468" t="s">
        <v>1530</v>
      </c>
      <c r="Q1468" t="str">
        <f t="shared" si="66"/>
        <v>Mar</v>
      </c>
      <c r="R1468">
        <f t="shared" si="67"/>
        <v>2014</v>
      </c>
      <c r="S1468" t="str">
        <f>VLOOKUP($W1468,TBL_Categories,2,FALSE)</f>
        <v>Monthly</v>
      </c>
      <c r="T1468">
        <f>VLOOKUP($W1468,TBL_Categories,3,FALSE)</f>
        <v>0</v>
      </c>
      <c r="U1468" t="str">
        <f>VLOOKUP($W1468,TBL_Categories,4,FALSE)</f>
        <v>No</v>
      </c>
      <c r="V1468" t="str">
        <f>VLOOKUP($W1468,TBL_Categories,5,FALSE)</f>
        <v>None</v>
      </c>
      <c r="W1468" t="str">
        <f t="shared" si="68"/>
        <v>Food &amp; Dining|Restaurants</v>
      </c>
    </row>
    <row r="1469" spans="1:23" x14ac:dyDescent="0.25">
      <c r="A1469" t="s">
        <v>291</v>
      </c>
      <c r="B1469" s="5">
        <v>41708</v>
      </c>
      <c r="C1469">
        <v>-75.36</v>
      </c>
      <c r="D1469" t="s">
        <v>304</v>
      </c>
      <c r="E1469" t="s">
        <v>400</v>
      </c>
      <c r="F1469" t="s">
        <v>920</v>
      </c>
      <c r="G1469" t="s">
        <v>887</v>
      </c>
      <c r="J1469" t="s">
        <v>1550</v>
      </c>
      <c r="K1469" t="s">
        <v>61</v>
      </c>
      <c r="L1469" t="s">
        <v>401</v>
      </c>
      <c r="Q1469" t="str">
        <f t="shared" si="66"/>
        <v>Mar</v>
      </c>
      <c r="R1469">
        <f t="shared" si="67"/>
        <v>2014</v>
      </c>
      <c r="S1469" t="str">
        <f>VLOOKUP($W1469,TBL_Categories,2,FALSE)</f>
        <v>Monthly</v>
      </c>
      <c r="T1469">
        <f>VLOOKUP($W1469,TBL_Categories,3,FALSE)</f>
        <v>0</v>
      </c>
      <c r="U1469" t="str">
        <f>VLOOKUP($W1469,TBL_Categories,4,FALSE)</f>
        <v>No</v>
      </c>
      <c r="V1469" t="str">
        <f>VLOOKUP($W1469,TBL_Categories,5,FALSE)</f>
        <v>None</v>
      </c>
      <c r="W1469" t="str">
        <f t="shared" si="68"/>
        <v>Food &amp; Dining|Groceries</v>
      </c>
    </row>
    <row r="1470" spans="1:23" x14ac:dyDescent="0.25">
      <c r="A1470" t="s">
        <v>296</v>
      </c>
      <c r="B1470" s="5">
        <v>41708</v>
      </c>
      <c r="C1470">
        <v>-74.42</v>
      </c>
      <c r="D1470" t="s">
        <v>304</v>
      </c>
      <c r="E1470" t="s">
        <v>722</v>
      </c>
      <c r="F1470" t="s">
        <v>744</v>
      </c>
      <c r="G1470" t="s">
        <v>333</v>
      </c>
      <c r="K1470" t="s">
        <v>61</v>
      </c>
      <c r="L1470" t="s">
        <v>1530</v>
      </c>
      <c r="Q1470" t="str">
        <f t="shared" si="66"/>
        <v>Mar</v>
      </c>
      <c r="R1470">
        <f t="shared" si="67"/>
        <v>2014</v>
      </c>
      <c r="S1470" t="str">
        <f>VLOOKUP($W1470,TBL_Categories,2,FALSE)</f>
        <v>Monthly</v>
      </c>
      <c r="T1470">
        <f>VLOOKUP($W1470,TBL_Categories,3,FALSE)</f>
        <v>0</v>
      </c>
      <c r="U1470" t="str">
        <f>VLOOKUP($W1470,TBL_Categories,4,FALSE)</f>
        <v>No</v>
      </c>
      <c r="V1470" t="str">
        <f>VLOOKUP($W1470,TBL_Categories,5,FALSE)</f>
        <v>None</v>
      </c>
      <c r="W1470" t="str">
        <f t="shared" si="68"/>
        <v>Food &amp; Dining|Restaurants</v>
      </c>
    </row>
    <row r="1471" spans="1:23" x14ac:dyDescent="0.25">
      <c r="A1471" t="s">
        <v>290</v>
      </c>
      <c r="B1471" s="5">
        <v>41707</v>
      </c>
      <c r="C1471">
        <v>-40</v>
      </c>
      <c r="D1471" t="s">
        <v>304</v>
      </c>
      <c r="E1471" t="s">
        <v>428</v>
      </c>
      <c r="F1471" t="s">
        <v>652</v>
      </c>
      <c r="G1471" t="s">
        <v>322</v>
      </c>
      <c r="I1471" t="s">
        <v>272</v>
      </c>
      <c r="K1471" t="s">
        <v>66</v>
      </c>
      <c r="L1471" t="s">
        <v>1527</v>
      </c>
      <c r="Q1471" t="str">
        <f t="shared" si="66"/>
        <v>Mar</v>
      </c>
      <c r="R1471">
        <f t="shared" si="67"/>
        <v>2014</v>
      </c>
      <c r="S1471" t="str">
        <f>VLOOKUP($W1471,TBL_Categories,2,FALSE)</f>
        <v>Monthly</v>
      </c>
      <c r="T1471">
        <f>VLOOKUP($W1471,TBL_Categories,3,FALSE)</f>
        <v>0</v>
      </c>
      <c r="U1471" t="str">
        <f>VLOOKUP($W1471,TBL_Categories,4,FALSE)</f>
        <v>No</v>
      </c>
      <c r="V1471" t="str">
        <f>VLOOKUP($W1471,TBL_Categories,5,FALSE)</f>
        <v>None</v>
      </c>
      <c r="W1471" t="str">
        <f t="shared" si="68"/>
        <v>Kids|Babysitter</v>
      </c>
    </row>
    <row r="1472" spans="1:23" x14ac:dyDescent="0.25">
      <c r="A1472" t="s">
        <v>290</v>
      </c>
      <c r="B1472" s="5">
        <v>41707</v>
      </c>
      <c r="C1472">
        <v>-2</v>
      </c>
      <c r="D1472" t="s">
        <v>304</v>
      </c>
      <c r="E1472" t="s">
        <v>428</v>
      </c>
      <c r="G1472" t="s">
        <v>397</v>
      </c>
      <c r="I1472" t="s">
        <v>272</v>
      </c>
      <c r="K1472" t="s">
        <v>53</v>
      </c>
      <c r="L1472" t="s">
        <v>1562</v>
      </c>
      <c r="Q1472" t="str">
        <f t="shared" si="66"/>
        <v>Mar</v>
      </c>
      <c r="R1472">
        <f t="shared" si="67"/>
        <v>2014</v>
      </c>
      <c r="S1472" t="str">
        <f>VLOOKUP($W1472,TBL_Categories,2,FALSE)</f>
        <v>Monthly</v>
      </c>
      <c r="T1472">
        <f>VLOOKUP($W1472,TBL_Categories,3,FALSE)</f>
        <v>0</v>
      </c>
      <c r="U1472" t="str">
        <f>VLOOKUP($W1472,TBL_Categories,4,FALSE)</f>
        <v>No</v>
      </c>
      <c r="V1472" t="str">
        <f>VLOOKUP($W1472,TBL_Categories,5,FALSE)</f>
        <v>None</v>
      </c>
      <c r="W1472" t="str">
        <f t="shared" si="68"/>
        <v>Bank Fees &amp; Charges|ATM Fee</v>
      </c>
    </row>
    <row r="1473" spans="1:23" x14ac:dyDescent="0.25">
      <c r="A1473" t="s">
        <v>291</v>
      </c>
      <c r="B1473" s="5">
        <v>41707</v>
      </c>
      <c r="C1473">
        <v>-55</v>
      </c>
      <c r="D1473" t="s">
        <v>304</v>
      </c>
      <c r="E1473" t="s">
        <v>400</v>
      </c>
      <c r="F1473" t="s">
        <v>1518</v>
      </c>
      <c r="G1473" t="s">
        <v>342</v>
      </c>
      <c r="I1473" t="s">
        <v>272</v>
      </c>
      <c r="K1473" t="s">
        <v>61</v>
      </c>
      <c r="L1473" t="s">
        <v>401</v>
      </c>
      <c r="Q1473" t="str">
        <f t="shared" si="66"/>
        <v>Mar</v>
      </c>
      <c r="R1473">
        <f t="shared" si="67"/>
        <v>2014</v>
      </c>
      <c r="S1473" t="str">
        <f>VLOOKUP($W1473,TBL_Categories,2,FALSE)</f>
        <v>Monthly</v>
      </c>
      <c r="T1473">
        <f>VLOOKUP($W1473,TBL_Categories,3,FALSE)</f>
        <v>0</v>
      </c>
      <c r="U1473" t="str">
        <f>VLOOKUP($W1473,TBL_Categories,4,FALSE)</f>
        <v>No</v>
      </c>
      <c r="V1473" t="str">
        <f>VLOOKUP($W1473,TBL_Categories,5,FALSE)</f>
        <v>None</v>
      </c>
      <c r="W1473" t="str">
        <f t="shared" si="68"/>
        <v>Food &amp; Dining|Groceries</v>
      </c>
    </row>
    <row r="1474" spans="1:23" x14ac:dyDescent="0.25">
      <c r="A1474" t="s">
        <v>296</v>
      </c>
      <c r="B1474" s="5">
        <v>41707</v>
      </c>
      <c r="C1474">
        <v>-5.25</v>
      </c>
      <c r="D1474" t="s">
        <v>304</v>
      </c>
      <c r="E1474" t="s">
        <v>439</v>
      </c>
      <c r="F1474" t="s">
        <v>742</v>
      </c>
      <c r="G1474" t="s">
        <v>342</v>
      </c>
      <c r="K1474" t="s">
        <v>61</v>
      </c>
      <c r="L1474" t="s">
        <v>401</v>
      </c>
      <c r="Q1474" t="str">
        <f t="shared" ref="Q1474:Q1537" si="69">TEXT($B1474,"MMM")</f>
        <v>Mar</v>
      </c>
      <c r="R1474">
        <f t="shared" ref="R1474:R1537" si="70">YEAR($B1474)</f>
        <v>2014</v>
      </c>
      <c r="S1474" t="str">
        <f>VLOOKUP($W1474,TBL_Categories,2,FALSE)</f>
        <v>Monthly</v>
      </c>
      <c r="T1474">
        <f>VLOOKUP($W1474,TBL_Categories,3,FALSE)</f>
        <v>0</v>
      </c>
      <c r="U1474" t="str">
        <f>VLOOKUP($W1474,TBL_Categories,4,FALSE)</f>
        <v>No</v>
      </c>
      <c r="V1474" t="str">
        <f>VLOOKUP($W1474,TBL_Categories,5,FALSE)</f>
        <v>None</v>
      </c>
      <c r="W1474" t="str">
        <f t="shared" ref="W1474:W1537" si="71">IF(ISBLANK($L1474),$K1474,CONCATENATE($K1474,"|",$L1474))</f>
        <v>Food &amp; Dining|Groceries</v>
      </c>
    </row>
    <row r="1475" spans="1:23" x14ac:dyDescent="0.25">
      <c r="A1475" t="s">
        <v>296</v>
      </c>
      <c r="B1475" s="5">
        <v>41707</v>
      </c>
      <c r="C1475">
        <v>-7.61</v>
      </c>
      <c r="D1475" t="s">
        <v>304</v>
      </c>
      <c r="E1475" t="s">
        <v>433</v>
      </c>
      <c r="F1475" t="s">
        <v>1055</v>
      </c>
      <c r="G1475" t="s">
        <v>915</v>
      </c>
      <c r="J1475" t="s">
        <v>1550</v>
      </c>
      <c r="K1475" t="s">
        <v>20</v>
      </c>
      <c r="Q1475" t="str">
        <f t="shared" si="69"/>
        <v>Mar</v>
      </c>
      <c r="R1475">
        <f t="shared" si="70"/>
        <v>2014</v>
      </c>
      <c r="S1475" t="str">
        <f>VLOOKUP($W1475,TBL_Categories,2,FALSE)</f>
        <v>Monthly</v>
      </c>
      <c r="T1475">
        <f>VLOOKUP($W1475,TBL_Categories,3,FALSE)</f>
        <v>0</v>
      </c>
      <c r="U1475" t="str">
        <f>VLOOKUP($W1475,TBL_Categories,4,FALSE)</f>
        <v>No</v>
      </c>
      <c r="V1475" t="str">
        <f>VLOOKUP($W1475,TBL_Categories,5,FALSE)</f>
        <v>None</v>
      </c>
      <c r="W1475" t="str">
        <f t="shared" si="71"/>
        <v>Gifts</v>
      </c>
    </row>
    <row r="1476" spans="1:23" x14ac:dyDescent="0.25">
      <c r="A1476" t="s">
        <v>296</v>
      </c>
      <c r="B1476" s="5">
        <v>41707</v>
      </c>
      <c r="C1476">
        <v>-10.49</v>
      </c>
      <c r="D1476" t="s">
        <v>304</v>
      </c>
      <c r="E1476" t="s">
        <v>1056</v>
      </c>
      <c r="F1476" t="s">
        <v>743</v>
      </c>
      <c r="G1476" t="s">
        <v>333</v>
      </c>
      <c r="K1476" t="s">
        <v>61</v>
      </c>
      <c r="L1476" t="s">
        <v>1530</v>
      </c>
      <c r="Q1476" t="str">
        <f t="shared" si="69"/>
        <v>Mar</v>
      </c>
      <c r="R1476">
        <f t="shared" si="70"/>
        <v>2014</v>
      </c>
      <c r="S1476" t="str">
        <f>VLOOKUP($W1476,TBL_Categories,2,FALSE)</f>
        <v>Monthly</v>
      </c>
      <c r="T1476">
        <f>VLOOKUP($W1476,TBL_Categories,3,FALSE)</f>
        <v>0</v>
      </c>
      <c r="U1476" t="str">
        <f>VLOOKUP($W1476,TBL_Categories,4,FALSE)</f>
        <v>No</v>
      </c>
      <c r="V1476" t="str">
        <f>VLOOKUP($W1476,TBL_Categories,5,FALSE)</f>
        <v>None</v>
      </c>
      <c r="W1476" t="str">
        <f t="shared" si="71"/>
        <v>Food &amp; Dining|Restaurants</v>
      </c>
    </row>
    <row r="1477" spans="1:23" x14ac:dyDescent="0.25">
      <c r="A1477" t="s">
        <v>296</v>
      </c>
      <c r="B1477" s="5">
        <v>41707</v>
      </c>
      <c r="C1477">
        <v>-16.91</v>
      </c>
      <c r="D1477" t="s">
        <v>304</v>
      </c>
      <c r="E1477" t="s">
        <v>433</v>
      </c>
      <c r="F1477" t="s">
        <v>475</v>
      </c>
      <c r="G1477" t="s">
        <v>887</v>
      </c>
      <c r="J1477" t="s">
        <v>1550</v>
      </c>
      <c r="K1477" t="s">
        <v>61</v>
      </c>
      <c r="L1477" t="s">
        <v>401</v>
      </c>
      <c r="Q1477" t="str">
        <f t="shared" si="69"/>
        <v>Mar</v>
      </c>
      <c r="R1477">
        <f t="shared" si="70"/>
        <v>2014</v>
      </c>
      <c r="S1477" t="str">
        <f>VLOOKUP($W1477,TBL_Categories,2,FALSE)</f>
        <v>Monthly</v>
      </c>
      <c r="T1477">
        <f>VLOOKUP($W1477,TBL_Categories,3,FALSE)</f>
        <v>0</v>
      </c>
      <c r="U1477" t="str">
        <f>VLOOKUP($W1477,TBL_Categories,4,FALSE)</f>
        <v>No</v>
      </c>
      <c r="V1477" t="str">
        <f>VLOOKUP($W1477,TBL_Categories,5,FALSE)</f>
        <v>None</v>
      </c>
      <c r="W1477" t="str">
        <f t="shared" si="71"/>
        <v>Food &amp; Dining|Groceries</v>
      </c>
    </row>
    <row r="1478" spans="1:23" x14ac:dyDescent="0.25">
      <c r="A1478" t="s">
        <v>299</v>
      </c>
      <c r="B1478" s="5">
        <v>41707</v>
      </c>
      <c r="C1478">
        <v>-3.12</v>
      </c>
      <c r="D1478" t="s">
        <v>304</v>
      </c>
      <c r="E1478" t="s">
        <v>368</v>
      </c>
      <c r="F1478" t="s">
        <v>1479</v>
      </c>
      <c r="G1478" t="s">
        <v>1020</v>
      </c>
      <c r="H1478">
        <v>799999940681</v>
      </c>
      <c r="J1478" t="s">
        <v>1550</v>
      </c>
      <c r="K1478" t="s">
        <v>66</v>
      </c>
      <c r="L1478" t="s">
        <v>1536</v>
      </c>
      <c r="Q1478" t="str">
        <f t="shared" si="69"/>
        <v>Mar</v>
      </c>
      <c r="R1478">
        <f t="shared" si="70"/>
        <v>2014</v>
      </c>
      <c r="S1478" t="str">
        <f>VLOOKUP($W1478,TBL_Categories,2,FALSE)</f>
        <v>Monthly</v>
      </c>
      <c r="T1478">
        <f>VLOOKUP($W1478,TBL_Categories,3,FALSE)</f>
        <v>0</v>
      </c>
      <c r="U1478" t="str">
        <f>VLOOKUP($W1478,TBL_Categories,4,FALSE)</f>
        <v>No</v>
      </c>
      <c r="V1478" t="str">
        <f>VLOOKUP($W1478,TBL_Categories,5,FALSE)</f>
        <v>None</v>
      </c>
      <c r="W1478" t="str">
        <f t="shared" si="71"/>
        <v>Kids|Toys</v>
      </c>
    </row>
    <row r="1479" spans="1:23" x14ac:dyDescent="0.25">
      <c r="A1479" t="s">
        <v>299</v>
      </c>
      <c r="B1479" s="5">
        <v>41707</v>
      </c>
      <c r="C1479">
        <v>-12.53</v>
      </c>
      <c r="D1479" t="s">
        <v>304</v>
      </c>
      <c r="E1479" t="s">
        <v>368</v>
      </c>
      <c r="F1479" t="s">
        <v>1480</v>
      </c>
      <c r="G1479" t="s">
        <v>881</v>
      </c>
      <c r="H1479">
        <v>799999940681</v>
      </c>
      <c r="I1479" t="s">
        <v>272</v>
      </c>
      <c r="J1479" t="s">
        <v>1550</v>
      </c>
      <c r="K1479" t="s">
        <v>17</v>
      </c>
      <c r="Q1479" t="str">
        <f t="shared" si="69"/>
        <v>Mar</v>
      </c>
      <c r="R1479">
        <f t="shared" si="70"/>
        <v>2014</v>
      </c>
      <c r="S1479" t="str">
        <f>VLOOKUP($W1479,TBL_Categories,2,FALSE)</f>
        <v>Monthly</v>
      </c>
      <c r="T1479">
        <f>VLOOKUP($W1479,TBL_Categories,3,FALSE)</f>
        <v>0</v>
      </c>
      <c r="U1479" t="str">
        <f>VLOOKUP($W1479,TBL_Categories,4,FALSE)</f>
        <v>No</v>
      </c>
      <c r="V1479" t="str">
        <f>VLOOKUP($W1479,TBL_Categories,5,FALSE)</f>
        <v>None</v>
      </c>
      <c r="W1479" t="str">
        <f t="shared" si="71"/>
        <v>Entertainment</v>
      </c>
    </row>
    <row r="1480" spans="1:23" x14ac:dyDescent="0.25">
      <c r="A1480" t="s">
        <v>299</v>
      </c>
      <c r="B1480" s="5">
        <v>41707</v>
      </c>
      <c r="C1480">
        <v>-26.07</v>
      </c>
      <c r="D1480" t="s">
        <v>304</v>
      </c>
      <c r="E1480" t="s">
        <v>368</v>
      </c>
      <c r="G1480" t="s">
        <v>1020</v>
      </c>
      <c r="H1480">
        <v>799999940681</v>
      </c>
      <c r="I1480" t="s">
        <v>272</v>
      </c>
      <c r="J1480" t="s">
        <v>1550</v>
      </c>
      <c r="K1480" t="s">
        <v>66</v>
      </c>
      <c r="L1480" t="s">
        <v>1536</v>
      </c>
      <c r="Q1480" t="str">
        <f t="shared" si="69"/>
        <v>Mar</v>
      </c>
      <c r="R1480">
        <f t="shared" si="70"/>
        <v>2014</v>
      </c>
      <c r="S1480" t="str">
        <f>VLOOKUP($W1480,TBL_Categories,2,FALSE)</f>
        <v>Monthly</v>
      </c>
      <c r="T1480">
        <f>VLOOKUP($W1480,TBL_Categories,3,FALSE)</f>
        <v>0</v>
      </c>
      <c r="U1480" t="str">
        <f>VLOOKUP($W1480,TBL_Categories,4,FALSE)</f>
        <v>No</v>
      </c>
      <c r="V1480" t="str">
        <f>VLOOKUP($W1480,TBL_Categories,5,FALSE)</f>
        <v>None</v>
      </c>
      <c r="W1480" t="str">
        <f t="shared" si="71"/>
        <v>Kids|Toys</v>
      </c>
    </row>
    <row r="1481" spans="1:23" x14ac:dyDescent="0.25">
      <c r="A1481" t="s">
        <v>299</v>
      </c>
      <c r="B1481" s="5">
        <v>41707</v>
      </c>
      <c r="C1481">
        <v>-102.76</v>
      </c>
      <c r="D1481" t="s">
        <v>304</v>
      </c>
      <c r="E1481" t="s">
        <v>368</v>
      </c>
      <c r="F1481" t="s">
        <v>1481</v>
      </c>
      <c r="G1481" t="s">
        <v>1482</v>
      </c>
      <c r="H1481">
        <v>799999940681</v>
      </c>
      <c r="I1481" t="s">
        <v>272</v>
      </c>
      <c r="J1481" t="s">
        <v>1554</v>
      </c>
      <c r="K1481" t="s">
        <v>55</v>
      </c>
      <c r="L1481" t="s">
        <v>1572</v>
      </c>
      <c r="Q1481" t="str">
        <f t="shared" si="69"/>
        <v>Mar</v>
      </c>
      <c r="R1481">
        <f t="shared" si="70"/>
        <v>2014</v>
      </c>
      <c r="S1481" t="str">
        <f>VLOOKUP($W1481,TBL_Categories,2,FALSE)</f>
        <v>Irregular</v>
      </c>
      <c r="T1481">
        <f>VLOOKUP($W1481,TBL_Categories,3,FALSE)</f>
        <v>0</v>
      </c>
      <c r="U1481" t="str">
        <f>VLOOKUP($W1481,TBL_Categories,4,FALSE)</f>
        <v>No</v>
      </c>
      <c r="V1481" t="str">
        <f>VLOOKUP($W1481,TBL_Categories,5,FALSE)</f>
        <v>None</v>
      </c>
      <c r="W1481" t="str">
        <f t="shared" si="71"/>
        <v>Business Expenses (Koolikai)|Tools</v>
      </c>
    </row>
    <row r="1482" spans="1:23" x14ac:dyDescent="0.25">
      <c r="A1482" t="s">
        <v>296</v>
      </c>
      <c r="B1482" s="5">
        <v>41706</v>
      </c>
      <c r="C1482">
        <v>-15.64</v>
      </c>
      <c r="D1482" t="s">
        <v>304</v>
      </c>
      <c r="E1482" t="s">
        <v>721</v>
      </c>
      <c r="F1482" t="s">
        <v>739</v>
      </c>
      <c r="G1482" t="s">
        <v>333</v>
      </c>
      <c r="K1482" t="s">
        <v>61</v>
      </c>
      <c r="L1482" t="s">
        <v>1530</v>
      </c>
      <c r="Q1482" t="str">
        <f t="shared" si="69"/>
        <v>Mar</v>
      </c>
      <c r="R1482">
        <f t="shared" si="70"/>
        <v>2014</v>
      </c>
      <c r="S1482" t="str">
        <f>VLOOKUP($W1482,TBL_Categories,2,FALSE)</f>
        <v>Monthly</v>
      </c>
      <c r="T1482">
        <f>VLOOKUP($W1482,TBL_Categories,3,FALSE)</f>
        <v>0</v>
      </c>
      <c r="U1482" t="str">
        <f>VLOOKUP($W1482,TBL_Categories,4,FALSE)</f>
        <v>No</v>
      </c>
      <c r="V1482" t="str">
        <f>VLOOKUP($W1482,TBL_Categories,5,FALSE)</f>
        <v>None</v>
      </c>
      <c r="W1482" t="str">
        <f t="shared" si="71"/>
        <v>Food &amp; Dining|Restaurants</v>
      </c>
    </row>
    <row r="1483" spans="1:23" x14ac:dyDescent="0.25">
      <c r="A1483" t="s">
        <v>296</v>
      </c>
      <c r="B1483" s="5">
        <v>41706</v>
      </c>
      <c r="C1483">
        <v>-76.319999999999993</v>
      </c>
      <c r="D1483" t="s">
        <v>304</v>
      </c>
      <c r="E1483" t="s">
        <v>740</v>
      </c>
      <c r="F1483" t="s">
        <v>741</v>
      </c>
      <c r="G1483" t="s">
        <v>333</v>
      </c>
      <c r="K1483" t="s">
        <v>61</v>
      </c>
      <c r="L1483" t="s">
        <v>1530</v>
      </c>
      <c r="Q1483" t="str">
        <f t="shared" si="69"/>
        <v>Mar</v>
      </c>
      <c r="R1483">
        <f t="shared" si="70"/>
        <v>2014</v>
      </c>
      <c r="S1483" t="str">
        <f>VLOOKUP($W1483,TBL_Categories,2,FALSE)</f>
        <v>Monthly</v>
      </c>
      <c r="T1483">
        <f>VLOOKUP($W1483,TBL_Categories,3,FALSE)</f>
        <v>0</v>
      </c>
      <c r="U1483" t="str">
        <f>VLOOKUP($W1483,TBL_Categories,4,FALSE)</f>
        <v>No</v>
      </c>
      <c r="V1483" t="str">
        <f>VLOOKUP($W1483,TBL_Categories,5,FALSE)</f>
        <v>None</v>
      </c>
      <c r="W1483" t="str">
        <f t="shared" si="71"/>
        <v>Food &amp; Dining|Restaurants</v>
      </c>
    </row>
    <row r="1484" spans="1:23" x14ac:dyDescent="0.25">
      <c r="A1484" t="s">
        <v>296</v>
      </c>
      <c r="B1484" s="5">
        <v>41706</v>
      </c>
      <c r="C1484">
        <v>-303.58999999999997</v>
      </c>
      <c r="D1484" t="s">
        <v>304</v>
      </c>
      <c r="E1484" t="s">
        <v>613</v>
      </c>
      <c r="F1484" t="s">
        <v>537</v>
      </c>
      <c r="G1484" t="s">
        <v>1047</v>
      </c>
      <c r="J1484" t="s">
        <v>1550</v>
      </c>
      <c r="K1484" t="s">
        <v>69</v>
      </c>
      <c r="Q1484" t="str">
        <f t="shared" si="69"/>
        <v>Mar</v>
      </c>
      <c r="R1484">
        <f t="shared" si="70"/>
        <v>2014</v>
      </c>
      <c r="S1484" t="str">
        <f>VLOOKUP($W1484,TBL_Categories,2,FALSE)</f>
        <v>Annual</v>
      </c>
      <c r="T1484">
        <f>VLOOKUP($W1484,TBL_Categories,3,FALSE)</f>
        <v>0</v>
      </c>
      <c r="U1484" t="str">
        <f>VLOOKUP($W1484,TBL_Categories,4,FALSE)</f>
        <v>No</v>
      </c>
      <c r="V1484" t="str">
        <f>VLOOKUP($W1484,TBL_Categories,5,FALSE)</f>
        <v>None</v>
      </c>
      <c r="W1484" t="str">
        <f t="shared" si="71"/>
        <v>Parties</v>
      </c>
    </row>
    <row r="1485" spans="1:23" x14ac:dyDescent="0.25">
      <c r="A1485" t="s">
        <v>296</v>
      </c>
      <c r="B1485" s="5">
        <v>41705</v>
      </c>
      <c r="C1485">
        <v>-6.12</v>
      </c>
      <c r="D1485" t="s">
        <v>304</v>
      </c>
      <c r="E1485" t="s">
        <v>465</v>
      </c>
      <c r="F1485" t="s">
        <v>545</v>
      </c>
      <c r="G1485" t="s">
        <v>333</v>
      </c>
      <c r="K1485" t="s">
        <v>61</v>
      </c>
      <c r="L1485" t="s">
        <v>1530</v>
      </c>
      <c r="Q1485" t="str">
        <f t="shared" si="69"/>
        <v>Mar</v>
      </c>
      <c r="R1485">
        <f t="shared" si="70"/>
        <v>2014</v>
      </c>
      <c r="S1485" t="str">
        <f>VLOOKUP($W1485,TBL_Categories,2,FALSE)</f>
        <v>Monthly</v>
      </c>
      <c r="T1485">
        <f>VLOOKUP($W1485,TBL_Categories,3,FALSE)</f>
        <v>0</v>
      </c>
      <c r="U1485" t="str">
        <f>VLOOKUP($W1485,TBL_Categories,4,FALSE)</f>
        <v>No</v>
      </c>
      <c r="V1485" t="str">
        <f>VLOOKUP($W1485,TBL_Categories,5,FALSE)</f>
        <v>None</v>
      </c>
      <c r="W1485" t="str">
        <f t="shared" si="71"/>
        <v>Food &amp; Dining|Restaurants</v>
      </c>
    </row>
    <row r="1486" spans="1:23" x14ac:dyDescent="0.25">
      <c r="A1486" t="s">
        <v>296</v>
      </c>
      <c r="B1486" s="5">
        <v>41705</v>
      </c>
      <c r="C1486">
        <v>-7.11</v>
      </c>
      <c r="D1486" t="s">
        <v>304</v>
      </c>
      <c r="E1486" t="s">
        <v>465</v>
      </c>
      <c r="F1486" t="s">
        <v>545</v>
      </c>
      <c r="G1486" t="s">
        <v>333</v>
      </c>
      <c r="K1486" t="s">
        <v>61</v>
      </c>
      <c r="L1486" t="s">
        <v>1530</v>
      </c>
      <c r="Q1486" t="str">
        <f t="shared" si="69"/>
        <v>Mar</v>
      </c>
      <c r="R1486">
        <f t="shared" si="70"/>
        <v>2014</v>
      </c>
      <c r="S1486" t="str">
        <f>VLOOKUP($W1486,TBL_Categories,2,FALSE)</f>
        <v>Monthly</v>
      </c>
      <c r="T1486">
        <f>VLOOKUP($W1486,TBL_Categories,3,FALSE)</f>
        <v>0</v>
      </c>
      <c r="U1486" t="str">
        <f>VLOOKUP($W1486,TBL_Categories,4,FALSE)</f>
        <v>No</v>
      </c>
      <c r="V1486" t="str">
        <f>VLOOKUP($W1486,TBL_Categories,5,FALSE)</f>
        <v>None</v>
      </c>
      <c r="W1486" t="str">
        <f t="shared" si="71"/>
        <v>Food &amp; Dining|Restaurants</v>
      </c>
    </row>
    <row r="1487" spans="1:23" x14ac:dyDescent="0.25">
      <c r="A1487" t="s">
        <v>296</v>
      </c>
      <c r="B1487" s="5">
        <v>41705</v>
      </c>
      <c r="C1487">
        <v>-26.35</v>
      </c>
      <c r="D1487" t="s">
        <v>304</v>
      </c>
      <c r="E1487" t="s">
        <v>433</v>
      </c>
      <c r="G1487" t="s">
        <v>887</v>
      </c>
      <c r="J1487" t="s">
        <v>1550</v>
      </c>
      <c r="K1487" t="s">
        <v>61</v>
      </c>
      <c r="L1487" t="s">
        <v>401</v>
      </c>
      <c r="Q1487" t="str">
        <f t="shared" si="69"/>
        <v>Mar</v>
      </c>
      <c r="R1487">
        <f t="shared" si="70"/>
        <v>2014</v>
      </c>
      <c r="S1487" t="str">
        <f>VLOOKUP($W1487,TBL_Categories,2,FALSE)</f>
        <v>Monthly</v>
      </c>
      <c r="T1487">
        <f>VLOOKUP($W1487,TBL_Categories,3,FALSE)</f>
        <v>0</v>
      </c>
      <c r="U1487" t="str">
        <f>VLOOKUP($W1487,TBL_Categories,4,FALSE)</f>
        <v>No</v>
      </c>
      <c r="V1487" t="str">
        <f>VLOOKUP($W1487,TBL_Categories,5,FALSE)</f>
        <v>None</v>
      </c>
      <c r="W1487" t="str">
        <f t="shared" si="71"/>
        <v>Food &amp; Dining|Groceries</v>
      </c>
    </row>
    <row r="1488" spans="1:23" x14ac:dyDescent="0.25">
      <c r="A1488" t="s">
        <v>284</v>
      </c>
      <c r="B1488" s="5">
        <v>41704</v>
      </c>
      <c r="C1488">
        <v>-58.28</v>
      </c>
      <c r="D1488" t="s">
        <v>304</v>
      </c>
      <c r="E1488" t="s">
        <v>366</v>
      </c>
      <c r="F1488" t="s">
        <v>350</v>
      </c>
      <c r="G1488" t="s">
        <v>23</v>
      </c>
      <c r="K1488" t="s">
        <v>23</v>
      </c>
      <c r="Q1488" t="str">
        <f t="shared" si="69"/>
        <v>Mar</v>
      </c>
      <c r="R1488">
        <f t="shared" si="70"/>
        <v>2014</v>
      </c>
      <c r="S1488" t="str">
        <f>VLOOKUP($W1488,TBL_Categories,2,FALSE)</f>
        <v>Account</v>
      </c>
      <c r="T1488">
        <f>VLOOKUP($W1488,TBL_Categories,3,FALSE)</f>
        <v>0</v>
      </c>
      <c r="U1488" t="str">
        <f>VLOOKUP($W1488,TBL_Categories,4,FALSE)</f>
        <v>No</v>
      </c>
      <c r="V1488" t="str">
        <f>VLOOKUP($W1488,TBL_Categories,5,FALSE)</f>
        <v>None</v>
      </c>
      <c r="W1488" t="str">
        <f t="shared" si="71"/>
        <v>[Target Red Card]</v>
      </c>
    </row>
    <row r="1489" spans="1:23" x14ac:dyDescent="0.25">
      <c r="A1489" t="s">
        <v>287</v>
      </c>
      <c r="B1489" s="5">
        <v>41704</v>
      </c>
      <c r="C1489">
        <v>180</v>
      </c>
      <c r="D1489" t="s">
        <v>304</v>
      </c>
      <c r="E1489" t="s">
        <v>640</v>
      </c>
      <c r="F1489" t="s">
        <v>649</v>
      </c>
      <c r="G1489" t="s">
        <v>641</v>
      </c>
      <c r="K1489" t="s">
        <v>641</v>
      </c>
      <c r="Q1489" t="str">
        <f t="shared" si="69"/>
        <v>Mar</v>
      </c>
      <c r="R1489">
        <f t="shared" si="70"/>
        <v>2014</v>
      </c>
      <c r="S1489" t="e">
        <f>VLOOKUP($W1489,TBL_Categories,2,FALSE)</f>
        <v>#N/A</v>
      </c>
      <c r="T1489" t="e">
        <f>VLOOKUP($W1489,TBL_Categories,3,FALSE)</f>
        <v>#N/A</v>
      </c>
      <c r="U1489" t="e">
        <f>VLOOKUP($W1489,TBL_Categories,4,FALSE)</f>
        <v>#N/A</v>
      </c>
      <c r="V1489" t="e">
        <f>VLOOKUP($W1489,TBL_Categories,5,FALSE)</f>
        <v>#N/A</v>
      </c>
      <c r="W1489" t="str">
        <f t="shared" si="71"/>
        <v>Morale Money</v>
      </c>
    </row>
    <row r="1490" spans="1:23" x14ac:dyDescent="0.25">
      <c r="A1490" t="s">
        <v>296</v>
      </c>
      <c r="B1490" s="5">
        <v>41704</v>
      </c>
      <c r="C1490">
        <v>-3.68</v>
      </c>
      <c r="D1490" t="s">
        <v>304</v>
      </c>
      <c r="E1490" t="s">
        <v>424</v>
      </c>
      <c r="F1490" t="s">
        <v>471</v>
      </c>
      <c r="G1490" t="s">
        <v>887</v>
      </c>
      <c r="J1490" t="s">
        <v>1550</v>
      </c>
      <c r="K1490" t="s">
        <v>61</v>
      </c>
      <c r="L1490" t="s">
        <v>401</v>
      </c>
      <c r="Q1490" t="str">
        <f t="shared" si="69"/>
        <v>Mar</v>
      </c>
      <c r="R1490">
        <f t="shared" si="70"/>
        <v>2014</v>
      </c>
      <c r="S1490" t="str">
        <f>VLOOKUP($W1490,TBL_Categories,2,FALSE)</f>
        <v>Monthly</v>
      </c>
      <c r="T1490">
        <f>VLOOKUP($W1490,TBL_Categories,3,FALSE)</f>
        <v>0</v>
      </c>
      <c r="U1490" t="str">
        <f>VLOOKUP($W1490,TBL_Categories,4,FALSE)</f>
        <v>No</v>
      </c>
      <c r="V1490" t="str">
        <f>VLOOKUP($W1490,TBL_Categories,5,FALSE)</f>
        <v>None</v>
      </c>
      <c r="W1490" t="str">
        <f t="shared" si="71"/>
        <v>Food &amp; Dining|Groceries</v>
      </c>
    </row>
    <row r="1491" spans="1:23" x14ac:dyDescent="0.25">
      <c r="A1491" t="s">
        <v>299</v>
      </c>
      <c r="B1491" s="5">
        <v>41704</v>
      </c>
      <c r="C1491">
        <v>58.28</v>
      </c>
      <c r="D1491" t="s">
        <v>304</v>
      </c>
      <c r="E1491" t="s">
        <v>366</v>
      </c>
      <c r="G1491" t="s">
        <v>9</v>
      </c>
      <c r="K1491" t="s">
        <v>9</v>
      </c>
      <c r="Q1491" t="str">
        <f t="shared" si="69"/>
        <v>Mar</v>
      </c>
      <c r="R1491">
        <f t="shared" si="70"/>
        <v>2014</v>
      </c>
      <c r="S1491" t="str">
        <f>VLOOKUP($W1491,TBL_Categories,2,FALSE)</f>
        <v>Account</v>
      </c>
      <c r="T1491">
        <f>VLOOKUP($W1491,TBL_Categories,3,FALSE)</f>
        <v>0</v>
      </c>
      <c r="U1491" t="str">
        <f>VLOOKUP($W1491,TBL_Categories,4,FALSE)</f>
        <v>No</v>
      </c>
      <c r="V1491" t="str">
        <f>VLOOKUP($W1491,TBL_Categories,5,FALSE)</f>
        <v>None</v>
      </c>
      <c r="W1491" t="str">
        <f t="shared" si="71"/>
        <v>[First Tech - Checking (5544)]</v>
      </c>
    </row>
    <row r="1492" spans="1:23" x14ac:dyDescent="0.25">
      <c r="A1492" t="s">
        <v>284</v>
      </c>
      <c r="B1492" s="5">
        <v>41703</v>
      </c>
      <c r="C1492">
        <v>14.27</v>
      </c>
      <c r="D1492" t="s">
        <v>304</v>
      </c>
      <c r="E1492" t="s">
        <v>646</v>
      </c>
      <c r="F1492" t="s">
        <v>358</v>
      </c>
      <c r="G1492" t="s">
        <v>22</v>
      </c>
      <c r="K1492" t="s">
        <v>22</v>
      </c>
      <c r="Q1492" t="str">
        <f t="shared" si="69"/>
        <v>Mar</v>
      </c>
      <c r="R1492">
        <f t="shared" si="70"/>
        <v>2014</v>
      </c>
      <c r="S1492" t="str">
        <f>VLOOKUP($W1492,TBL_Categories,2,FALSE)</f>
        <v>Account</v>
      </c>
      <c r="T1492">
        <f>VLOOKUP($W1492,TBL_Categories,3,FALSE)</f>
        <v>0</v>
      </c>
      <c r="U1492" t="str">
        <f>VLOOKUP($W1492,TBL_Categories,4,FALSE)</f>
        <v>No</v>
      </c>
      <c r="V1492" t="str">
        <f>VLOOKUP($W1492,TBL_Categories,5,FALSE)</f>
        <v>None</v>
      </c>
      <c r="W1492" t="str">
        <f t="shared" si="71"/>
        <v>[Premera Health Care Payment]</v>
      </c>
    </row>
    <row r="1493" spans="1:23" x14ac:dyDescent="0.25">
      <c r="A1493" t="s">
        <v>284</v>
      </c>
      <c r="B1493" s="5">
        <v>41703</v>
      </c>
      <c r="C1493" s="4">
        <v>-3748.69</v>
      </c>
      <c r="D1493" t="s">
        <v>304</v>
      </c>
      <c r="E1493" t="s">
        <v>344</v>
      </c>
      <c r="F1493" t="s">
        <v>349</v>
      </c>
      <c r="G1493" t="s">
        <v>320</v>
      </c>
      <c r="K1493" t="s">
        <v>63</v>
      </c>
      <c r="L1493" t="s">
        <v>1526</v>
      </c>
      <c r="Q1493" t="str">
        <f t="shared" si="69"/>
        <v>Mar</v>
      </c>
      <c r="R1493">
        <f t="shared" si="70"/>
        <v>2014</v>
      </c>
      <c r="S1493" t="str">
        <f>VLOOKUP($W1493,TBL_Categories,2,FALSE)</f>
        <v>Monthly</v>
      </c>
      <c r="T1493">
        <f>VLOOKUP($W1493,TBL_Categories,3,FALSE)</f>
        <v>0</v>
      </c>
      <c r="U1493" t="str">
        <f>VLOOKUP($W1493,TBL_Categories,4,FALSE)</f>
        <v>No</v>
      </c>
      <c r="V1493" t="str">
        <f>VLOOKUP($W1493,TBL_Categories,5,FALSE)</f>
        <v>None</v>
      </c>
      <c r="W1493" t="str">
        <f t="shared" si="71"/>
        <v>Home|Mortgage</v>
      </c>
    </row>
    <row r="1494" spans="1:23" x14ac:dyDescent="0.25">
      <c r="A1494" t="s">
        <v>288</v>
      </c>
      <c r="B1494" s="5">
        <v>41703</v>
      </c>
      <c r="C1494" s="4">
        <v>2295</v>
      </c>
      <c r="D1494" t="s">
        <v>304</v>
      </c>
      <c r="E1494" t="s">
        <v>383</v>
      </c>
      <c r="F1494" t="s">
        <v>394</v>
      </c>
      <c r="G1494" t="s">
        <v>386</v>
      </c>
      <c r="I1494" t="s">
        <v>272</v>
      </c>
      <c r="J1494">
        <v>7231</v>
      </c>
      <c r="K1494" t="s">
        <v>33</v>
      </c>
      <c r="L1494" t="s">
        <v>1519</v>
      </c>
      <c r="Q1494" t="str">
        <f t="shared" si="69"/>
        <v>Mar</v>
      </c>
      <c r="R1494">
        <f t="shared" si="70"/>
        <v>2014</v>
      </c>
      <c r="S1494" t="str">
        <f>VLOOKUP($W1494,TBL_Categories,2,FALSE)</f>
        <v>Monthly</v>
      </c>
      <c r="T1494">
        <f>VLOOKUP($W1494,TBL_Categories,3,FALSE)</f>
        <v>0</v>
      </c>
      <c r="U1494" t="str">
        <f>VLOOKUP($W1494,TBL_Categories,4,FALSE)</f>
        <v>No</v>
      </c>
      <c r="V1494" t="str">
        <f>VLOOKUP($W1494,TBL_Categories,5,FALSE)</f>
        <v>None</v>
      </c>
      <c r="W1494" t="str">
        <f t="shared" si="71"/>
        <v>Business Income (Koolikai)|Rent</v>
      </c>
    </row>
    <row r="1495" spans="1:23" x14ac:dyDescent="0.25">
      <c r="A1495" t="s">
        <v>288</v>
      </c>
      <c r="B1495" s="5">
        <v>41703</v>
      </c>
      <c r="C1495">
        <v>100</v>
      </c>
      <c r="D1495" t="s">
        <v>304</v>
      </c>
      <c r="E1495" t="s">
        <v>383</v>
      </c>
      <c r="G1495" t="s">
        <v>389</v>
      </c>
      <c r="I1495" t="s">
        <v>272</v>
      </c>
      <c r="J1495">
        <v>7231</v>
      </c>
      <c r="K1495" t="s">
        <v>55</v>
      </c>
      <c r="L1495" t="s">
        <v>1558</v>
      </c>
      <c r="Q1495" t="str">
        <f t="shared" si="69"/>
        <v>Mar</v>
      </c>
      <c r="R1495">
        <f t="shared" si="70"/>
        <v>2014</v>
      </c>
      <c r="S1495" t="str">
        <f>VLOOKUP($W1495,TBL_Categories,2,FALSE)</f>
        <v>Monthly</v>
      </c>
      <c r="T1495">
        <f>VLOOKUP($W1495,TBL_Categories,3,FALSE)</f>
        <v>0</v>
      </c>
      <c r="U1495" t="str">
        <f>VLOOKUP($W1495,TBL_Categories,4,FALSE)</f>
        <v>No</v>
      </c>
      <c r="V1495" t="str">
        <f>VLOOKUP($W1495,TBL_Categories,5,FALSE)</f>
        <v>None</v>
      </c>
      <c r="W1495" t="str">
        <f t="shared" si="71"/>
        <v>Business Expenses (Koolikai)|Utilities (Business)</v>
      </c>
    </row>
    <row r="1496" spans="1:23" x14ac:dyDescent="0.25">
      <c r="A1496" t="s">
        <v>296</v>
      </c>
      <c r="B1496" s="5">
        <v>41703</v>
      </c>
      <c r="C1496">
        <v>-9.33</v>
      </c>
      <c r="D1496" t="s">
        <v>304</v>
      </c>
      <c r="E1496" t="s">
        <v>451</v>
      </c>
      <c r="F1496" t="s">
        <v>737</v>
      </c>
      <c r="G1496" t="s">
        <v>345</v>
      </c>
      <c r="I1496" t="s">
        <v>272</v>
      </c>
      <c r="K1496" t="s">
        <v>66</v>
      </c>
      <c r="L1496" t="s">
        <v>1536</v>
      </c>
      <c r="Q1496" t="str">
        <f t="shared" si="69"/>
        <v>Mar</v>
      </c>
      <c r="R1496">
        <f t="shared" si="70"/>
        <v>2014</v>
      </c>
      <c r="S1496" t="str">
        <f>VLOOKUP($W1496,TBL_Categories,2,FALSE)</f>
        <v>Monthly</v>
      </c>
      <c r="T1496">
        <f>VLOOKUP($W1496,TBL_Categories,3,FALSE)</f>
        <v>0</v>
      </c>
      <c r="U1496" t="str">
        <f>VLOOKUP($W1496,TBL_Categories,4,FALSE)</f>
        <v>No</v>
      </c>
      <c r="V1496" t="str">
        <f>VLOOKUP($W1496,TBL_Categories,5,FALSE)</f>
        <v>None</v>
      </c>
      <c r="W1496" t="str">
        <f t="shared" si="71"/>
        <v>Kids|Toys</v>
      </c>
    </row>
    <row r="1497" spans="1:23" x14ac:dyDescent="0.25">
      <c r="A1497" t="s">
        <v>296</v>
      </c>
      <c r="B1497" s="5">
        <v>41703</v>
      </c>
      <c r="C1497">
        <v>-21.77</v>
      </c>
      <c r="D1497" t="s">
        <v>304</v>
      </c>
      <c r="E1497" t="s">
        <v>451</v>
      </c>
      <c r="F1497" t="s">
        <v>738</v>
      </c>
      <c r="G1497" t="s">
        <v>357</v>
      </c>
      <c r="I1497" t="s">
        <v>272</v>
      </c>
      <c r="K1497" t="s">
        <v>63</v>
      </c>
      <c r="L1497" t="s">
        <v>1546</v>
      </c>
      <c r="Q1497" t="str">
        <f t="shared" si="69"/>
        <v>Mar</v>
      </c>
      <c r="R1497">
        <f t="shared" si="70"/>
        <v>2014</v>
      </c>
      <c r="S1497" t="str">
        <f>VLOOKUP($W1497,TBL_Categories,2,FALSE)</f>
        <v>Monthly</v>
      </c>
      <c r="T1497">
        <f>VLOOKUP($W1497,TBL_Categories,3,FALSE)</f>
        <v>0</v>
      </c>
      <c r="U1497" t="str">
        <f>VLOOKUP($W1497,TBL_Categories,4,FALSE)</f>
        <v>No</v>
      </c>
      <c r="V1497" t="str">
        <f>VLOOKUP($W1497,TBL_Categories,5,FALSE)</f>
        <v>None</v>
      </c>
      <c r="W1497" t="str">
        <f t="shared" si="71"/>
        <v>Home|Furnishings</v>
      </c>
    </row>
    <row r="1498" spans="1:23" x14ac:dyDescent="0.25">
      <c r="A1498" t="s">
        <v>296</v>
      </c>
      <c r="B1498" s="5">
        <v>41703</v>
      </c>
      <c r="C1498">
        <v>-19.190000000000001</v>
      </c>
      <c r="D1498" t="s">
        <v>304</v>
      </c>
      <c r="E1498" t="s">
        <v>433</v>
      </c>
      <c r="F1498" t="s">
        <v>475</v>
      </c>
      <c r="G1498" t="s">
        <v>1047</v>
      </c>
      <c r="I1498" t="s">
        <v>272</v>
      </c>
      <c r="J1498" t="s">
        <v>1550</v>
      </c>
      <c r="K1498" t="s">
        <v>69</v>
      </c>
      <c r="Q1498" t="str">
        <f t="shared" si="69"/>
        <v>Mar</v>
      </c>
      <c r="R1498">
        <f t="shared" si="70"/>
        <v>2014</v>
      </c>
      <c r="S1498" t="str">
        <f>VLOOKUP($W1498,TBL_Categories,2,FALSE)</f>
        <v>Annual</v>
      </c>
      <c r="T1498">
        <f>VLOOKUP($W1498,TBL_Categories,3,FALSE)</f>
        <v>0</v>
      </c>
      <c r="U1498" t="str">
        <f>VLOOKUP($W1498,TBL_Categories,4,FALSE)</f>
        <v>No</v>
      </c>
      <c r="V1498" t="str">
        <f>VLOOKUP($W1498,TBL_Categories,5,FALSE)</f>
        <v>None</v>
      </c>
      <c r="W1498" t="str">
        <f t="shared" si="71"/>
        <v>Parties</v>
      </c>
    </row>
    <row r="1499" spans="1:23" x14ac:dyDescent="0.25">
      <c r="A1499" t="s">
        <v>296</v>
      </c>
      <c r="B1499" s="5">
        <v>41703</v>
      </c>
      <c r="C1499">
        <v>-18.399999999999999</v>
      </c>
      <c r="D1499" t="s">
        <v>304</v>
      </c>
      <c r="E1499" t="s">
        <v>433</v>
      </c>
      <c r="G1499" t="s">
        <v>887</v>
      </c>
      <c r="I1499" t="s">
        <v>272</v>
      </c>
      <c r="J1499" t="s">
        <v>1550</v>
      </c>
      <c r="K1499" t="s">
        <v>61</v>
      </c>
      <c r="L1499" t="s">
        <v>401</v>
      </c>
      <c r="Q1499" t="str">
        <f t="shared" si="69"/>
        <v>Mar</v>
      </c>
      <c r="R1499">
        <f t="shared" si="70"/>
        <v>2014</v>
      </c>
      <c r="S1499" t="str">
        <f>VLOOKUP($W1499,TBL_Categories,2,FALSE)</f>
        <v>Monthly</v>
      </c>
      <c r="T1499">
        <f>VLOOKUP($W1499,TBL_Categories,3,FALSE)</f>
        <v>0</v>
      </c>
      <c r="U1499" t="str">
        <f>VLOOKUP($W1499,TBL_Categories,4,FALSE)</f>
        <v>No</v>
      </c>
      <c r="V1499" t="str">
        <f>VLOOKUP($W1499,TBL_Categories,5,FALSE)</f>
        <v>None</v>
      </c>
      <c r="W1499" t="str">
        <f t="shared" si="71"/>
        <v>Food &amp; Dining|Groceries</v>
      </c>
    </row>
    <row r="1500" spans="1:23" x14ac:dyDescent="0.25">
      <c r="A1500" t="s">
        <v>298</v>
      </c>
      <c r="B1500" s="5">
        <v>41703</v>
      </c>
      <c r="C1500">
        <v>-14.27</v>
      </c>
      <c r="E1500" t="s">
        <v>646</v>
      </c>
      <c r="F1500" t="s">
        <v>358</v>
      </c>
      <c r="G1500" t="s">
        <v>9</v>
      </c>
      <c r="K1500" t="s">
        <v>9</v>
      </c>
      <c r="Q1500" t="str">
        <f t="shared" si="69"/>
        <v>Mar</v>
      </c>
      <c r="R1500">
        <f t="shared" si="70"/>
        <v>2014</v>
      </c>
      <c r="S1500" t="str">
        <f>VLOOKUP($W1500,TBL_Categories,2,FALSE)</f>
        <v>Account</v>
      </c>
      <c r="T1500">
        <f>VLOOKUP($W1500,TBL_Categories,3,FALSE)</f>
        <v>0</v>
      </c>
      <c r="U1500" t="str">
        <f>VLOOKUP($W1500,TBL_Categories,4,FALSE)</f>
        <v>No</v>
      </c>
      <c r="V1500" t="str">
        <f>VLOOKUP($W1500,TBL_Categories,5,FALSE)</f>
        <v>None</v>
      </c>
      <c r="W1500" t="str">
        <f t="shared" si="71"/>
        <v>[First Tech - Checking (5544)]</v>
      </c>
    </row>
    <row r="1501" spans="1:23" x14ac:dyDescent="0.25">
      <c r="A1501" t="s">
        <v>284</v>
      </c>
      <c r="B1501" s="5">
        <v>41702</v>
      </c>
      <c r="C1501">
        <v>-500</v>
      </c>
      <c r="D1501" t="s">
        <v>304</v>
      </c>
      <c r="E1501" t="s">
        <v>338</v>
      </c>
      <c r="F1501" t="s">
        <v>339</v>
      </c>
      <c r="G1501" t="s">
        <v>340</v>
      </c>
      <c r="K1501" t="s">
        <v>66</v>
      </c>
      <c r="L1501" t="s">
        <v>1533</v>
      </c>
      <c r="Q1501" t="str">
        <f t="shared" si="69"/>
        <v>Mar</v>
      </c>
      <c r="R1501">
        <f t="shared" si="70"/>
        <v>2014</v>
      </c>
      <c r="S1501" t="str">
        <f>VLOOKUP($W1501,TBL_Categories,2,FALSE)</f>
        <v>Monthly</v>
      </c>
      <c r="T1501">
        <f>VLOOKUP($W1501,TBL_Categories,3,FALSE)</f>
        <v>0</v>
      </c>
      <c r="U1501" t="str">
        <f>VLOOKUP($W1501,TBL_Categories,4,FALSE)</f>
        <v>No</v>
      </c>
      <c r="V1501" t="str">
        <f>VLOOKUP($W1501,TBL_Categories,5,FALSE)</f>
        <v>None</v>
      </c>
      <c r="W1501" t="str">
        <f t="shared" si="71"/>
        <v>Kids|American Funds 529A</v>
      </c>
    </row>
    <row r="1502" spans="1:23" x14ac:dyDescent="0.25">
      <c r="A1502" t="s">
        <v>284</v>
      </c>
      <c r="B1502" s="5">
        <v>41701</v>
      </c>
      <c r="C1502" s="4">
        <v>-1976</v>
      </c>
      <c r="D1502" t="s">
        <v>304</v>
      </c>
      <c r="E1502" t="s">
        <v>314</v>
      </c>
      <c r="F1502" t="s">
        <v>315</v>
      </c>
      <c r="G1502" t="s">
        <v>316</v>
      </c>
      <c r="K1502" t="s">
        <v>66</v>
      </c>
      <c r="L1502" t="s">
        <v>1522</v>
      </c>
      <c r="Q1502" t="str">
        <f t="shared" si="69"/>
        <v>Mar</v>
      </c>
      <c r="R1502">
        <f t="shared" si="70"/>
        <v>2014</v>
      </c>
      <c r="S1502" t="str">
        <f>VLOOKUP($W1502,TBL_Categories,2,FALSE)</f>
        <v>Monthly</v>
      </c>
      <c r="T1502">
        <f>VLOOKUP($W1502,TBL_Categories,3,FALSE)</f>
        <v>0</v>
      </c>
      <c r="U1502" t="str">
        <f>VLOOKUP($W1502,TBL_Categories,4,FALSE)</f>
        <v>No</v>
      </c>
      <c r="V1502" t="str">
        <f>VLOOKUP($W1502,TBL_Categories,5,FALSE)</f>
        <v>None</v>
      </c>
      <c r="W1502" t="str">
        <f t="shared" si="71"/>
        <v>Kids|Daycare</v>
      </c>
    </row>
    <row r="1503" spans="1:23" x14ac:dyDescent="0.25">
      <c r="A1503" t="s">
        <v>284</v>
      </c>
      <c r="B1503" s="5">
        <v>41701</v>
      </c>
      <c r="C1503" s="4">
        <v>-2033.91</v>
      </c>
      <c r="D1503" t="s">
        <v>304</v>
      </c>
      <c r="E1503" t="s">
        <v>318</v>
      </c>
      <c r="F1503" t="s">
        <v>378</v>
      </c>
      <c r="G1503" t="s">
        <v>379</v>
      </c>
      <c r="J1503">
        <v>9602</v>
      </c>
      <c r="K1503" t="s">
        <v>55</v>
      </c>
      <c r="L1503" t="s">
        <v>1525</v>
      </c>
      <c r="Q1503" t="str">
        <f t="shared" si="69"/>
        <v>Mar</v>
      </c>
      <c r="R1503">
        <f t="shared" si="70"/>
        <v>2014</v>
      </c>
      <c r="S1503" t="str">
        <f>VLOOKUP($W1503,TBL_Categories,2,FALSE)</f>
        <v>Monthly</v>
      </c>
      <c r="T1503">
        <f>VLOOKUP($W1503,TBL_Categories,3,FALSE)</f>
        <v>0</v>
      </c>
      <c r="U1503" t="str">
        <f>VLOOKUP($W1503,TBL_Categories,4,FALSE)</f>
        <v>No</v>
      </c>
      <c r="V1503" t="str">
        <f>VLOOKUP($W1503,TBL_Categories,5,FALSE)</f>
        <v>None</v>
      </c>
      <c r="W1503" t="str">
        <f t="shared" si="71"/>
        <v>Business Expenses (Koolikai)|Mortgage (Business)</v>
      </c>
    </row>
    <row r="1504" spans="1:23" x14ac:dyDescent="0.25">
      <c r="A1504" t="s">
        <v>284</v>
      </c>
      <c r="B1504" s="5">
        <v>41701</v>
      </c>
      <c r="C1504" s="4">
        <v>-3517.65</v>
      </c>
      <c r="D1504" t="s">
        <v>304</v>
      </c>
      <c r="E1504" t="s">
        <v>318</v>
      </c>
      <c r="F1504" t="s">
        <v>378</v>
      </c>
      <c r="G1504" t="s">
        <v>380</v>
      </c>
      <c r="J1504">
        <v>7231</v>
      </c>
      <c r="K1504" t="s">
        <v>55</v>
      </c>
      <c r="L1504" t="s">
        <v>1525</v>
      </c>
      <c r="Q1504" t="str">
        <f t="shared" si="69"/>
        <v>Mar</v>
      </c>
      <c r="R1504">
        <f t="shared" si="70"/>
        <v>2014</v>
      </c>
      <c r="S1504" t="str">
        <f>VLOOKUP($W1504,TBL_Categories,2,FALSE)</f>
        <v>Monthly</v>
      </c>
      <c r="T1504">
        <f>VLOOKUP($W1504,TBL_Categories,3,FALSE)</f>
        <v>0</v>
      </c>
      <c r="U1504" t="str">
        <f>VLOOKUP($W1504,TBL_Categories,4,FALSE)</f>
        <v>No</v>
      </c>
      <c r="V1504" t="str">
        <f>VLOOKUP($W1504,TBL_Categories,5,FALSE)</f>
        <v>None</v>
      </c>
      <c r="W1504" t="str">
        <f t="shared" si="71"/>
        <v>Business Expenses (Koolikai)|Mortgage (Business)</v>
      </c>
    </row>
    <row r="1505" spans="1:23" x14ac:dyDescent="0.25">
      <c r="A1505" t="s">
        <v>284</v>
      </c>
      <c r="B1505" s="5">
        <v>41701</v>
      </c>
      <c r="C1505">
        <v>-126</v>
      </c>
      <c r="E1505" t="s">
        <v>774</v>
      </c>
      <c r="G1505" t="s">
        <v>771</v>
      </c>
      <c r="K1505" t="s">
        <v>771</v>
      </c>
      <c r="Q1505" t="str">
        <f t="shared" si="69"/>
        <v>Mar</v>
      </c>
      <c r="R1505">
        <f t="shared" si="70"/>
        <v>2014</v>
      </c>
      <c r="S1505" t="e">
        <f>VLOOKUP($W1505,TBL_Categories,2,FALSE)</f>
        <v>#N/A</v>
      </c>
      <c r="T1505" t="e">
        <f>VLOOKUP($W1505,TBL_Categories,3,FALSE)</f>
        <v>#N/A</v>
      </c>
      <c r="U1505" t="e">
        <f>VLOOKUP($W1505,TBL_Categories,4,FALSE)</f>
        <v>#N/A</v>
      </c>
      <c r="V1505" t="e">
        <f>VLOOKUP($W1505,TBL_Categories,5,FALSE)</f>
        <v>#N/A</v>
      </c>
      <c r="W1505" t="str">
        <f t="shared" si="71"/>
        <v>[REI Mastercard (xx1787)]</v>
      </c>
    </row>
    <row r="1506" spans="1:23" x14ac:dyDescent="0.25">
      <c r="A1506" t="s">
        <v>296</v>
      </c>
      <c r="B1506" s="5">
        <v>41701</v>
      </c>
      <c r="C1506">
        <v>-8.1999999999999993</v>
      </c>
      <c r="D1506" t="s">
        <v>304</v>
      </c>
      <c r="E1506" t="s">
        <v>465</v>
      </c>
      <c r="F1506" t="s">
        <v>545</v>
      </c>
      <c r="G1506" t="s">
        <v>333</v>
      </c>
      <c r="K1506" t="s">
        <v>61</v>
      </c>
      <c r="L1506" t="s">
        <v>1530</v>
      </c>
      <c r="Q1506" t="str">
        <f t="shared" si="69"/>
        <v>Mar</v>
      </c>
      <c r="R1506">
        <f t="shared" si="70"/>
        <v>2014</v>
      </c>
      <c r="S1506" t="str">
        <f>VLOOKUP($W1506,TBL_Categories,2,FALSE)</f>
        <v>Monthly</v>
      </c>
      <c r="T1506">
        <f>VLOOKUP($W1506,TBL_Categories,3,FALSE)</f>
        <v>0</v>
      </c>
      <c r="U1506" t="str">
        <f>VLOOKUP($W1506,TBL_Categories,4,FALSE)</f>
        <v>No</v>
      </c>
      <c r="V1506" t="str">
        <f>VLOOKUP($W1506,TBL_Categories,5,FALSE)</f>
        <v>None</v>
      </c>
      <c r="W1506" t="str">
        <f t="shared" si="71"/>
        <v>Food &amp; Dining|Restaurants</v>
      </c>
    </row>
    <row r="1507" spans="1:23" x14ac:dyDescent="0.25">
      <c r="A1507" t="s">
        <v>762</v>
      </c>
      <c r="B1507" s="5">
        <v>41701</v>
      </c>
      <c r="C1507">
        <v>126</v>
      </c>
      <c r="D1507" t="s">
        <v>304</v>
      </c>
      <c r="E1507" t="s">
        <v>774</v>
      </c>
      <c r="G1507" t="s">
        <v>9</v>
      </c>
      <c r="H1507" t="s">
        <v>1470</v>
      </c>
      <c r="K1507" t="s">
        <v>9</v>
      </c>
      <c r="Q1507" t="str">
        <f t="shared" si="69"/>
        <v>Mar</v>
      </c>
      <c r="R1507">
        <f t="shared" si="70"/>
        <v>2014</v>
      </c>
      <c r="S1507" t="str">
        <f>VLOOKUP($W1507,TBL_Categories,2,FALSE)</f>
        <v>Account</v>
      </c>
      <c r="T1507">
        <f>VLOOKUP($W1507,TBL_Categories,3,FALSE)</f>
        <v>0</v>
      </c>
      <c r="U1507" t="str">
        <f>VLOOKUP($W1507,TBL_Categories,4,FALSE)</f>
        <v>No</v>
      </c>
      <c r="V1507" t="str">
        <f>VLOOKUP($W1507,TBL_Categories,5,FALSE)</f>
        <v>None</v>
      </c>
      <c r="W1507" t="str">
        <f t="shared" si="71"/>
        <v>[First Tech - Checking (5544)]</v>
      </c>
    </row>
    <row r="1508" spans="1:23" x14ac:dyDescent="0.25">
      <c r="A1508" t="s">
        <v>281</v>
      </c>
      <c r="B1508" s="5">
        <v>41700</v>
      </c>
      <c r="C1508">
        <v>0</v>
      </c>
      <c r="D1508" t="s">
        <v>304</v>
      </c>
      <c r="E1508" t="s">
        <v>308</v>
      </c>
      <c r="G1508" t="s">
        <v>5</v>
      </c>
      <c r="K1508" t="s">
        <v>5</v>
      </c>
      <c r="Q1508" t="str">
        <f t="shared" si="69"/>
        <v>Mar</v>
      </c>
      <c r="R1508">
        <f t="shared" si="70"/>
        <v>2014</v>
      </c>
      <c r="S1508" t="str">
        <f>VLOOKUP($W1508,TBL_Categories,2,FALSE)</f>
        <v>Account</v>
      </c>
      <c r="T1508">
        <f>VLOOKUP($W1508,TBL_Categories,3,FALSE)</f>
        <v>0</v>
      </c>
      <c r="U1508" t="str">
        <f>VLOOKUP($W1508,TBL_Categories,4,FALSE)</f>
        <v>No</v>
      </c>
      <c r="V1508" t="str">
        <f>VLOOKUP($W1508,TBL_Categories,5,FALSE)</f>
        <v>None</v>
      </c>
      <c r="W1508" t="str">
        <f t="shared" si="71"/>
        <v>[Capital One - Long Term Emergency (1201)]</v>
      </c>
    </row>
    <row r="1509" spans="1:23" x14ac:dyDescent="0.25">
      <c r="A1509" t="s">
        <v>281</v>
      </c>
      <c r="B1509" s="5">
        <v>41700</v>
      </c>
      <c r="C1509">
        <v>0</v>
      </c>
      <c r="D1509" t="s">
        <v>304</v>
      </c>
      <c r="E1509" t="s">
        <v>308</v>
      </c>
      <c r="G1509" t="s">
        <v>13</v>
      </c>
      <c r="K1509" t="s">
        <v>13</v>
      </c>
      <c r="Q1509" t="str">
        <f t="shared" si="69"/>
        <v>Mar</v>
      </c>
      <c r="R1509">
        <f t="shared" si="70"/>
        <v>2014</v>
      </c>
      <c r="S1509" t="str">
        <f>VLOOKUP($W1509,TBL_Categories,2,FALSE)</f>
        <v>Account</v>
      </c>
      <c r="T1509">
        <f>VLOOKUP($W1509,TBL_Categories,3,FALSE)</f>
        <v>0</v>
      </c>
      <c r="U1509" t="str">
        <f>VLOOKUP($W1509,TBL_Categories,4,FALSE)</f>
        <v>No</v>
      </c>
      <c r="V1509" t="str">
        <f>VLOOKUP($W1509,TBL_Categories,5,FALSE)</f>
        <v>None</v>
      </c>
      <c r="W1509" t="str">
        <f t="shared" si="71"/>
        <v>[MasterCard (Capital One)]</v>
      </c>
    </row>
    <row r="1510" spans="1:23" x14ac:dyDescent="0.25">
      <c r="A1510" t="s">
        <v>282</v>
      </c>
      <c r="B1510" s="5">
        <v>41700</v>
      </c>
      <c r="C1510">
        <v>0</v>
      </c>
      <c r="D1510" t="s">
        <v>304</v>
      </c>
      <c r="E1510" t="s">
        <v>308</v>
      </c>
      <c r="G1510" t="s">
        <v>7</v>
      </c>
      <c r="K1510" t="s">
        <v>7</v>
      </c>
      <c r="Q1510" t="str">
        <f t="shared" si="69"/>
        <v>Mar</v>
      </c>
      <c r="R1510">
        <f t="shared" si="70"/>
        <v>2014</v>
      </c>
      <c r="S1510" t="str">
        <f>VLOOKUP($W1510,TBL_Categories,2,FALSE)</f>
        <v>Account</v>
      </c>
      <c r="T1510">
        <f>VLOOKUP($W1510,TBL_Categories,3,FALSE)</f>
        <v>0</v>
      </c>
      <c r="U1510" t="str">
        <f>VLOOKUP($W1510,TBL_Categories,4,FALSE)</f>
        <v>No</v>
      </c>
      <c r="V1510" t="str">
        <f>VLOOKUP($W1510,TBL_Categories,5,FALSE)</f>
        <v>None</v>
      </c>
      <c r="W1510" t="str">
        <f t="shared" si="71"/>
        <v>[Capital One - Secondary Savings (3126)]</v>
      </c>
    </row>
    <row r="1511" spans="1:23" x14ac:dyDescent="0.25">
      <c r="A1511" t="s">
        <v>283</v>
      </c>
      <c r="B1511" s="5">
        <v>41700</v>
      </c>
      <c r="C1511">
        <v>0</v>
      </c>
      <c r="D1511" t="s">
        <v>304</v>
      </c>
      <c r="E1511" t="s">
        <v>308</v>
      </c>
      <c r="G1511" t="s">
        <v>10</v>
      </c>
      <c r="K1511" t="s">
        <v>10</v>
      </c>
      <c r="Q1511" t="str">
        <f t="shared" si="69"/>
        <v>Mar</v>
      </c>
      <c r="R1511">
        <f t="shared" si="70"/>
        <v>2014</v>
      </c>
      <c r="S1511" t="str">
        <f>VLOOKUP($W1511,TBL_Categories,2,FALSE)</f>
        <v>Account</v>
      </c>
      <c r="T1511">
        <f>VLOOKUP($W1511,TBL_Categories,3,FALSE)</f>
        <v>0</v>
      </c>
      <c r="U1511" t="str">
        <f>VLOOKUP($W1511,TBL_Categories,4,FALSE)</f>
        <v>No</v>
      </c>
      <c r="V1511" t="str">
        <f>VLOOKUP($W1511,TBL_Categories,5,FALSE)</f>
        <v>None</v>
      </c>
      <c r="W1511" t="str">
        <f t="shared" si="71"/>
        <v>[Capital One - Vacation (4959)]</v>
      </c>
    </row>
    <row r="1512" spans="1:23" x14ac:dyDescent="0.25">
      <c r="A1512" t="s">
        <v>284</v>
      </c>
      <c r="B1512" s="5">
        <v>41700</v>
      </c>
      <c r="C1512">
        <v>0</v>
      </c>
      <c r="D1512" t="s">
        <v>304</v>
      </c>
      <c r="E1512" t="s">
        <v>308</v>
      </c>
      <c r="F1512" t="s">
        <v>1662</v>
      </c>
      <c r="G1512" t="s">
        <v>9</v>
      </c>
      <c r="K1512" t="s">
        <v>9</v>
      </c>
      <c r="Q1512" t="str">
        <f t="shared" si="69"/>
        <v>Mar</v>
      </c>
      <c r="R1512">
        <f t="shared" si="70"/>
        <v>2014</v>
      </c>
      <c r="S1512" t="str">
        <f>VLOOKUP($W1512,TBL_Categories,2,FALSE)</f>
        <v>Account</v>
      </c>
      <c r="T1512">
        <f>VLOOKUP($W1512,TBL_Categories,3,FALSE)</f>
        <v>0</v>
      </c>
      <c r="U1512" t="str">
        <f>VLOOKUP($W1512,TBL_Categories,4,FALSE)</f>
        <v>No</v>
      </c>
      <c r="V1512" t="str">
        <f>VLOOKUP($W1512,TBL_Categories,5,FALSE)</f>
        <v>None</v>
      </c>
      <c r="W1512" t="str">
        <f t="shared" si="71"/>
        <v>[First Tech - Checking (5544)]</v>
      </c>
    </row>
    <row r="1513" spans="1:23" x14ac:dyDescent="0.25">
      <c r="A1513" t="s">
        <v>287</v>
      </c>
      <c r="B1513" s="5">
        <v>41700</v>
      </c>
      <c r="C1513">
        <v>0</v>
      </c>
      <c r="D1513" t="s">
        <v>304</v>
      </c>
      <c r="E1513" t="s">
        <v>308</v>
      </c>
      <c r="G1513" t="s">
        <v>30</v>
      </c>
      <c r="K1513" t="s">
        <v>30</v>
      </c>
      <c r="Q1513" t="str">
        <f t="shared" si="69"/>
        <v>Mar</v>
      </c>
      <c r="R1513">
        <f t="shared" si="70"/>
        <v>2014</v>
      </c>
      <c r="S1513" t="str">
        <f>VLOOKUP($W1513,TBL_Categories,2,FALSE)</f>
        <v>Account</v>
      </c>
      <c r="T1513">
        <f>VLOOKUP($W1513,TBL_Categories,3,FALSE)</f>
        <v>0</v>
      </c>
      <c r="U1513" t="str">
        <f>VLOOKUP($W1513,TBL_Categories,4,FALSE)</f>
        <v>No</v>
      </c>
      <c r="V1513" t="str">
        <f>VLOOKUP($W1513,TBL_Categories,5,FALSE)</f>
        <v>None</v>
      </c>
      <c r="W1513" t="str">
        <f t="shared" si="71"/>
        <v>[First Tech - Short Term Emergency (5400)]</v>
      </c>
    </row>
    <row r="1514" spans="1:23" x14ac:dyDescent="0.25">
      <c r="A1514" t="s">
        <v>290</v>
      </c>
      <c r="B1514" s="5">
        <v>41700</v>
      </c>
      <c r="C1514">
        <v>0</v>
      </c>
      <c r="D1514" t="s">
        <v>304</v>
      </c>
      <c r="E1514" t="s">
        <v>308</v>
      </c>
      <c r="G1514" t="s">
        <v>11</v>
      </c>
      <c r="K1514" t="s">
        <v>11</v>
      </c>
      <c r="Q1514" t="str">
        <f t="shared" si="69"/>
        <v>Mar</v>
      </c>
      <c r="R1514">
        <f t="shared" si="70"/>
        <v>2014</v>
      </c>
      <c r="S1514" t="str">
        <f>VLOOKUP($W1514,TBL_Categories,2,FALSE)</f>
        <v>Account</v>
      </c>
      <c r="T1514">
        <f>VLOOKUP($W1514,TBL_Categories,3,FALSE)</f>
        <v>0</v>
      </c>
      <c r="U1514" t="str">
        <f>VLOOKUP($W1514,TBL_Categories,4,FALSE)</f>
        <v>No</v>
      </c>
      <c r="V1514" t="str">
        <f>VLOOKUP($W1514,TBL_Categories,5,FALSE)</f>
        <v>None</v>
      </c>
      <c r="W1514" t="str">
        <f t="shared" si="71"/>
        <v>[Schwab - Checking (9784)]</v>
      </c>
    </row>
    <row r="1515" spans="1:23" x14ac:dyDescent="0.25">
      <c r="A1515" t="s">
        <v>291</v>
      </c>
      <c r="B1515" s="5">
        <v>41700</v>
      </c>
      <c r="C1515">
        <v>0</v>
      </c>
      <c r="D1515" t="s">
        <v>304</v>
      </c>
      <c r="E1515" t="s">
        <v>308</v>
      </c>
      <c r="G1515" t="s">
        <v>15</v>
      </c>
      <c r="K1515" t="s">
        <v>15</v>
      </c>
      <c r="Q1515" t="str">
        <f t="shared" si="69"/>
        <v>Mar</v>
      </c>
      <c r="R1515">
        <f t="shared" si="70"/>
        <v>2014</v>
      </c>
      <c r="S1515" t="str">
        <f>VLOOKUP($W1515,TBL_Categories,2,FALSE)</f>
        <v>Account</v>
      </c>
      <c r="T1515">
        <f>VLOOKUP($W1515,TBL_Categories,3,FALSE)</f>
        <v>0</v>
      </c>
      <c r="U1515" t="str">
        <f>VLOOKUP($W1515,TBL_Categories,4,FALSE)</f>
        <v>No</v>
      </c>
      <c r="V1515" t="str">
        <f>VLOOKUP($W1515,TBL_Categories,5,FALSE)</f>
        <v>None</v>
      </c>
      <c r="W1515" t="str">
        <f t="shared" si="71"/>
        <v>[American Express (Costco)]</v>
      </c>
    </row>
    <row r="1516" spans="1:23" x14ac:dyDescent="0.25">
      <c r="A1516" t="s">
        <v>293</v>
      </c>
      <c r="B1516" s="5">
        <v>41700</v>
      </c>
      <c r="C1516">
        <v>0</v>
      </c>
      <c r="D1516" t="s">
        <v>304</v>
      </c>
      <c r="E1516" t="s">
        <v>308</v>
      </c>
      <c r="G1516" t="s">
        <v>18</v>
      </c>
      <c r="K1516" t="s">
        <v>18</v>
      </c>
      <c r="Q1516" t="str">
        <f t="shared" si="69"/>
        <v>Mar</v>
      </c>
      <c r="R1516">
        <f t="shared" si="70"/>
        <v>2014</v>
      </c>
      <c r="S1516" t="str">
        <f>VLOOKUP($W1516,TBL_Categories,2,FALSE)</f>
        <v>Account</v>
      </c>
      <c r="T1516">
        <f>VLOOKUP($W1516,TBL_Categories,3,FALSE)</f>
        <v>0</v>
      </c>
      <c r="U1516" t="str">
        <f>VLOOKUP($W1516,TBL_Categories,4,FALSE)</f>
        <v>No</v>
      </c>
      <c r="V1516" t="str">
        <f>VLOOKUP($W1516,TBL_Categories,5,FALSE)</f>
        <v>None</v>
      </c>
      <c r="W1516" t="str">
        <f t="shared" si="71"/>
        <v>[Discover Card]</v>
      </c>
    </row>
    <row r="1517" spans="1:23" x14ac:dyDescent="0.25">
      <c r="A1517" t="s">
        <v>296</v>
      </c>
      <c r="B1517" s="5">
        <v>41700</v>
      </c>
      <c r="C1517">
        <v>0</v>
      </c>
      <c r="D1517" t="s">
        <v>304</v>
      </c>
      <c r="E1517" t="s">
        <v>308</v>
      </c>
      <c r="G1517" t="s">
        <v>5</v>
      </c>
      <c r="K1517" t="s">
        <v>5</v>
      </c>
      <c r="Q1517" t="str">
        <f t="shared" si="69"/>
        <v>Mar</v>
      </c>
      <c r="R1517">
        <f t="shared" si="70"/>
        <v>2014</v>
      </c>
      <c r="S1517" t="str">
        <f>VLOOKUP($W1517,TBL_Categories,2,FALSE)</f>
        <v>Account</v>
      </c>
      <c r="T1517">
        <f>VLOOKUP($W1517,TBL_Categories,3,FALSE)</f>
        <v>0</v>
      </c>
      <c r="U1517" t="str">
        <f>VLOOKUP($W1517,TBL_Categories,4,FALSE)</f>
        <v>No</v>
      </c>
      <c r="V1517" t="str">
        <f>VLOOKUP($W1517,TBL_Categories,5,FALSE)</f>
        <v>None</v>
      </c>
      <c r="W1517" t="str">
        <f t="shared" si="71"/>
        <v>[Capital One - Long Term Emergency (1201)]</v>
      </c>
    </row>
    <row r="1518" spans="1:23" x14ac:dyDescent="0.25">
      <c r="A1518" t="s">
        <v>296</v>
      </c>
      <c r="B1518" s="5">
        <v>41700</v>
      </c>
      <c r="C1518">
        <v>-9.64</v>
      </c>
      <c r="D1518" t="s">
        <v>304</v>
      </c>
      <c r="E1518" t="s">
        <v>736</v>
      </c>
      <c r="F1518" t="s">
        <v>1050</v>
      </c>
      <c r="G1518" t="s">
        <v>599</v>
      </c>
      <c r="K1518" t="s">
        <v>75</v>
      </c>
      <c r="L1518" t="s">
        <v>1564</v>
      </c>
      <c r="O1518" t="s">
        <v>1608</v>
      </c>
      <c r="Q1518" t="str">
        <f t="shared" si="69"/>
        <v>Mar</v>
      </c>
      <c r="R1518">
        <f t="shared" si="70"/>
        <v>2014</v>
      </c>
      <c r="S1518" t="str">
        <f>VLOOKUP($W1518,TBL_Categories,2,FALSE)</f>
        <v>Irregular</v>
      </c>
      <c r="T1518">
        <f>VLOOKUP($W1518,TBL_Categories,3,FALSE)</f>
        <v>0</v>
      </c>
      <c r="U1518" t="str">
        <f>VLOOKUP($W1518,TBL_Categories,4,FALSE)</f>
        <v>No</v>
      </c>
      <c r="V1518" t="str">
        <f>VLOOKUP($W1518,TBL_Categories,5,FALSE)</f>
        <v>None</v>
      </c>
      <c r="W1518" t="str">
        <f t="shared" si="71"/>
        <v>Vacation|Food</v>
      </c>
    </row>
    <row r="1519" spans="1:23" x14ac:dyDescent="0.25">
      <c r="A1519" t="s">
        <v>296</v>
      </c>
      <c r="B1519" s="5">
        <v>41700</v>
      </c>
      <c r="C1519">
        <v>-100.76</v>
      </c>
      <c r="D1519" t="s">
        <v>304</v>
      </c>
      <c r="E1519" t="s">
        <v>433</v>
      </c>
      <c r="F1519" t="s">
        <v>475</v>
      </c>
      <c r="G1519" t="s">
        <v>887</v>
      </c>
      <c r="J1519" t="s">
        <v>1550</v>
      </c>
      <c r="K1519" t="s">
        <v>61</v>
      </c>
      <c r="L1519" t="s">
        <v>401</v>
      </c>
      <c r="Q1519" t="str">
        <f t="shared" si="69"/>
        <v>Mar</v>
      </c>
      <c r="R1519">
        <f t="shared" si="70"/>
        <v>2014</v>
      </c>
      <c r="S1519" t="str">
        <f>VLOOKUP($W1519,TBL_Categories,2,FALSE)</f>
        <v>Monthly</v>
      </c>
      <c r="T1519">
        <f>VLOOKUP($W1519,TBL_Categories,3,FALSE)</f>
        <v>0</v>
      </c>
      <c r="U1519" t="str">
        <f>VLOOKUP($W1519,TBL_Categories,4,FALSE)</f>
        <v>No</v>
      </c>
      <c r="V1519" t="str">
        <f>VLOOKUP($W1519,TBL_Categories,5,FALSE)</f>
        <v>None</v>
      </c>
      <c r="W1519" t="str">
        <f t="shared" si="71"/>
        <v>Food &amp; Dining|Groceries</v>
      </c>
    </row>
    <row r="1520" spans="1:23" x14ac:dyDescent="0.25">
      <c r="A1520" t="s">
        <v>296</v>
      </c>
      <c r="B1520" s="5">
        <v>41700</v>
      </c>
      <c r="C1520">
        <v>-20.39</v>
      </c>
      <c r="D1520" t="s">
        <v>304</v>
      </c>
      <c r="E1520" t="s">
        <v>443</v>
      </c>
      <c r="G1520" t="s">
        <v>444</v>
      </c>
      <c r="I1520" t="s">
        <v>272</v>
      </c>
      <c r="K1520" t="s">
        <v>54</v>
      </c>
      <c r="L1520" t="s">
        <v>1581</v>
      </c>
      <c r="Q1520" t="str">
        <f t="shared" si="69"/>
        <v>Mar</v>
      </c>
      <c r="R1520">
        <f t="shared" si="70"/>
        <v>2014</v>
      </c>
      <c r="S1520" t="str">
        <f>VLOOKUP($W1520,TBL_Categories,2,FALSE)</f>
        <v>Monthly</v>
      </c>
      <c r="T1520">
        <f>VLOOKUP($W1520,TBL_Categories,3,FALSE)</f>
        <v>0</v>
      </c>
      <c r="U1520" t="str">
        <f>VLOOKUP($W1520,TBL_Categories,4,FALSE)</f>
        <v>No</v>
      </c>
      <c r="V1520" t="str">
        <f>VLOOKUP($W1520,TBL_Categories,5,FALSE)</f>
        <v>None</v>
      </c>
      <c r="W1520" t="str">
        <f t="shared" si="71"/>
        <v>Bills &amp; Utilities|Television</v>
      </c>
    </row>
    <row r="1521" spans="1:23" x14ac:dyDescent="0.25">
      <c r="A1521" t="s">
        <v>296</v>
      </c>
      <c r="B1521" s="5">
        <v>41700</v>
      </c>
      <c r="C1521">
        <v>-62.48</v>
      </c>
      <c r="D1521" t="s">
        <v>304</v>
      </c>
      <c r="E1521" t="s">
        <v>443</v>
      </c>
      <c r="G1521" t="s">
        <v>445</v>
      </c>
      <c r="I1521" t="s">
        <v>272</v>
      </c>
      <c r="K1521" t="s">
        <v>55</v>
      </c>
      <c r="L1521" t="s">
        <v>1582</v>
      </c>
      <c r="Q1521" t="str">
        <f t="shared" si="69"/>
        <v>Mar</v>
      </c>
      <c r="R1521">
        <f t="shared" si="70"/>
        <v>2014</v>
      </c>
      <c r="S1521" t="str">
        <f>VLOOKUP($W1521,TBL_Categories,2,FALSE)</f>
        <v>Monthly</v>
      </c>
      <c r="T1521">
        <f>VLOOKUP($W1521,TBL_Categories,3,FALSE)</f>
        <v>0</v>
      </c>
      <c r="U1521" t="str">
        <f>VLOOKUP($W1521,TBL_Categories,4,FALSE)</f>
        <v>No</v>
      </c>
      <c r="V1521" t="str">
        <f>VLOOKUP($W1521,TBL_Categories,5,FALSE)</f>
        <v>None</v>
      </c>
      <c r="W1521" t="str">
        <f t="shared" si="71"/>
        <v>Business Expenses (Koolikai)|Internet</v>
      </c>
    </row>
    <row r="1522" spans="1:23" x14ac:dyDescent="0.25">
      <c r="A1522" t="s">
        <v>296</v>
      </c>
      <c r="B1522" s="5">
        <v>41700</v>
      </c>
      <c r="C1522">
        <v>-42.4</v>
      </c>
      <c r="D1522" t="s">
        <v>304</v>
      </c>
      <c r="E1522" t="s">
        <v>443</v>
      </c>
      <c r="G1522" t="s">
        <v>446</v>
      </c>
      <c r="I1522" t="s">
        <v>272</v>
      </c>
      <c r="K1522" t="s">
        <v>54</v>
      </c>
      <c r="L1522" t="s">
        <v>1583</v>
      </c>
      <c r="Q1522" t="str">
        <f t="shared" si="69"/>
        <v>Mar</v>
      </c>
      <c r="R1522">
        <f t="shared" si="70"/>
        <v>2014</v>
      </c>
      <c r="S1522" t="str">
        <f>VLOOKUP($W1522,TBL_Categories,2,FALSE)</f>
        <v>Monthly</v>
      </c>
      <c r="T1522">
        <f>VLOOKUP($W1522,TBL_Categories,3,FALSE)</f>
        <v>0</v>
      </c>
      <c r="U1522" t="str">
        <f>VLOOKUP($W1522,TBL_Categories,4,FALSE)</f>
        <v>No</v>
      </c>
      <c r="V1522" t="str">
        <f>VLOOKUP($W1522,TBL_Categories,5,FALSE)</f>
        <v>None</v>
      </c>
      <c r="W1522" t="str">
        <f t="shared" si="71"/>
        <v>Bills &amp; Utilities|Home Phone</v>
      </c>
    </row>
    <row r="1523" spans="1:23" x14ac:dyDescent="0.25">
      <c r="A1523" t="s">
        <v>762</v>
      </c>
      <c r="B1523" s="5">
        <v>41700</v>
      </c>
      <c r="C1523">
        <v>0</v>
      </c>
      <c r="D1523" t="s">
        <v>304</v>
      </c>
      <c r="E1523" t="s">
        <v>308</v>
      </c>
      <c r="F1523" t="s">
        <v>1651</v>
      </c>
      <c r="G1523" t="s">
        <v>771</v>
      </c>
      <c r="K1523" t="s">
        <v>771</v>
      </c>
      <c r="Q1523" t="str">
        <f t="shared" si="69"/>
        <v>Mar</v>
      </c>
      <c r="R1523">
        <f t="shared" si="70"/>
        <v>2014</v>
      </c>
      <c r="S1523" t="e">
        <f>VLOOKUP($W1523,TBL_Categories,2,FALSE)</f>
        <v>#N/A</v>
      </c>
      <c r="T1523" t="e">
        <f>VLOOKUP($W1523,TBL_Categories,3,FALSE)</f>
        <v>#N/A</v>
      </c>
      <c r="U1523" t="e">
        <f>VLOOKUP($W1523,TBL_Categories,4,FALSE)</f>
        <v>#N/A</v>
      </c>
      <c r="V1523" t="e">
        <f>VLOOKUP($W1523,TBL_Categories,5,FALSE)</f>
        <v>#N/A</v>
      </c>
      <c r="W1523" t="str">
        <f t="shared" si="71"/>
        <v>[REI Mastercard (xx1787)]</v>
      </c>
    </row>
    <row r="1524" spans="1:23" x14ac:dyDescent="0.25">
      <c r="A1524" t="s">
        <v>299</v>
      </c>
      <c r="B1524" s="5">
        <v>41700</v>
      </c>
      <c r="C1524">
        <v>0</v>
      </c>
      <c r="D1524" t="s">
        <v>304</v>
      </c>
      <c r="E1524" t="s">
        <v>308</v>
      </c>
      <c r="G1524" t="s">
        <v>23</v>
      </c>
      <c r="K1524" t="s">
        <v>23</v>
      </c>
      <c r="Q1524" t="str">
        <f t="shared" si="69"/>
        <v>Mar</v>
      </c>
      <c r="R1524">
        <f t="shared" si="70"/>
        <v>2014</v>
      </c>
      <c r="S1524" t="str">
        <f>VLOOKUP($W1524,TBL_Categories,2,FALSE)</f>
        <v>Account</v>
      </c>
      <c r="T1524">
        <f>VLOOKUP($W1524,TBL_Categories,3,FALSE)</f>
        <v>0</v>
      </c>
      <c r="U1524" t="str">
        <f>VLOOKUP($W1524,TBL_Categories,4,FALSE)</f>
        <v>No</v>
      </c>
      <c r="V1524" t="str">
        <f>VLOOKUP($W1524,TBL_Categories,5,FALSE)</f>
        <v>None</v>
      </c>
      <c r="W1524" t="str">
        <f t="shared" si="71"/>
        <v>[Target Red Card]</v>
      </c>
    </row>
    <row r="1525" spans="1:23" x14ac:dyDescent="0.25">
      <c r="A1525" t="s">
        <v>284</v>
      </c>
      <c r="B1525" s="5">
        <v>41699</v>
      </c>
      <c r="C1525" s="4">
        <v>-4025.58</v>
      </c>
      <c r="D1525" t="s">
        <v>304</v>
      </c>
      <c r="E1525" t="s">
        <v>321</v>
      </c>
      <c r="F1525" t="s">
        <v>365</v>
      </c>
      <c r="G1525" t="s">
        <v>13</v>
      </c>
      <c r="K1525" t="s">
        <v>13</v>
      </c>
      <c r="Q1525" t="str">
        <f t="shared" si="69"/>
        <v>Mar</v>
      </c>
      <c r="R1525">
        <f t="shared" si="70"/>
        <v>2014</v>
      </c>
      <c r="S1525" t="str">
        <f>VLOOKUP($W1525,TBL_Categories,2,FALSE)</f>
        <v>Account</v>
      </c>
      <c r="T1525">
        <f>VLOOKUP($W1525,TBL_Categories,3,FALSE)</f>
        <v>0</v>
      </c>
      <c r="U1525" t="str">
        <f>VLOOKUP($W1525,TBL_Categories,4,FALSE)</f>
        <v>No</v>
      </c>
      <c r="V1525" t="str">
        <f>VLOOKUP($W1525,TBL_Categories,5,FALSE)</f>
        <v>None</v>
      </c>
      <c r="W1525" t="str">
        <f t="shared" si="71"/>
        <v>[MasterCard (Capital One)]</v>
      </c>
    </row>
    <row r="1526" spans="1:23" x14ac:dyDescent="0.25">
      <c r="A1526" t="s">
        <v>288</v>
      </c>
      <c r="B1526" s="5">
        <v>41699</v>
      </c>
      <c r="C1526" s="4">
        <v>2195</v>
      </c>
      <c r="D1526" t="s">
        <v>304</v>
      </c>
      <c r="E1526" t="s">
        <v>385</v>
      </c>
      <c r="G1526" t="s">
        <v>390</v>
      </c>
      <c r="J1526">
        <v>9602</v>
      </c>
      <c r="K1526" t="s">
        <v>33</v>
      </c>
      <c r="L1526" t="s">
        <v>1519</v>
      </c>
      <c r="Q1526" t="str">
        <f t="shared" si="69"/>
        <v>Mar</v>
      </c>
      <c r="R1526">
        <f t="shared" si="70"/>
        <v>2014</v>
      </c>
      <c r="S1526" t="str">
        <f>VLOOKUP($W1526,TBL_Categories,2,FALSE)</f>
        <v>Monthly</v>
      </c>
      <c r="T1526">
        <f>VLOOKUP($W1526,TBL_Categories,3,FALSE)</f>
        <v>0</v>
      </c>
      <c r="U1526" t="str">
        <f>VLOOKUP($W1526,TBL_Categories,4,FALSE)</f>
        <v>No</v>
      </c>
      <c r="V1526" t="str">
        <f>VLOOKUP($W1526,TBL_Categories,5,FALSE)</f>
        <v>None</v>
      </c>
      <c r="W1526" t="str">
        <f t="shared" si="71"/>
        <v>Business Income (Koolikai)|Rent</v>
      </c>
    </row>
    <row r="1527" spans="1:23" x14ac:dyDescent="0.25">
      <c r="A1527" t="s">
        <v>291</v>
      </c>
      <c r="B1527" s="5">
        <v>41699</v>
      </c>
      <c r="C1527">
        <v>-110</v>
      </c>
      <c r="D1527" t="s">
        <v>304</v>
      </c>
      <c r="E1527" t="s">
        <v>400</v>
      </c>
      <c r="F1527" t="s">
        <v>620</v>
      </c>
      <c r="G1527" t="s">
        <v>73</v>
      </c>
      <c r="K1527" t="s">
        <v>73</v>
      </c>
      <c r="Q1527" t="str">
        <f t="shared" si="69"/>
        <v>Mar</v>
      </c>
      <c r="R1527">
        <f t="shared" si="70"/>
        <v>2014</v>
      </c>
      <c r="S1527" t="str">
        <f>VLOOKUP($W1527,TBL_Categories,2,FALSE)</f>
        <v>Annual</v>
      </c>
      <c r="T1527">
        <f>VLOOKUP($W1527,TBL_Categories,3,FALSE)</f>
        <v>0</v>
      </c>
      <c r="U1527" t="str">
        <f>VLOOKUP($W1527,TBL_Categories,4,FALSE)</f>
        <v>No</v>
      </c>
      <c r="V1527" t="str">
        <f>VLOOKUP($W1527,TBL_Categories,5,FALSE)</f>
        <v>None</v>
      </c>
      <c r="W1527" t="str">
        <f t="shared" si="71"/>
        <v>Subscriptions &amp; Dues</v>
      </c>
    </row>
    <row r="1528" spans="1:23" x14ac:dyDescent="0.25">
      <c r="A1528" t="s">
        <v>295</v>
      </c>
      <c r="B1528" s="5">
        <v>41699</v>
      </c>
      <c r="C1528">
        <v>0</v>
      </c>
      <c r="D1528" t="s">
        <v>304</v>
      </c>
      <c r="E1528" t="s">
        <v>308</v>
      </c>
      <c r="G1528" t="s">
        <v>16</v>
      </c>
      <c r="K1528" t="s">
        <v>16</v>
      </c>
      <c r="Q1528" t="str">
        <f t="shared" si="69"/>
        <v>Mar</v>
      </c>
      <c r="R1528">
        <f t="shared" si="70"/>
        <v>2014</v>
      </c>
      <c r="S1528" t="str">
        <f>VLOOKUP($W1528,TBL_Categories,2,FALSE)</f>
        <v>Account</v>
      </c>
      <c r="T1528">
        <f>VLOOKUP($W1528,TBL_Categories,3,FALSE)</f>
        <v>0</v>
      </c>
      <c r="U1528" t="str">
        <f>VLOOKUP($W1528,TBL_Categories,4,FALSE)</f>
        <v>No</v>
      </c>
      <c r="V1528" t="str">
        <f>VLOOKUP($W1528,TBL_Categories,5,FALSE)</f>
        <v>None</v>
      </c>
      <c r="W1528" t="str">
        <f t="shared" si="71"/>
        <v>[Mastercard (Angela)]</v>
      </c>
    </row>
    <row r="1529" spans="1:23" x14ac:dyDescent="0.25">
      <c r="A1529" t="s">
        <v>296</v>
      </c>
      <c r="B1529" s="5">
        <v>41699</v>
      </c>
      <c r="C1529" s="4">
        <v>4025.58</v>
      </c>
      <c r="D1529" t="s">
        <v>304</v>
      </c>
      <c r="E1529" t="s">
        <v>321</v>
      </c>
      <c r="F1529" t="s">
        <v>365</v>
      </c>
      <c r="G1529" t="s">
        <v>9</v>
      </c>
      <c r="K1529" t="s">
        <v>9</v>
      </c>
      <c r="Q1529" t="str">
        <f t="shared" si="69"/>
        <v>Mar</v>
      </c>
      <c r="R1529">
        <f t="shared" si="70"/>
        <v>2014</v>
      </c>
      <c r="S1529" t="str">
        <f>VLOOKUP($W1529,TBL_Categories,2,FALSE)</f>
        <v>Account</v>
      </c>
      <c r="T1529">
        <f>VLOOKUP($W1529,TBL_Categories,3,FALSE)</f>
        <v>0</v>
      </c>
      <c r="U1529" t="str">
        <f>VLOOKUP($W1529,TBL_Categories,4,FALSE)</f>
        <v>No</v>
      </c>
      <c r="V1529" t="str">
        <f>VLOOKUP($W1529,TBL_Categories,5,FALSE)</f>
        <v>None</v>
      </c>
      <c r="W1529" t="str">
        <f t="shared" si="71"/>
        <v>[First Tech - Checking (5544)]</v>
      </c>
    </row>
    <row r="1530" spans="1:23" x14ac:dyDescent="0.25">
      <c r="A1530" t="s">
        <v>296</v>
      </c>
      <c r="B1530" s="5">
        <v>41699</v>
      </c>
      <c r="C1530">
        <v>-10.5</v>
      </c>
      <c r="D1530" t="s">
        <v>304</v>
      </c>
      <c r="E1530" t="s">
        <v>1053</v>
      </c>
      <c r="F1530" t="s">
        <v>1050</v>
      </c>
      <c r="G1530" t="s">
        <v>1054</v>
      </c>
      <c r="J1530" t="s">
        <v>1550</v>
      </c>
      <c r="K1530" t="s">
        <v>75</v>
      </c>
      <c r="L1530" t="s">
        <v>1570</v>
      </c>
      <c r="O1530" t="s">
        <v>1608</v>
      </c>
      <c r="Q1530" t="str">
        <f t="shared" si="69"/>
        <v>Mar</v>
      </c>
      <c r="R1530">
        <f t="shared" si="70"/>
        <v>2014</v>
      </c>
      <c r="S1530" t="str">
        <f>VLOOKUP($W1530,TBL_Categories,2,FALSE)</f>
        <v>Irregular</v>
      </c>
      <c r="T1530">
        <f>VLOOKUP($W1530,TBL_Categories,3,FALSE)</f>
        <v>0</v>
      </c>
      <c r="U1530" t="str">
        <f>VLOOKUP($W1530,TBL_Categories,4,FALSE)</f>
        <v>No</v>
      </c>
      <c r="V1530" t="str">
        <f>VLOOKUP($W1530,TBL_Categories,5,FALSE)</f>
        <v>None</v>
      </c>
      <c r="W1530" t="str">
        <f t="shared" si="71"/>
        <v>Vacation|Transportation</v>
      </c>
    </row>
    <row r="1531" spans="1:23" x14ac:dyDescent="0.25">
      <c r="A1531" t="s">
        <v>296</v>
      </c>
      <c r="B1531" s="5">
        <v>41699</v>
      </c>
      <c r="C1531">
        <v>-38.79</v>
      </c>
      <c r="D1531" t="s">
        <v>304</v>
      </c>
      <c r="E1531" t="s">
        <v>735</v>
      </c>
      <c r="F1531" t="s">
        <v>1050</v>
      </c>
      <c r="G1531" t="s">
        <v>1054</v>
      </c>
      <c r="J1531" t="s">
        <v>1550</v>
      </c>
      <c r="K1531" t="s">
        <v>75</v>
      </c>
      <c r="L1531" t="s">
        <v>1570</v>
      </c>
      <c r="O1531" t="s">
        <v>1608</v>
      </c>
      <c r="Q1531" t="str">
        <f t="shared" si="69"/>
        <v>Mar</v>
      </c>
      <c r="R1531">
        <f t="shared" si="70"/>
        <v>2014</v>
      </c>
      <c r="S1531" t="str">
        <f>VLOOKUP($W1531,TBL_Categories,2,FALSE)</f>
        <v>Irregular</v>
      </c>
      <c r="T1531">
        <f>VLOOKUP($W1531,TBL_Categories,3,FALSE)</f>
        <v>0</v>
      </c>
      <c r="U1531" t="str">
        <f>VLOOKUP($W1531,TBL_Categories,4,FALSE)</f>
        <v>No</v>
      </c>
      <c r="V1531" t="str">
        <f>VLOOKUP($W1531,TBL_Categories,5,FALSE)</f>
        <v>None</v>
      </c>
      <c r="W1531" t="str">
        <f t="shared" si="71"/>
        <v>Vacation|Transportation</v>
      </c>
    </row>
    <row r="1532" spans="1:23" x14ac:dyDescent="0.25">
      <c r="A1532" t="s">
        <v>280</v>
      </c>
      <c r="B1532" s="5">
        <v>41698</v>
      </c>
      <c r="C1532">
        <v>18.059999999999999</v>
      </c>
      <c r="D1532" t="s">
        <v>304</v>
      </c>
      <c r="E1532" t="s">
        <v>309</v>
      </c>
      <c r="G1532" t="s">
        <v>8</v>
      </c>
      <c r="H1532" t="s">
        <v>310</v>
      </c>
      <c r="K1532" t="s">
        <v>8</v>
      </c>
      <c r="Q1532" t="str">
        <f t="shared" si="69"/>
        <v>Feb</v>
      </c>
      <c r="R1532">
        <f t="shared" si="70"/>
        <v>2014</v>
      </c>
      <c r="S1532" t="str">
        <f>VLOOKUP($W1532,TBL_Categories,2,FALSE)</f>
        <v>Monthly</v>
      </c>
      <c r="T1532">
        <f>VLOOKUP($W1532,TBL_Categories,3,FALSE)</f>
        <v>0</v>
      </c>
      <c r="U1532" t="str">
        <f>VLOOKUP($W1532,TBL_Categories,4,FALSE)</f>
        <v>No</v>
      </c>
      <c r="V1532" t="str">
        <f>VLOOKUP($W1532,TBL_Categories,5,FALSE)</f>
        <v>None</v>
      </c>
      <c r="W1532" t="str">
        <f t="shared" si="71"/>
        <v>Interest Income</v>
      </c>
    </row>
    <row r="1533" spans="1:23" x14ac:dyDescent="0.25">
      <c r="A1533" t="s">
        <v>281</v>
      </c>
      <c r="B1533" s="5">
        <v>41698</v>
      </c>
      <c r="C1533">
        <v>72.61</v>
      </c>
      <c r="D1533" t="s">
        <v>304</v>
      </c>
      <c r="E1533" t="s">
        <v>309</v>
      </c>
      <c r="G1533" t="s">
        <v>8</v>
      </c>
      <c r="H1533" t="s">
        <v>310</v>
      </c>
      <c r="K1533" t="s">
        <v>8</v>
      </c>
      <c r="Q1533" t="str">
        <f t="shared" si="69"/>
        <v>Feb</v>
      </c>
      <c r="R1533">
        <f t="shared" si="70"/>
        <v>2014</v>
      </c>
      <c r="S1533" t="str">
        <f>VLOOKUP($W1533,TBL_Categories,2,FALSE)</f>
        <v>Monthly</v>
      </c>
      <c r="T1533">
        <f>VLOOKUP($W1533,TBL_Categories,3,FALSE)</f>
        <v>0</v>
      </c>
      <c r="U1533" t="str">
        <f>VLOOKUP($W1533,TBL_Categories,4,FALSE)</f>
        <v>No</v>
      </c>
      <c r="V1533" t="str">
        <f>VLOOKUP($W1533,TBL_Categories,5,FALSE)</f>
        <v>None</v>
      </c>
      <c r="W1533" t="str">
        <f t="shared" si="71"/>
        <v>Interest Income</v>
      </c>
    </row>
    <row r="1534" spans="1:23" x14ac:dyDescent="0.25">
      <c r="A1534" t="s">
        <v>282</v>
      </c>
      <c r="B1534" s="5">
        <v>41698</v>
      </c>
      <c r="C1534">
        <v>34.65</v>
      </c>
      <c r="D1534" t="s">
        <v>304</v>
      </c>
      <c r="E1534" t="s">
        <v>309</v>
      </c>
      <c r="G1534" t="s">
        <v>8</v>
      </c>
      <c r="H1534" t="s">
        <v>310</v>
      </c>
      <c r="K1534" t="s">
        <v>8</v>
      </c>
      <c r="Q1534" t="str">
        <f t="shared" si="69"/>
        <v>Feb</v>
      </c>
      <c r="R1534">
        <f t="shared" si="70"/>
        <v>2014</v>
      </c>
      <c r="S1534" t="str">
        <f>VLOOKUP($W1534,TBL_Categories,2,FALSE)</f>
        <v>Monthly</v>
      </c>
      <c r="T1534">
        <f>VLOOKUP($W1534,TBL_Categories,3,FALSE)</f>
        <v>0</v>
      </c>
      <c r="U1534" t="str">
        <f>VLOOKUP($W1534,TBL_Categories,4,FALSE)</f>
        <v>No</v>
      </c>
      <c r="V1534" t="str">
        <f>VLOOKUP($W1534,TBL_Categories,5,FALSE)</f>
        <v>None</v>
      </c>
      <c r="W1534" t="str">
        <f t="shared" si="71"/>
        <v>Interest Income</v>
      </c>
    </row>
    <row r="1535" spans="1:23" x14ac:dyDescent="0.25">
      <c r="A1535" t="s">
        <v>283</v>
      </c>
      <c r="B1535" s="5">
        <v>41698</v>
      </c>
      <c r="C1535">
        <v>1.92</v>
      </c>
      <c r="D1535" t="s">
        <v>304</v>
      </c>
      <c r="E1535" t="s">
        <v>309</v>
      </c>
      <c r="G1535" t="s">
        <v>8</v>
      </c>
      <c r="H1535" t="s">
        <v>310</v>
      </c>
      <c r="K1535" t="s">
        <v>8</v>
      </c>
      <c r="Q1535" t="str">
        <f t="shared" si="69"/>
        <v>Feb</v>
      </c>
      <c r="R1535">
        <f t="shared" si="70"/>
        <v>2014</v>
      </c>
      <c r="S1535" t="str">
        <f>VLOOKUP($W1535,TBL_Categories,2,FALSE)</f>
        <v>Monthly</v>
      </c>
      <c r="T1535">
        <f>VLOOKUP($W1535,TBL_Categories,3,FALSE)</f>
        <v>0</v>
      </c>
      <c r="U1535" t="str">
        <f>VLOOKUP($W1535,TBL_Categories,4,FALSE)</f>
        <v>No</v>
      </c>
      <c r="V1535" t="str">
        <f>VLOOKUP($W1535,TBL_Categories,5,FALSE)</f>
        <v>None</v>
      </c>
      <c r="W1535" t="str">
        <f t="shared" si="71"/>
        <v>Interest Income</v>
      </c>
    </row>
    <row r="1536" spans="1:23" x14ac:dyDescent="0.25">
      <c r="A1536" t="s">
        <v>284</v>
      </c>
      <c r="B1536" s="5">
        <v>41698</v>
      </c>
      <c r="C1536">
        <v>-223.3</v>
      </c>
      <c r="D1536" t="s">
        <v>304</v>
      </c>
      <c r="E1536" t="s">
        <v>582</v>
      </c>
      <c r="F1536" t="s">
        <v>583</v>
      </c>
      <c r="G1536" t="s">
        <v>313</v>
      </c>
      <c r="K1536" t="s">
        <v>54</v>
      </c>
      <c r="L1536" t="s">
        <v>1521</v>
      </c>
      <c r="Q1536" t="str">
        <f t="shared" si="69"/>
        <v>Feb</v>
      </c>
      <c r="R1536">
        <f t="shared" si="70"/>
        <v>2014</v>
      </c>
      <c r="S1536" t="str">
        <f>VLOOKUP($W1536,TBL_Categories,2,FALSE)</f>
        <v>Monthly</v>
      </c>
      <c r="T1536">
        <f>VLOOKUP($W1536,TBL_Categories,3,FALSE)</f>
        <v>0</v>
      </c>
      <c r="U1536" t="str">
        <f>VLOOKUP($W1536,TBL_Categories,4,FALSE)</f>
        <v>No</v>
      </c>
      <c r="V1536" t="str">
        <f>VLOOKUP($W1536,TBL_Categories,5,FALSE)</f>
        <v>None</v>
      </c>
      <c r="W1536" t="str">
        <f t="shared" si="71"/>
        <v>Bills &amp; Utilities|Utilities</v>
      </c>
    </row>
    <row r="1537" spans="1:23" x14ac:dyDescent="0.25">
      <c r="A1537" t="s">
        <v>284</v>
      </c>
      <c r="B1537" s="5">
        <v>41698</v>
      </c>
      <c r="C1537" s="4">
        <v>-200000</v>
      </c>
      <c r="D1537" t="s">
        <v>304</v>
      </c>
      <c r="E1537" t="s">
        <v>618</v>
      </c>
      <c r="F1537" t="s">
        <v>619</v>
      </c>
      <c r="G1537" t="s">
        <v>26</v>
      </c>
      <c r="K1537" t="s">
        <v>26</v>
      </c>
      <c r="Q1537" t="str">
        <f t="shared" si="69"/>
        <v>Feb</v>
      </c>
      <c r="R1537">
        <f t="shared" si="70"/>
        <v>2014</v>
      </c>
      <c r="S1537" t="str">
        <f>VLOOKUP($W1537,TBL_Categories,2,FALSE)</f>
        <v>Unplanned</v>
      </c>
      <c r="T1537">
        <f>VLOOKUP($W1537,TBL_Categories,3,FALSE)</f>
        <v>0</v>
      </c>
      <c r="U1537" t="str">
        <f>VLOOKUP($W1537,TBL_Categories,4,FALSE)</f>
        <v>No</v>
      </c>
      <c r="V1537" t="str">
        <f>VLOOKUP($W1537,TBL_Categories,5,FALSE)</f>
        <v>None</v>
      </c>
      <c r="W1537" t="str">
        <f t="shared" si="71"/>
        <v>Not Sure</v>
      </c>
    </row>
    <row r="1538" spans="1:23" x14ac:dyDescent="0.25">
      <c r="A1538" t="s">
        <v>289</v>
      </c>
      <c r="B1538" s="5">
        <v>41698</v>
      </c>
      <c r="C1538">
        <v>0.17</v>
      </c>
      <c r="D1538" t="s">
        <v>304</v>
      </c>
      <c r="E1538" t="s">
        <v>396</v>
      </c>
      <c r="F1538" t="s">
        <v>595</v>
      </c>
      <c r="G1538" t="s">
        <v>8</v>
      </c>
      <c r="K1538" t="s">
        <v>8</v>
      </c>
      <c r="Q1538" t="str">
        <f t="shared" ref="Q1538:Q1601" si="72">TEXT($B1538,"MMM")</f>
        <v>Feb</v>
      </c>
      <c r="R1538">
        <f t="shared" ref="R1538:R1601" si="73">YEAR($B1538)</f>
        <v>2014</v>
      </c>
      <c r="S1538" t="str">
        <f>VLOOKUP($W1538,TBL_Categories,2,FALSE)</f>
        <v>Monthly</v>
      </c>
      <c r="T1538">
        <f>VLOOKUP($W1538,TBL_Categories,3,FALSE)</f>
        <v>0</v>
      </c>
      <c r="U1538" t="str">
        <f>VLOOKUP($W1538,TBL_Categories,4,FALSE)</f>
        <v>No</v>
      </c>
      <c r="V1538" t="str">
        <f>VLOOKUP($W1538,TBL_Categories,5,FALSE)</f>
        <v>None</v>
      </c>
      <c r="W1538" t="str">
        <f t="shared" ref="W1538:W1601" si="74">IF(ISBLANK($L1538),$K1538,CONCATENATE($K1538,"|",$L1538))</f>
        <v>Interest Income</v>
      </c>
    </row>
    <row r="1539" spans="1:23" x14ac:dyDescent="0.25">
      <c r="A1539" t="s">
        <v>290</v>
      </c>
      <c r="B1539" s="5">
        <v>41698</v>
      </c>
      <c r="C1539">
        <v>0.12</v>
      </c>
      <c r="D1539" t="s">
        <v>304</v>
      </c>
      <c r="E1539" t="s">
        <v>597</v>
      </c>
      <c r="G1539" t="s">
        <v>8</v>
      </c>
      <c r="K1539" t="s">
        <v>8</v>
      </c>
      <c r="Q1539" t="str">
        <f t="shared" si="72"/>
        <v>Feb</v>
      </c>
      <c r="R1539">
        <f t="shared" si="73"/>
        <v>2014</v>
      </c>
      <c r="S1539" t="str">
        <f>VLOOKUP($W1539,TBL_Categories,2,FALSE)</f>
        <v>Monthly</v>
      </c>
      <c r="T1539">
        <f>VLOOKUP($W1539,TBL_Categories,3,FALSE)</f>
        <v>0</v>
      </c>
      <c r="U1539" t="str">
        <f>VLOOKUP($W1539,TBL_Categories,4,FALSE)</f>
        <v>No</v>
      </c>
      <c r="V1539" t="str">
        <f>VLOOKUP($W1539,TBL_Categories,5,FALSE)</f>
        <v>None</v>
      </c>
      <c r="W1539" t="str">
        <f t="shared" si="74"/>
        <v>Interest Income</v>
      </c>
    </row>
    <row r="1540" spans="1:23" x14ac:dyDescent="0.25">
      <c r="A1540" t="s">
        <v>290</v>
      </c>
      <c r="B1540" s="5">
        <v>41698</v>
      </c>
      <c r="C1540">
        <v>4.75</v>
      </c>
      <c r="D1540" t="s">
        <v>304</v>
      </c>
      <c r="E1540" t="s">
        <v>596</v>
      </c>
      <c r="G1540" t="s">
        <v>397</v>
      </c>
      <c r="K1540" t="s">
        <v>53</v>
      </c>
      <c r="L1540" t="s">
        <v>1562</v>
      </c>
      <c r="Q1540" t="str">
        <f t="shared" si="72"/>
        <v>Feb</v>
      </c>
      <c r="R1540">
        <f t="shared" si="73"/>
        <v>2014</v>
      </c>
      <c r="S1540" t="str">
        <f>VLOOKUP($W1540,TBL_Categories,2,FALSE)</f>
        <v>Monthly</v>
      </c>
      <c r="T1540">
        <f>VLOOKUP($W1540,TBL_Categories,3,FALSE)</f>
        <v>0</v>
      </c>
      <c r="U1540" t="str">
        <f>VLOOKUP($W1540,TBL_Categories,4,FALSE)</f>
        <v>No</v>
      </c>
      <c r="V1540" t="str">
        <f>VLOOKUP($W1540,TBL_Categories,5,FALSE)</f>
        <v>None</v>
      </c>
      <c r="W1540" t="str">
        <f t="shared" si="74"/>
        <v>Bank Fees &amp; Charges|ATM Fee</v>
      </c>
    </row>
    <row r="1541" spans="1:23" x14ac:dyDescent="0.25">
      <c r="A1541" t="s">
        <v>296</v>
      </c>
      <c r="B1541" s="5">
        <v>41698</v>
      </c>
      <c r="C1541">
        <v>25</v>
      </c>
      <c r="D1541" t="s">
        <v>304</v>
      </c>
      <c r="E1541" t="s">
        <v>429</v>
      </c>
      <c r="F1541" t="s">
        <v>427</v>
      </c>
      <c r="G1541" t="s">
        <v>14</v>
      </c>
      <c r="K1541" t="s">
        <v>14</v>
      </c>
      <c r="Q1541" t="str">
        <f t="shared" si="72"/>
        <v>Feb</v>
      </c>
      <c r="R1541">
        <f t="shared" si="73"/>
        <v>2014</v>
      </c>
      <c r="S1541" t="str">
        <f>VLOOKUP($W1541,TBL_Categories,2,FALSE)</f>
        <v>Monthly</v>
      </c>
      <c r="T1541">
        <f>VLOOKUP($W1541,TBL_Categories,3,FALSE)</f>
        <v>0</v>
      </c>
      <c r="U1541" t="str">
        <f>VLOOKUP($W1541,TBL_Categories,4,FALSE)</f>
        <v>No</v>
      </c>
      <c r="V1541" t="str">
        <f>VLOOKUP($W1541,TBL_Categories,5,FALSE)</f>
        <v>None</v>
      </c>
      <c r="W1541" t="str">
        <f t="shared" si="74"/>
        <v>Other Inc</v>
      </c>
    </row>
    <row r="1542" spans="1:23" x14ac:dyDescent="0.25">
      <c r="A1542" t="s">
        <v>296</v>
      </c>
      <c r="B1542" s="5">
        <v>41698</v>
      </c>
      <c r="C1542">
        <v>-1</v>
      </c>
      <c r="D1542" t="s">
        <v>304</v>
      </c>
      <c r="E1542" t="s">
        <v>630</v>
      </c>
      <c r="F1542" t="s">
        <v>631</v>
      </c>
      <c r="G1542" t="s">
        <v>409</v>
      </c>
      <c r="K1542" t="s">
        <v>52</v>
      </c>
      <c r="L1542" t="s">
        <v>1568</v>
      </c>
      <c r="Q1542" t="str">
        <f t="shared" si="72"/>
        <v>Feb</v>
      </c>
      <c r="R1542">
        <f t="shared" si="73"/>
        <v>2014</v>
      </c>
      <c r="S1542" t="str">
        <f>VLOOKUP($W1542,TBL_Categories,2,FALSE)</f>
        <v>Monthly</v>
      </c>
      <c r="T1542">
        <f>VLOOKUP($W1542,TBL_Categories,3,FALSE)</f>
        <v>0</v>
      </c>
      <c r="U1542" t="str">
        <f>VLOOKUP($W1542,TBL_Categories,4,FALSE)</f>
        <v>No</v>
      </c>
      <c r="V1542" t="str">
        <f>VLOOKUP($W1542,TBL_Categories,5,FALSE)</f>
        <v>None</v>
      </c>
      <c r="W1542" t="str">
        <f t="shared" si="74"/>
        <v>Auto &amp; Transport|Gas &amp; Fuel</v>
      </c>
    </row>
    <row r="1543" spans="1:23" x14ac:dyDescent="0.25">
      <c r="A1543" t="s">
        <v>296</v>
      </c>
      <c r="B1543" s="5">
        <v>41698</v>
      </c>
      <c r="C1543">
        <v>-11.94</v>
      </c>
      <c r="D1543" t="s">
        <v>304</v>
      </c>
      <c r="E1543" t="s">
        <v>632</v>
      </c>
      <c r="F1543" t="s">
        <v>1052</v>
      </c>
      <c r="G1543" t="s">
        <v>972</v>
      </c>
      <c r="J1543" t="s">
        <v>1550</v>
      </c>
      <c r="K1543" t="s">
        <v>75</v>
      </c>
      <c r="L1543" t="s">
        <v>1564</v>
      </c>
      <c r="O1543" t="s">
        <v>1608</v>
      </c>
      <c r="Q1543" t="str">
        <f t="shared" si="72"/>
        <v>Feb</v>
      </c>
      <c r="R1543">
        <f t="shared" si="73"/>
        <v>2014</v>
      </c>
      <c r="S1543" t="str">
        <f>VLOOKUP($W1543,TBL_Categories,2,FALSE)</f>
        <v>Irregular</v>
      </c>
      <c r="T1543">
        <f>VLOOKUP($W1543,TBL_Categories,3,FALSE)</f>
        <v>0</v>
      </c>
      <c r="U1543" t="str">
        <f>VLOOKUP($W1543,TBL_Categories,4,FALSE)</f>
        <v>No</v>
      </c>
      <c r="V1543" t="str">
        <f>VLOOKUP($W1543,TBL_Categories,5,FALSE)</f>
        <v>None</v>
      </c>
      <c r="W1543" t="str">
        <f t="shared" si="74"/>
        <v>Vacation|Food</v>
      </c>
    </row>
    <row r="1544" spans="1:23" x14ac:dyDescent="0.25">
      <c r="A1544" t="s">
        <v>296</v>
      </c>
      <c r="B1544" s="5">
        <v>41698</v>
      </c>
      <c r="C1544">
        <v>-15.75</v>
      </c>
      <c r="D1544" t="s">
        <v>304</v>
      </c>
      <c r="E1544" t="s">
        <v>697</v>
      </c>
      <c r="F1544" t="s">
        <v>734</v>
      </c>
      <c r="G1544" t="s">
        <v>333</v>
      </c>
      <c r="K1544" t="s">
        <v>61</v>
      </c>
      <c r="L1544" t="s">
        <v>1530</v>
      </c>
      <c r="Q1544" t="str">
        <f t="shared" si="72"/>
        <v>Feb</v>
      </c>
      <c r="R1544">
        <f t="shared" si="73"/>
        <v>2014</v>
      </c>
      <c r="S1544" t="str">
        <f>VLOOKUP($W1544,TBL_Categories,2,FALSE)</f>
        <v>Monthly</v>
      </c>
      <c r="T1544">
        <f>VLOOKUP($W1544,TBL_Categories,3,FALSE)</f>
        <v>0</v>
      </c>
      <c r="U1544" t="str">
        <f>VLOOKUP($W1544,TBL_Categories,4,FALSE)</f>
        <v>No</v>
      </c>
      <c r="V1544" t="str">
        <f>VLOOKUP($W1544,TBL_Categories,5,FALSE)</f>
        <v>None</v>
      </c>
      <c r="W1544" t="str">
        <f t="shared" si="74"/>
        <v>Food &amp; Dining|Restaurants</v>
      </c>
    </row>
    <row r="1545" spans="1:23" x14ac:dyDescent="0.25">
      <c r="A1545" t="s">
        <v>284</v>
      </c>
      <c r="B1545" s="5">
        <v>41697</v>
      </c>
      <c r="C1545" s="4">
        <v>3165.19</v>
      </c>
      <c r="D1545" t="s">
        <v>304</v>
      </c>
      <c r="E1545" t="s">
        <v>361</v>
      </c>
      <c r="F1545" t="s">
        <v>312</v>
      </c>
      <c r="G1545" t="s">
        <v>12</v>
      </c>
      <c r="K1545" t="s">
        <v>12</v>
      </c>
      <c r="Q1545" t="str">
        <f t="shared" si="72"/>
        <v>Feb</v>
      </c>
      <c r="R1545">
        <f t="shared" si="73"/>
        <v>2014</v>
      </c>
      <c r="S1545" t="str">
        <f>VLOOKUP($W1545,TBL_Categories,2,FALSE)</f>
        <v>Monthly</v>
      </c>
      <c r="T1545">
        <f>VLOOKUP($W1545,TBL_Categories,3,FALSE)</f>
        <v>0</v>
      </c>
      <c r="U1545" t="str">
        <f>VLOOKUP($W1545,TBL_Categories,4,FALSE)</f>
        <v>No</v>
      </c>
      <c r="V1545" t="str">
        <f>VLOOKUP($W1545,TBL_Categories,5,FALSE)</f>
        <v>None</v>
      </c>
      <c r="W1545" t="str">
        <f t="shared" si="74"/>
        <v>Net Salary</v>
      </c>
    </row>
    <row r="1546" spans="1:23" x14ac:dyDescent="0.25">
      <c r="A1546" t="s">
        <v>284</v>
      </c>
      <c r="B1546" s="5">
        <v>41697</v>
      </c>
      <c r="C1546" s="4">
        <v>6195.6</v>
      </c>
      <c r="D1546" t="s">
        <v>304</v>
      </c>
      <c r="E1546" t="s">
        <v>363</v>
      </c>
      <c r="F1546" t="s">
        <v>359</v>
      </c>
      <c r="G1546" t="s">
        <v>12</v>
      </c>
      <c r="K1546" t="s">
        <v>12</v>
      </c>
      <c r="Q1546" t="str">
        <f t="shared" si="72"/>
        <v>Feb</v>
      </c>
      <c r="R1546">
        <f t="shared" si="73"/>
        <v>2014</v>
      </c>
      <c r="S1546" t="str">
        <f>VLOOKUP($W1546,TBL_Categories,2,FALSE)</f>
        <v>Monthly</v>
      </c>
      <c r="T1546">
        <f>VLOOKUP($W1546,TBL_Categories,3,FALSE)</f>
        <v>0</v>
      </c>
      <c r="U1546" t="str">
        <f>VLOOKUP($W1546,TBL_Categories,4,FALSE)</f>
        <v>No</v>
      </c>
      <c r="V1546" t="str">
        <f>VLOOKUP($W1546,TBL_Categories,5,FALSE)</f>
        <v>None</v>
      </c>
      <c r="W1546" t="str">
        <f t="shared" si="74"/>
        <v>Net Salary</v>
      </c>
    </row>
    <row r="1547" spans="1:23" x14ac:dyDescent="0.25">
      <c r="A1547" t="s">
        <v>281</v>
      </c>
      <c r="B1547" s="5">
        <v>41696</v>
      </c>
      <c r="C1547" s="4">
        <v>-83000</v>
      </c>
      <c r="D1547" t="s">
        <v>304</v>
      </c>
      <c r="E1547" t="s">
        <v>614</v>
      </c>
      <c r="F1547" t="s">
        <v>615</v>
      </c>
      <c r="G1547" t="s">
        <v>9</v>
      </c>
      <c r="K1547" t="s">
        <v>9</v>
      </c>
      <c r="Q1547" t="str">
        <f t="shared" si="72"/>
        <v>Feb</v>
      </c>
      <c r="R1547">
        <f t="shared" si="73"/>
        <v>2014</v>
      </c>
      <c r="S1547" t="str">
        <f>VLOOKUP($W1547,TBL_Categories,2,FALSE)</f>
        <v>Account</v>
      </c>
      <c r="T1547">
        <f>VLOOKUP($W1547,TBL_Categories,3,FALSE)</f>
        <v>0</v>
      </c>
      <c r="U1547" t="str">
        <f>VLOOKUP($W1547,TBL_Categories,4,FALSE)</f>
        <v>No</v>
      </c>
      <c r="V1547" t="str">
        <f>VLOOKUP($W1547,TBL_Categories,5,FALSE)</f>
        <v>None</v>
      </c>
      <c r="W1547" t="str">
        <f t="shared" si="74"/>
        <v>[First Tech - Checking (5544)]</v>
      </c>
    </row>
    <row r="1548" spans="1:23" x14ac:dyDescent="0.25">
      <c r="A1548" t="s">
        <v>282</v>
      </c>
      <c r="B1548" s="5">
        <v>41696</v>
      </c>
      <c r="C1548" s="4">
        <v>-117000</v>
      </c>
      <c r="D1548" t="s">
        <v>304</v>
      </c>
      <c r="E1548" t="s">
        <v>614</v>
      </c>
      <c r="F1548" t="s">
        <v>616</v>
      </c>
      <c r="G1548" t="s">
        <v>9</v>
      </c>
      <c r="K1548" t="s">
        <v>9</v>
      </c>
      <c r="Q1548" t="str">
        <f t="shared" si="72"/>
        <v>Feb</v>
      </c>
      <c r="R1548">
        <f t="shared" si="73"/>
        <v>2014</v>
      </c>
      <c r="S1548" t="str">
        <f>VLOOKUP($W1548,TBL_Categories,2,FALSE)</f>
        <v>Account</v>
      </c>
      <c r="T1548">
        <f>VLOOKUP($W1548,TBL_Categories,3,FALSE)</f>
        <v>0</v>
      </c>
      <c r="U1548" t="str">
        <f>VLOOKUP($W1548,TBL_Categories,4,FALSE)</f>
        <v>No</v>
      </c>
      <c r="V1548" t="str">
        <f>VLOOKUP($W1548,TBL_Categories,5,FALSE)</f>
        <v>None</v>
      </c>
      <c r="W1548" t="str">
        <f t="shared" si="74"/>
        <v>[First Tech - Checking (5544)]</v>
      </c>
    </row>
    <row r="1549" spans="1:23" x14ac:dyDescent="0.25">
      <c r="A1549" t="s">
        <v>284</v>
      </c>
      <c r="B1549" s="5">
        <v>41696</v>
      </c>
      <c r="C1549" s="4">
        <v>83000</v>
      </c>
      <c r="D1549" t="s">
        <v>304</v>
      </c>
      <c r="E1549" t="s">
        <v>617</v>
      </c>
      <c r="F1549" t="s">
        <v>615</v>
      </c>
      <c r="G1549" t="s">
        <v>5</v>
      </c>
      <c r="K1549" t="s">
        <v>5</v>
      </c>
      <c r="Q1549" t="str">
        <f t="shared" si="72"/>
        <v>Feb</v>
      </c>
      <c r="R1549">
        <f t="shared" si="73"/>
        <v>2014</v>
      </c>
      <c r="S1549" t="str">
        <f>VLOOKUP($W1549,TBL_Categories,2,FALSE)</f>
        <v>Account</v>
      </c>
      <c r="T1549">
        <f>VLOOKUP($W1549,TBL_Categories,3,FALSE)</f>
        <v>0</v>
      </c>
      <c r="U1549" t="str">
        <f>VLOOKUP($W1549,TBL_Categories,4,FALSE)</f>
        <v>No</v>
      </c>
      <c r="V1549" t="str">
        <f>VLOOKUP($W1549,TBL_Categories,5,FALSE)</f>
        <v>None</v>
      </c>
      <c r="W1549" t="str">
        <f t="shared" si="74"/>
        <v>[Capital One - Long Term Emergency (1201)]</v>
      </c>
    </row>
    <row r="1550" spans="1:23" x14ac:dyDescent="0.25">
      <c r="A1550" t="s">
        <v>284</v>
      </c>
      <c r="B1550" s="5">
        <v>41696</v>
      </c>
      <c r="C1550" s="4">
        <v>117000</v>
      </c>
      <c r="D1550" t="s">
        <v>304</v>
      </c>
      <c r="E1550" t="s">
        <v>617</v>
      </c>
      <c r="F1550" t="s">
        <v>616</v>
      </c>
      <c r="G1550" t="s">
        <v>7</v>
      </c>
      <c r="K1550" t="s">
        <v>7</v>
      </c>
      <c r="Q1550" t="str">
        <f t="shared" si="72"/>
        <v>Feb</v>
      </c>
      <c r="R1550">
        <f t="shared" si="73"/>
        <v>2014</v>
      </c>
      <c r="S1550" t="str">
        <f>VLOOKUP($W1550,TBL_Categories,2,FALSE)</f>
        <v>Account</v>
      </c>
      <c r="T1550">
        <f>VLOOKUP($W1550,TBL_Categories,3,FALSE)</f>
        <v>0</v>
      </c>
      <c r="U1550" t="str">
        <f>VLOOKUP($W1550,TBL_Categories,4,FALSE)</f>
        <v>No</v>
      </c>
      <c r="V1550" t="str">
        <f>VLOOKUP($W1550,TBL_Categories,5,FALSE)</f>
        <v>None</v>
      </c>
      <c r="W1550" t="str">
        <f t="shared" si="74"/>
        <v>[Capital One - Secondary Savings (3126)]</v>
      </c>
    </row>
    <row r="1551" spans="1:23" x14ac:dyDescent="0.25">
      <c r="A1551" t="s">
        <v>294</v>
      </c>
      <c r="B1551" s="5">
        <v>41696</v>
      </c>
      <c r="C1551">
        <v>0</v>
      </c>
      <c r="D1551" t="s">
        <v>304</v>
      </c>
      <c r="E1551" t="s">
        <v>308</v>
      </c>
      <c r="G1551" t="s">
        <v>31</v>
      </c>
      <c r="K1551" t="s">
        <v>31</v>
      </c>
      <c r="Q1551" t="str">
        <f t="shared" si="72"/>
        <v>Feb</v>
      </c>
      <c r="R1551">
        <f t="shared" si="73"/>
        <v>2014</v>
      </c>
      <c r="S1551" t="str">
        <f>VLOOKUP($W1551,TBL_Categories,2,FALSE)</f>
        <v>Account</v>
      </c>
      <c r="T1551">
        <f>VLOOKUP($W1551,TBL_Categories,3,FALSE)</f>
        <v>0</v>
      </c>
      <c r="U1551" t="str">
        <f>VLOOKUP($W1551,TBL_Categories,4,FALSE)</f>
        <v>No</v>
      </c>
      <c r="V1551" t="str">
        <f>VLOOKUP($W1551,TBL_Categories,5,FALSE)</f>
        <v>None</v>
      </c>
      <c r="W1551" t="str">
        <f t="shared" si="74"/>
        <v>[Koolikai Credit Card]</v>
      </c>
    </row>
    <row r="1552" spans="1:23" x14ac:dyDescent="0.25">
      <c r="A1552" t="s">
        <v>296</v>
      </c>
      <c r="B1552" s="5">
        <v>41696</v>
      </c>
      <c r="C1552">
        <v>0</v>
      </c>
      <c r="D1552" t="s">
        <v>304</v>
      </c>
      <c r="E1552" t="s">
        <v>308</v>
      </c>
      <c r="G1552" t="s">
        <v>13</v>
      </c>
      <c r="K1552" t="s">
        <v>13</v>
      </c>
      <c r="Q1552" t="str">
        <f t="shared" si="72"/>
        <v>Feb</v>
      </c>
      <c r="R1552">
        <f t="shared" si="73"/>
        <v>2014</v>
      </c>
      <c r="S1552" t="str">
        <f>VLOOKUP($W1552,TBL_Categories,2,FALSE)</f>
        <v>Account</v>
      </c>
      <c r="T1552">
        <f>VLOOKUP($W1552,TBL_Categories,3,FALSE)</f>
        <v>0</v>
      </c>
      <c r="U1552" t="str">
        <f>VLOOKUP($W1552,TBL_Categories,4,FALSE)</f>
        <v>No</v>
      </c>
      <c r="V1552" t="str">
        <f>VLOOKUP($W1552,TBL_Categories,5,FALSE)</f>
        <v>None</v>
      </c>
      <c r="W1552" t="str">
        <f t="shared" si="74"/>
        <v>[MasterCard (Capital One)]</v>
      </c>
    </row>
    <row r="1553" spans="1:23" x14ac:dyDescent="0.25">
      <c r="A1553" t="s">
        <v>296</v>
      </c>
      <c r="B1553" s="5">
        <v>41696</v>
      </c>
      <c r="C1553">
        <v>-60</v>
      </c>
      <c r="D1553" t="s">
        <v>304</v>
      </c>
      <c r="E1553" t="s">
        <v>606</v>
      </c>
      <c r="F1553" t="s">
        <v>629</v>
      </c>
      <c r="G1553" t="s">
        <v>593</v>
      </c>
      <c r="K1553" t="s">
        <v>56</v>
      </c>
      <c r="L1553" t="s">
        <v>1547</v>
      </c>
      <c r="Q1553" t="str">
        <f t="shared" si="72"/>
        <v>Feb</v>
      </c>
      <c r="R1553">
        <f t="shared" si="73"/>
        <v>2014</v>
      </c>
      <c r="S1553" t="str">
        <f>VLOOKUP($W1553,TBL_Categories,2,FALSE)</f>
        <v>Annual</v>
      </c>
      <c r="T1553">
        <f>VLOOKUP($W1553,TBL_Categories,3,FALSE)</f>
        <v>0</v>
      </c>
      <c r="U1553" t="str">
        <f>VLOOKUP($W1553,TBL_Categories,4,FALSE)</f>
        <v>No</v>
      </c>
      <c r="V1553" t="str">
        <f>VLOOKUP($W1553,TBL_Categories,5,FALSE)</f>
        <v>None</v>
      </c>
      <c r="W1553" t="str">
        <f t="shared" si="74"/>
        <v>Charity|Charity (Cash)</v>
      </c>
    </row>
    <row r="1554" spans="1:23" x14ac:dyDescent="0.25">
      <c r="A1554" t="s">
        <v>294</v>
      </c>
      <c r="B1554" s="5">
        <v>41695</v>
      </c>
      <c r="C1554">
        <v>-15.84</v>
      </c>
      <c r="D1554" t="s">
        <v>304</v>
      </c>
      <c r="E1554" t="s">
        <v>621</v>
      </c>
      <c r="F1554" t="s">
        <v>622</v>
      </c>
      <c r="G1554" t="s">
        <v>1023</v>
      </c>
      <c r="J1554" t="s">
        <v>1560</v>
      </c>
      <c r="K1554" t="s">
        <v>55</v>
      </c>
      <c r="L1554" t="s">
        <v>1572</v>
      </c>
      <c r="Q1554" t="str">
        <f t="shared" si="72"/>
        <v>Feb</v>
      </c>
      <c r="R1554">
        <f t="shared" si="73"/>
        <v>2014</v>
      </c>
      <c r="S1554" t="str">
        <f>VLOOKUP($W1554,TBL_Categories,2,FALSE)</f>
        <v>Irregular</v>
      </c>
      <c r="T1554">
        <f>VLOOKUP($W1554,TBL_Categories,3,FALSE)</f>
        <v>0</v>
      </c>
      <c r="U1554" t="str">
        <f>VLOOKUP($W1554,TBL_Categories,4,FALSE)</f>
        <v>No</v>
      </c>
      <c r="V1554" t="str">
        <f>VLOOKUP($W1554,TBL_Categories,5,FALSE)</f>
        <v>None</v>
      </c>
      <c r="W1554" t="str">
        <f t="shared" si="74"/>
        <v>Business Expenses (Koolikai)|Tools</v>
      </c>
    </row>
    <row r="1555" spans="1:23" x14ac:dyDescent="0.25">
      <c r="A1555" t="s">
        <v>294</v>
      </c>
      <c r="B1555" s="5">
        <v>41695</v>
      </c>
      <c r="C1555">
        <v>-16.170000000000002</v>
      </c>
      <c r="D1555" t="s">
        <v>304</v>
      </c>
      <c r="E1555" t="s">
        <v>423</v>
      </c>
      <c r="F1555" t="s">
        <v>1024</v>
      </c>
      <c r="G1555" t="s">
        <v>878</v>
      </c>
      <c r="J1555" t="s">
        <v>1560</v>
      </c>
      <c r="K1555" t="s">
        <v>55</v>
      </c>
      <c r="L1555" t="s">
        <v>1559</v>
      </c>
      <c r="Q1555" t="str">
        <f t="shared" si="72"/>
        <v>Feb</v>
      </c>
      <c r="R1555">
        <f t="shared" si="73"/>
        <v>2014</v>
      </c>
      <c r="S1555" t="str">
        <f>VLOOKUP($W1555,TBL_Categories,2,FALSE)</f>
        <v>Irregular</v>
      </c>
      <c r="T1555">
        <f>VLOOKUP($W1555,TBL_Categories,3,FALSE)</f>
        <v>0</v>
      </c>
      <c r="U1555" t="str">
        <f>VLOOKUP($W1555,TBL_Categories,4,FALSE)</f>
        <v>No</v>
      </c>
      <c r="V1555" t="str">
        <f>VLOOKUP($W1555,TBL_Categories,5,FALSE)</f>
        <v>None</v>
      </c>
      <c r="W1555" t="str">
        <f t="shared" si="74"/>
        <v>Business Expenses (Koolikai)|Repairs</v>
      </c>
    </row>
    <row r="1556" spans="1:23" x14ac:dyDescent="0.25">
      <c r="A1556" t="s">
        <v>294</v>
      </c>
      <c r="B1556" s="5">
        <v>41695</v>
      </c>
      <c r="C1556">
        <v>-16.399999999999999</v>
      </c>
      <c r="D1556" t="s">
        <v>304</v>
      </c>
      <c r="E1556" t="s">
        <v>422</v>
      </c>
      <c r="F1556" t="s">
        <v>622</v>
      </c>
      <c r="G1556" t="s">
        <v>878</v>
      </c>
      <c r="J1556" t="s">
        <v>1560</v>
      </c>
      <c r="K1556" t="s">
        <v>55</v>
      </c>
      <c r="L1556" t="s">
        <v>1559</v>
      </c>
      <c r="Q1556" t="str">
        <f t="shared" si="72"/>
        <v>Feb</v>
      </c>
      <c r="R1556">
        <f t="shared" si="73"/>
        <v>2014</v>
      </c>
      <c r="S1556" t="str">
        <f>VLOOKUP($W1556,TBL_Categories,2,FALSE)</f>
        <v>Irregular</v>
      </c>
      <c r="T1556">
        <f>VLOOKUP($W1556,TBL_Categories,3,FALSE)</f>
        <v>0</v>
      </c>
      <c r="U1556" t="str">
        <f>VLOOKUP($W1556,TBL_Categories,4,FALSE)</f>
        <v>No</v>
      </c>
      <c r="V1556" t="str">
        <f>VLOOKUP($W1556,TBL_Categories,5,FALSE)</f>
        <v>None</v>
      </c>
      <c r="W1556" t="str">
        <f t="shared" si="74"/>
        <v>Business Expenses (Koolikai)|Repairs</v>
      </c>
    </row>
    <row r="1557" spans="1:23" x14ac:dyDescent="0.25">
      <c r="A1557" t="s">
        <v>294</v>
      </c>
      <c r="B1557" s="5">
        <v>41695</v>
      </c>
      <c r="C1557">
        <v>-125.97</v>
      </c>
      <c r="D1557" t="s">
        <v>304</v>
      </c>
      <c r="E1557" t="s">
        <v>422</v>
      </c>
      <c r="F1557" t="s">
        <v>623</v>
      </c>
      <c r="G1557" t="s">
        <v>1025</v>
      </c>
      <c r="J1557" t="s">
        <v>1550</v>
      </c>
      <c r="K1557" t="s">
        <v>55</v>
      </c>
      <c r="L1557" t="s">
        <v>1572</v>
      </c>
      <c r="Q1557" t="str">
        <f t="shared" si="72"/>
        <v>Feb</v>
      </c>
      <c r="R1557">
        <f t="shared" si="73"/>
        <v>2014</v>
      </c>
      <c r="S1557" t="str">
        <f>VLOOKUP($W1557,TBL_Categories,2,FALSE)</f>
        <v>Irregular</v>
      </c>
      <c r="T1557">
        <f>VLOOKUP($W1557,TBL_Categories,3,FALSE)</f>
        <v>0</v>
      </c>
      <c r="U1557" t="str">
        <f>VLOOKUP($W1557,TBL_Categories,4,FALSE)</f>
        <v>No</v>
      </c>
      <c r="V1557" t="str">
        <f>VLOOKUP($W1557,TBL_Categories,5,FALSE)</f>
        <v>None</v>
      </c>
      <c r="W1557" t="str">
        <f t="shared" si="74"/>
        <v>Business Expenses (Koolikai)|Tools</v>
      </c>
    </row>
    <row r="1558" spans="1:23" x14ac:dyDescent="0.25">
      <c r="A1558" t="s">
        <v>296</v>
      </c>
      <c r="B1558" s="5">
        <v>41695</v>
      </c>
      <c r="C1558">
        <v>-12.32</v>
      </c>
      <c r="D1558" t="s">
        <v>304</v>
      </c>
      <c r="E1558" t="s">
        <v>626</v>
      </c>
      <c r="F1558" t="s">
        <v>627</v>
      </c>
      <c r="G1558" t="s">
        <v>449</v>
      </c>
      <c r="K1558" t="s">
        <v>66</v>
      </c>
      <c r="L1558" t="s">
        <v>1555</v>
      </c>
      <c r="Q1558" t="str">
        <f t="shared" si="72"/>
        <v>Feb</v>
      </c>
      <c r="R1558">
        <f t="shared" si="73"/>
        <v>2014</v>
      </c>
      <c r="S1558" t="str">
        <f>VLOOKUP($W1558,TBL_Categories,2,FALSE)</f>
        <v>Monthly</v>
      </c>
      <c r="T1558">
        <f>VLOOKUP($W1558,TBL_Categories,3,FALSE)</f>
        <v>0</v>
      </c>
      <c r="U1558" t="str">
        <f>VLOOKUP($W1558,TBL_Categories,4,FALSE)</f>
        <v>No</v>
      </c>
      <c r="V1558" t="str">
        <f>VLOOKUP($W1558,TBL_Categories,5,FALSE)</f>
        <v>None</v>
      </c>
      <c r="W1558" t="str">
        <f t="shared" si="74"/>
        <v>Kids|Kids Activities</v>
      </c>
    </row>
    <row r="1559" spans="1:23" x14ac:dyDescent="0.25">
      <c r="A1559" t="s">
        <v>296</v>
      </c>
      <c r="B1559" s="5">
        <v>41695</v>
      </c>
      <c r="C1559">
        <v>-0.39</v>
      </c>
      <c r="D1559" t="s">
        <v>304</v>
      </c>
      <c r="E1559" t="s">
        <v>331</v>
      </c>
      <c r="F1559" t="s">
        <v>628</v>
      </c>
      <c r="G1559" t="s">
        <v>333</v>
      </c>
      <c r="K1559" t="s">
        <v>61</v>
      </c>
      <c r="L1559" t="s">
        <v>1530</v>
      </c>
      <c r="Q1559" t="str">
        <f t="shared" si="72"/>
        <v>Feb</v>
      </c>
      <c r="R1559">
        <f t="shared" si="73"/>
        <v>2014</v>
      </c>
      <c r="S1559" t="str">
        <f>VLOOKUP($W1559,TBL_Categories,2,FALSE)</f>
        <v>Monthly</v>
      </c>
      <c r="T1559">
        <f>VLOOKUP($W1559,TBL_Categories,3,FALSE)</f>
        <v>0</v>
      </c>
      <c r="U1559" t="str">
        <f>VLOOKUP($W1559,TBL_Categories,4,FALSE)</f>
        <v>No</v>
      </c>
      <c r="V1559" t="str">
        <f>VLOOKUP($W1559,TBL_Categories,5,FALSE)</f>
        <v>None</v>
      </c>
      <c r="W1559" t="str">
        <f t="shared" si="74"/>
        <v>Food &amp; Dining|Restaurants</v>
      </c>
    </row>
    <row r="1560" spans="1:23" x14ac:dyDescent="0.25">
      <c r="A1560" t="s">
        <v>296</v>
      </c>
      <c r="B1560" s="5">
        <v>41695</v>
      </c>
      <c r="C1560">
        <v>-100</v>
      </c>
      <c r="D1560" t="s">
        <v>304</v>
      </c>
      <c r="E1560" t="s">
        <v>331</v>
      </c>
      <c r="F1560" t="s">
        <v>628</v>
      </c>
      <c r="G1560" t="s">
        <v>333</v>
      </c>
      <c r="K1560" t="s">
        <v>61</v>
      </c>
      <c r="L1560" t="s">
        <v>1530</v>
      </c>
      <c r="Q1560" t="str">
        <f t="shared" si="72"/>
        <v>Feb</v>
      </c>
      <c r="R1560">
        <f t="shared" si="73"/>
        <v>2014</v>
      </c>
      <c r="S1560" t="str">
        <f>VLOOKUP($W1560,TBL_Categories,2,FALSE)</f>
        <v>Monthly</v>
      </c>
      <c r="T1560">
        <f>VLOOKUP($W1560,TBL_Categories,3,FALSE)</f>
        <v>0</v>
      </c>
      <c r="U1560" t="str">
        <f>VLOOKUP($W1560,TBL_Categories,4,FALSE)</f>
        <v>No</v>
      </c>
      <c r="V1560" t="str">
        <f>VLOOKUP($W1560,TBL_Categories,5,FALSE)</f>
        <v>None</v>
      </c>
      <c r="W1560" t="str">
        <f t="shared" si="74"/>
        <v>Food &amp; Dining|Restaurants</v>
      </c>
    </row>
    <row r="1561" spans="1:23" x14ac:dyDescent="0.25">
      <c r="A1561" t="s">
        <v>296</v>
      </c>
      <c r="B1561" s="5">
        <v>41695</v>
      </c>
      <c r="C1561">
        <v>-292</v>
      </c>
      <c r="D1561" t="s">
        <v>304</v>
      </c>
      <c r="E1561" t="s">
        <v>600</v>
      </c>
      <c r="F1561" t="s">
        <v>897</v>
      </c>
      <c r="G1561" t="s">
        <v>410</v>
      </c>
      <c r="K1561" t="s">
        <v>75</v>
      </c>
      <c r="L1561" t="s">
        <v>1570</v>
      </c>
      <c r="O1561" t="s">
        <v>1603</v>
      </c>
      <c r="Q1561" t="str">
        <f t="shared" si="72"/>
        <v>Feb</v>
      </c>
      <c r="R1561">
        <f t="shared" si="73"/>
        <v>2014</v>
      </c>
      <c r="S1561" t="str">
        <f>VLOOKUP($W1561,TBL_Categories,2,FALSE)</f>
        <v>Irregular</v>
      </c>
      <c r="T1561">
        <f>VLOOKUP($W1561,TBL_Categories,3,FALSE)</f>
        <v>0</v>
      </c>
      <c r="U1561" t="str">
        <f>VLOOKUP($W1561,TBL_Categories,4,FALSE)</f>
        <v>No</v>
      </c>
      <c r="V1561" t="str">
        <f>VLOOKUP($W1561,TBL_Categories,5,FALSE)</f>
        <v>None</v>
      </c>
      <c r="W1561" t="str">
        <f t="shared" si="74"/>
        <v>Vacation|Transportation</v>
      </c>
    </row>
    <row r="1562" spans="1:23" x14ac:dyDescent="0.25">
      <c r="A1562" t="s">
        <v>296</v>
      </c>
      <c r="B1562" s="5">
        <v>41695</v>
      </c>
      <c r="C1562">
        <v>-292</v>
      </c>
      <c r="D1562" t="s">
        <v>304</v>
      </c>
      <c r="E1562" t="s">
        <v>600</v>
      </c>
      <c r="F1562" t="s">
        <v>897</v>
      </c>
      <c r="G1562" t="s">
        <v>410</v>
      </c>
      <c r="K1562" t="s">
        <v>75</v>
      </c>
      <c r="L1562" t="s">
        <v>1570</v>
      </c>
      <c r="O1562" t="s">
        <v>1603</v>
      </c>
      <c r="Q1562" t="str">
        <f t="shared" si="72"/>
        <v>Feb</v>
      </c>
      <c r="R1562">
        <f t="shared" si="73"/>
        <v>2014</v>
      </c>
      <c r="S1562" t="str">
        <f>VLOOKUP($W1562,TBL_Categories,2,FALSE)</f>
        <v>Irregular</v>
      </c>
      <c r="T1562">
        <f>VLOOKUP($W1562,TBL_Categories,3,FALSE)</f>
        <v>0</v>
      </c>
      <c r="U1562" t="str">
        <f>VLOOKUP($W1562,TBL_Categories,4,FALSE)</f>
        <v>No</v>
      </c>
      <c r="V1562" t="str">
        <f>VLOOKUP($W1562,TBL_Categories,5,FALSE)</f>
        <v>None</v>
      </c>
      <c r="W1562" t="str">
        <f t="shared" si="74"/>
        <v>Vacation|Transportation</v>
      </c>
    </row>
    <row r="1563" spans="1:23" x14ac:dyDescent="0.25">
      <c r="A1563" t="s">
        <v>296</v>
      </c>
      <c r="B1563" s="5">
        <v>41695</v>
      </c>
      <c r="C1563">
        <v>-292</v>
      </c>
      <c r="D1563" t="s">
        <v>304</v>
      </c>
      <c r="E1563" t="s">
        <v>600</v>
      </c>
      <c r="F1563" t="s">
        <v>897</v>
      </c>
      <c r="G1563" t="s">
        <v>410</v>
      </c>
      <c r="K1563" t="s">
        <v>75</v>
      </c>
      <c r="L1563" t="s">
        <v>1570</v>
      </c>
      <c r="O1563" t="s">
        <v>1603</v>
      </c>
      <c r="Q1563" t="str">
        <f t="shared" si="72"/>
        <v>Feb</v>
      </c>
      <c r="R1563">
        <f t="shared" si="73"/>
        <v>2014</v>
      </c>
      <c r="S1563" t="str">
        <f>VLOOKUP($W1563,TBL_Categories,2,FALSE)</f>
        <v>Irregular</v>
      </c>
      <c r="T1563">
        <f>VLOOKUP($W1563,TBL_Categories,3,FALSE)</f>
        <v>0</v>
      </c>
      <c r="U1563" t="str">
        <f>VLOOKUP($W1563,TBL_Categories,4,FALSE)</f>
        <v>No</v>
      </c>
      <c r="V1563" t="str">
        <f>VLOOKUP($W1563,TBL_Categories,5,FALSE)</f>
        <v>None</v>
      </c>
      <c r="W1563" t="str">
        <f t="shared" si="74"/>
        <v>Vacation|Transportation</v>
      </c>
    </row>
    <row r="1564" spans="1:23" x14ac:dyDescent="0.25">
      <c r="A1564" t="s">
        <v>296</v>
      </c>
      <c r="B1564" s="5">
        <v>41695</v>
      </c>
      <c r="C1564">
        <v>-292</v>
      </c>
      <c r="D1564" t="s">
        <v>304</v>
      </c>
      <c r="E1564" t="s">
        <v>600</v>
      </c>
      <c r="F1564" t="s">
        <v>897</v>
      </c>
      <c r="G1564" t="s">
        <v>410</v>
      </c>
      <c r="K1564" t="s">
        <v>75</v>
      </c>
      <c r="L1564" t="s">
        <v>1570</v>
      </c>
      <c r="O1564" t="s">
        <v>1603</v>
      </c>
      <c r="Q1564" t="str">
        <f t="shared" si="72"/>
        <v>Feb</v>
      </c>
      <c r="R1564">
        <f t="shared" si="73"/>
        <v>2014</v>
      </c>
      <c r="S1564" t="str">
        <f>VLOOKUP($W1564,TBL_Categories,2,FALSE)</f>
        <v>Irregular</v>
      </c>
      <c r="T1564">
        <f>VLOOKUP($W1564,TBL_Categories,3,FALSE)</f>
        <v>0</v>
      </c>
      <c r="U1564" t="str">
        <f>VLOOKUP($W1564,TBL_Categories,4,FALSE)</f>
        <v>No</v>
      </c>
      <c r="V1564" t="str">
        <f>VLOOKUP($W1564,TBL_Categories,5,FALSE)</f>
        <v>None</v>
      </c>
      <c r="W1564" t="str">
        <f t="shared" si="74"/>
        <v>Vacation|Transportation</v>
      </c>
    </row>
    <row r="1565" spans="1:23" x14ac:dyDescent="0.25">
      <c r="A1565" t="s">
        <v>284</v>
      </c>
      <c r="B1565" s="5">
        <v>41694</v>
      </c>
      <c r="C1565">
        <v>-90</v>
      </c>
      <c r="D1565" t="s">
        <v>304</v>
      </c>
      <c r="E1565" t="s">
        <v>415</v>
      </c>
      <c r="F1565" t="s">
        <v>337</v>
      </c>
      <c r="G1565" t="s">
        <v>18</v>
      </c>
      <c r="K1565" t="s">
        <v>18</v>
      </c>
      <c r="Q1565" t="str">
        <f t="shared" si="72"/>
        <v>Feb</v>
      </c>
      <c r="R1565">
        <f t="shared" si="73"/>
        <v>2014</v>
      </c>
      <c r="S1565" t="str">
        <f>VLOOKUP($W1565,TBL_Categories,2,FALSE)</f>
        <v>Account</v>
      </c>
      <c r="T1565">
        <f>VLOOKUP($W1565,TBL_Categories,3,FALSE)</f>
        <v>0</v>
      </c>
      <c r="U1565" t="str">
        <f>VLOOKUP($W1565,TBL_Categories,4,FALSE)</f>
        <v>No</v>
      </c>
      <c r="V1565" t="str">
        <f>VLOOKUP($W1565,TBL_Categories,5,FALSE)</f>
        <v>None</v>
      </c>
      <c r="W1565" t="str">
        <f t="shared" si="74"/>
        <v>[Discover Card]</v>
      </c>
    </row>
    <row r="1566" spans="1:23" x14ac:dyDescent="0.25">
      <c r="A1566" t="s">
        <v>284</v>
      </c>
      <c r="B1566" s="5">
        <v>41694</v>
      </c>
      <c r="C1566">
        <v>-250.3</v>
      </c>
      <c r="D1566" t="s">
        <v>304</v>
      </c>
      <c r="E1566" t="s">
        <v>362</v>
      </c>
      <c r="F1566" t="s">
        <v>330</v>
      </c>
      <c r="G1566" t="s">
        <v>15</v>
      </c>
      <c r="K1566" t="s">
        <v>15</v>
      </c>
      <c r="Q1566" t="str">
        <f t="shared" si="72"/>
        <v>Feb</v>
      </c>
      <c r="R1566">
        <f t="shared" si="73"/>
        <v>2014</v>
      </c>
      <c r="S1566" t="str">
        <f>VLOOKUP($W1566,TBL_Categories,2,FALSE)</f>
        <v>Account</v>
      </c>
      <c r="T1566">
        <f>VLOOKUP($W1566,TBL_Categories,3,FALSE)</f>
        <v>0</v>
      </c>
      <c r="U1566" t="str">
        <f>VLOOKUP($W1566,TBL_Categories,4,FALSE)</f>
        <v>No</v>
      </c>
      <c r="V1566" t="str">
        <f>VLOOKUP($W1566,TBL_Categories,5,FALSE)</f>
        <v>None</v>
      </c>
      <c r="W1566" t="str">
        <f t="shared" si="74"/>
        <v>[American Express (Costco)]</v>
      </c>
    </row>
    <row r="1567" spans="1:23" x14ac:dyDescent="0.25">
      <c r="A1567" t="s">
        <v>284</v>
      </c>
      <c r="B1567" s="5">
        <v>41694</v>
      </c>
      <c r="C1567">
        <v>-65</v>
      </c>
      <c r="D1567" t="s">
        <v>304</v>
      </c>
      <c r="E1567" t="s">
        <v>586</v>
      </c>
      <c r="F1567" t="s">
        <v>334</v>
      </c>
      <c r="G1567" t="s">
        <v>322</v>
      </c>
      <c r="H1567">
        <v>2295</v>
      </c>
      <c r="K1567" t="s">
        <v>66</v>
      </c>
      <c r="L1567" t="s">
        <v>1527</v>
      </c>
      <c r="Q1567" t="str">
        <f t="shared" si="72"/>
        <v>Feb</v>
      </c>
      <c r="R1567">
        <f t="shared" si="73"/>
        <v>2014</v>
      </c>
      <c r="S1567" t="str">
        <f>VLOOKUP($W1567,TBL_Categories,2,FALSE)</f>
        <v>Monthly</v>
      </c>
      <c r="T1567">
        <f>VLOOKUP($W1567,TBL_Categories,3,FALSE)</f>
        <v>0</v>
      </c>
      <c r="U1567" t="str">
        <f>VLOOKUP($W1567,TBL_Categories,4,FALSE)</f>
        <v>No</v>
      </c>
      <c r="V1567" t="str">
        <f>VLOOKUP($W1567,TBL_Categories,5,FALSE)</f>
        <v>None</v>
      </c>
      <c r="W1567" t="str">
        <f t="shared" si="74"/>
        <v>Kids|Babysitter</v>
      </c>
    </row>
    <row r="1568" spans="1:23" x14ac:dyDescent="0.25">
      <c r="A1568" t="s">
        <v>288</v>
      </c>
      <c r="B1568" s="5">
        <v>41694</v>
      </c>
      <c r="C1568">
        <v>-146.54</v>
      </c>
      <c r="D1568" t="s">
        <v>304</v>
      </c>
      <c r="E1568" t="s">
        <v>391</v>
      </c>
      <c r="F1568" t="s">
        <v>382</v>
      </c>
      <c r="G1568" t="s">
        <v>31</v>
      </c>
      <c r="K1568" t="s">
        <v>31</v>
      </c>
      <c r="Q1568" t="str">
        <f t="shared" si="72"/>
        <v>Feb</v>
      </c>
      <c r="R1568">
        <f t="shared" si="73"/>
        <v>2014</v>
      </c>
      <c r="S1568" t="str">
        <f>VLOOKUP($W1568,TBL_Categories,2,FALSE)</f>
        <v>Account</v>
      </c>
      <c r="T1568">
        <f>VLOOKUP($W1568,TBL_Categories,3,FALSE)</f>
        <v>0</v>
      </c>
      <c r="U1568" t="str">
        <f>VLOOKUP($W1568,TBL_Categories,4,FALSE)</f>
        <v>No</v>
      </c>
      <c r="V1568" t="str">
        <f>VLOOKUP($W1568,TBL_Categories,5,FALSE)</f>
        <v>None</v>
      </c>
      <c r="W1568" t="str">
        <f t="shared" si="74"/>
        <v>[Koolikai Credit Card]</v>
      </c>
    </row>
    <row r="1569" spans="1:23" x14ac:dyDescent="0.25">
      <c r="A1569" t="s">
        <v>291</v>
      </c>
      <c r="B1569" s="5">
        <v>41694</v>
      </c>
      <c r="C1569">
        <v>250.3</v>
      </c>
      <c r="D1569" t="s">
        <v>304</v>
      </c>
      <c r="E1569" t="s">
        <v>362</v>
      </c>
      <c r="F1569" t="s">
        <v>330</v>
      </c>
      <c r="G1569" t="s">
        <v>9</v>
      </c>
      <c r="K1569" t="s">
        <v>9</v>
      </c>
      <c r="Q1569" t="str">
        <f t="shared" si="72"/>
        <v>Feb</v>
      </c>
      <c r="R1569">
        <f t="shared" si="73"/>
        <v>2014</v>
      </c>
      <c r="S1569" t="str">
        <f>VLOOKUP($W1569,TBL_Categories,2,FALSE)</f>
        <v>Account</v>
      </c>
      <c r="T1569">
        <f>VLOOKUP($W1569,TBL_Categories,3,FALSE)</f>
        <v>0</v>
      </c>
      <c r="U1569" t="str">
        <f>VLOOKUP($W1569,TBL_Categories,4,FALSE)</f>
        <v>No</v>
      </c>
      <c r="V1569" t="str">
        <f>VLOOKUP($W1569,TBL_Categories,5,FALSE)</f>
        <v>None</v>
      </c>
      <c r="W1569" t="str">
        <f t="shared" si="74"/>
        <v>[First Tech - Checking (5544)]</v>
      </c>
    </row>
    <row r="1570" spans="1:23" x14ac:dyDescent="0.25">
      <c r="A1570" t="s">
        <v>293</v>
      </c>
      <c r="B1570" s="5">
        <v>41694</v>
      </c>
      <c r="C1570">
        <v>90</v>
      </c>
      <c r="D1570" t="s">
        <v>304</v>
      </c>
      <c r="E1570" t="s">
        <v>415</v>
      </c>
      <c r="F1570" t="s">
        <v>337</v>
      </c>
      <c r="G1570" t="s">
        <v>9</v>
      </c>
      <c r="K1570" t="s">
        <v>9</v>
      </c>
      <c r="Q1570" t="str">
        <f t="shared" si="72"/>
        <v>Feb</v>
      </c>
      <c r="R1570">
        <f t="shared" si="73"/>
        <v>2014</v>
      </c>
      <c r="S1570" t="str">
        <f>VLOOKUP($W1570,TBL_Categories,2,FALSE)</f>
        <v>Account</v>
      </c>
      <c r="T1570">
        <f>VLOOKUP($W1570,TBL_Categories,3,FALSE)</f>
        <v>0</v>
      </c>
      <c r="U1570" t="str">
        <f>VLOOKUP($W1570,TBL_Categories,4,FALSE)</f>
        <v>No</v>
      </c>
      <c r="V1570" t="str">
        <f>VLOOKUP($W1570,TBL_Categories,5,FALSE)</f>
        <v>None</v>
      </c>
      <c r="W1570" t="str">
        <f t="shared" si="74"/>
        <v>[First Tech - Checking (5544)]</v>
      </c>
    </row>
    <row r="1571" spans="1:23" x14ac:dyDescent="0.25">
      <c r="A1571" t="s">
        <v>294</v>
      </c>
      <c r="B1571" s="5">
        <v>41694</v>
      </c>
      <c r="C1571">
        <v>146.54</v>
      </c>
      <c r="D1571" t="s">
        <v>304</v>
      </c>
      <c r="E1571" t="s">
        <v>391</v>
      </c>
      <c r="F1571" t="s">
        <v>382</v>
      </c>
      <c r="G1571" t="s">
        <v>24</v>
      </c>
      <c r="K1571" t="s">
        <v>24</v>
      </c>
      <c r="Q1571" t="str">
        <f t="shared" si="72"/>
        <v>Feb</v>
      </c>
      <c r="R1571">
        <f t="shared" si="73"/>
        <v>2014</v>
      </c>
      <c r="S1571" t="str">
        <f>VLOOKUP($W1571,TBL_Categories,2,FALSE)</f>
        <v>Account</v>
      </c>
      <c r="T1571">
        <f>VLOOKUP($W1571,TBL_Categories,3,FALSE)</f>
        <v>0</v>
      </c>
      <c r="U1571" t="str">
        <f>VLOOKUP($W1571,TBL_Categories,4,FALSE)</f>
        <v>No</v>
      </c>
      <c r="V1571" t="str">
        <f>VLOOKUP($W1571,TBL_Categories,5,FALSE)</f>
        <v>None</v>
      </c>
      <c r="W1571" t="str">
        <f t="shared" si="74"/>
        <v>[Koolikai - Checking XX2129]</v>
      </c>
    </row>
    <row r="1572" spans="1:23" x14ac:dyDescent="0.25">
      <c r="A1572" t="s">
        <v>296</v>
      </c>
      <c r="B1572" s="5">
        <v>41694</v>
      </c>
      <c r="C1572">
        <v>-13.73</v>
      </c>
      <c r="D1572" t="s">
        <v>304</v>
      </c>
      <c r="E1572" t="s">
        <v>433</v>
      </c>
      <c r="F1572" t="s">
        <v>475</v>
      </c>
      <c r="G1572" t="s">
        <v>887</v>
      </c>
      <c r="J1572" t="s">
        <v>1550</v>
      </c>
      <c r="K1572" t="s">
        <v>61</v>
      </c>
      <c r="L1572" t="s">
        <v>401</v>
      </c>
      <c r="Q1572" t="str">
        <f t="shared" si="72"/>
        <v>Feb</v>
      </c>
      <c r="R1572">
        <f t="shared" si="73"/>
        <v>2014</v>
      </c>
      <c r="S1572" t="str">
        <f>VLOOKUP($W1572,TBL_Categories,2,FALSE)</f>
        <v>Monthly</v>
      </c>
      <c r="T1572">
        <f>VLOOKUP($W1572,TBL_Categories,3,FALSE)</f>
        <v>0</v>
      </c>
      <c r="U1572" t="str">
        <f>VLOOKUP($W1572,TBL_Categories,4,FALSE)</f>
        <v>No</v>
      </c>
      <c r="V1572" t="str">
        <f>VLOOKUP($W1572,TBL_Categories,5,FALSE)</f>
        <v>None</v>
      </c>
      <c r="W1572" t="str">
        <f t="shared" si="74"/>
        <v>Food &amp; Dining|Groceries</v>
      </c>
    </row>
    <row r="1573" spans="1:23" x14ac:dyDescent="0.25">
      <c r="A1573" t="s">
        <v>296</v>
      </c>
      <c r="B1573" s="5">
        <v>41693</v>
      </c>
      <c r="C1573">
        <v>-47.07</v>
      </c>
      <c r="D1573" t="s">
        <v>304</v>
      </c>
      <c r="E1573" t="s">
        <v>576</v>
      </c>
      <c r="F1573" t="s">
        <v>577</v>
      </c>
      <c r="G1573" t="s">
        <v>1051</v>
      </c>
      <c r="J1573" t="s">
        <v>1550</v>
      </c>
      <c r="K1573" t="s">
        <v>52</v>
      </c>
      <c r="L1573" t="s">
        <v>1586</v>
      </c>
      <c r="Q1573" t="str">
        <f t="shared" si="72"/>
        <v>Feb</v>
      </c>
      <c r="R1573">
        <f t="shared" si="73"/>
        <v>2014</v>
      </c>
      <c r="S1573" t="str">
        <f>VLOOKUP($W1573,TBL_Categories,2,FALSE)</f>
        <v>Unplanned</v>
      </c>
      <c r="T1573">
        <f>VLOOKUP($W1573,TBL_Categories,3,FALSE)</f>
        <v>0</v>
      </c>
      <c r="U1573" t="str">
        <f>VLOOKUP($W1573,TBL_Categories,4,FALSE)</f>
        <v>No</v>
      </c>
      <c r="V1573" t="str">
        <f>VLOOKUP($W1573,TBL_Categories,5,FALSE)</f>
        <v>None</v>
      </c>
      <c r="W1573" t="str">
        <f t="shared" si="74"/>
        <v>Auto &amp; Transport|Service &amp; Parts</v>
      </c>
    </row>
    <row r="1574" spans="1:23" x14ac:dyDescent="0.25">
      <c r="A1574" t="s">
        <v>296</v>
      </c>
      <c r="B1574" s="5">
        <v>41693</v>
      </c>
      <c r="C1574">
        <v>-6.17</v>
      </c>
      <c r="D1574" t="s">
        <v>304</v>
      </c>
      <c r="E1574" t="s">
        <v>428</v>
      </c>
      <c r="F1574" t="s">
        <v>472</v>
      </c>
      <c r="G1574" t="s">
        <v>887</v>
      </c>
      <c r="J1574" t="s">
        <v>1550</v>
      </c>
      <c r="K1574" t="s">
        <v>61</v>
      </c>
      <c r="L1574" t="s">
        <v>401</v>
      </c>
      <c r="Q1574" t="str">
        <f t="shared" si="72"/>
        <v>Feb</v>
      </c>
      <c r="R1574">
        <f t="shared" si="73"/>
        <v>2014</v>
      </c>
      <c r="S1574" t="str">
        <f>VLOOKUP($W1574,TBL_Categories,2,FALSE)</f>
        <v>Monthly</v>
      </c>
      <c r="T1574">
        <f>VLOOKUP($W1574,TBL_Categories,3,FALSE)</f>
        <v>0</v>
      </c>
      <c r="U1574" t="str">
        <f>VLOOKUP($W1574,TBL_Categories,4,FALSE)</f>
        <v>No</v>
      </c>
      <c r="V1574" t="str">
        <f>VLOOKUP($W1574,TBL_Categories,5,FALSE)</f>
        <v>None</v>
      </c>
      <c r="W1574" t="str">
        <f t="shared" si="74"/>
        <v>Food &amp; Dining|Groceries</v>
      </c>
    </row>
    <row r="1575" spans="1:23" x14ac:dyDescent="0.25">
      <c r="A1575" t="s">
        <v>296</v>
      </c>
      <c r="B1575" s="5">
        <v>41692</v>
      </c>
      <c r="C1575">
        <v>-8.1</v>
      </c>
      <c r="D1575" t="s">
        <v>304</v>
      </c>
      <c r="E1575" t="s">
        <v>572</v>
      </c>
      <c r="F1575" t="s">
        <v>573</v>
      </c>
      <c r="G1575" t="s">
        <v>410</v>
      </c>
      <c r="K1575" t="s">
        <v>75</v>
      </c>
      <c r="L1575" t="s">
        <v>1570</v>
      </c>
      <c r="O1575" t="s">
        <v>1609</v>
      </c>
      <c r="Q1575" t="str">
        <f t="shared" si="72"/>
        <v>Feb</v>
      </c>
      <c r="R1575">
        <f t="shared" si="73"/>
        <v>2014</v>
      </c>
      <c r="S1575" t="str">
        <f>VLOOKUP($W1575,TBL_Categories,2,FALSE)</f>
        <v>Irregular</v>
      </c>
      <c r="T1575">
        <f>VLOOKUP($W1575,TBL_Categories,3,FALSE)</f>
        <v>0</v>
      </c>
      <c r="U1575" t="str">
        <f>VLOOKUP($W1575,TBL_Categories,4,FALSE)</f>
        <v>No</v>
      </c>
      <c r="V1575" t="str">
        <f>VLOOKUP($W1575,TBL_Categories,5,FALSE)</f>
        <v>None</v>
      </c>
      <c r="W1575" t="str">
        <f t="shared" si="74"/>
        <v>Vacation|Transportation</v>
      </c>
    </row>
    <row r="1576" spans="1:23" x14ac:dyDescent="0.25">
      <c r="A1576" t="s">
        <v>296</v>
      </c>
      <c r="B1576" s="5">
        <v>41692</v>
      </c>
      <c r="C1576">
        <v>-12.85</v>
      </c>
      <c r="D1576" t="s">
        <v>304</v>
      </c>
      <c r="E1576" t="s">
        <v>574</v>
      </c>
      <c r="F1576" t="s">
        <v>573</v>
      </c>
      <c r="G1576" t="s">
        <v>410</v>
      </c>
      <c r="K1576" t="s">
        <v>75</v>
      </c>
      <c r="L1576" t="s">
        <v>1570</v>
      </c>
      <c r="O1576" t="s">
        <v>1609</v>
      </c>
      <c r="Q1576" t="str">
        <f t="shared" si="72"/>
        <v>Feb</v>
      </c>
      <c r="R1576">
        <f t="shared" si="73"/>
        <v>2014</v>
      </c>
      <c r="S1576" t="str">
        <f>VLOOKUP($W1576,TBL_Categories,2,FALSE)</f>
        <v>Irregular</v>
      </c>
      <c r="T1576">
        <f>VLOOKUP($W1576,TBL_Categories,3,FALSE)</f>
        <v>0</v>
      </c>
      <c r="U1576" t="str">
        <f>VLOOKUP($W1576,TBL_Categories,4,FALSE)</f>
        <v>No</v>
      </c>
      <c r="V1576" t="str">
        <f>VLOOKUP($W1576,TBL_Categories,5,FALSE)</f>
        <v>None</v>
      </c>
      <c r="W1576" t="str">
        <f t="shared" si="74"/>
        <v>Vacation|Transportation</v>
      </c>
    </row>
    <row r="1577" spans="1:23" x14ac:dyDescent="0.25">
      <c r="A1577" t="s">
        <v>296</v>
      </c>
      <c r="B1577" s="5">
        <v>41692</v>
      </c>
      <c r="C1577">
        <v>-21.48</v>
      </c>
      <c r="D1577" t="s">
        <v>304</v>
      </c>
      <c r="E1577" t="s">
        <v>575</v>
      </c>
      <c r="F1577" t="s">
        <v>625</v>
      </c>
      <c r="G1577" t="s">
        <v>20</v>
      </c>
      <c r="K1577" t="s">
        <v>20</v>
      </c>
      <c r="Q1577" t="str">
        <f t="shared" si="72"/>
        <v>Feb</v>
      </c>
      <c r="R1577">
        <f t="shared" si="73"/>
        <v>2014</v>
      </c>
      <c r="S1577" t="str">
        <f>VLOOKUP($W1577,TBL_Categories,2,FALSE)</f>
        <v>Monthly</v>
      </c>
      <c r="T1577">
        <f>VLOOKUP($W1577,TBL_Categories,3,FALSE)</f>
        <v>0</v>
      </c>
      <c r="U1577" t="str">
        <f>VLOOKUP($W1577,TBL_Categories,4,FALSE)</f>
        <v>No</v>
      </c>
      <c r="V1577" t="str">
        <f>VLOOKUP($W1577,TBL_Categories,5,FALSE)</f>
        <v>None</v>
      </c>
      <c r="W1577" t="str">
        <f t="shared" si="74"/>
        <v>Gifts</v>
      </c>
    </row>
    <row r="1578" spans="1:23" x14ac:dyDescent="0.25">
      <c r="A1578" t="s">
        <v>296</v>
      </c>
      <c r="B1578" s="5">
        <v>41692</v>
      </c>
      <c r="C1578">
        <v>-30.16</v>
      </c>
      <c r="D1578" t="s">
        <v>304</v>
      </c>
      <c r="E1578" t="s">
        <v>434</v>
      </c>
      <c r="F1578" t="s">
        <v>476</v>
      </c>
      <c r="G1578" t="s">
        <v>342</v>
      </c>
      <c r="K1578" t="s">
        <v>61</v>
      </c>
      <c r="L1578" t="s">
        <v>401</v>
      </c>
      <c r="Q1578" t="str">
        <f t="shared" si="72"/>
        <v>Feb</v>
      </c>
      <c r="R1578">
        <f t="shared" si="73"/>
        <v>2014</v>
      </c>
      <c r="S1578" t="str">
        <f>VLOOKUP($W1578,TBL_Categories,2,FALSE)</f>
        <v>Monthly</v>
      </c>
      <c r="T1578">
        <f>VLOOKUP($W1578,TBL_Categories,3,FALSE)</f>
        <v>0</v>
      </c>
      <c r="U1578" t="str">
        <f>VLOOKUP($W1578,TBL_Categories,4,FALSE)</f>
        <v>No</v>
      </c>
      <c r="V1578" t="str">
        <f>VLOOKUP($W1578,TBL_Categories,5,FALSE)</f>
        <v>None</v>
      </c>
      <c r="W1578" t="str">
        <f t="shared" si="74"/>
        <v>Food &amp; Dining|Groceries</v>
      </c>
    </row>
    <row r="1579" spans="1:23" x14ac:dyDescent="0.25">
      <c r="A1579" t="s">
        <v>296</v>
      </c>
      <c r="B1579" s="5">
        <v>41692</v>
      </c>
      <c r="C1579">
        <v>-123.85</v>
      </c>
      <c r="D1579" t="s">
        <v>304</v>
      </c>
      <c r="E1579" t="s">
        <v>433</v>
      </c>
      <c r="F1579" t="s">
        <v>481</v>
      </c>
      <c r="G1579" t="s">
        <v>887</v>
      </c>
      <c r="J1579" t="s">
        <v>1550</v>
      </c>
      <c r="K1579" t="s">
        <v>61</v>
      </c>
      <c r="L1579" t="s">
        <v>401</v>
      </c>
      <c r="Q1579" t="str">
        <f t="shared" si="72"/>
        <v>Feb</v>
      </c>
      <c r="R1579">
        <f t="shared" si="73"/>
        <v>2014</v>
      </c>
      <c r="S1579" t="str">
        <f>VLOOKUP($W1579,TBL_Categories,2,FALSE)</f>
        <v>Monthly</v>
      </c>
      <c r="T1579">
        <f>VLOOKUP($W1579,TBL_Categories,3,FALSE)</f>
        <v>0</v>
      </c>
      <c r="U1579" t="str">
        <f>VLOOKUP($W1579,TBL_Categories,4,FALSE)</f>
        <v>No</v>
      </c>
      <c r="V1579" t="str">
        <f>VLOOKUP($W1579,TBL_Categories,5,FALSE)</f>
        <v>None</v>
      </c>
      <c r="W1579" t="str">
        <f t="shared" si="74"/>
        <v>Food &amp; Dining|Groceries</v>
      </c>
    </row>
    <row r="1580" spans="1:23" x14ac:dyDescent="0.25">
      <c r="A1580" t="s">
        <v>299</v>
      </c>
      <c r="B1580" s="5">
        <v>41692</v>
      </c>
      <c r="C1580">
        <v>-204.82</v>
      </c>
      <c r="D1580" t="s">
        <v>304</v>
      </c>
      <c r="E1580" t="s">
        <v>368</v>
      </c>
      <c r="F1580" t="s">
        <v>580</v>
      </c>
      <c r="G1580" t="s">
        <v>1133</v>
      </c>
      <c r="H1580">
        <v>799999940531</v>
      </c>
      <c r="J1580" t="s">
        <v>1550</v>
      </c>
      <c r="K1580" t="s">
        <v>90</v>
      </c>
      <c r="L1580" t="s">
        <v>1594</v>
      </c>
      <c r="Q1580" t="str">
        <f t="shared" si="72"/>
        <v>Feb</v>
      </c>
      <c r="R1580">
        <f t="shared" si="73"/>
        <v>2014</v>
      </c>
      <c r="S1580" t="str">
        <f>VLOOKUP($W1580,TBL_Categories,2,FALSE)</f>
        <v>Unplanned</v>
      </c>
      <c r="T1580">
        <f>VLOOKUP($W1580,TBL_Categories,3,FALSE)</f>
        <v>0</v>
      </c>
      <c r="U1580" t="str">
        <f>VLOOKUP($W1580,TBL_Categories,4,FALSE)</f>
        <v>No</v>
      </c>
      <c r="V1580" t="str">
        <f>VLOOKUP($W1580,TBL_Categories,5,FALSE)</f>
        <v>None</v>
      </c>
      <c r="W1580" t="str">
        <f t="shared" si="74"/>
        <v>Projects|Boy's Room</v>
      </c>
    </row>
    <row r="1581" spans="1:23" x14ac:dyDescent="0.25">
      <c r="A1581" t="s">
        <v>284</v>
      </c>
      <c r="B1581" s="5">
        <v>41691</v>
      </c>
      <c r="C1581">
        <v>-115</v>
      </c>
      <c r="D1581" t="s">
        <v>304</v>
      </c>
      <c r="E1581" t="s">
        <v>325</v>
      </c>
      <c r="F1581" t="s">
        <v>351</v>
      </c>
      <c r="G1581" t="s">
        <v>326</v>
      </c>
      <c r="K1581" t="s">
        <v>63</v>
      </c>
      <c r="L1581" t="s">
        <v>1528</v>
      </c>
      <c r="Q1581" t="str">
        <f t="shared" si="72"/>
        <v>Feb</v>
      </c>
      <c r="R1581">
        <f t="shared" si="73"/>
        <v>2014</v>
      </c>
      <c r="S1581" t="str">
        <f>VLOOKUP($W1581,TBL_Categories,2,FALSE)</f>
        <v>Monthly</v>
      </c>
      <c r="T1581">
        <f>VLOOKUP($W1581,TBL_Categories,3,FALSE)</f>
        <v>0</v>
      </c>
      <c r="U1581" t="str">
        <f>VLOOKUP($W1581,TBL_Categories,4,FALSE)</f>
        <v>No</v>
      </c>
      <c r="V1581" t="str">
        <f>VLOOKUP($W1581,TBL_Categories,5,FALSE)</f>
        <v>None</v>
      </c>
      <c r="W1581" t="str">
        <f t="shared" si="74"/>
        <v>Home|Home Services</v>
      </c>
    </row>
    <row r="1582" spans="1:23" x14ac:dyDescent="0.25">
      <c r="A1582" t="s">
        <v>284</v>
      </c>
      <c r="B1582" s="5">
        <v>41691</v>
      </c>
      <c r="C1582">
        <v>-183.85</v>
      </c>
      <c r="D1582" t="s">
        <v>304</v>
      </c>
      <c r="E1582" t="s">
        <v>352</v>
      </c>
      <c r="F1582" t="s">
        <v>353</v>
      </c>
      <c r="G1582" t="s">
        <v>354</v>
      </c>
      <c r="K1582" t="s">
        <v>52</v>
      </c>
      <c r="L1582" t="s">
        <v>1544</v>
      </c>
      <c r="Q1582" t="str">
        <f t="shared" si="72"/>
        <v>Feb</v>
      </c>
      <c r="R1582">
        <f t="shared" si="73"/>
        <v>2014</v>
      </c>
      <c r="S1582" t="str">
        <f>VLOOKUP($W1582,TBL_Categories,2,FALSE)</f>
        <v>Monthly</v>
      </c>
      <c r="T1582">
        <f>VLOOKUP($W1582,TBL_Categories,3,FALSE)</f>
        <v>0</v>
      </c>
      <c r="U1582" t="str">
        <f>VLOOKUP($W1582,TBL_Categories,4,FALSE)</f>
        <v>No</v>
      </c>
      <c r="V1582" t="str">
        <f>VLOOKUP($W1582,TBL_Categories,5,FALSE)</f>
        <v>None</v>
      </c>
      <c r="W1582" t="str">
        <f t="shared" si="74"/>
        <v>Auto &amp; Transport|Auto Lease Payment</v>
      </c>
    </row>
    <row r="1583" spans="1:23" x14ac:dyDescent="0.25">
      <c r="A1583" t="s">
        <v>296</v>
      </c>
      <c r="B1583" s="5">
        <v>41691</v>
      </c>
      <c r="C1583">
        <v>-20</v>
      </c>
      <c r="D1583" t="s">
        <v>304</v>
      </c>
      <c r="E1583" t="s">
        <v>430</v>
      </c>
      <c r="F1583" t="s">
        <v>571</v>
      </c>
      <c r="G1583" t="s">
        <v>333</v>
      </c>
      <c r="K1583" t="s">
        <v>61</v>
      </c>
      <c r="L1583" t="s">
        <v>1530</v>
      </c>
      <c r="Q1583" t="str">
        <f t="shared" si="72"/>
        <v>Feb</v>
      </c>
      <c r="R1583">
        <f t="shared" si="73"/>
        <v>2014</v>
      </c>
      <c r="S1583" t="str">
        <f>VLOOKUP($W1583,TBL_Categories,2,FALSE)</f>
        <v>Monthly</v>
      </c>
      <c r="T1583">
        <f>VLOOKUP($W1583,TBL_Categories,3,FALSE)</f>
        <v>0</v>
      </c>
      <c r="U1583" t="str">
        <f>VLOOKUP($W1583,TBL_Categories,4,FALSE)</f>
        <v>No</v>
      </c>
      <c r="V1583" t="str">
        <f>VLOOKUP($W1583,TBL_Categories,5,FALSE)</f>
        <v>None</v>
      </c>
      <c r="W1583" t="str">
        <f t="shared" si="74"/>
        <v>Food &amp; Dining|Restaurants</v>
      </c>
    </row>
    <row r="1584" spans="1:23" x14ac:dyDescent="0.25">
      <c r="A1584" t="s">
        <v>296</v>
      </c>
      <c r="B1584" s="5">
        <v>41690</v>
      </c>
      <c r="C1584">
        <v>-6.56</v>
      </c>
      <c r="D1584" t="s">
        <v>304</v>
      </c>
      <c r="E1584" t="s">
        <v>465</v>
      </c>
      <c r="F1584" t="s">
        <v>545</v>
      </c>
      <c r="G1584" t="s">
        <v>333</v>
      </c>
      <c r="K1584" t="s">
        <v>61</v>
      </c>
      <c r="L1584" t="s">
        <v>1530</v>
      </c>
      <c r="Q1584" t="str">
        <f t="shared" si="72"/>
        <v>Feb</v>
      </c>
      <c r="R1584">
        <f t="shared" si="73"/>
        <v>2014</v>
      </c>
      <c r="S1584" t="str">
        <f>VLOOKUP($W1584,TBL_Categories,2,FALSE)</f>
        <v>Monthly</v>
      </c>
      <c r="T1584">
        <f>VLOOKUP($W1584,TBL_Categories,3,FALSE)</f>
        <v>0</v>
      </c>
      <c r="U1584" t="str">
        <f>VLOOKUP($W1584,TBL_Categories,4,FALSE)</f>
        <v>No</v>
      </c>
      <c r="V1584" t="str">
        <f>VLOOKUP($W1584,TBL_Categories,5,FALSE)</f>
        <v>None</v>
      </c>
      <c r="W1584" t="str">
        <f t="shared" si="74"/>
        <v>Food &amp; Dining|Restaurants</v>
      </c>
    </row>
    <row r="1585" spans="1:23" x14ac:dyDescent="0.25">
      <c r="A1585" t="s">
        <v>296</v>
      </c>
      <c r="B1585" s="5">
        <v>41690</v>
      </c>
      <c r="C1585">
        <v>-4.59</v>
      </c>
      <c r="D1585" t="s">
        <v>304</v>
      </c>
      <c r="E1585" t="s">
        <v>428</v>
      </c>
      <c r="F1585" t="s">
        <v>472</v>
      </c>
      <c r="G1585" t="s">
        <v>342</v>
      </c>
      <c r="K1585" t="s">
        <v>61</v>
      </c>
      <c r="L1585" t="s">
        <v>401</v>
      </c>
      <c r="Q1585" t="str">
        <f t="shared" si="72"/>
        <v>Feb</v>
      </c>
      <c r="R1585">
        <f t="shared" si="73"/>
        <v>2014</v>
      </c>
      <c r="S1585" t="str">
        <f>VLOOKUP($W1585,TBL_Categories,2,FALSE)</f>
        <v>Monthly</v>
      </c>
      <c r="T1585">
        <f>VLOOKUP($W1585,TBL_Categories,3,FALSE)</f>
        <v>0</v>
      </c>
      <c r="U1585" t="str">
        <f>VLOOKUP($W1585,TBL_Categories,4,FALSE)</f>
        <v>No</v>
      </c>
      <c r="V1585" t="str">
        <f>VLOOKUP($W1585,TBL_Categories,5,FALSE)</f>
        <v>None</v>
      </c>
      <c r="W1585" t="str">
        <f t="shared" si="74"/>
        <v>Food &amp; Dining|Groceries</v>
      </c>
    </row>
    <row r="1586" spans="1:23" x14ac:dyDescent="0.25">
      <c r="A1586" t="s">
        <v>284</v>
      </c>
      <c r="B1586" s="5">
        <v>41689</v>
      </c>
      <c r="C1586">
        <v>30</v>
      </c>
      <c r="D1586" t="s">
        <v>304</v>
      </c>
      <c r="E1586" t="s">
        <v>447</v>
      </c>
      <c r="F1586" t="s">
        <v>579</v>
      </c>
      <c r="G1586" t="s">
        <v>317</v>
      </c>
      <c r="K1586" t="s">
        <v>55</v>
      </c>
      <c r="L1586" t="s">
        <v>1525</v>
      </c>
      <c r="Q1586" t="str">
        <f t="shared" si="72"/>
        <v>Feb</v>
      </c>
      <c r="R1586">
        <f t="shared" si="73"/>
        <v>2014</v>
      </c>
      <c r="S1586" t="str">
        <f>VLOOKUP($W1586,TBL_Categories,2,FALSE)</f>
        <v>Monthly</v>
      </c>
      <c r="T1586">
        <f>VLOOKUP($W1586,TBL_Categories,3,FALSE)</f>
        <v>0</v>
      </c>
      <c r="U1586" t="str">
        <f>VLOOKUP($W1586,TBL_Categories,4,FALSE)</f>
        <v>No</v>
      </c>
      <c r="V1586" t="str">
        <f>VLOOKUP($W1586,TBL_Categories,5,FALSE)</f>
        <v>None</v>
      </c>
      <c r="W1586" t="str">
        <f t="shared" si="74"/>
        <v>Business Expenses (Koolikai)|Mortgage (Business)</v>
      </c>
    </row>
    <row r="1587" spans="1:23" x14ac:dyDescent="0.25">
      <c r="A1587" t="s">
        <v>296</v>
      </c>
      <c r="B1587" s="5">
        <v>41689</v>
      </c>
      <c r="C1587">
        <v>25</v>
      </c>
      <c r="D1587" t="s">
        <v>304</v>
      </c>
      <c r="E1587" t="s">
        <v>429</v>
      </c>
      <c r="F1587" t="s">
        <v>427</v>
      </c>
      <c r="G1587" t="s">
        <v>14</v>
      </c>
      <c r="K1587" t="s">
        <v>14</v>
      </c>
      <c r="Q1587" t="str">
        <f t="shared" si="72"/>
        <v>Feb</v>
      </c>
      <c r="R1587">
        <f t="shared" si="73"/>
        <v>2014</v>
      </c>
      <c r="S1587" t="str">
        <f>VLOOKUP($W1587,TBL_Categories,2,FALSE)</f>
        <v>Monthly</v>
      </c>
      <c r="T1587">
        <f>VLOOKUP($W1587,TBL_Categories,3,FALSE)</f>
        <v>0</v>
      </c>
      <c r="U1587" t="str">
        <f>VLOOKUP($W1587,TBL_Categories,4,FALSE)</f>
        <v>No</v>
      </c>
      <c r="V1587" t="str">
        <f>VLOOKUP($W1587,TBL_Categories,5,FALSE)</f>
        <v>None</v>
      </c>
      <c r="W1587" t="str">
        <f t="shared" si="74"/>
        <v>Other Inc</v>
      </c>
    </row>
    <row r="1588" spans="1:23" x14ac:dyDescent="0.25">
      <c r="A1588" t="s">
        <v>284</v>
      </c>
      <c r="B1588" s="5">
        <v>41688</v>
      </c>
      <c r="C1588">
        <v>-100</v>
      </c>
      <c r="D1588" t="s">
        <v>304</v>
      </c>
      <c r="E1588" t="s">
        <v>314</v>
      </c>
      <c r="F1588" t="s">
        <v>315</v>
      </c>
      <c r="G1588" t="s">
        <v>316</v>
      </c>
      <c r="K1588" t="s">
        <v>66</v>
      </c>
      <c r="L1588" t="s">
        <v>1522</v>
      </c>
      <c r="Q1588" t="str">
        <f t="shared" si="72"/>
        <v>Feb</v>
      </c>
      <c r="R1588">
        <f t="shared" si="73"/>
        <v>2014</v>
      </c>
      <c r="S1588" t="str">
        <f>VLOOKUP($W1588,TBL_Categories,2,FALSE)</f>
        <v>Monthly</v>
      </c>
      <c r="T1588">
        <f>VLOOKUP($W1588,TBL_Categories,3,FALSE)</f>
        <v>0</v>
      </c>
      <c r="U1588" t="str">
        <f>VLOOKUP($W1588,TBL_Categories,4,FALSE)</f>
        <v>No</v>
      </c>
      <c r="V1588" t="str">
        <f>VLOOKUP($W1588,TBL_Categories,5,FALSE)</f>
        <v>None</v>
      </c>
      <c r="W1588" t="str">
        <f t="shared" si="74"/>
        <v>Kids|Daycare</v>
      </c>
    </row>
    <row r="1589" spans="1:23" x14ac:dyDescent="0.25">
      <c r="A1589" t="s">
        <v>287</v>
      </c>
      <c r="B1589" s="5">
        <v>41688</v>
      </c>
      <c r="C1589">
        <v>0</v>
      </c>
      <c r="D1589" t="s">
        <v>304</v>
      </c>
      <c r="E1589" t="s">
        <v>308</v>
      </c>
      <c r="F1589" t="s">
        <v>1659</v>
      </c>
      <c r="G1589" t="s">
        <v>30</v>
      </c>
      <c r="K1589" t="s">
        <v>30</v>
      </c>
      <c r="Q1589" t="str">
        <f t="shared" si="72"/>
        <v>Feb</v>
      </c>
      <c r="R1589">
        <f t="shared" si="73"/>
        <v>2014</v>
      </c>
      <c r="S1589" t="str">
        <f>VLOOKUP($W1589,TBL_Categories,2,FALSE)</f>
        <v>Account</v>
      </c>
      <c r="T1589">
        <f>VLOOKUP($W1589,TBL_Categories,3,FALSE)</f>
        <v>0</v>
      </c>
      <c r="U1589" t="str">
        <f>VLOOKUP($W1589,TBL_Categories,4,FALSE)</f>
        <v>No</v>
      </c>
      <c r="V1589" t="str">
        <f>VLOOKUP($W1589,TBL_Categories,5,FALSE)</f>
        <v>None</v>
      </c>
      <c r="W1589" t="str">
        <f t="shared" si="74"/>
        <v>[First Tech - Short Term Emergency (5400)]</v>
      </c>
    </row>
    <row r="1590" spans="1:23" x14ac:dyDescent="0.25">
      <c r="A1590" t="s">
        <v>290</v>
      </c>
      <c r="B1590" s="5">
        <v>41688</v>
      </c>
      <c r="C1590">
        <v>0</v>
      </c>
      <c r="D1590" t="s">
        <v>304</v>
      </c>
      <c r="E1590" t="s">
        <v>308</v>
      </c>
      <c r="F1590" t="s">
        <v>1659</v>
      </c>
      <c r="G1590" t="s">
        <v>11</v>
      </c>
      <c r="K1590" t="s">
        <v>11</v>
      </c>
      <c r="Q1590" t="str">
        <f t="shared" si="72"/>
        <v>Feb</v>
      </c>
      <c r="R1590">
        <f t="shared" si="73"/>
        <v>2014</v>
      </c>
      <c r="S1590" t="str">
        <f>VLOOKUP($W1590,TBL_Categories,2,FALSE)</f>
        <v>Account</v>
      </c>
      <c r="T1590">
        <f>VLOOKUP($W1590,TBL_Categories,3,FALSE)</f>
        <v>0</v>
      </c>
      <c r="U1590" t="str">
        <f>VLOOKUP($W1590,TBL_Categories,4,FALSE)</f>
        <v>No</v>
      </c>
      <c r="V1590" t="str">
        <f>VLOOKUP($W1590,TBL_Categories,5,FALSE)</f>
        <v>None</v>
      </c>
      <c r="W1590" t="str">
        <f t="shared" si="74"/>
        <v>[Schwab - Checking (9784)]</v>
      </c>
    </row>
    <row r="1591" spans="1:23" x14ac:dyDescent="0.25">
      <c r="A1591" t="s">
        <v>293</v>
      </c>
      <c r="B1591" s="5">
        <v>41688</v>
      </c>
      <c r="C1591">
        <v>0</v>
      </c>
      <c r="D1591" t="s">
        <v>304</v>
      </c>
      <c r="E1591" t="s">
        <v>308</v>
      </c>
      <c r="G1591" t="s">
        <v>18</v>
      </c>
      <c r="K1591" t="s">
        <v>18</v>
      </c>
      <c r="Q1591" t="str">
        <f t="shared" si="72"/>
        <v>Feb</v>
      </c>
      <c r="R1591">
        <f t="shared" si="73"/>
        <v>2014</v>
      </c>
      <c r="S1591" t="str">
        <f>VLOOKUP($W1591,TBL_Categories,2,FALSE)</f>
        <v>Account</v>
      </c>
      <c r="T1591">
        <f>VLOOKUP($W1591,TBL_Categories,3,FALSE)</f>
        <v>0</v>
      </c>
      <c r="U1591" t="str">
        <f>VLOOKUP($W1591,TBL_Categories,4,FALSE)</f>
        <v>No</v>
      </c>
      <c r="V1591" t="str">
        <f>VLOOKUP($W1591,TBL_Categories,5,FALSE)</f>
        <v>None</v>
      </c>
      <c r="W1591" t="str">
        <f t="shared" si="74"/>
        <v>[Discover Card]</v>
      </c>
    </row>
    <row r="1592" spans="1:23" x14ac:dyDescent="0.25">
      <c r="A1592" t="s">
        <v>278</v>
      </c>
      <c r="B1592" s="5">
        <v>41687</v>
      </c>
      <c r="C1592">
        <v>0</v>
      </c>
      <c r="E1592" t="s">
        <v>308</v>
      </c>
      <c r="G1592" t="s">
        <v>4</v>
      </c>
      <c r="K1592" t="s">
        <v>4</v>
      </c>
      <c r="Q1592" t="str">
        <f t="shared" si="72"/>
        <v>Feb</v>
      </c>
      <c r="R1592">
        <f t="shared" si="73"/>
        <v>2014</v>
      </c>
      <c r="S1592" t="str">
        <f>VLOOKUP($W1592,TBL_Categories,2,FALSE)</f>
        <v>Account</v>
      </c>
      <c r="T1592">
        <f>VLOOKUP($W1592,TBL_Categories,3,FALSE)</f>
        <v>0</v>
      </c>
      <c r="U1592" t="str">
        <f>VLOOKUP($W1592,TBL_Categories,4,FALSE)</f>
        <v>No</v>
      </c>
      <c r="V1592" t="str">
        <f>VLOOKUP($W1592,TBL_Categories,5,FALSE)</f>
        <v>None</v>
      </c>
      <c r="W1592" t="str">
        <f t="shared" si="74"/>
        <v>[AmericanWest (1186)]</v>
      </c>
    </row>
    <row r="1593" spans="1:23" x14ac:dyDescent="0.25">
      <c r="A1593" t="s">
        <v>296</v>
      </c>
      <c r="B1593" s="5">
        <v>41687</v>
      </c>
      <c r="C1593">
        <v>-41.4</v>
      </c>
      <c r="D1593" t="s">
        <v>304</v>
      </c>
      <c r="E1593" t="s">
        <v>455</v>
      </c>
      <c r="F1593" t="s">
        <v>568</v>
      </c>
      <c r="G1593" t="s">
        <v>398</v>
      </c>
      <c r="K1593" t="s">
        <v>70</v>
      </c>
      <c r="L1593" t="s">
        <v>1563</v>
      </c>
      <c r="Q1593" t="str">
        <f t="shared" si="72"/>
        <v>Feb</v>
      </c>
      <c r="R1593">
        <f t="shared" si="73"/>
        <v>2014</v>
      </c>
      <c r="S1593" t="str">
        <f>VLOOKUP($W1593,TBL_Categories,2,FALSE)</f>
        <v>Monthly</v>
      </c>
      <c r="T1593">
        <f>VLOOKUP($W1593,TBL_Categories,3,FALSE)</f>
        <v>0</v>
      </c>
      <c r="U1593" t="str">
        <f>VLOOKUP($W1593,TBL_Categories,4,FALSE)</f>
        <v>No</v>
      </c>
      <c r="V1593" t="str">
        <f>VLOOKUP($W1593,TBL_Categories,5,FALSE)</f>
        <v>None</v>
      </c>
      <c r="W1593" t="str">
        <f t="shared" si="74"/>
        <v>Personal Care|Hair</v>
      </c>
    </row>
    <row r="1594" spans="1:23" x14ac:dyDescent="0.25">
      <c r="A1594" t="s">
        <v>296</v>
      </c>
      <c r="B1594" s="5">
        <v>41687</v>
      </c>
      <c r="C1594">
        <v>-982.57</v>
      </c>
      <c r="D1594" t="s">
        <v>304</v>
      </c>
      <c r="E1594" t="s">
        <v>521</v>
      </c>
      <c r="F1594" t="s">
        <v>569</v>
      </c>
      <c r="G1594" t="s">
        <v>468</v>
      </c>
      <c r="K1594" t="s">
        <v>62</v>
      </c>
      <c r="L1594" t="s">
        <v>1592</v>
      </c>
      <c r="Q1594" t="str">
        <f t="shared" si="72"/>
        <v>Feb</v>
      </c>
      <c r="R1594">
        <f t="shared" si="73"/>
        <v>2014</v>
      </c>
      <c r="S1594" t="str">
        <f>VLOOKUP($W1594,TBL_Categories,2,FALSE)</f>
        <v>Irregular</v>
      </c>
      <c r="T1594">
        <f>VLOOKUP($W1594,TBL_Categories,3,FALSE)</f>
        <v>0</v>
      </c>
      <c r="U1594" t="str">
        <f>VLOOKUP($W1594,TBL_Categories,4,FALSE)</f>
        <v>No</v>
      </c>
      <c r="V1594" t="str">
        <f>VLOOKUP($W1594,TBL_Categories,5,FALSE)</f>
        <v>None</v>
      </c>
      <c r="W1594" t="str">
        <f t="shared" si="74"/>
        <v>Health &amp; Fitness|Pharmacy</v>
      </c>
    </row>
    <row r="1595" spans="1:23" x14ac:dyDescent="0.25">
      <c r="A1595" t="s">
        <v>296</v>
      </c>
      <c r="B1595" s="5">
        <v>41687</v>
      </c>
      <c r="C1595">
        <v>-4.4400000000000004</v>
      </c>
      <c r="D1595" t="s">
        <v>304</v>
      </c>
      <c r="E1595" t="s">
        <v>428</v>
      </c>
      <c r="G1595" t="s">
        <v>342</v>
      </c>
      <c r="K1595" t="s">
        <v>61</v>
      </c>
      <c r="L1595" t="s">
        <v>401</v>
      </c>
      <c r="Q1595" t="str">
        <f t="shared" si="72"/>
        <v>Feb</v>
      </c>
      <c r="R1595">
        <f t="shared" si="73"/>
        <v>2014</v>
      </c>
      <c r="S1595" t="str">
        <f>VLOOKUP($W1595,TBL_Categories,2,FALSE)</f>
        <v>Monthly</v>
      </c>
      <c r="T1595">
        <f>VLOOKUP($W1595,TBL_Categories,3,FALSE)</f>
        <v>0</v>
      </c>
      <c r="U1595" t="str">
        <f>VLOOKUP($W1595,TBL_Categories,4,FALSE)</f>
        <v>No</v>
      </c>
      <c r="V1595" t="str">
        <f>VLOOKUP($W1595,TBL_Categories,5,FALSE)</f>
        <v>None</v>
      </c>
      <c r="W1595" t="str">
        <f t="shared" si="74"/>
        <v>Food &amp; Dining|Groceries</v>
      </c>
    </row>
    <row r="1596" spans="1:23" x14ac:dyDescent="0.25">
      <c r="A1596" t="s">
        <v>296</v>
      </c>
      <c r="B1596" s="5">
        <v>41687</v>
      </c>
      <c r="C1596">
        <v>-18.29</v>
      </c>
      <c r="D1596" t="s">
        <v>304</v>
      </c>
      <c r="E1596" t="s">
        <v>452</v>
      </c>
      <c r="G1596" t="s">
        <v>449</v>
      </c>
      <c r="K1596" t="s">
        <v>66</v>
      </c>
      <c r="L1596" t="s">
        <v>1555</v>
      </c>
      <c r="Q1596" t="str">
        <f t="shared" si="72"/>
        <v>Feb</v>
      </c>
      <c r="R1596">
        <f t="shared" si="73"/>
        <v>2014</v>
      </c>
      <c r="S1596" t="str">
        <f>VLOOKUP($W1596,TBL_Categories,2,FALSE)</f>
        <v>Monthly</v>
      </c>
      <c r="T1596">
        <f>VLOOKUP($W1596,TBL_Categories,3,FALSE)</f>
        <v>0</v>
      </c>
      <c r="U1596" t="str">
        <f>VLOOKUP($W1596,TBL_Categories,4,FALSE)</f>
        <v>No</v>
      </c>
      <c r="V1596" t="str">
        <f>VLOOKUP($W1596,TBL_Categories,5,FALSE)</f>
        <v>None</v>
      </c>
      <c r="W1596" t="str">
        <f t="shared" si="74"/>
        <v>Kids|Kids Activities</v>
      </c>
    </row>
    <row r="1597" spans="1:23" x14ac:dyDescent="0.25">
      <c r="A1597" t="s">
        <v>762</v>
      </c>
      <c r="B1597" s="5">
        <v>41687</v>
      </c>
      <c r="C1597">
        <v>0</v>
      </c>
      <c r="D1597" t="s">
        <v>304</v>
      </c>
      <c r="E1597" t="s">
        <v>308</v>
      </c>
      <c r="F1597" t="s">
        <v>1659</v>
      </c>
      <c r="G1597" t="s">
        <v>771</v>
      </c>
      <c r="K1597" t="s">
        <v>771</v>
      </c>
      <c r="Q1597" t="str">
        <f t="shared" si="72"/>
        <v>Feb</v>
      </c>
      <c r="R1597">
        <f t="shared" si="73"/>
        <v>2014</v>
      </c>
      <c r="S1597" t="e">
        <f>VLOOKUP($W1597,TBL_Categories,2,FALSE)</f>
        <v>#N/A</v>
      </c>
      <c r="T1597" t="e">
        <f>VLOOKUP($W1597,TBL_Categories,3,FALSE)</f>
        <v>#N/A</v>
      </c>
      <c r="U1597" t="e">
        <f>VLOOKUP($W1597,TBL_Categories,4,FALSE)</f>
        <v>#N/A</v>
      </c>
      <c r="V1597" t="e">
        <f>VLOOKUP($W1597,TBL_Categories,5,FALSE)</f>
        <v>#N/A</v>
      </c>
      <c r="W1597" t="str">
        <f t="shared" si="74"/>
        <v>[REI Mastercard (xx1787)]</v>
      </c>
    </row>
    <row r="1598" spans="1:23" x14ac:dyDescent="0.25">
      <c r="A1598" t="s">
        <v>299</v>
      </c>
      <c r="B1598" s="5">
        <v>41687</v>
      </c>
      <c r="C1598">
        <v>0</v>
      </c>
      <c r="D1598" t="s">
        <v>304</v>
      </c>
      <c r="E1598" t="s">
        <v>308</v>
      </c>
      <c r="G1598" t="s">
        <v>23</v>
      </c>
      <c r="K1598" t="s">
        <v>23</v>
      </c>
      <c r="Q1598" t="str">
        <f t="shared" si="72"/>
        <v>Feb</v>
      </c>
      <c r="R1598">
        <f t="shared" si="73"/>
        <v>2014</v>
      </c>
      <c r="S1598" t="str">
        <f>VLOOKUP($W1598,TBL_Categories,2,FALSE)</f>
        <v>Account</v>
      </c>
      <c r="T1598">
        <f>VLOOKUP($W1598,TBL_Categories,3,FALSE)</f>
        <v>0</v>
      </c>
      <c r="U1598" t="str">
        <f>VLOOKUP($W1598,TBL_Categories,4,FALSE)</f>
        <v>No</v>
      </c>
      <c r="V1598" t="str">
        <f>VLOOKUP($W1598,TBL_Categories,5,FALSE)</f>
        <v>None</v>
      </c>
      <c r="W1598" t="str">
        <f t="shared" si="74"/>
        <v>[Target Red Card]</v>
      </c>
    </row>
    <row r="1599" spans="1:23" x14ac:dyDescent="0.25">
      <c r="A1599" t="s">
        <v>296</v>
      </c>
      <c r="B1599" s="5">
        <v>41686</v>
      </c>
      <c r="C1599">
        <v>-93.55</v>
      </c>
      <c r="D1599" t="s">
        <v>304</v>
      </c>
      <c r="E1599" t="s">
        <v>433</v>
      </c>
      <c r="F1599" t="s">
        <v>475</v>
      </c>
      <c r="G1599" t="s">
        <v>887</v>
      </c>
      <c r="J1599" t="s">
        <v>1550</v>
      </c>
      <c r="K1599" t="s">
        <v>61</v>
      </c>
      <c r="L1599" t="s">
        <v>401</v>
      </c>
      <c r="Q1599" t="str">
        <f t="shared" si="72"/>
        <v>Feb</v>
      </c>
      <c r="R1599">
        <f t="shared" si="73"/>
        <v>2014</v>
      </c>
      <c r="S1599" t="str">
        <f>VLOOKUP($W1599,TBL_Categories,2,FALSE)</f>
        <v>Monthly</v>
      </c>
      <c r="T1599">
        <f>VLOOKUP($W1599,TBL_Categories,3,FALSE)</f>
        <v>0</v>
      </c>
      <c r="U1599" t="str">
        <f>VLOOKUP($W1599,TBL_Categories,4,FALSE)</f>
        <v>No</v>
      </c>
      <c r="V1599" t="str">
        <f>VLOOKUP($W1599,TBL_Categories,5,FALSE)</f>
        <v>None</v>
      </c>
      <c r="W1599" t="str">
        <f t="shared" si="74"/>
        <v>Food &amp; Dining|Groceries</v>
      </c>
    </row>
    <row r="1600" spans="1:23" x14ac:dyDescent="0.25">
      <c r="A1600" t="s">
        <v>296</v>
      </c>
      <c r="B1600" s="5">
        <v>41686</v>
      </c>
      <c r="C1600">
        <v>-12.72</v>
      </c>
      <c r="D1600" t="s">
        <v>304</v>
      </c>
      <c r="E1600" t="s">
        <v>457</v>
      </c>
      <c r="F1600" t="s">
        <v>479</v>
      </c>
      <c r="G1600" t="s">
        <v>333</v>
      </c>
      <c r="K1600" t="s">
        <v>61</v>
      </c>
      <c r="L1600" t="s">
        <v>1530</v>
      </c>
      <c r="Q1600" t="str">
        <f t="shared" si="72"/>
        <v>Feb</v>
      </c>
      <c r="R1600">
        <f t="shared" si="73"/>
        <v>2014</v>
      </c>
      <c r="S1600" t="str">
        <f>VLOOKUP($W1600,TBL_Categories,2,FALSE)</f>
        <v>Monthly</v>
      </c>
      <c r="T1600">
        <f>VLOOKUP($W1600,TBL_Categories,3,FALSE)</f>
        <v>0</v>
      </c>
      <c r="U1600" t="str">
        <f>VLOOKUP($W1600,TBL_Categories,4,FALSE)</f>
        <v>No</v>
      </c>
      <c r="V1600" t="str">
        <f>VLOOKUP($W1600,TBL_Categories,5,FALSE)</f>
        <v>None</v>
      </c>
      <c r="W1600" t="str">
        <f t="shared" si="74"/>
        <v>Food &amp; Dining|Restaurants</v>
      </c>
    </row>
    <row r="1601" spans="1:23" x14ac:dyDescent="0.25">
      <c r="A1601" t="s">
        <v>296</v>
      </c>
      <c r="B1601" s="5">
        <v>41686</v>
      </c>
      <c r="C1601">
        <v>-20.260000000000002</v>
      </c>
      <c r="D1601" t="s">
        <v>304</v>
      </c>
      <c r="E1601" t="s">
        <v>566</v>
      </c>
      <c r="F1601" t="s">
        <v>567</v>
      </c>
      <c r="G1601" t="s">
        <v>333</v>
      </c>
      <c r="K1601" t="s">
        <v>61</v>
      </c>
      <c r="L1601" t="s">
        <v>1530</v>
      </c>
      <c r="Q1601" t="str">
        <f t="shared" si="72"/>
        <v>Feb</v>
      </c>
      <c r="R1601">
        <f t="shared" si="73"/>
        <v>2014</v>
      </c>
      <c r="S1601" t="str">
        <f>VLOOKUP($W1601,TBL_Categories,2,FALSE)</f>
        <v>Monthly</v>
      </c>
      <c r="T1601">
        <f>VLOOKUP($W1601,TBL_Categories,3,FALSE)</f>
        <v>0</v>
      </c>
      <c r="U1601" t="str">
        <f>VLOOKUP($W1601,TBL_Categories,4,FALSE)</f>
        <v>No</v>
      </c>
      <c r="V1601" t="str">
        <f>VLOOKUP($W1601,TBL_Categories,5,FALSE)</f>
        <v>None</v>
      </c>
      <c r="W1601" t="str">
        <f t="shared" si="74"/>
        <v>Food &amp; Dining|Restaurants</v>
      </c>
    </row>
    <row r="1602" spans="1:23" x14ac:dyDescent="0.25">
      <c r="A1602" t="s">
        <v>296</v>
      </c>
      <c r="B1602" s="5">
        <v>41685</v>
      </c>
      <c r="C1602">
        <v>-1.35</v>
      </c>
      <c r="D1602" t="s">
        <v>304</v>
      </c>
      <c r="E1602" t="s">
        <v>323</v>
      </c>
      <c r="F1602" t="s">
        <v>561</v>
      </c>
      <c r="G1602" t="s">
        <v>388</v>
      </c>
      <c r="J1602">
        <v>9602</v>
      </c>
      <c r="K1602" t="s">
        <v>55</v>
      </c>
      <c r="L1602" t="s">
        <v>1558</v>
      </c>
      <c r="Q1602" t="str">
        <f t="shared" ref="Q1602:Q1665" si="75">TEXT($B1602,"MMM")</f>
        <v>Feb</v>
      </c>
      <c r="R1602">
        <f t="shared" ref="R1602:R1665" si="76">YEAR($B1602)</f>
        <v>2014</v>
      </c>
      <c r="S1602" t="str">
        <f>VLOOKUP($W1602,TBL_Categories,2,FALSE)</f>
        <v>Monthly</v>
      </c>
      <c r="T1602">
        <f>VLOOKUP($W1602,TBL_Categories,3,FALSE)</f>
        <v>0</v>
      </c>
      <c r="U1602" t="str">
        <f>VLOOKUP($W1602,TBL_Categories,4,FALSE)</f>
        <v>No</v>
      </c>
      <c r="V1602" t="str">
        <f>VLOOKUP($W1602,TBL_Categories,5,FALSE)</f>
        <v>None</v>
      </c>
      <c r="W1602" t="str">
        <f t="shared" ref="W1602:W1665" si="77">IF(ISBLANK($L1602),$K1602,CONCATENATE($K1602,"|",$L1602))</f>
        <v>Business Expenses (Koolikai)|Utilities (Business)</v>
      </c>
    </row>
    <row r="1603" spans="1:23" x14ac:dyDescent="0.25">
      <c r="A1603" t="s">
        <v>296</v>
      </c>
      <c r="B1603" s="5">
        <v>41685</v>
      </c>
      <c r="C1603">
        <v>-3</v>
      </c>
      <c r="D1603" t="s">
        <v>304</v>
      </c>
      <c r="E1603" t="s">
        <v>431</v>
      </c>
      <c r="F1603" t="s">
        <v>562</v>
      </c>
      <c r="G1603" t="s">
        <v>432</v>
      </c>
      <c r="K1603" t="s">
        <v>52</v>
      </c>
      <c r="L1603" t="s">
        <v>1577</v>
      </c>
      <c r="Q1603" t="str">
        <f t="shared" si="75"/>
        <v>Feb</v>
      </c>
      <c r="R1603">
        <f t="shared" si="76"/>
        <v>2014</v>
      </c>
      <c r="S1603" t="str">
        <f>VLOOKUP($W1603,TBL_Categories,2,FALSE)</f>
        <v>Monthly</v>
      </c>
      <c r="T1603">
        <f>VLOOKUP($W1603,TBL_Categories,3,FALSE)</f>
        <v>0</v>
      </c>
      <c r="U1603" t="str">
        <f>VLOOKUP($W1603,TBL_Categories,4,FALSE)</f>
        <v>No</v>
      </c>
      <c r="V1603" t="str">
        <f>VLOOKUP($W1603,TBL_Categories,5,FALSE)</f>
        <v>None</v>
      </c>
      <c r="W1603" t="str">
        <f t="shared" si="77"/>
        <v>Auto &amp; Transport|Parking</v>
      </c>
    </row>
    <row r="1604" spans="1:23" x14ac:dyDescent="0.25">
      <c r="A1604" t="s">
        <v>296</v>
      </c>
      <c r="B1604" s="5">
        <v>41685</v>
      </c>
      <c r="C1604">
        <v>-62.39</v>
      </c>
      <c r="D1604" t="s">
        <v>304</v>
      </c>
      <c r="E1604" t="s">
        <v>563</v>
      </c>
      <c r="F1604" t="s">
        <v>564</v>
      </c>
      <c r="G1604" t="s">
        <v>333</v>
      </c>
      <c r="K1604" t="s">
        <v>61</v>
      </c>
      <c r="L1604" t="s">
        <v>1530</v>
      </c>
      <c r="Q1604" t="str">
        <f t="shared" si="75"/>
        <v>Feb</v>
      </c>
      <c r="R1604">
        <f t="shared" si="76"/>
        <v>2014</v>
      </c>
      <c r="S1604" t="str">
        <f>VLOOKUP($W1604,TBL_Categories,2,FALSE)</f>
        <v>Monthly</v>
      </c>
      <c r="T1604">
        <f>VLOOKUP($W1604,TBL_Categories,3,FALSE)</f>
        <v>0</v>
      </c>
      <c r="U1604" t="str">
        <f>VLOOKUP($W1604,TBL_Categories,4,FALSE)</f>
        <v>No</v>
      </c>
      <c r="V1604" t="str">
        <f>VLOOKUP($W1604,TBL_Categories,5,FALSE)</f>
        <v>None</v>
      </c>
      <c r="W1604" t="str">
        <f t="shared" si="77"/>
        <v>Food &amp; Dining|Restaurants</v>
      </c>
    </row>
    <row r="1605" spans="1:23" x14ac:dyDescent="0.25">
      <c r="A1605" t="s">
        <v>296</v>
      </c>
      <c r="B1605" s="5">
        <v>41685</v>
      </c>
      <c r="C1605">
        <v>-95</v>
      </c>
      <c r="D1605" t="s">
        <v>304</v>
      </c>
      <c r="E1605" t="s">
        <v>454</v>
      </c>
      <c r="F1605" t="s">
        <v>565</v>
      </c>
      <c r="G1605" t="s">
        <v>1044</v>
      </c>
      <c r="J1605" t="s">
        <v>1550</v>
      </c>
      <c r="K1605" t="s">
        <v>66</v>
      </c>
      <c r="L1605" t="s">
        <v>1555</v>
      </c>
      <c r="Q1605" t="str">
        <f t="shared" si="75"/>
        <v>Feb</v>
      </c>
      <c r="R1605">
        <f t="shared" si="76"/>
        <v>2014</v>
      </c>
      <c r="S1605" t="str">
        <f>VLOOKUP($W1605,TBL_Categories,2,FALSE)</f>
        <v>Monthly</v>
      </c>
      <c r="T1605">
        <f>VLOOKUP($W1605,TBL_Categories,3,FALSE)</f>
        <v>0</v>
      </c>
      <c r="U1605" t="str">
        <f>VLOOKUP($W1605,TBL_Categories,4,FALSE)</f>
        <v>No</v>
      </c>
      <c r="V1605" t="str">
        <f>VLOOKUP($W1605,TBL_Categories,5,FALSE)</f>
        <v>None</v>
      </c>
      <c r="W1605" t="str">
        <f t="shared" si="77"/>
        <v>Kids|Kids Activities</v>
      </c>
    </row>
    <row r="1606" spans="1:23" x14ac:dyDescent="0.25">
      <c r="A1606" t="s">
        <v>284</v>
      </c>
      <c r="B1606" s="5">
        <v>41683</v>
      </c>
      <c r="C1606" s="4">
        <v>3165.2</v>
      </c>
      <c r="D1606" t="s">
        <v>304</v>
      </c>
      <c r="E1606" t="s">
        <v>361</v>
      </c>
      <c r="F1606" t="s">
        <v>1659</v>
      </c>
      <c r="G1606" t="s">
        <v>12</v>
      </c>
      <c r="K1606" t="s">
        <v>12</v>
      </c>
      <c r="Q1606" t="str">
        <f t="shared" si="75"/>
        <v>Feb</v>
      </c>
      <c r="R1606">
        <f t="shared" si="76"/>
        <v>2014</v>
      </c>
      <c r="S1606" t="str">
        <f>VLOOKUP($W1606,TBL_Categories,2,FALSE)</f>
        <v>Monthly</v>
      </c>
      <c r="T1606">
        <f>VLOOKUP($W1606,TBL_Categories,3,FALSE)</f>
        <v>0</v>
      </c>
      <c r="U1606" t="str">
        <f>VLOOKUP($W1606,TBL_Categories,4,FALSE)</f>
        <v>No</v>
      </c>
      <c r="V1606" t="str">
        <f>VLOOKUP($W1606,TBL_Categories,5,FALSE)</f>
        <v>None</v>
      </c>
      <c r="W1606" t="str">
        <f t="shared" si="77"/>
        <v>Net Salary</v>
      </c>
    </row>
    <row r="1607" spans="1:23" x14ac:dyDescent="0.25">
      <c r="A1607" t="s">
        <v>284</v>
      </c>
      <c r="B1607" s="5">
        <v>41682</v>
      </c>
      <c r="C1607">
        <v>-148.06</v>
      </c>
      <c r="D1607" t="s">
        <v>304</v>
      </c>
      <c r="E1607" t="s">
        <v>324</v>
      </c>
      <c r="F1607" t="s">
        <v>381</v>
      </c>
      <c r="G1607" t="s">
        <v>313</v>
      </c>
      <c r="K1607" t="s">
        <v>54</v>
      </c>
      <c r="L1607" t="s">
        <v>1521</v>
      </c>
      <c r="Q1607" t="str">
        <f t="shared" si="75"/>
        <v>Feb</v>
      </c>
      <c r="R1607">
        <f t="shared" si="76"/>
        <v>2014</v>
      </c>
      <c r="S1607" t="str">
        <f>VLOOKUP($W1607,TBL_Categories,2,FALSE)</f>
        <v>Monthly</v>
      </c>
      <c r="T1607">
        <f>VLOOKUP($W1607,TBL_Categories,3,FALSE)</f>
        <v>0</v>
      </c>
      <c r="U1607" t="str">
        <f>VLOOKUP($W1607,TBL_Categories,4,FALSE)</f>
        <v>No</v>
      </c>
      <c r="V1607" t="str">
        <f>VLOOKUP($W1607,TBL_Categories,5,FALSE)</f>
        <v>None</v>
      </c>
      <c r="W1607" t="str">
        <f t="shared" si="77"/>
        <v>Bills &amp; Utilities|Utilities</v>
      </c>
    </row>
    <row r="1608" spans="1:23" x14ac:dyDescent="0.25">
      <c r="A1608" t="s">
        <v>294</v>
      </c>
      <c r="B1608" s="5">
        <v>41682</v>
      </c>
      <c r="C1608">
        <v>-146.74</v>
      </c>
      <c r="D1608" t="s">
        <v>304</v>
      </c>
      <c r="E1608" t="s">
        <v>335</v>
      </c>
      <c r="G1608" t="s">
        <v>336</v>
      </c>
      <c r="K1608" t="s">
        <v>55</v>
      </c>
      <c r="L1608" t="s">
        <v>1532</v>
      </c>
      <c r="Q1608" t="str">
        <f t="shared" si="75"/>
        <v>Feb</v>
      </c>
      <c r="R1608">
        <f t="shared" si="76"/>
        <v>2014</v>
      </c>
      <c r="S1608" t="str">
        <f>VLOOKUP($W1608,TBL_Categories,2,FALSE)</f>
        <v>Monthly</v>
      </c>
      <c r="T1608">
        <f>VLOOKUP($W1608,TBL_Categories,3,FALSE)</f>
        <v>0</v>
      </c>
      <c r="U1608" t="str">
        <f>VLOOKUP($W1608,TBL_Categories,4,FALSE)</f>
        <v>No</v>
      </c>
      <c r="V1608" t="str">
        <f>VLOOKUP($W1608,TBL_Categories,5,FALSE)</f>
        <v>None</v>
      </c>
      <c r="W1608" t="str">
        <f t="shared" si="77"/>
        <v>Business Expenses (Koolikai)|Cell Phone</v>
      </c>
    </row>
    <row r="1609" spans="1:23" x14ac:dyDescent="0.25">
      <c r="A1609" t="s">
        <v>296</v>
      </c>
      <c r="B1609" s="5">
        <v>41682</v>
      </c>
      <c r="C1609">
        <v>50</v>
      </c>
      <c r="D1609" t="s">
        <v>304</v>
      </c>
      <c r="E1609" t="s">
        <v>429</v>
      </c>
      <c r="F1609" t="s">
        <v>1663</v>
      </c>
      <c r="G1609" t="s">
        <v>14</v>
      </c>
      <c r="K1609" t="s">
        <v>14</v>
      </c>
      <c r="Q1609" t="str">
        <f t="shared" si="75"/>
        <v>Feb</v>
      </c>
      <c r="R1609">
        <f t="shared" si="76"/>
        <v>2014</v>
      </c>
      <c r="S1609" t="str">
        <f>VLOOKUP($W1609,TBL_Categories,2,FALSE)</f>
        <v>Monthly</v>
      </c>
      <c r="T1609">
        <f>VLOOKUP($W1609,TBL_Categories,3,FALSE)</f>
        <v>0</v>
      </c>
      <c r="U1609" t="str">
        <f>VLOOKUP($W1609,TBL_Categories,4,FALSE)</f>
        <v>No</v>
      </c>
      <c r="V1609" t="str">
        <f>VLOOKUP($W1609,TBL_Categories,5,FALSE)</f>
        <v>None</v>
      </c>
      <c r="W1609" t="str">
        <f t="shared" si="77"/>
        <v>Other Inc</v>
      </c>
    </row>
    <row r="1610" spans="1:23" x14ac:dyDescent="0.25">
      <c r="A1610" t="s">
        <v>296</v>
      </c>
      <c r="B1610" s="5">
        <v>41682</v>
      </c>
      <c r="C1610">
        <v>-54</v>
      </c>
      <c r="D1610" t="s">
        <v>304</v>
      </c>
      <c r="E1610" t="s">
        <v>447</v>
      </c>
      <c r="F1610" t="s">
        <v>555</v>
      </c>
      <c r="G1610" t="s">
        <v>380</v>
      </c>
      <c r="J1610">
        <v>7231</v>
      </c>
      <c r="K1610" t="s">
        <v>55</v>
      </c>
      <c r="L1610" t="s">
        <v>1525</v>
      </c>
      <c r="Q1610" t="str">
        <f t="shared" si="75"/>
        <v>Feb</v>
      </c>
      <c r="R1610">
        <f t="shared" si="76"/>
        <v>2014</v>
      </c>
      <c r="S1610" t="str">
        <f>VLOOKUP($W1610,TBL_Categories,2,FALSE)</f>
        <v>Monthly</v>
      </c>
      <c r="T1610">
        <f>VLOOKUP($W1610,TBL_Categories,3,FALSE)</f>
        <v>0</v>
      </c>
      <c r="U1610" t="str">
        <f>VLOOKUP($W1610,TBL_Categories,4,FALSE)</f>
        <v>No</v>
      </c>
      <c r="V1610" t="str">
        <f>VLOOKUP($W1610,TBL_Categories,5,FALSE)</f>
        <v>None</v>
      </c>
      <c r="W1610" t="str">
        <f t="shared" si="77"/>
        <v>Business Expenses (Koolikai)|Mortgage (Business)</v>
      </c>
    </row>
    <row r="1611" spans="1:23" x14ac:dyDescent="0.25">
      <c r="A1611" t="s">
        <v>296</v>
      </c>
      <c r="B1611" s="5">
        <v>41682</v>
      </c>
      <c r="C1611">
        <v>-0.27</v>
      </c>
      <c r="D1611" t="s">
        <v>304</v>
      </c>
      <c r="E1611" t="s">
        <v>556</v>
      </c>
      <c r="F1611" t="s">
        <v>557</v>
      </c>
      <c r="G1611" t="s">
        <v>468</v>
      </c>
      <c r="K1611" t="s">
        <v>62</v>
      </c>
      <c r="L1611" t="s">
        <v>1592</v>
      </c>
      <c r="Q1611" t="str">
        <f t="shared" si="75"/>
        <v>Feb</v>
      </c>
      <c r="R1611">
        <f t="shared" si="76"/>
        <v>2014</v>
      </c>
      <c r="S1611" t="str">
        <f>VLOOKUP($W1611,TBL_Categories,2,FALSE)</f>
        <v>Irregular</v>
      </c>
      <c r="T1611">
        <f>VLOOKUP($W1611,TBL_Categories,3,FALSE)</f>
        <v>0</v>
      </c>
      <c r="U1611" t="str">
        <f>VLOOKUP($W1611,TBL_Categories,4,FALSE)</f>
        <v>No</v>
      </c>
      <c r="V1611" t="str">
        <f>VLOOKUP($W1611,TBL_Categories,5,FALSE)</f>
        <v>None</v>
      </c>
      <c r="W1611" t="str">
        <f t="shared" si="77"/>
        <v>Health &amp; Fitness|Pharmacy</v>
      </c>
    </row>
    <row r="1612" spans="1:23" x14ac:dyDescent="0.25">
      <c r="A1612" t="s">
        <v>296</v>
      </c>
      <c r="B1612" s="5">
        <v>41682</v>
      </c>
      <c r="C1612">
        <v>-3.14</v>
      </c>
      <c r="D1612" t="s">
        <v>304</v>
      </c>
      <c r="E1612" t="s">
        <v>439</v>
      </c>
      <c r="F1612" t="s">
        <v>558</v>
      </c>
      <c r="G1612" t="s">
        <v>915</v>
      </c>
      <c r="J1612" t="s">
        <v>1550</v>
      </c>
      <c r="K1612" t="s">
        <v>20</v>
      </c>
      <c r="Q1612" t="str">
        <f t="shared" si="75"/>
        <v>Feb</v>
      </c>
      <c r="R1612">
        <f t="shared" si="76"/>
        <v>2014</v>
      </c>
      <c r="S1612" t="str">
        <f>VLOOKUP($W1612,TBL_Categories,2,FALSE)</f>
        <v>Monthly</v>
      </c>
      <c r="T1612">
        <f>VLOOKUP($W1612,TBL_Categories,3,FALSE)</f>
        <v>0</v>
      </c>
      <c r="U1612" t="str">
        <f>VLOOKUP($W1612,TBL_Categories,4,FALSE)</f>
        <v>No</v>
      </c>
      <c r="V1612" t="str">
        <f>VLOOKUP($W1612,TBL_Categories,5,FALSE)</f>
        <v>None</v>
      </c>
      <c r="W1612" t="str">
        <f t="shared" si="77"/>
        <v>Gifts</v>
      </c>
    </row>
    <row r="1613" spans="1:23" x14ac:dyDescent="0.25">
      <c r="A1613" t="s">
        <v>296</v>
      </c>
      <c r="B1613" s="5">
        <v>41682</v>
      </c>
      <c r="C1613">
        <v>-10</v>
      </c>
      <c r="D1613" t="s">
        <v>304</v>
      </c>
      <c r="E1613" t="s">
        <v>559</v>
      </c>
      <c r="F1613" t="s">
        <v>560</v>
      </c>
      <c r="G1613" t="s">
        <v>432</v>
      </c>
      <c r="K1613" t="s">
        <v>52</v>
      </c>
      <c r="L1613" t="s">
        <v>1577</v>
      </c>
      <c r="Q1613" t="str">
        <f t="shared" si="75"/>
        <v>Feb</v>
      </c>
      <c r="R1613">
        <f t="shared" si="76"/>
        <v>2014</v>
      </c>
      <c r="S1613" t="str">
        <f>VLOOKUP($W1613,TBL_Categories,2,FALSE)</f>
        <v>Monthly</v>
      </c>
      <c r="T1613">
        <f>VLOOKUP($W1613,TBL_Categories,3,FALSE)</f>
        <v>0</v>
      </c>
      <c r="U1613" t="str">
        <f>VLOOKUP($W1613,TBL_Categories,4,FALSE)</f>
        <v>No</v>
      </c>
      <c r="V1613" t="str">
        <f>VLOOKUP($W1613,TBL_Categories,5,FALSE)</f>
        <v>None</v>
      </c>
      <c r="W1613" t="str">
        <f t="shared" si="77"/>
        <v>Auto &amp; Transport|Parking</v>
      </c>
    </row>
    <row r="1614" spans="1:23" x14ac:dyDescent="0.25">
      <c r="A1614" t="s">
        <v>296</v>
      </c>
      <c r="B1614" s="5">
        <v>41682</v>
      </c>
      <c r="C1614">
        <v>-33.909999999999997</v>
      </c>
      <c r="D1614" t="s">
        <v>304</v>
      </c>
      <c r="E1614" t="s">
        <v>433</v>
      </c>
      <c r="G1614" t="s">
        <v>887</v>
      </c>
      <c r="J1614" t="s">
        <v>1550</v>
      </c>
      <c r="K1614" t="s">
        <v>61</v>
      </c>
      <c r="L1614" t="s">
        <v>401</v>
      </c>
      <c r="Q1614" t="str">
        <f t="shared" si="75"/>
        <v>Feb</v>
      </c>
      <c r="R1614">
        <f t="shared" si="76"/>
        <v>2014</v>
      </c>
      <c r="S1614" t="str">
        <f>VLOOKUP($W1614,TBL_Categories,2,FALSE)</f>
        <v>Monthly</v>
      </c>
      <c r="T1614">
        <f>VLOOKUP($W1614,TBL_Categories,3,FALSE)</f>
        <v>0</v>
      </c>
      <c r="U1614" t="str">
        <f>VLOOKUP($W1614,TBL_Categories,4,FALSE)</f>
        <v>No</v>
      </c>
      <c r="V1614" t="str">
        <f>VLOOKUP($W1614,TBL_Categories,5,FALSE)</f>
        <v>None</v>
      </c>
      <c r="W1614" t="str">
        <f t="shared" si="77"/>
        <v>Food &amp; Dining|Groceries</v>
      </c>
    </row>
    <row r="1615" spans="1:23" x14ac:dyDescent="0.25">
      <c r="A1615" t="s">
        <v>296</v>
      </c>
      <c r="B1615" s="5">
        <v>41681</v>
      </c>
      <c r="C1615">
        <v>-17</v>
      </c>
      <c r="D1615" t="s">
        <v>304</v>
      </c>
      <c r="E1615" t="s">
        <v>553</v>
      </c>
      <c r="F1615" t="s">
        <v>554</v>
      </c>
      <c r="G1615" t="s">
        <v>20</v>
      </c>
      <c r="K1615" t="s">
        <v>20</v>
      </c>
      <c r="Q1615" t="str">
        <f t="shared" si="75"/>
        <v>Feb</v>
      </c>
      <c r="R1615">
        <f t="shared" si="76"/>
        <v>2014</v>
      </c>
      <c r="S1615" t="str">
        <f>VLOOKUP($W1615,TBL_Categories,2,FALSE)</f>
        <v>Monthly</v>
      </c>
      <c r="T1615">
        <f>VLOOKUP($W1615,TBL_Categories,3,FALSE)</f>
        <v>0</v>
      </c>
      <c r="U1615" t="str">
        <f>VLOOKUP($W1615,TBL_Categories,4,FALSE)</f>
        <v>No</v>
      </c>
      <c r="V1615" t="str">
        <f>VLOOKUP($W1615,TBL_Categories,5,FALSE)</f>
        <v>None</v>
      </c>
      <c r="W1615" t="str">
        <f t="shared" si="77"/>
        <v>Gifts</v>
      </c>
    </row>
    <row r="1616" spans="1:23" x14ac:dyDescent="0.25">
      <c r="A1616" t="s">
        <v>296</v>
      </c>
      <c r="B1616" s="5">
        <v>41680</v>
      </c>
      <c r="C1616">
        <v>-138</v>
      </c>
      <c r="D1616" t="s">
        <v>304</v>
      </c>
      <c r="E1616" t="s">
        <v>552</v>
      </c>
      <c r="F1616" t="s">
        <v>1050</v>
      </c>
      <c r="G1616" t="s">
        <v>410</v>
      </c>
      <c r="K1616" t="s">
        <v>75</v>
      </c>
      <c r="L1616" t="s">
        <v>1570</v>
      </c>
      <c r="O1616" t="s">
        <v>1608</v>
      </c>
      <c r="Q1616" t="str">
        <f t="shared" si="75"/>
        <v>Feb</v>
      </c>
      <c r="R1616">
        <f t="shared" si="76"/>
        <v>2014</v>
      </c>
      <c r="S1616" t="str">
        <f>VLOOKUP($W1616,TBL_Categories,2,FALSE)</f>
        <v>Irregular</v>
      </c>
      <c r="T1616">
        <f>VLOOKUP($W1616,TBL_Categories,3,FALSE)</f>
        <v>0</v>
      </c>
      <c r="U1616" t="str">
        <f>VLOOKUP($W1616,TBL_Categories,4,FALSE)</f>
        <v>No</v>
      </c>
      <c r="V1616" t="str">
        <f>VLOOKUP($W1616,TBL_Categories,5,FALSE)</f>
        <v>None</v>
      </c>
      <c r="W1616" t="str">
        <f t="shared" si="77"/>
        <v>Vacation|Transportation</v>
      </c>
    </row>
    <row r="1617" spans="1:23" x14ac:dyDescent="0.25">
      <c r="A1617" t="s">
        <v>296</v>
      </c>
      <c r="B1617" s="5">
        <v>41680</v>
      </c>
      <c r="C1617">
        <v>-335</v>
      </c>
      <c r="D1617" t="s">
        <v>304</v>
      </c>
      <c r="E1617" t="s">
        <v>447</v>
      </c>
      <c r="F1617" t="s">
        <v>544</v>
      </c>
      <c r="G1617" t="s">
        <v>329</v>
      </c>
      <c r="K1617" t="s">
        <v>54</v>
      </c>
      <c r="L1617" t="s">
        <v>1529</v>
      </c>
      <c r="Q1617" t="str">
        <f t="shared" si="75"/>
        <v>Feb</v>
      </c>
      <c r="R1617">
        <f t="shared" si="76"/>
        <v>2014</v>
      </c>
      <c r="S1617" t="str">
        <f>VLOOKUP($W1617,TBL_Categories,2,FALSE)</f>
        <v>Monthly</v>
      </c>
      <c r="T1617">
        <f>VLOOKUP($W1617,TBL_Categories,3,FALSE)</f>
        <v>0</v>
      </c>
      <c r="U1617" t="str">
        <f>VLOOKUP($W1617,TBL_Categories,4,FALSE)</f>
        <v>No</v>
      </c>
      <c r="V1617" t="str">
        <f>VLOOKUP($W1617,TBL_Categories,5,FALSE)</f>
        <v>None</v>
      </c>
      <c r="W1617" t="str">
        <f t="shared" si="77"/>
        <v>Bills &amp; Utilities|Insurance (Umbrella)</v>
      </c>
    </row>
    <row r="1618" spans="1:23" x14ac:dyDescent="0.25">
      <c r="A1618" t="s">
        <v>296</v>
      </c>
      <c r="B1618" s="5">
        <v>41680</v>
      </c>
      <c r="C1618" s="4">
        <v>-2259.7199999999998</v>
      </c>
      <c r="D1618" t="s">
        <v>304</v>
      </c>
      <c r="E1618" t="s">
        <v>447</v>
      </c>
      <c r="F1618" t="s">
        <v>544</v>
      </c>
      <c r="G1618" t="s">
        <v>418</v>
      </c>
      <c r="K1618" t="s">
        <v>52</v>
      </c>
      <c r="L1618" t="s">
        <v>1578</v>
      </c>
      <c r="Q1618" t="str">
        <f t="shared" si="75"/>
        <v>Feb</v>
      </c>
      <c r="R1618">
        <f t="shared" si="76"/>
        <v>2014</v>
      </c>
      <c r="S1618" t="str">
        <f>VLOOKUP($W1618,TBL_Categories,2,FALSE)</f>
        <v>Annual</v>
      </c>
      <c r="T1618">
        <f>VLOOKUP($W1618,TBL_Categories,3,FALSE)</f>
        <v>0</v>
      </c>
      <c r="U1618" t="str">
        <f>VLOOKUP($W1618,TBL_Categories,4,FALSE)</f>
        <v>No</v>
      </c>
      <c r="V1618" t="str">
        <f>VLOOKUP($W1618,TBL_Categories,5,FALSE)</f>
        <v>None</v>
      </c>
      <c r="W1618" t="str">
        <f t="shared" si="77"/>
        <v>Auto &amp; Transport|Auto Insurance</v>
      </c>
    </row>
    <row r="1619" spans="1:23" x14ac:dyDescent="0.25">
      <c r="A1619" t="s">
        <v>299</v>
      </c>
      <c r="B1619" s="5">
        <v>41680</v>
      </c>
      <c r="C1619">
        <v>-3.32</v>
      </c>
      <c r="D1619" t="s">
        <v>304</v>
      </c>
      <c r="E1619" t="s">
        <v>368</v>
      </c>
      <c r="F1619" t="s">
        <v>1652</v>
      </c>
      <c r="G1619" t="s">
        <v>915</v>
      </c>
      <c r="H1619">
        <v>799999940411</v>
      </c>
      <c r="J1619" t="s">
        <v>1550</v>
      </c>
      <c r="K1619" t="s">
        <v>20</v>
      </c>
      <c r="Q1619" t="str">
        <f t="shared" si="75"/>
        <v>Feb</v>
      </c>
      <c r="R1619">
        <f t="shared" si="76"/>
        <v>2014</v>
      </c>
      <c r="S1619" t="str">
        <f>VLOOKUP($W1619,TBL_Categories,2,FALSE)</f>
        <v>Monthly</v>
      </c>
      <c r="T1619">
        <f>VLOOKUP($W1619,TBL_Categories,3,FALSE)</f>
        <v>0</v>
      </c>
      <c r="U1619" t="str">
        <f>VLOOKUP($W1619,TBL_Categories,4,FALSE)</f>
        <v>No</v>
      </c>
      <c r="V1619" t="str">
        <f>VLOOKUP($W1619,TBL_Categories,5,FALSE)</f>
        <v>None</v>
      </c>
      <c r="W1619" t="str">
        <f t="shared" si="77"/>
        <v>Gifts</v>
      </c>
    </row>
    <row r="1620" spans="1:23" x14ac:dyDescent="0.25">
      <c r="A1620" t="s">
        <v>290</v>
      </c>
      <c r="B1620" s="5">
        <v>41679</v>
      </c>
      <c r="C1620">
        <v>-40</v>
      </c>
      <c r="D1620" t="s">
        <v>304</v>
      </c>
      <c r="E1620" t="s">
        <v>407</v>
      </c>
      <c r="G1620" t="s">
        <v>322</v>
      </c>
      <c r="I1620" t="s">
        <v>272</v>
      </c>
      <c r="K1620" t="s">
        <v>66</v>
      </c>
      <c r="L1620" t="s">
        <v>1527</v>
      </c>
      <c r="Q1620" t="str">
        <f t="shared" si="75"/>
        <v>Feb</v>
      </c>
      <c r="R1620">
        <f t="shared" si="76"/>
        <v>2014</v>
      </c>
      <c r="S1620" t="str">
        <f>VLOOKUP($W1620,TBL_Categories,2,FALSE)</f>
        <v>Monthly</v>
      </c>
      <c r="T1620">
        <f>VLOOKUP($W1620,TBL_Categories,3,FALSE)</f>
        <v>0</v>
      </c>
      <c r="U1620" t="str">
        <f>VLOOKUP($W1620,TBL_Categories,4,FALSE)</f>
        <v>No</v>
      </c>
      <c r="V1620" t="str">
        <f>VLOOKUP($W1620,TBL_Categories,5,FALSE)</f>
        <v>None</v>
      </c>
      <c r="W1620" t="str">
        <f t="shared" si="77"/>
        <v>Kids|Babysitter</v>
      </c>
    </row>
    <row r="1621" spans="1:23" x14ac:dyDescent="0.25">
      <c r="A1621" t="s">
        <v>290</v>
      </c>
      <c r="B1621" s="5">
        <v>41679</v>
      </c>
      <c r="C1621">
        <v>-3.5</v>
      </c>
      <c r="D1621" t="s">
        <v>304</v>
      </c>
      <c r="E1621" t="s">
        <v>407</v>
      </c>
      <c r="G1621" t="s">
        <v>397</v>
      </c>
      <c r="I1621" t="s">
        <v>272</v>
      </c>
      <c r="K1621" t="s">
        <v>53</v>
      </c>
      <c r="L1621" t="s">
        <v>1562</v>
      </c>
      <c r="Q1621" t="str">
        <f t="shared" si="75"/>
        <v>Feb</v>
      </c>
      <c r="R1621">
        <f t="shared" si="76"/>
        <v>2014</v>
      </c>
      <c r="S1621" t="str">
        <f>VLOOKUP($W1621,TBL_Categories,2,FALSE)</f>
        <v>Monthly</v>
      </c>
      <c r="T1621">
        <f>VLOOKUP($W1621,TBL_Categories,3,FALSE)</f>
        <v>0</v>
      </c>
      <c r="U1621" t="str">
        <f>VLOOKUP($W1621,TBL_Categories,4,FALSE)</f>
        <v>No</v>
      </c>
      <c r="V1621" t="str">
        <f>VLOOKUP($W1621,TBL_Categories,5,FALSE)</f>
        <v>None</v>
      </c>
      <c r="W1621" t="str">
        <f t="shared" si="77"/>
        <v>Bank Fees &amp; Charges|ATM Fee</v>
      </c>
    </row>
    <row r="1622" spans="1:23" x14ac:dyDescent="0.25">
      <c r="A1622" t="s">
        <v>296</v>
      </c>
      <c r="B1622" s="5">
        <v>41679</v>
      </c>
      <c r="C1622">
        <v>-19.420000000000002</v>
      </c>
      <c r="D1622" t="s">
        <v>304</v>
      </c>
      <c r="E1622" t="s">
        <v>550</v>
      </c>
      <c r="F1622" t="s">
        <v>551</v>
      </c>
      <c r="G1622" t="s">
        <v>333</v>
      </c>
      <c r="K1622" t="s">
        <v>61</v>
      </c>
      <c r="L1622" t="s">
        <v>1530</v>
      </c>
      <c r="Q1622" t="str">
        <f t="shared" si="75"/>
        <v>Feb</v>
      </c>
      <c r="R1622">
        <f t="shared" si="76"/>
        <v>2014</v>
      </c>
      <c r="S1622" t="str">
        <f>VLOOKUP($W1622,TBL_Categories,2,FALSE)</f>
        <v>Monthly</v>
      </c>
      <c r="T1622">
        <f>VLOOKUP($W1622,TBL_Categories,3,FALSE)</f>
        <v>0</v>
      </c>
      <c r="U1622" t="str">
        <f>VLOOKUP($W1622,TBL_Categories,4,FALSE)</f>
        <v>No</v>
      </c>
      <c r="V1622" t="str">
        <f>VLOOKUP($W1622,TBL_Categories,5,FALSE)</f>
        <v>None</v>
      </c>
      <c r="W1622" t="str">
        <f t="shared" si="77"/>
        <v>Food &amp; Dining|Restaurants</v>
      </c>
    </row>
    <row r="1623" spans="1:23" x14ac:dyDescent="0.25">
      <c r="A1623" t="s">
        <v>296</v>
      </c>
      <c r="B1623" s="5">
        <v>41679</v>
      </c>
      <c r="C1623">
        <v>-25.81</v>
      </c>
      <c r="D1623" t="s">
        <v>304</v>
      </c>
      <c r="E1623" t="s">
        <v>442</v>
      </c>
      <c r="F1623" t="s">
        <v>733</v>
      </c>
      <c r="G1623" t="s">
        <v>888</v>
      </c>
      <c r="J1623" t="s">
        <v>1550</v>
      </c>
      <c r="K1623" t="s">
        <v>63</v>
      </c>
      <c r="L1623" t="s">
        <v>1546</v>
      </c>
      <c r="Q1623" t="str">
        <f t="shared" si="75"/>
        <v>Feb</v>
      </c>
      <c r="R1623">
        <f t="shared" si="76"/>
        <v>2014</v>
      </c>
      <c r="S1623" t="str">
        <f>VLOOKUP($W1623,TBL_Categories,2,FALSE)</f>
        <v>Monthly</v>
      </c>
      <c r="T1623">
        <f>VLOOKUP($W1623,TBL_Categories,3,FALSE)</f>
        <v>0</v>
      </c>
      <c r="U1623" t="str">
        <f>VLOOKUP($W1623,TBL_Categories,4,FALSE)</f>
        <v>No</v>
      </c>
      <c r="V1623" t="str">
        <f>VLOOKUP($W1623,TBL_Categories,5,FALSE)</f>
        <v>None</v>
      </c>
      <c r="W1623" t="str">
        <f t="shared" si="77"/>
        <v>Home|Furnishings</v>
      </c>
    </row>
    <row r="1624" spans="1:23" x14ac:dyDescent="0.25">
      <c r="A1624" t="s">
        <v>296</v>
      </c>
      <c r="B1624" s="5">
        <v>41679</v>
      </c>
      <c r="C1624">
        <v>-50</v>
      </c>
      <c r="D1624" t="s">
        <v>304</v>
      </c>
      <c r="E1624" t="s">
        <v>470</v>
      </c>
      <c r="F1624" t="s">
        <v>509</v>
      </c>
      <c r="G1624" t="s">
        <v>448</v>
      </c>
      <c r="K1624" t="s">
        <v>52</v>
      </c>
      <c r="L1624" t="s">
        <v>1585</v>
      </c>
      <c r="Q1624" t="str">
        <f t="shared" si="75"/>
        <v>Feb</v>
      </c>
      <c r="R1624">
        <f t="shared" si="76"/>
        <v>2014</v>
      </c>
      <c r="S1624" t="str">
        <f>VLOOKUP($W1624,TBL_Categories,2,FALSE)</f>
        <v>Irregular</v>
      </c>
      <c r="T1624">
        <f>VLOOKUP($W1624,TBL_Categories,3,FALSE)</f>
        <v>0</v>
      </c>
      <c r="U1624" t="str">
        <f>VLOOKUP($W1624,TBL_Categories,4,FALSE)</f>
        <v>No</v>
      </c>
      <c r="V1624" t="str">
        <f>VLOOKUP($W1624,TBL_Categories,5,FALSE)</f>
        <v>None</v>
      </c>
      <c r="W1624" t="str">
        <f t="shared" si="77"/>
        <v>Auto &amp; Transport|Tolls</v>
      </c>
    </row>
    <row r="1625" spans="1:23" x14ac:dyDescent="0.25">
      <c r="A1625" t="s">
        <v>296</v>
      </c>
      <c r="B1625" s="5">
        <v>41678</v>
      </c>
      <c r="C1625">
        <v>-2.73</v>
      </c>
      <c r="D1625" t="s">
        <v>304</v>
      </c>
      <c r="E1625" t="s">
        <v>453</v>
      </c>
      <c r="F1625" t="s">
        <v>474</v>
      </c>
      <c r="G1625" t="s">
        <v>432</v>
      </c>
      <c r="K1625" t="s">
        <v>52</v>
      </c>
      <c r="L1625" t="s">
        <v>1577</v>
      </c>
      <c r="Q1625" t="str">
        <f t="shared" si="75"/>
        <v>Feb</v>
      </c>
      <c r="R1625">
        <f t="shared" si="76"/>
        <v>2014</v>
      </c>
      <c r="S1625" t="str">
        <f>VLOOKUP($W1625,TBL_Categories,2,FALSE)</f>
        <v>Monthly</v>
      </c>
      <c r="T1625">
        <f>VLOOKUP($W1625,TBL_Categories,3,FALSE)</f>
        <v>0</v>
      </c>
      <c r="U1625" t="str">
        <f>VLOOKUP($W1625,TBL_Categories,4,FALSE)</f>
        <v>No</v>
      </c>
      <c r="V1625" t="str">
        <f>VLOOKUP($W1625,TBL_Categories,5,FALSE)</f>
        <v>None</v>
      </c>
      <c r="W1625" t="str">
        <f t="shared" si="77"/>
        <v>Auto &amp; Transport|Parking</v>
      </c>
    </row>
    <row r="1626" spans="1:23" x14ac:dyDescent="0.25">
      <c r="A1626" t="s">
        <v>296</v>
      </c>
      <c r="B1626" s="5">
        <v>41678</v>
      </c>
      <c r="C1626">
        <v>-19</v>
      </c>
      <c r="D1626" t="s">
        <v>304</v>
      </c>
      <c r="E1626" t="s">
        <v>436</v>
      </c>
      <c r="F1626" t="s">
        <v>547</v>
      </c>
      <c r="G1626" t="s">
        <v>333</v>
      </c>
      <c r="K1626" t="s">
        <v>61</v>
      </c>
      <c r="L1626" t="s">
        <v>1530</v>
      </c>
      <c r="Q1626" t="str">
        <f t="shared" si="75"/>
        <v>Feb</v>
      </c>
      <c r="R1626">
        <f t="shared" si="76"/>
        <v>2014</v>
      </c>
      <c r="S1626" t="str">
        <f>VLOOKUP($W1626,TBL_Categories,2,FALSE)</f>
        <v>Monthly</v>
      </c>
      <c r="T1626">
        <f>VLOOKUP($W1626,TBL_Categories,3,FALSE)</f>
        <v>0</v>
      </c>
      <c r="U1626" t="str">
        <f>VLOOKUP($W1626,TBL_Categories,4,FALSE)</f>
        <v>No</v>
      </c>
      <c r="V1626" t="str">
        <f>VLOOKUP($W1626,TBL_Categories,5,FALSE)</f>
        <v>None</v>
      </c>
      <c r="W1626" t="str">
        <f t="shared" si="77"/>
        <v>Food &amp; Dining|Restaurants</v>
      </c>
    </row>
    <row r="1627" spans="1:23" x14ac:dyDescent="0.25">
      <c r="A1627" t="s">
        <v>296</v>
      </c>
      <c r="B1627" s="5">
        <v>41678</v>
      </c>
      <c r="C1627">
        <v>-34</v>
      </c>
      <c r="D1627" t="s">
        <v>304</v>
      </c>
      <c r="E1627" t="s">
        <v>548</v>
      </c>
      <c r="F1627" t="s">
        <v>549</v>
      </c>
      <c r="G1627" t="s">
        <v>398</v>
      </c>
      <c r="K1627" t="s">
        <v>70</v>
      </c>
      <c r="L1627" t="s">
        <v>1563</v>
      </c>
      <c r="Q1627" t="str">
        <f t="shared" si="75"/>
        <v>Feb</v>
      </c>
      <c r="R1627">
        <f t="shared" si="76"/>
        <v>2014</v>
      </c>
      <c r="S1627" t="str">
        <f>VLOOKUP($W1627,TBL_Categories,2,FALSE)</f>
        <v>Monthly</v>
      </c>
      <c r="T1627">
        <f>VLOOKUP($W1627,TBL_Categories,3,FALSE)</f>
        <v>0</v>
      </c>
      <c r="U1627" t="str">
        <f>VLOOKUP($W1627,TBL_Categories,4,FALSE)</f>
        <v>No</v>
      </c>
      <c r="V1627" t="str">
        <f>VLOOKUP($W1627,TBL_Categories,5,FALSE)</f>
        <v>None</v>
      </c>
      <c r="W1627" t="str">
        <f t="shared" si="77"/>
        <v>Personal Care|Hair</v>
      </c>
    </row>
    <row r="1628" spans="1:23" x14ac:dyDescent="0.25">
      <c r="A1628" t="s">
        <v>296</v>
      </c>
      <c r="B1628" s="5">
        <v>41678</v>
      </c>
      <c r="C1628">
        <v>-55.17</v>
      </c>
      <c r="D1628" t="s">
        <v>304</v>
      </c>
      <c r="E1628" t="s">
        <v>433</v>
      </c>
      <c r="F1628" t="s">
        <v>481</v>
      </c>
      <c r="G1628" t="s">
        <v>887</v>
      </c>
      <c r="J1628" t="s">
        <v>1550</v>
      </c>
      <c r="K1628" t="s">
        <v>61</v>
      </c>
      <c r="L1628" t="s">
        <v>401</v>
      </c>
      <c r="Q1628" t="str">
        <f t="shared" si="75"/>
        <v>Feb</v>
      </c>
      <c r="R1628">
        <f t="shared" si="76"/>
        <v>2014</v>
      </c>
      <c r="S1628" t="str">
        <f>VLOOKUP($W1628,TBL_Categories,2,FALSE)</f>
        <v>Monthly</v>
      </c>
      <c r="T1628">
        <f>VLOOKUP($W1628,TBL_Categories,3,FALSE)</f>
        <v>0</v>
      </c>
      <c r="U1628" t="str">
        <f>VLOOKUP($W1628,TBL_Categories,4,FALSE)</f>
        <v>No</v>
      </c>
      <c r="V1628" t="str">
        <f>VLOOKUP($W1628,TBL_Categories,5,FALSE)</f>
        <v>None</v>
      </c>
      <c r="W1628" t="str">
        <f t="shared" si="77"/>
        <v>Food &amp; Dining|Groceries</v>
      </c>
    </row>
    <row r="1629" spans="1:23" x14ac:dyDescent="0.25">
      <c r="A1629" t="s">
        <v>296</v>
      </c>
      <c r="B1629" s="5">
        <v>41678</v>
      </c>
      <c r="C1629">
        <v>-69.48</v>
      </c>
      <c r="D1629" t="s">
        <v>304</v>
      </c>
      <c r="E1629" t="s">
        <v>434</v>
      </c>
      <c r="F1629" t="s">
        <v>476</v>
      </c>
      <c r="G1629" t="s">
        <v>887</v>
      </c>
      <c r="J1629" t="s">
        <v>1550</v>
      </c>
      <c r="K1629" t="s">
        <v>61</v>
      </c>
      <c r="L1629" t="s">
        <v>401</v>
      </c>
      <c r="Q1629" t="str">
        <f t="shared" si="75"/>
        <v>Feb</v>
      </c>
      <c r="R1629">
        <f t="shared" si="76"/>
        <v>2014</v>
      </c>
      <c r="S1629" t="str">
        <f>VLOOKUP($W1629,TBL_Categories,2,FALSE)</f>
        <v>Monthly</v>
      </c>
      <c r="T1629">
        <f>VLOOKUP($W1629,TBL_Categories,3,FALSE)</f>
        <v>0</v>
      </c>
      <c r="U1629" t="str">
        <f>VLOOKUP($W1629,TBL_Categories,4,FALSE)</f>
        <v>No</v>
      </c>
      <c r="V1629" t="str">
        <f>VLOOKUP($W1629,TBL_Categories,5,FALSE)</f>
        <v>None</v>
      </c>
      <c r="W1629" t="str">
        <f t="shared" si="77"/>
        <v>Food &amp; Dining|Groceries</v>
      </c>
    </row>
    <row r="1630" spans="1:23" x14ac:dyDescent="0.25">
      <c r="A1630" t="s">
        <v>296</v>
      </c>
      <c r="B1630" s="5">
        <v>41677</v>
      </c>
      <c r="C1630">
        <v>-9.8000000000000007</v>
      </c>
      <c r="D1630" t="s">
        <v>304</v>
      </c>
      <c r="E1630" t="s">
        <v>480</v>
      </c>
      <c r="F1630" t="s">
        <v>1048</v>
      </c>
      <c r="G1630" t="s">
        <v>1049</v>
      </c>
      <c r="J1630" t="s">
        <v>1550</v>
      </c>
      <c r="K1630" t="s">
        <v>55</v>
      </c>
      <c r="L1630" t="s">
        <v>1548</v>
      </c>
      <c r="Q1630" t="str">
        <f t="shared" si="75"/>
        <v>Feb</v>
      </c>
      <c r="R1630">
        <f t="shared" si="76"/>
        <v>2014</v>
      </c>
      <c r="S1630" t="str">
        <f>VLOOKUP($W1630,TBL_Categories,2,FALSE)</f>
        <v>Annual</v>
      </c>
      <c r="T1630">
        <f>VLOOKUP($W1630,TBL_Categories,3,FALSE)</f>
        <v>0</v>
      </c>
      <c r="U1630" t="str">
        <f>VLOOKUP($W1630,TBL_Categories,4,FALSE)</f>
        <v>No</v>
      </c>
      <c r="V1630" t="str">
        <f>VLOOKUP($W1630,TBL_Categories,5,FALSE)</f>
        <v>None</v>
      </c>
      <c r="W1630" t="str">
        <f t="shared" si="77"/>
        <v>Business Expenses (Koolikai)|Postage and Delivery (Business)</v>
      </c>
    </row>
    <row r="1631" spans="1:23" x14ac:dyDescent="0.25">
      <c r="A1631" t="s">
        <v>296</v>
      </c>
      <c r="B1631" s="5">
        <v>41677</v>
      </c>
      <c r="C1631">
        <v>-31.6</v>
      </c>
      <c r="D1631" t="s">
        <v>304</v>
      </c>
      <c r="E1631" t="s">
        <v>437</v>
      </c>
      <c r="F1631" t="s">
        <v>546</v>
      </c>
      <c r="G1631" t="s">
        <v>915</v>
      </c>
      <c r="J1631" t="s">
        <v>1550</v>
      </c>
      <c r="K1631" t="s">
        <v>20</v>
      </c>
      <c r="Q1631" t="str">
        <f t="shared" si="75"/>
        <v>Feb</v>
      </c>
      <c r="R1631">
        <f t="shared" si="76"/>
        <v>2014</v>
      </c>
      <c r="S1631" t="str">
        <f>VLOOKUP($W1631,TBL_Categories,2,FALSE)</f>
        <v>Monthly</v>
      </c>
      <c r="T1631">
        <f>VLOOKUP($W1631,TBL_Categories,3,FALSE)</f>
        <v>0</v>
      </c>
      <c r="U1631" t="str">
        <f>VLOOKUP($W1631,TBL_Categories,4,FALSE)</f>
        <v>No</v>
      </c>
      <c r="V1631" t="str">
        <f>VLOOKUP($W1631,TBL_Categories,5,FALSE)</f>
        <v>None</v>
      </c>
      <c r="W1631" t="str">
        <f t="shared" si="77"/>
        <v>Gifts</v>
      </c>
    </row>
    <row r="1632" spans="1:23" x14ac:dyDescent="0.25">
      <c r="A1632" t="s">
        <v>284</v>
      </c>
      <c r="B1632" s="5">
        <v>41676</v>
      </c>
      <c r="C1632">
        <v>-491.36</v>
      </c>
      <c r="D1632" t="s">
        <v>304</v>
      </c>
      <c r="E1632" t="s">
        <v>366</v>
      </c>
      <c r="G1632" t="s">
        <v>23</v>
      </c>
      <c r="K1632" t="s">
        <v>23</v>
      </c>
      <c r="Q1632" t="str">
        <f t="shared" si="75"/>
        <v>Feb</v>
      </c>
      <c r="R1632">
        <f t="shared" si="76"/>
        <v>2014</v>
      </c>
      <c r="S1632" t="str">
        <f>VLOOKUP($W1632,TBL_Categories,2,FALSE)</f>
        <v>Account</v>
      </c>
      <c r="T1632">
        <f>VLOOKUP($W1632,TBL_Categories,3,FALSE)</f>
        <v>0</v>
      </c>
      <c r="U1632" t="str">
        <f>VLOOKUP($W1632,TBL_Categories,4,FALSE)</f>
        <v>No</v>
      </c>
      <c r="V1632" t="str">
        <f>VLOOKUP($W1632,TBL_Categories,5,FALSE)</f>
        <v>None</v>
      </c>
      <c r="W1632" t="str">
        <f t="shared" si="77"/>
        <v>[Target Red Card]</v>
      </c>
    </row>
    <row r="1633" spans="1:23" x14ac:dyDescent="0.25">
      <c r="A1633" t="s">
        <v>296</v>
      </c>
      <c r="B1633" s="5">
        <v>41676</v>
      </c>
      <c r="C1633">
        <v>-4.92</v>
      </c>
      <c r="D1633" t="s">
        <v>304</v>
      </c>
      <c r="E1633" t="s">
        <v>465</v>
      </c>
      <c r="F1633" t="s">
        <v>545</v>
      </c>
      <c r="G1633" t="s">
        <v>333</v>
      </c>
      <c r="K1633" t="s">
        <v>61</v>
      </c>
      <c r="L1633" t="s">
        <v>1530</v>
      </c>
      <c r="Q1633" t="str">
        <f t="shared" si="75"/>
        <v>Feb</v>
      </c>
      <c r="R1633">
        <f t="shared" si="76"/>
        <v>2014</v>
      </c>
      <c r="S1633" t="str">
        <f>VLOOKUP($W1633,TBL_Categories,2,FALSE)</f>
        <v>Monthly</v>
      </c>
      <c r="T1633">
        <f>VLOOKUP($W1633,TBL_Categories,3,FALSE)</f>
        <v>0</v>
      </c>
      <c r="U1633" t="str">
        <f>VLOOKUP($W1633,TBL_Categories,4,FALSE)</f>
        <v>No</v>
      </c>
      <c r="V1633" t="str">
        <f>VLOOKUP($W1633,TBL_Categories,5,FALSE)</f>
        <v>None</v>
      </c>
      <c r="W1633" t="str">
        <f t="shared" si="77"/>
        <v>Food &amp; Dining|Restaurants</v>
      </c>
    </row>
    <row r="1634" spans="1:23" x14ac:dyDescent="0.25">
      <c r="A1634" t="s">
        <v>299</v>
      </c>
      <c r="B1634" s="5">
        <v>41676</v>
      </c>
      <c r="C1634">
        <v>491.36</v>
      </c>
      <c r="D1634" t="s">
        <v>304</v>
      </c>
      <c r="E1634" t="s">
        <v>366</v>
      </c>
      <c r="G1634" t="s">
        <v>9</v>
      </c>
      <c r="K1634" t="s">
        <v>9</v>
      </c>
      <c r="Q1634" t="str">
        <f t="shared" si="75"/>
        <v>Feb</v>
      </c>
      <c r="R1634">
        <f t="shared" si="76"/>
        <v>2014</v>
      </c>
      <c r="S1634" t="str">
        <f>VLOOKUP($W1634,TBL_Categories,2,FALSE)</f>
        <v>Account</v>
      </c>
      <c r="T1634">
        <f>VLOOKUP($W1634,TBL_Categories,3,FALSE)</f>
        <v>0</v>
      </c>
      <c r="U1634" t="str">
        <f>VLOOKUP($W1634,TBL_Categories,4,FALSE)</f>
        <v>No</v>
      </c>
      <c r="V1634" t="str">
        <f>VLOOKUP($W1634,TBL_Categories,5,FALSE)</f>
        <v>None</v>
      </c>
      <c r="W1634" t="str">
        <f t="shared" si="77"/>
        <v>[First Tech - Checking (5544)]</v>
      </c>
    </row>
    <row r="1635" spans="1:23" x14ac:dyDescent="0.25">
      <c r="A1635" t="s">
        <v>284</v>
      </c>
      <c r="B1635" s="5">
        <v>41675</v>
      </c>
      <c r="C1635" s="4">
        <v>-3748.69</v>
      </c>
      <c r="D1635" t="s">
        <v>304</v>
      </c>
      <c r="E1635" t="s">
        <v>344</v>
      </c>
      <c r="F1635" t="s">
        <v>349</v>
      </c>
      <c r="G1635" t="s">
        <v>320</v>
      </c>
      <c r="K1635" t="s">
        <v>63</v>
      </c>
      <c r="L1635" t="s">
        <v>1526</v>
      </c>
      <c r="Q1635" t="str">
        <f t="shared" si="75"/>
        <v>Feb</v>
      </c>
      <c r="R1635">
        <f t="shared" si="76"/>
        <v>2014</v>
      </c>
      <c r="S1635" t="str">
        <f>VLOOKUP($W1635,TBL_Categories,2,FALSE)</f>
        <v>Monthly</v>
      </c>
      <c r="T1635">
        <f>VLOOKUP($W1635,TBL_Categories,3,FALSE)</f>
        <v>0</v>
      </c>
      <c r="U1635" t="str">
        <f>VLOOKUP($W1635,TBL_Categories,4,FALSE)</f>
        <v>No</v>
      </c>
      <c r="V1635" t="str">
        <f>VLOOKUP($W1635,TBL_Categories,5,FALSE)</f>
        <v>None</v>
      </c>
      <c r="W1635" t="str">
        <f t="shared" si="77"/>
        <v>Home|Mortgage</v>
      </c>
    </row>
    <row r="1636" spans="1:23" x14ac:dyDescent="0.25">
      <c r="A1636" t="s">
        <v>288</v>
      </c>
      <c r="B1636" s="5">
        <v>41675</v>
      </c>
      <c r="C1636">
        <v>100</v>
      </c>
      <c r="D1636" t="s">
        <v>304</v>
      </c>
      <c r="E1636" t="s">
        <v>383</v>
      </c>
      <c r="F1636" t="s">
        <v>395</v>
      </c>
      <c r="G1636" t="s">
        <v>389</v>
      </c>
      <c r="I1636" t="s">
        <v>272</v>
      </c>
      <c r="J1636">
        <v>7231</v>
      </c>
      <c r="K1636" t="s">
        <v>55</v>
      </c>
      <c r="L1636" t="s">
        <v>1558</v>
      </c>
      <c r="Q1636" t="str">
        <f t="shared" si="75"/>
        <v>Feb</v>
      </c>
      <c r="R1636">
        <f t="shared" si="76"/>
        <v>2014</v>
      </c>
      <c r="S1636" t="str">
        <f>VLOOKUP($W1636,TBL_Categories,2,FALSE)</f>
        <v>Monthly</v>
      </c>
      <c r="T1636">
        <f>VLOOKUP($W1636,TBL_Categories,3,FALSE)</f>
        <v>0</v>
      </c>
      <c r="U1636" t="str">
        <f>VLOOKUP($W1636,TBL_Categories,4,FALSE)</f>
        <v>No</v>
      </c>
      <c r="V1636" t="str">
        <f>VLOOKUP($W1636,TBL_Categories,5,FALSE)</f>
        <v>None</v>
      </c>
      <c r="W1636" t="str">
        <f t="shared" si="77"/>
        <v>Business Expenses (Koolikai)|Utilities (Business)</v>
      </c>
    </row>
    <row r="1637" spans="1:23" x14ac:dyDescent="0.25">
      <c r="A1637" t="s">
        <v>296</v>
      </c>
      <c r="B1637" s="5">
        <v>41675</v>
      </c>
      <c r="C1637">
        <v>-3.25</v>
      </c>
      <c r="D1637" t="s">
        <v>304</v>
      </c>
      <c r="E1637" t="s">
        <v>428</v>
      </c>
      <c r="F1637" t="s">
        <v>472</v>
      </c>
      <c r="G1637" t="s">
        <v>342</v>
      </c>
      <c r="K1637" t="s">
        <v>61</v>
      </c>
      <c r="L1637" t="s">
        <v>401</v>
      </c>
      <c r="Q1637" t="str">
        <f t="shared" si="75"/>
        <v>Feb</v>
      </c>
      <c r="R1637">
        <f t="shared" si="76"/>
        <v>2014</v>
      </c>
      <c r="S1637" t="str">
        <f>VLOOKUP($W1637,TBL_Categories,2,FALSE)</f>
        <v>Monthly</v>
      </c>
      <c r="T1637">
        <f>VLOOKUP($W1637,TBL_Categories,3,FALSE)</f>
        <v>0</v>
      </c>
      <c r="U1637" t="str">
        <f>VLOOKUP($W1637,TBL_Categories,4,FALSE)</f>
        <v>No</v>
      </c>
      <c r="V1637" t="str">
        <f>VLOOKUP($W1637,TBL_Categories,5,FALSE)</f>
        <v>None</v>
      </c>
      <c r="W1637" t="str">
        <f t="shared" si="77"/>
        <v>Food &amp; Dining|Groceries</v>
      </c>
    </row>
    <row r="1638" spans="1:23" x14ac:dyDescent="0.25">
      <c r="A1638" t="s">
        <v>284</v>
      </c>
      <c r="B1638" s="5">
        <v>41674</v>
      </c>
      <c r="C1638">
        <v>-500</v>
      </c>
      <c r="D1638" t="s">
        <v>304</v>
      </c>
      <c r="E1638" t="s">
        <v>364</v>
      </c>
      <c r="F1638" t="s">
        <v>339</v>
      </c>
      <c r="G1638" t="s">
        <v>340</v>
      </c>
      <c r="K1638" t="s">
        <v>66</v>
      </c>
      <c r="L1638" t="s">
        <v>1533</v>
      </c>
      <c r="Q1638" t="str">
        <f t="shared" si="75"/>
        <v>Feb</v>
      </c>
      <c r="R1638">
        <f t="shared" si="76"/>
        <v>2014</v>
      </c>
      <c r="S1638" t="str">
        <f>VLOOKUP($W1638,TBL_Categories,2,FALSE)</f>
        <v>Monthly</v>
      </c>
      <c r="T1638">
        <f>VLOOKUP($W1638,TBL_Categories,3,FALSE)</f>
        <v>0</v>
      </c>
      <c r="U1638" t="str">
        <f>VLOOKUP($W1638,TBL_Categories,4,FALSE)</f>
        <v>No</v>
      </c>
      <c r="V1638" t="str">
        <f>VLOOKUP($W1638,TBL_Categories,5,FALSE)</f>
        <v>None</v>
      </c>
      <c r="W1638" t="str">
        <f t="shared" si="77"/>
        <v>Kids|American Funds 529A</v>
      </c>
    </row>
    <row r="1639" spans="1:23" x14ac:dyDescent="0.25">
      <c r="A1639" t="s">
        <v>290</v>
      </c>
      <c r="B1639" s="5">
        <v>41674</v>
      </c>
      <c r="C1639">
        <v>-1.25</v>
      </c>
      <c r="D1639" t="s">
        <v>304</v>
      </c>
      <c r="E1639" t="s">
        <v>405</v>
      </c>
      <c r="G1639" t="s">
        <v>882</v>
      </c>
      <c r="I1639" t="s">
        <v>272</v>
      </c>
      <c r="J1639" t="s">
        <v>1550</v>
      </c>
      <c r="K1639" t="s">
        <v>53</v>
      </c>
      <c r="L1639" t="s">
        <v>1562</v>
      </c>
      <c r="Q1639" t="str">
        <f t="shared" si="75"/>
        <v>Feb</v>
      </c>
      <c r="R1639">
        <f t="shared" si="76"/>
        <v>2014</v>
      </c>
      <c r="S1639" t="str">
        <f>VLOOKUP($W1639,TBL_Categories,2,FALSE)</f>
        <v>Monthly</v>
      </c>
      <c r="T1639">
        <f>VLOOKUP($W1639,TBL_Categories,3,FALSE)</f>
        <v>0</v>
      </c>
      <c r="U1639" t="str">
        <f>VLOOKUP($W1639,TBL_Categories,4,FALSE)</f>
        <v>No</v>
      </c>
      <c r="V1639" t="str">
        <f>VLOOKUP($W1639,TBL_Categories,5,FALSE)</f>
        <v>None</v>
      </c>
      <c r="W1639" t="str">
        <f t="shared" si="77"/>
        <v>Bank Fees &amp; Charges|ATM Fee</v>
      </c>
    </row>
    <row r="1640" spans="1:23" x14ac:dyDescent="0.25">
      <c r="A1640" t="s">
        <v>290</v>
      </c>
      <c r="B1640" s="5">
        <v>41674</v>
      </c>
      <c r="C1640">
        <v>-5</v>
      </c>
      <c r="D1640" t="s">
        <v>304</v>
      </c>
      <c r="E1640" t="s">
        <v>405</v>
      </c>
      <c r="F1640" t="s">
        <v>406</v>
      </c>
      <c r="G1640" t="s">
        <v>1442</v>
      </c>
      <c r="I1640" t="s">
        <v>272</v>
      </c>
      <c r="J1640" t="s">
        <v>1550</v>
      </c>
      <c r="K1640" t="s">
        <v>56</v>
      </c>
      <c r="L1640" t="s">
        <v>1547</v>
      </c>
      <c r="Q1640" t="str">
        <f t="shared" si="75"/>
        <v>Feb</v>
      </c>
      <c r="R1640">
        <f t="shared" si="76"/>
        <v>2014</v>
      </c>
      <c r="S1640" t="str">
        <f>VLOOKUP($W1640,TBL_Categories,2,FALSE)</f>
        <v>Annual</v>
      </c>
      <c r="T1640">
        <f>VLOOKUP($W1640,TBL_Categories,3,FALSE)</f>
        <v>0</v>
      </c>
      <c r="U1640" t="str">
        <f>VLOOKUP($W1640,TBL_Categories,4,FALSE)</f>
        <v>No</v>
      </c>
      <c r="V1640" t="str">
        <f>VLOOKUP($W1640,TBL_Categories,5,FALSE)</f>
        <v>None</v>
      </c>
      <c r="W1640" t="str">
        <f t="shared" si="77"/>
        <v>Charity|Charity (Cash)</v>
      </c>
    </row>
    <row r="1641" spans="1:23" x14ac:dyDescent="0.25">
      <c r="A1641" t="s">
        <v>290</v>
      </c>
      <c r="B1641" s="5">
        <v>41674</v>
      </c>
      <c r="C1641">
        <v>-15</v>
      </c>
      <c r="D1641" t="s">
        <v>304</v>
      </c>
      <c r="E1641" t="s">
        <v>405</v>
      </c>
      <c r="G1641" t="s">
        <v>773</v>
      </c>
      <c r="I1641" t="s">
        <v>272</v>
      </c>
      <c r="J1641" t="s">
        <v>1550</v>
      </c>
      <c r="K1641" t="s">
        <v>61</v>
      </c>
      <c r="L1641" t="s">
        <v>1530</v>
      </c>
      <c r="Q1641" t="str">
        <f t="shared" si="75"/>
        <v>Feb</v>
      </c>
      <c r="R1641">
        <f t="shared" si="76"/>
        <v>2014</v>
      </c>
      <c r="S1641" t="str">
        <f>VLOOKUP($W1641,TBL_Categories,2,FALSE)</f>
        <v>Monthly</v>
      </c>
      <c r="T1641">
        <f>VLOOKUP($W1641,TBL_Categories,3,FALSE)</f>
        <v>0</v>
      </c>
      <c r="U1641" t="str">
        <f>VLOOKUP($W1641,TBL_Categories,4,FALSE)</f>
        <v>No</v>
      </c>
      <c r="V1641" t="str">
        <f>VLOOKUP($W1641,TBL_Categories,5,FALSE)</f>
        <v>None</v>
      </c>
      <c r="W1641" t="str">
        <f t="shared" si="77"/>
        <v>Food &amp; Dining|Restaurants</v>
      </c>
    </row>
    <row r="1642" spans="1:23" x14ac:dyDescent="0.25">
      <c r="A1642" t="s">
        <v>296</v>
      </c>
      <c r="B1642" s="5">
        <v>41674</v>
      </c>
      <c r="C1642">
        <v>25</v>
      </c>
      <c r="D1642" t="s">
        <v>304</v>
      </c>
      <c r="E1642" t="s">
        <v>429</v>
      </c>
      <c r="F1642" t="s">
        <v>427</v>
      </c>
      <c r="G1642" t="s">
        <v>14</v>
      </c>
      <c r="K1642" t="s">
        <v>14</v>
      </c>
      <c r="Q1642" t="str">
        <f t="shared" si="75"/>
        <v>Feb</v>
      </c>
      <c r="R1642">
        <f t="shared" si="76"/>
        <v>2014</v>
      </c>
      <c r="S1642" t="str">
        <f>VLOOKUP($W1642,TBL_Categories,2,FALSE)</f>
        <v>Monthly</v>
      </c>
      <c r="T1642">
        <f>VLOOKUP($W1642,TBL_Categories,3,FALSE)</f>
        <v>0</v>
      </c>
      <c r="U1642" t="str">
        <f>VLOOKUP($W1642,TBL_Categories,4,FALSE)</f>
        <v>No</v>
      </c>
      <c r="V1642" t="str">
        <f>VLOOKUP($W1642,TBL_Categories,5,FALSE)</f>
        <v>None</v>
      </c>
      <c r="W1642" t="str">
        <f t="shared" si="77"/>
        <v>Other Inc</v>
      </c>
    </row>
    <row r="1643" spans="1:23" x14ac:dyDescent="0.25">
      <c r="A1643" t="s">
        <v>296</v>
      </c>
      <c r="B1643" s="5">
        <v>41674</v>
      </c>
      <c r="C1643">
        <v>-13.42</v>
      </c>
      <c r="D1643" t="s">
        <v>304</v>
      </c>
      <c r="E1643" t="s">
        <v>431</v>
      </c>
      <c r="F1643" t="s">
        <v>492</v>
      </c>
      <c r="G1643" t="s">
        <v>432</v>
      </c>
      <c r="K1643" t="s">
        <v>52</v>
      </c>
      <c r="L1643" t="s">
        <v>1577</v>
      </c>
      <c r="Q1643" t="str">
        <f t="shared" si="75"/>
        <v>Feb</v>
      </c>
      <c r="R1643">
        <f t="shared" si="76"/>
        <v>2014</v>
      </c>
      <c r="S1643" t="str">
        <f>VLOOKUP($W1643,TBL_Categories,2,FALSE)</f>
        <v>Monthly</v>
      </c>
      <c r="T1643">
        <f>VLOOKUP($W1643,TBL_Categories,3,FALSE)</f>
        <v>0</v>
      </c>
      <c r="U1643" t="str">
        <f>VLOOKUP($W1643,TBL_Categories,4,FALSE)</f>
        <v>No</v>
      </c>
      <c r="V1643" t="str">
        <f>VLOOKUP($W1643,TBL_Categories,5,FALSE)</f>
        <v>None</v>
      </c>
      <c r="W1643" t="str">
        <f t="shared" si="77"/>
        <v>Auto &amp; Transport|Parking</v>
      </c>
    </row>
    <row r="1644" spans="1:23" x14ac:dyDescent="0.25">
      <c r="A1644" t="s">
        <v>296</v>
      </c>
      <c r="B1644" s="5">
        <v>41674</v>
      </c>
      <c r="C1644">
        <v>-505.28</v>
      </c>
      <c r="D1644" t="s">
        <v>304</v>
      </c>
      <c r="E1644" t="s">
        <v>447</v>
      </c>
      <c r="F1644" t="s">
        <v>544</v>
      </c>
      <c r="G1644" t="s">
        <v>418</v>
      </c>
      <c r="K1644" t="s">
        <v>52</v>
      </c>
      <c r="L1644" t="s">
        <v>1578</v>
      </c>
      <c r="Q1644" t="str">
        <f t="shared" si="75"/>
        <v>Feb</v>
      </c>
      <c r="R1644">
        <f t="shared" si="76"/>
        <v>2014</v>
      </c>
      <c r="S1644" t="str">
        <f>VLOOKUP($W1644,TBL_Categories,2,FALSE)</f>
        <v>Annual</v>
      </c>
      <c r="T1644">
        <f>VLOOKUP($W1644,TBL_Categories,3,FALSE)</f>
        <v>0</v>
      </c>
      <c r="U1644" t="str">
        <f>VLOOKUP($W1644,TBL_Categories,4,FALSE)</f>
        <v>No</v>
      </c>
      <c r="V1644" t="str">
        <f>VLOOKUP($W1644,TBL_Categories,5,FALSE)</f>
        <v>None</v>
      </c>
      <c r="W1644" t="str">
        <f t="shared" si="77"/>
        <v>Auto &amp; Transport|Auto Insurance</v>
      </c>
    </row>
    <row r="1645" spans="1:23" x14ac:dyDescent="0.25">
      <c r="A1645" t="s">
        <v>762</v>
      </c>
      <c r="B1645" s="5">
        <v>41674</v>
      </c>
      <c r="C1645">
        <v>-126</v>
      </c>
      <c r="D1645" t="s">
        <v>304</v>
      </c>
      <c r="E1645" t="s">
        <v>450</v>
      </c>
      <c r="F1645" t="s">
        <v>570</v>
      </c>
      <c r="G1645" t="s">
        <v>347</v>
      </c>
      <c r="K1645" t="s">
        <v>75</v>
      </c>
      <c r="L1645" t="s">
        <v>1540</v>
      </c>
      <c r="O1645" t="s">
        <v>1613</v>
      </c>
      <c r="Q1645" t="str">
        <f t="shared" si="75"/>
        <v>Feb</v>
      </c>
      <c r="R1645">
        <f t="shared" si="76"/>
        <v>2014</v>
      </c>
      <c r="S1645" t="str">
        <f>VLOOKUP($W1645,TBL_Categories,2,FALSE)</f>
        <v>Irregular</v>
      </c>
      <c r="T1645">
        <f>VLOOKUP($W1645,TBL_Categories,3,FALSE)</f>
        <v>0</v>
      </c>
      <c r="U1645" t="str">
        <f>VLOOKUP($W1645,TBL_Categories,4,FALSE)</f>
        <v>No</v>
      </c>
      <c r="V1645" t="str">
        <f>VLOOKUP($W1645,TBL_Categories,5,FALSE)</f>
        <v>None</v>
      </c>
      <c r="W1645" t="str">
        <f t="shared" si="77"/>
        <v>Vacation|Lodging</v>
      </c>
    </row>
    <row r="1646" spans="1:23" x14ac:dyDescent="0.25">
      <c r="A1646" t="s">
        <v>284</v>
      </c>
      <c r="B1646" s="5">
        <v>41673</v>
      </c>
      <c r="C1646" s="4">
        <v>-1976</v>
      </c>
      <c r="D1646" t="s">
        <v>304</v>
      </c>
      <c r="E1646" t="s">
        <v>314</v>
      </c>
      <c r="F1646" t="s">
        <v>315</v>
      </c>
      <c r="G1646" t="s">
        <v>316</v>
      </c>
      <c r="K1646" t="s">
        <v>66</v>
      </c>
      <c r="L1646" t="s">
        <v>1522</v>
      </c>
      <c r="Q1646" t="str">
        <f t="shared" si="75"/>
        <v>Feb</v>
      </c>
      <c r="R1646">
        <f t="shared" si="76"/>
        <v>2014</v>
      </c>
      <c r="S1646" t="str">
        <f>VLOOKUP($W1646,TBL_Categories,2,FALSE)</f>
        <v>Monthly</v>
      </c>
      <c r="T1646">
        <f>VLOOKUP($W1646,TBL_Categories,3,FALSE)</f>
        <v>0</v>
      </c>
      <c r="U1646" t="str">
        <f>VLOOKUP($W1646,TBL_Categories,4,FALSE)</f>
        <v>No</v>
      </c>
      <c r="V1646" t="str">
        <f>VLOOKUP($W1646,TBL_Categories,5,FALSE)</f>
        <v>None</v>
      </c>
      <c r="W1646" t="str">
        <f t="shared" si="77"/>
        <v>Kids|Daycare</v>
      </c>
    </row>
    <row r="1647" spans="1:23" x14ac:dyDescent="0.25">
      <c r="A1647" t="s">
        <v>284</v>
      </c>
      <c r="B1647" s="5">
        <v>41673</v>
      </c>
      <c r="C1647" s="4">
        <v>-2033.91</v>
      </c>
      <c r="D1647" t="s">
        <v>304</v>
      </c>
      <c r="E1647" t="s">
        <v>318</v>
      </c>
      <c r="F1647" t="s">
        <v>378</v>
      </c>
      <c r="G1647" t="s">
        <v>379</v>
      </c>
      <c r="J1647">
        <v>9602</v>
      </c>
      <c r="K1647" t="s">
        <v>55</v>
      </c>
      <c r="L1647" t="s">
        <v>1525</v>
      </c>
      <c r="Q1647" t="str">
        <f t="shared" si="75"/>
        <v>Feb</v>
      </c>
      <c r="R1647">
        <f t="shared" si="76"/>
        <v>2014</v>
      </c>
      <c r="S1647" t="str">
        <f>VLOOKUP($W1647,TBL_Categories,2,FALSE)</f>
        <v>Monthly</v>
      </c>
      <c r="T1647">
        <f>VLOOKUP($W1647,TBL_Categories,3,FALSE)</f>
        <v>0</v>
      </c>
      <c r="U1647" t="str">
        <f>VLOOKUP($W1647,TBL_Categories,4,FALSE)</f>
        <v>No</v>
      </c>
      <c r="V1647" t="str">
        <f>VLOOKUP($W1647,TBL_Categories,5,FALSE)</f>
        <v>None</v>
      </c>
      <c r="W1647" t="str">
        <f t="shared" si="77"/>
        <v>Business Expenses (Koolikai)|Mortgage (Business)</v>
      </c>
    </row>
    <row r="1648" spans="1:23" x14ac:dyDescent="0.25">
      <c r="A1648" t="s">
        <v>284</v>
      </c>
      <c r="B1648" s="5">
        <v>41673</v>
      </c>
      <c r="C1648" s="4">
        <v>-2942.27</v>
      </c>
      <c r="D1648" t="s">
        <v>304</v>
      </c>
      <c r="E1648" t="s">
        <v>321</v>
      </c>
      <c r="F1648" t="s">
        <v>365</v>
      </c>
      <c r="G1648" t="s">
        <v>13</v>
      </c>
      <c r="K1648" t="s">
        <v>13</v>
      </c>
      <c r="Q1648" t="str">
        <f t="shared" si="75"/>
        <v>Feb</v>
      </c>
      <c r="R1648">
        <f t="shared" si="76"/>
        <v>2014</v>
      </c>
      <c r="S1648" t="str">
        <f>VLOOKUP($W1648,TBL_Categories,2,FALSE)</f>
        <v>Account</v>
      </c>
      <c r="T1648">
        <f>VLOOKUP($W1648,TBL_Categories,3,FALSE)</f>
        <v>0</v>
      </c>
      <c r="U1648" t="str">
        <f>VLOOKUP($W1648,TBL_Categories,4,FALSE)</f>
        <v>No</v>
      </c>
      <c r="V1648" t="str">
        <f>VLOOKUP($W1648,TBL_Categories,5,FALSE)</f>
        <v>None</v>
      </c>
      <c r="W1648" t="str">
        <f t="shared" si="77"/>
        <v>[MasterCard (Capital One)]</v>
      </c>
    </row>
    <row r="1649" spans="1:23" x14ac:dyDescent="0.25">
      <c r="A1649" t="s">
        <v>284</v>
      </c>
      <c r="B1649" s="5">
        <v>41673</v>
      </c>
      <c r="C1649" s="4">
        <v>-3517.65</v>
      </c>
      <c r="D1649" t="s">
        <v>304</v>
      </c>
      <c r="E1649" t="s">
        <v>318</v>
      </c>
      <c r="F1649" t="s">
        <v>378</v>
      </c>
      <c r="G1649" t="s">
        <v>380</v>
      </c>
      <c r="J1649">
        <v>7231</v>
      </c>
      <c r="K1649" t="s">
        <v>55</v>
      </c>
      <c r="L1649" t="s">
        <v>1525</v>
      </c>
      <c r="Q1649" t="str">
        <f t="shared" si="75"/>
        <v>Feb</v>
      </c>
      <c r="R1649">
        <f t="shared" si="76"/>
        <v>2014</v>
      </c>
      <c r="S1649" t="str">
        <f>VLOOKUP($W1649,TBL_Categories,2,FALSE)</f>
        <v>Monthly</v>
      </c>
      <c r="T1649">
        <f>VLOOKUP($W1649,TBL_Categories,3,FALSE)</f>
        <v>0</v>
      </c>
      <c r="U1649" t="str">
        <f>VLOOKUP($W1649,TBL_Categories,4,FALSE)</f>
        <v>No</v>
      </c>
      <c r="V1649" t="str">
        <f>VLOOKUP($W1649,TBL_Categories,5,FALSE)</f>
        <v>None</v>
      </c>
      <c r="W1649" t="str">
        <f t="shared" si="77"/>
        <v>Business Expenses (Koolikai)|Mortgage (Business)</v>
      </c>
    </row>
    <row r="1650" spans="1:23" x14ac:dyDescent="0.25">
      <c r="A1650" t="s">
        <v>284</v>
      </c>
      <c r="B1650" s="5">
        <v>41673</v>
      </c>
      <c r="C1650">
        <v>-147.22</v>
      </c>
      <c r="E1650" t="s">
        <v>770</v>
      </c>
      <c r="G1650" t="s">
        <v>771</v>
      </c>
      <c r="K1650" t="s">
        <v>771</v>
      </c>
      <c r="Q1650" t="str">
        <f t="shared" si="75"/>
        <v>Feb</v>
      </c>
      <c r="R1650">
        <f t="shared" si="76"/>
        <v>2014</v>
      </c>
      <c r="S1650" t="e">
        <f>VLOOKUP($W1650,TBL_Categories,2,FALSE)</f>
        <v>#N/A</v>
      </c>
      <c r="T1650" t="e">
        <f>VLOOKUP($W1650,TBL_Categories,3,FALSE)</f>
        <v>#N/A</v>
      </c>
      <c r="U1650" t="e">
        <f>VLOOKUP($W1650,TBL_Categories,4,FALSE)</f>
        <v>#N/A</v>
      </c>
      <c r="V1650" t="e">
        <f>VLOOKUP($W1650,TBL_Categories,5,FALSE)</f>
        <v>#N/A</v>
      </c>
      <c r="W1650" t="str">
        <f t="shared" si="77"/>
        <v>[REI Mastercard (xx1787)]</v>
      </c>
    </row>
    <row r="1651" spans="1:23" x14ac:dyDescent="0.25">
      <c r="A1651" t="s">
        <v>293</v>
      </c>
      <c r="B1651" s="5">
        <v>41673</v>
      </c>
      <c r="C1651">
        <v>-7.65</v>
      </c>
      <c r="D1651" t="s">
        <v>304</v>
      </c>
      <c r="E1651" t="s">
        <v>420</v>
      </c>
      <c r="F1651" t="s">
        <v>421</v>
      </c>
      <c r="G1651" t="s">
        <v>341</v>
      </c>
      <c r="K1651" t="s">
        <v>72</v>
      </c>
      <c r="L1651" t="s">
        <v>1534</v>
      </c>
      <c r="Q1651" t="str">
        <f t="shared" si="75"/>
        <v>Feb</v>
      </c>
      <c r="R1651">
        <f t="shared" si="76"/>
        <v>2014</v>
      </c>
      <c r="S1651" t="str">
        <f>VLOOKUP($W1651,TBL_Categories,2,FALSE)</f>
        <v>Annual</v>
      </c>
      <c r="T1651">
        <f>VLOOKUP($W1651,TBL_Categories,3,FALSE)</f>
        <v>0</v>
      </c>
      <c r="U1651" t="str">
        <f>VLOOKUP($W1651,TBL_Categories,4,FALSE)</f>
        <v>No</v>
      </c>
      <c r="V1651" t="str">
        <f>VLOOKUP($W1651,TBL_Categories,5,FALSE)</f>
        <v>None</v>
      </c>
      <c r="W1651" t="str">
        <f t="shared" si="77"/>
        <v>Shopping|Electronics &amp; Software</v>
      </c>
    </row>
    <row r="1652" spans="1:23" x14ac:dyDescent="0.25">
      <c r="A1652" t="s">
        <v>296</v>
      </c>
      <c r="B1652" s="5">
        <v>41673</v>
      </c>
      <c r="C1652" s="4">
        <v>2942.27</v>
      </c>
      <c r="D1652" t="s">
        <v>304</v>
      </c>
      <c r="E1652" t="s">
        <v>321</v>
      </c>
      <c r="G1652" t="s">
        <v>9</v>
      </c>
      <c r="K1652" t="s">
        <v>9</v>
      </c>
      <c r="Q1652" t="str">
        <f t="shared" si="75"/>
        <v>Feb</v>
      </c>
      <c r="R1652">
        <f t="shared" si="76"/>
        <v>2014</v>
      </c>
      <c r="S1652" t="str">
        <f>VLOOKUP($W1652,TBL_Categories,2,FALSE)</f>
        <v>Account</v>
      </c>
      <c r="T1652">
        <f>VLOOKUP($W1652,TBL_Categories,3,FALSE)</f>
        <v>0</v>
      </c>
      <c r="U1652" t="str">
        <f>VLOOKUP($W1652,TBL_Categories,4,FALSE)</f>
        <v>No</v>
      </c>
      <c r="V1652" t="str">
        <f>VLOOKUP($W1652,TBL_Categories,5,FALSE)</f>
        <v>None</v>
      </c>
      <c r="W1652" t="str">
        <f t="shared" si="77"/>
        <v>[First Tech - Checking (5544)]</v>
      </c>
    </row>
    <row r="1653" spans="1:23" x14ac:dyDescent="0.25">
      <c r="A1653" t="s">
        <v>296</v>
      </c>
      <c r="B1653" s="5">
        <v>41673</v>
      </c>
      <c r="C1653">
        <v>-38.229999999999997</v>
      </c>
      <c r="D1653" t="s">
        <v>304</v>
      </c>
      <c r="E1653" t="s">
        <v>424</v>
      </c>
      <c r="F1653" t="s">
        <v>471</v>
      </c>
      <c r="G1653" t="s">
        <v>887</v>
      </c>
      <c r="J1653" t="s">
        <v>1550</v>
      </c>
      <c r="K1653" t="s">
        <v>61</v>
      </c>
      <c r="L1653" t="s">
        <v>401</v>
      </c>
      <c r="Q1653" t="str">
        <f t="shared" si="75"/>
        <v>Feb</v>
      </c>
      <c r="R1653">
        <f t="shared" si="76"/>
        <v>2014</v>
      </c>
      <c r="S1653" t="str">
        <f>VLOOKUP($W1653,TBL_Categories,2,FALSE)</f>
        <v>Monthly</v>
      </c>
      <c r="T1653">
        <f>VLOOKUP($W1653,TBL_Categories,3,FALSE)</f>
        <v>0</v>
      </c>
      <c r="U1653" t="str">
        <f>VLOOKUP($W1653,TBL_Categories,4,FALSE)</f>
        <v>No</v>
      </c>
      <c r="V1653" t="str">
        <f>VLOOKUP($W1653,TBL_Categories,5,FALSE)</f>
        <v>None</v>
      </c>
      <c r="W1653" t="str">
        <f t="shared" si="77"/>
        <v>Food &amp; Dining|Groceries</v>
      </c>
    </row>
    <row r="1654" spans="1:23" x14ac:dyDescent="0.25">
      <c r="A1654" t="s">
        <v>762</v>
      </c>
      <c r="B1654" s="5">
        <v>41673</v>
      </c>
      <c r="C1654">
        <v>147.22</v>
      </c>
      <c r="D1654" t="s">
        <v>304</v>
      </c>
      <c r="E1654" t="s">
        <v>770</v>
      </c>
      <c r="G1654" t="s">
        <v>9</v>
      </c>
      <c r="H1654" t="s">
        <v>1470</v>
      </c>
      <c r="K1654" t="s">
        <v>9</v>
      </c>
      <c r="Q1654" t="str">
        <f t="shared" si="75"/>
        <v>Feb</v>
      </c>
      <c r="R1654">
        <f t="shared" si="76"/>
        <v>2014</v>
      </c>
      <c r="S1654" t="str">
        <f>VLOOKUP($W1654,TBL_Categories,2,FALSE)</f>
        <v>Account</v>
      </c>
      <c r="T1654">
        <f>VLOOKUP($W1654,TBL_Categories,3,FALSE)</f>
        <v>0</v>
      </c>
      <c r="U1654" t="str">
        <f>VLOOKUP($W1654,TBL_Categories,4,FALSE)</f>
        <v>No</v>
      </c>
      <c r="V1654" t="str">
        <f>VLOOKUP($W1654,TBL_Categories,5,FALSE)</f>
        <v>None</v>
      </c>
      <c r="W1654" t="str">
        <f t="shared" si="77"/>
        <v>[First Tech - Checking (5544)]</v>
      </c>
    </row>
    <row r="1655" spans="1:23" x14ac:dyDescent="0.25">
      <c r="A1655" t="s">
        <v>296</v>
      </c>
      <c r="B1655" s="5">
        <v>41672</v>
      </c>
      <c r="C1655">
        <v>-22.02</v>
      </c>
      <c r="D1655" t="s">
        <v>304</v>
      </c>
      <c r="E1655" t="s">
        <v>443</v>
      </c>
      <c r="F1655" t="s">
        <v>484</v>
      </c>
      <c r="G1655" t="s">
        <v>444</v>
      </c>
      <c r="I1655" t="s">
        <v>272</v>
      </c>
      <c r="K1655" t="s">
        <v>54</v>
      </c>
      <c r="L1655" t="s">
        <v>1581</v>
      </c>
      <c r="Q1655" t="str">
        <f t="shared" si="75"/>
        <v>Feb</v>
      </c>
      <c r="R1655">
        <f t="shared" si="76"/>
        <v>2014</v>
      </c>
      <c r="S1655" t="str">
        <f>VLOOKUP($W1655,TBL_Categories,2,FALSE)</f>
        <v>Monthly</v>
      </c>
      <c r="T1655">
        <f>VLOOKUP($W1655,TBL_Categories,3,FALSE)</f>
        <v>0</v>
      </c>
      <c r="U1655" t="str">
        <f>VLOOKUP($W1655,TBL_Categories,4,FALSE)</f>
        <v>No</v>
      </c>
      <c r="V1655" t="str">
        <f>VLOOKUP($W1655,TBL_Categories,5,FALSE)</f>
        <v>None</v>
      </c>
      <c r="W1655" t="str">
        <f t="shared" si="77"/>
        <v>Bills &amp; Utilities|Television</v>
      </c>
    </row>
    <row r="1656" spans="1:23" x14ac:dyDescent="0.25">
      <c r="A1656" t="s">
        <v>296</v>
      </c>
      <c r="B1656" s="5">
        <v>41672</v>
      </c>
      <c r="C1656">
        <v>-64.069999999999993</v>
      </c>
      <c r="D1656" t="s">
        <v>304</v>
      </c>
      <c r="E1656" t="s">
        <v>443</v>
      </c>
      <c r="G1656" t="s">
        <v>445</v>
      </c>
      <c r="I1656" t="s">
        <v>272</v>
      </c>
      <c r="K1656" t="s">
        <v>55</v>
      </c>
      <c r="L1656" t="s">
        <v>1582</v>
      </c>
      <c r="Q1656" t="str">
        <f t="shared" si="75"/>
        <v>Feb</v>
      </c>
      <c r="R1656">
        <f t="shared" si="76"/>
        <v>2014</v>
      </c>
      <c r="S1656" t="str">
        <f>VLOOKUP($W1656,TBL_Categories,2,FALSE)</f>
        <v>Monthly</v>
      </c>
      <c r="T1656">
        <f>VLOOKUP($W1656,TBL_Categories,3,FALSE)</f>
        <v>0</v>
      </c>
      <c r="U1656" t="str">
        <f>VLOOKUP($W1656,TBL_Categories,4,FALSE)</f>
        <v>No</v>
      </c>
      <c r="V1656" t="str">
        <f>VLOOKUP($W1656,TBL_Categories,5,FALSE)</f>
        <v>None</v>
      </c>
      <c r="W1656" t="str">
        <f t="shared" si="77"/>
        <v>Business Expenses (Koolikai)|Internet</v>
      </c>
    </row>
    <row r="1657" spans="1:23" x14ac:dyDescent="0.25">
      <c r="A1657" t="s">
        <v>296</v>
      </c>
      <c r="B1657" s="5">
        <v>41672</v>
      </c>
      <c r="C1657">
        <v>-44.07</v>
      </c>
      <c r="D1657" t="s">
        <v>304</v>
      </c>
      <c r="E1657" t="s">
        <v>443</v>
      </c>
      <c r="G1657" t="s">
        <v>446</v>
      </c>
      <c r="I1657" t="s">
        <v>272</v>
      </c>
      <c r="K1657" t="s">
        <v>54</v>
      </c>
      <c r="L1657" t="s">
        <v>1583</v>
      </c>
      <c r="Q1657" t="str">
        <f t="shared" si="75"/>
        <v>Feb</v>
      </c>
      <c r="R1657">
        <f t="shared" si="76"/>
        <v>2014</v>
      </c>
      <c r="S1657" t="str">
        <f>VLOOKUP($W1657,TBL_Categories,2,FALSE)</f>
        <v>Monthly</v>
      </c>
      <c r="T1657">
        <f>VLOOKUP($W1657,TBL_Categories,3,FALSE)</f>
        <v>0</v>
      </c>
      <c r="U1657" t="str">
        <f>VLOOKUP($W1657,TBL_Categories,4,FALSE)</f>
        <v>No</v>
      </c>
      <c r="V1657" t="str">
        <f>VLOOKUP($W1657,TBL_Categories,5,FALSE)</f>
        <v>None</v>
      </c>
      <c r="W1657" t="str">
        <f t="shared" si="77"/>
        <v>Bills &amp; Utilities|Home Phone</v>
      </c>
    </row>
    <row r="1658" spans="1:23" x14ac:dyDescent="0.25">
      <c r="A1658" t="s">
        <v>296</v>
      </c>
      <c r="B1658" s="5">
        <v>41672</v>
      </c>
      <c r="C1658">
        <v>-15.49</v>
      </c>
      <c r="D1658" t="s">
        <v>304</v>
      </c>
      <c r="E1658" t="s">
        <v>456</v>
      </c>
      <c r="F1658" t="s">
        <v>541</v>
      </c>
      <c r="G1658" t="s">
        <v>1047</v>
      </c>
      <c r="J1658" t="s">
        <v>1550</v>
      </c>
      <c r="K1658" t="s">
        <v>69</v>
      </c>
      <c r="Q1658" t="str">
        <f t="shared" si="75"/>
        <v>Feb</v>
      </c>
      <c r="R1658">
        <f t="shared" si="76"/>
        <v>2014</v>
      </c>
      <c r="S1658" t="str">
        <f>VLOOKUP($W1658,TBL_Categories,2,FALSE)</f>
        <v>Annual</v>
      </c>
      <c r="T1658">
        <f>VLOOKUP($W1658,TBL_Categories,3,FALSE)</f>
        <v>0</v>
      </c>
      <c r="U1658" t="str">
        <f>VLOOKUP($W1658,TBL_Categories,4,FALSE)</f>
        <v>No</v>
      </c>
      <c r="V1658" t="str">
        <f>VLOOKUP($W1658,TBL_Categories,5,FALSE)</f>
        <v>None</v>
      </c>
      <c r="W1658" t="str">
        <f t="shared" si="77"/>
        <v>Parties</v>
      </c>
    </row>
    <row r="1659" spans="1:23" x14ac:dyDescent="0.25">
      <c r="A1659" t="s">
        <v>296</v>
      </c>
      <c r="B1659" s="5">
        <v>41672</v>
      </c>
      <c r="C1659">
        <v>-31.04</v>
      </c>
      <c r="D1659" t="s">
        <v>304</v>
      </c>
      <c r="E1659" t="s">
        <v>542</v>
      </c>
      <c r="F1659" t="s">
        <v>543</v>
      </c>
      <c r="G1659" t="s">
        <v>69</v>
      </c>
      <c r="K1659" t="s">
        <v>69</v>
      </c>
      <c r="Q1659" t="str">
        <f t="shared" si="75"/>
        <v>Feb</v>
      </c>
      <c r="R1659">
        <f t="shared" si="76"/>
        <v>2014</v>
      </c>
      <c r="S1659" t="str">
        <f>VLOOKUP($W1659,TBL_Categories,2,FALSE)</f>
        <v>Annual</v>
      </c>
      <c r="T1659">
        <f>VLOOKUP($W1659,TBL_Categories,3,FALSE)</f>
        <v>0</v>
      </c>
      <c r="U1659" t="str">
        <f>VLOOKUP($W1659,TBL_Categories,4,FALSE)</f>
        <v>No</v>
      </c>
      <c r="V1659" t="str">
        <f>VLOOKUP($W1659,TBL_Categories,5,FALSE)</f>
        <v>None</v>
      </c>
      <c r="W1659" t="str">
        <f t="shared" si="77"/>
        <v>Parties</v>
      </c>
    </row>
    <row r="1660" spans="1:23" x14ac:dyDescent="0.25">
      <c r="A1660" t="s">
        <v>299</v>
      </c>
      <c r="B1660" s="5">
        <v>41672</v>
      </c>
      <c r="C1660">
        <v>-58.28</v>
      </c>
      <c r="D1660" t="s">
        <v>304</v>
      </c>
      <c r="E1660" t="s">
        <v>368</v>
      </c>
      <c r="F1660" t="s">
        <v>1478</v>
      </c>
      <c r="G1660" t="s">
        <v>1020</v>
      </c>
      <c r="H1660">
        <v>799999940331</v>
      </c>
      <c r="J1660" t="s">
        <v>1550</v>
      </c>
      <c r="K1660" t="s">
        <v>66</v>
      </c>
      <c r="L1660" t="s">
        <v>1536</v>
      </c>
      <c r="Q1660" t="str">
        <f t="shared" si="75"/>
        <v>Feb</v>
      </c>
      <c r="R1660">
        <f t="shared" si="76"/>
        <v>2014</v>
      </c>
      <c r="S1660" t="str">
        <f>VLOOKUP($W1660,TBL_Categories,2,FALSE)</f>
        <v>Monthly</v>
      </c>
      <c r="T1660">
        <f>VLOOKUP($W1660,TBL_Categories,3,FALSE)</f>
        <v>0</v>
      </c>
      <c r="U1660" t="str">
        <f>VLOOKUP($W1660,TBL_Categories,4,FALSE)</f>
        <v>No</v>
      </c>
      <c r="V1660" t="str">
        <f>VLOOKUP($W1660,TBL_Categories,5,FALSE)</f>
        <v>None</v>
      </c>
      <c r="W1660" t="str">
        <f t="shared" si="77"/>
        <v>Kids|Toys</v>
      </c>
    </row>
    <row r="1661" spans="1:23" x14ac:dyDescent="0.25">
      <c r="A1661" t="s">
        <v>288</v>
      </c>
      <c r="B1661" s="5">
        <v>41671</v>
      </c>
      <c r="C1661" s="4">
        <v>2195</v>
      </c>
      <c r="D1661" t="s">
        <v>304</v>
      </c>
      <c r="E1661" t="s">
        <v>385</v>
      </c>
      <c r="F1661" t="s">
        <v>1517</v>
      </c>
      <c r="G1661" t="s">
        <v>390</v>
      </c>
      <c r="J1661">
        <v>9602</v>
      </c>
      <c r="K1661" t="s">
        <v>33</v>
      </c>
      <c r="L1661" t="s">
        <v>1519</v>
      </c>
      <c r="Q1661" t="str">
        <f t="shared" si="75"/>
        <v>Feb</v>
      </c>
      <c r="R1661">
        <f t="shared" si="76"/>
        <v>2014</v>
      </c>
      <c r="S1661" t="str">
        <f>VLOOKUP($W1661,TBL_Categories,2,FALSE)</f>
        <v>Monthly</v>
      </c>
      <c r="T1661">
        <f>VLOOKUP($W1661,TBL_Categories,3,FALSE)</f>
        <v>0</v>
      </c>
      <c r="U1661" t="str">
        <f>VLOOKUP($W1661,TBL_Categories,4,FALSE)</f>
        <v>No</v>
      </c>
      <c r="V1661" t="str">
        <f>VLOOKUP($W1661,TBL_Categories,5,FALSE)</f>
        <v>None</v>
      </c>
      <c r="W1661" t="str">
        <f t="shared" si="77"/>
        <v>Business Income (Koolikai)|Rent</v>
      </c>
    </row>
    <row r="1662" spans="1:23" x14ac:dyDescent="0.25">
      <c r="A1662" t="s">
        <v>288</v>
      </c>
      <c r="B1662" s="5">
        <v>41671</v>
      </c>
      <c r="C1662" s="4">
        <v>2295</v>
      </c>
      <c r="D1662" t="s">
        <v>304</v>
      </c>
      <c r="E1662" t="s">
        <v>383</v>
      </c>
      <c r="G1662" t="s">
        <v>386</v>
      </c>
      <c r="I1662" t="s">
        <v>272</v>
      </c>
      <c r="J1662">
        <v>7231</v>
      </c>
      <c r="K1662" t="s">
        <v>33</v>
      </c>
      <c r="L1662" t="s">
        <v>1519</v>
      </c>
      <c r="Q1662" t="str">
        <f t="shared" si="75"/>
        <v>Feb</v>
      </c>
      <c r="R1662">
        <f t="shared" si="76"/>
        <v>2014</v>
      </c>
      <c r="S1662" t="str">
        <f>VLOOKUP($W1662,TBL_Categories,2,FALSE)</f>
        <v>Monthly</v>
      </c>
      <c r="T1662">
        <f>VLOOKUP($W1662,TBL_Categories,3,FALSE)</f>
        <v>0</v>
      </c>
      <c r="U1662" t="str">
        <f>VLOOKUP($W1662,TBL_Categories,4,FALSE)</f>
        <v>No</v>
      </c>
      <c r="V1662" t="str">
        <f>VLOOKUP($W1662,TBL_Categories,5,FALSE)</f>
        <v>None</v>
      </c>
      <c r="W1662" t="str">
        <f t="shared" si="77"/>
        <v>Business Income (Koolikai)|Rent</v>
      </c>
    </row>
    <row r="1663" spans="1:23" x14ac:dyDescent="0.25">
      <c r="A1663" t="s">
        <v>296</v>
      </c>
      <c r="B1663" s="5">
        <v>41671</v>
      </c>
      <c r="C1663">
        <v>-8.14</v>
      </c>
      <c r="D1663" t="s">
        <v>304</v>
      </c>
      <c r="E1663" t="s">
        <v>438</v>
      </c>
      <c r="F1663" t="s">
        <v>536</v>
      </c>
      <c r="G1663" t="s">
        <v>333</v>
      </c>
      <c r="K1663" t="s">
        <v>61</v>
      </c>
      <c r="L1663" t="s">
        <v>1530</v>
      </c>
      <c r="Q1663" t="str">
        <f t="shared" si="75"/>
        <v>Feb</v>
      </c>
      <c r="R1663">
        <f t="shared" si="76"/>
        <v>2014</v>
      </c>
      <c r="S1663" t="str">
        <f>VLOOKUP($W1663,TBL_Categories,2,FALSE)</f>
        <v>Monthly</v>
      </c>
      <c r="T1663">
        <f>VLOOKUP($W1663,TBL_Categories,3,FALSE)</f>
        <v>0</v>
      </c>
      <c r="U1663" t="str">
        <f>VLOOKUP($W1663,TBL_Categories,4,FALSE)</f>
        <v>No</v>
      </c>
      <c r="V1663" t="str">
        <f>VLOOKUP($W1663,TBL_Categories,5,FALSE)</f>
        <v>None</v>
      </c>
      <c r="W1663" t="str">
        <f t="shared" si="77"/>
        <v>Food &amp; Dining|Restaurants</v>
      </c>
    </row>
    <row r="1664" spans="1:23" x14ac:dyDescent="0.25">
      <c r="A1664" t="s">
        <v>296</v>
      </c>
      <c r="B1664" s="5">
        <v>41671</v>
      </c>
      <c r="C1664">
        <v>-12.04</v>
      </c>
      <c r="D1664" t="s">
        <v>304</v>
      </c>
      <c r="E1664" t="s">
        <v>613</v>
      </c>
      <c r="F1664" t="s">
        <v>537</v>
      </c>
      <c r="G1664" t="s">
        <v>333</v>
      </c>
      <c r="K1664" t="s">
        <v>61</v>
      </c>
      <c r="L1664" t="s">
        <v>1530</v>
      </c>
      <c r="Q1664" t="str">
        <f t="shared" si="75"/>
        <v>Feb</v>
      </c>
      <c r="R1664">
        <f t="shared" si="76"/>
        <v>2014</v>
      </c>
      <c r="S1664" t="str">
        <f>VLOOKUP($W1664,TBL_Categories,2,FALSE)</f>
        <v>Monthly</v>
      </c>
      <c r="T1664">
        <f>VLOOKUP($W1664,TBL_Categories,3,FALSE)</f>
        <v>0</v>
      </c>
      <c r="U1664" t="str">
        <f>VLOOKUP($W1664,TBL_Categories,4,FALSE)</f>
        <v>No</v>
      </c>
      <c r="V1664" t="str">
        <f>VLOOKUP($W1664,TBL_Categories,5,FALSE)</f>
        <v>None</v>
      </c>
      <c r="W1664" t="str">
        <f t="shared" si="77"/>
        <v>Food &amp; Dining|Restaurants</v>
      </c>
    </row>
    <row r="1665" spans="1:23" x14ac:dyDescent="0.25">
      <c r="A1665" t="s">
        <v>296</v>
      </c>
      <c r="B1665" s="5">
        <v>41671</v>
      </c>
      <c r="C1665">
        <v>-14.24</v>
      </c>
      <c r="D1665" t="s">
        <v>304</v>
      </c>
      <c r="E1665" t="s">
        <v>613</v>
      </c>
      <c r="F1665" t="s">
        <v>537</v>
      </c>
      <c r="G1665" t="s">
        <v>449</v>
      </c>
      <c r="K1665" t="s">
        <v>66</v>
      </c>
      <c r="L1665" t="s">
        <v>1555</v>
      </c>
      <c r="Q1665" t="str">
        <f t="shared" si="75"/>
        <v>Feb</v>
      </c>
      <c r="R1665">
        <f t="shared" si="76"/>
        <v>2014</v>
      </c>
      <c r="S1665" t="str">
        <f>VLOOKUP($W1665,TBL_Categories,2,FALSE)</f>
        <v>Monthly</v>
      </c>
      <c r="T1665">
        <f>VLOOKUP($W1665,TBL_Categories,3,FALSE)</f>
        <v>0</v>
      </c>
      <c r="U1665" t="str">
        <f>VLOOKUP($W1665,TBL_Categories,4,FALSE)</f>
        <v>No</v>
      </c>
      <c r="V1665" t="str">
        <f>VLOOKUP($W1665,TBL_Categories,5,FALSE)</f>
        <v>None</v>
      </c>
      <c r="W1665" t="str">
        <f t="shared" si="77"/>
        <v>Kids|Kids Activities</v>
      </c>
    </row>
    <row r="1666" spans="1:23" x14ac:dyDescent="0.25">
      <c r="A1666" t="s">
        <v>296</v>
      </c>
      <c r="B1666" s="5">
        <v>41671</v>
      </c>
      <c r="C1666">
        <v>-34.17</v>
      </c>
      <c r="D1666" t="s">
        <v>304</v>
      </c>
      <c r="E1666" t="s">
        <v>538</v>
      </c>
      <c r="F1666" t="s">
        <v>539</v>
      </c>
      <c r="G1666" t="s">
        <v>333</v>
      </c>
      <c r="K1666" t="s">
        <v>61</v>
      </c>
      <c r="L1666" t="s">
        <v>1530</v>
      </c>
      <c r="Q1666" t="str">
        <f t="shared" ref="Q1666:Q1729" si="78">TEXT($B1666,"MMM")</f>
        <v>Feb</v>
      </c>
      <c r="R1666">
        <f t="shared" ref="R1666:R1729" si="79">YEAR($B1666)</f>
        <v>2014</v>
      </c>
      <c r="S1666" t="str">
        <f>VLOOKUP($W1666,TBL_Categories,2,FALSE)</f>
        <v>Monthly</v>
      </c>
      <c r="T1666">
        <f>VLOOKUP($W1666,TBL_Categories,3,FALSE)</f>
        <v>0</v>
      </c>
      <c r="U1666" t="str">
        <f>VLOOKUP($W1666,TBL_Categories,4,FALSE)</f>
        <v>No</v>
      </c>
      <c r="V1666" t="str">
        <f>VLOOKUP($W1666,TBL_Categories,5,FALSE)</f>
        <v>None</v>
      </c>
      <c r="W1666" t="str">
        <f t="shared" ref="W1666:W1729" si="80">IF(ISBLANK($L1666),$K1666,CONCATENATE($K1666,"|",$L1666))</f>
        <v>Food &amp; Dining|Restaurants</v>
      </c>
    </row>
    <row r="1667" spans="1:23" x14ac:dyDescent="0.25">
      <c r="A1667" t="s">
        <v>296</v>
      </c>
      <c r="B1667" s="5">
        <v>41671</v>
      </c>
      <c r="C1667">
        <v>-108.66</v>
      </c>
      <c r="D1667" t="s">
        <v>304</v>
      </c>
      <c r="E1667" t="s">
        <v>423</v>
      </c>
      <c r="F1667" t="s">
        <v>540</v>
      </c>
      <c r="G1667" t="s">
        <v>915</v>
      </c>
      <c r="J1667" t="s">
        <v>1550</v>
      </c>
      <c r="K1667" t="s">
        <v>20</v>
      </c>
      <c r="Q1667" t="str">
        <f t="shared" si="78"/>
        <v>Feb</v>
      </c>
      <c r="R1667">
        <f t="shared" si="79"/>
        <v>2014</v>
      </c>
      <c r="S1667" t="str">
        <f>VLOOKUP($W1667,TBL_Categories,2,FALSE)</f>
        <v>Monthly</v>
      </c>
      <c r="T1667">
        <f>VLOOKUP($W1667,TBL_Categories,3,FALSE)</f>
        <v>0</v>
      </c>
      <c r="U1667" t="str">
        <f>VLOOKUP($W1667,TBL_Categories,4,FALSE)</f>
        <v>No</v>
      </c>
      <c r="V1667" t="str">
        <f>VLOOKUP($W1667,TBL_Categories,5,FALSE)</f>
        <v>None</v>
      </c>
      <c r="W1667" t="str">
        <f t="shared" si="80"/>
        <v>Gifts</v>
      </c>
    </row>
    <row r="1668" spans="1:23" x14ac:dyDescent="0.25">
      <c r="A1668" t="s">
        <v>296</v>
      </c>
      <c r="B1668" s="5">
        <v>41671</v>
      </c>
      <c r="C1668">
        <v>-112.51</v>
      </c>
      <c r="D1668" t="s">
        <v>304</v>
      </c>
      <c r="E1668" t="s">
        <v>433</v>
      </c>
      <c r="F1668" t="s">
        <v>481</v>
      </c>
      <c r="G1668" t="s">
        <v>887</v>
      </c>
      <c r="J1668" t="s">
        <v>1550</v>
      </c>
      <c r="K1668" t="s">
        <v>61</v>
      </c>
      <c r="L1668" t="s">
        <v>401</v>
      </c>
      <c r="Q1668" t="str">
        <f t="shared" si="78"/>
        <v>Feb</v>
      </c>
      <c r="R1668">
        <f t="shared" si="79"/>
        <v>2014</v>
      </c>
      <c r="S1668" t="str">
        <f>VLOOKUP($W1668,TBL_Categories,2,FALSE)</f>
        <v>Monthly</v>
      </c>
      <c r="T1668">
        <f>VLOOKUP($W1668,TBL_Categories,3,FALSE)</f>
        <v>0</v>
      </c>
      <c r="U1668" t="str">
        <f>VLOOKUP($W1668,TBL_Categories,4,FALSE)</f>
        <v>No</v>
      </c>
      <c r="V1668" t="str">
        <f>VLOOKUP($W1668,TBL_Categories,5,FALSE)</f>
        <v>None</v>
      </c>
      <c r="W1668" t="str">
        <f t="shared" si="80"/>
        <v>Food &amp; Dining|Groceries</v>
      </c>
    </row>
    <row r="1669" spans="1:23" x14ac:dyDescent="0.25">
      <c r="A1669" t="s">
        <v>280</v>
      </c>
      <c r="B1669" s="5">
        <v>41670</v>
      </c>
      <c r="C1669">
        <v>19.989999999999998</v>
      </c>
      <c r="D1669" t="s">
        <v>304</v>
      </c>
      <c r="E1669" t="s">
        <v>309</v>
      </c>
      <c r="F1669" t="s">
        <v>1659</v>
      </c>
      <c r="G1669" t="s">
        <v>8</v>
      </c>
      <c r="H1669" t="s">
        <v>310</v>
      </c>
      <c r="K1669" t="s">
        <v>8</v>
      </c>
      <c r="Q1669" t="str">
        <f t="shared" si="78"/>
        <v>Jan</v>
      </c>
      <c r="R1669">
        <f t="shared" si="79"/>
        <v>2014</v>
      </c>
      <c r="S1669" t="str">
        <f>VLOOKUP($W1669,TBL_Categories,2,FALSE)</f>
        <v>Monthly</v>
      </c>
      <c r="T1669">
        <f>VLOOKUP($W1669,TBL_Categories,3,FALSE)</f>
        <v>0</v>
      </c>
      <c r="U1669" t="str">
        <f>VLOOKUP($W1669,TBL_Categories,4,FALSE)</f>
        <v>No</v>
      </c>
      <c r="V1669" t="str">
        <f>VLOOKUP($W1669,TBL_Categories,5,FALSE)</f>
        <v>None</v>
      </c>
      <c r="W1669" t="str">
        <f t="shared" si="80"/>
        <v>Interest Income</v>
      </c>
    </row>
    <row r="1670" spans="1:23" x14ac:dyDescent="0.25">
      <c r="A1670" t="s">
        <v>281</v>
      </c>
      <c r="B1670" s="5">
        <v>41670</v>
      </c>
      <c r="C1670">
        <v>85.39</v>
      </c>
      <c r="D1670" t="s">
        <v>304</v>
      </c>
      <c r="E1670" t="s">
        <v>309</v>
      </c>
      <c r="F1670" t="s">
        <v>1659</v>
      </c>
      <c r="G1670" t="s">
        <v>8</v>
      </c>
      <c r="H1670" t="s">
        <v>310</v>
      </c>
      <c r="K1670" t="s">
        <v>8</v>
      </c>
      <c r="Q1670" t="str">
        <f t="shared" si="78"/>
        <v>Jan</v>
      </c>
      <c r="R1670">
        <f t="shared" si="79"/>
        <v>2014</v>
      </c>
      <c r="S1670" t="str">
        <f>VLOOKUP($W1670,TBL_Categories,2,FALSE)</f>
        <v>Monthly</v>
      </c>
      <c r="T1670">
        <f>VLOOKUP($W1670,TBL_Categories,3,FALSE)</f>
        <v>0</v>
      </c>
      <c r="U1670" t="str">
        <f>VLOOKUP($W1670,TBL_Categories,4,FALSE)</f>
        <v>No</v>
      </c>
      <c r="V1670" t="str">
        <f>VLOOKUP($W1670,TBL_Categories,5,FALSE)</f>
        <v>None</v>
      </c>
      <c r="W1670" t="str">
        <f t="shared" si="80"/>
        <v>Interest Income</v>
      </c>
    </row>
    <row r="1671" spans="1:23" x14ac:dyDescent="0.25">
      <c r="A1671" t="s">
        <v>282</v>
      </c>
      <c r="B1671" s="5">
        <v>41670</v>
      </c>
      <c r="C1671">
        <v>44.74</v>
      </c>
      <c r="D1671" t="s">
        <v>304</v>
      </c>
      <c r="E1671" t="s">
        <v>309</v>
      </c>
      <c r="F1671" t="s">
        <v>1659</v>
      </c>
      <c r="G1671" t="s">
        <v>8</v>
      </c>
      <c r="H1671" t="s">
        <v>310</v>
      </c>
      <c r="K1671" t="s">
        <v>8</v>
      </c>
      <c r="Q1671" t="str">
        <f t="shared" si="78"/>
        <v>Jan</v>
      </c>
      <c r="R1671">
        <f t="shared" si="79"/>
        <v>2014</v>
      </c>
      <c r="S1671" t="str">
        <f>VLOOKUP($W1671,TBL_Categories,2,FALSE)</f>
        <v>Monthly</v>
      </c>
      <c r="T1671">
        <f>VLOOKUP($W1671,TBL_Categories,3,FALSE)</f>
        <v>0</v>
      </c>
      <c r="U1671" t="str">
        <f>VLOOKUP($W1671,TBL_Categories,4,FALSE)</f>
        <v>No</v>
      </c>
      <c r="V1671" t="str">
        <f>VLOOKUP($W1671,TBL_Categories,5,FALSE)</f>
        <v>None</v>
      </c>
      <c r="W1671" t="str">
        <f t="shared" si="80"/>
        <v>Interest Income</v>
      </c>
    </row>
    <row r="1672" spans="1:23" x14ac:dyDescent="0.25">
      <c r="A1672" t="s">
        <v>283</v>
      </c>
      <c r="B1672" s="5">
        <v>41670</v>
      </c>
      <c r="C1672">
        <v>2.13</v>
      </c>
      <c r="D1672" t="s">
        <v>304</v>
      </c>
      <c r="E1672" t="s">
        <v>309</v>
      </c>
      <c r="F1672" t="s">
        <v>1659</v>
      </c>
      <c r="G1672" t="s">
        <v>8</v>
      </c>
      <c r="H1672" t="s">
        <v>310</v>
      </c>
      <c r="K1672" t="s">
        <v>8</v>
      </c>
      <c r="Q1672" t="str">
        <f t="shared" si="78"/>
        <v>Jan</v>
      </c>
      <c r="R1672">
        <f t="shared" si="79"/>
        <v>2014</v>
      </c>
      <c r="S1672" t="str">
        <f>VLOOKUP($W1672,TBL_Categories,2,FALSE)</f>
        <v>Monthly</v>
      </c>
      <c r="T1672">
        <f>VLOOKUP($W1672,TBL_Categories,3,FALSE)</f>
        <v>0</v>
      </c>
      <c r="U1672" t="str">
        <f>VLOOKUP($W1672,TBL_Categories,4,FALSE)</f>
        <v>No</v>
      </c>
      <c r="V1672" t="str">
        <f>VLOOKUP($W1672,TBL_Categories,5,FALSE)</f>
        <v>None</v>
      </c>
      <c r="W1672" t="str">
        <f t="shared" si="80"/>
        <v>Interest Income</v>
      </c>
    </row>
    <row r="1673" spans="1:23" x14ac:dyDescent="0.25">
      <c r="A1673" t="s">
        <v>284</v>
      </c>
      <c r="B1673" s="5">
        <v>41670</v>
      </c>
      <c r="C1673" s="4">
        <v>3052.73</v>
      </c>
      <c r="D1673" t="s">
        <v>304</v>
      </c>
      <c r="E1673" t="s">
        <v>361</v>
      </c>
      <c r="F1673" t="s">
        <v>312</v>
      </c>
      <c r="G1673" t="s">
        <v>12</v>
      </c>
      <c r="K1673" t="s">
        <v>12</v>
      </c>
      <c r="Q1673" t="str">
        <f t="shared" si="78"/>
        <v>Jan</v>
      </c>
      <c r="R1673">
        <f t="shared" si="79"/>
        <v>2014</v>
      </c>
      <c r="S1673" t="str">
        <f>VLOOKUP($W1673,TBL_Categories,2,FALSE)</f>
        <v>Monthly</v>
      </c>
      <c r="T1673">
        <f>VLOOKUP($W1673,TBL_Categories,3,FALSE)</f>
        <v>0</v>
      </c>
      <c r="U1673" t="str">
        <f>VLOOKUP($W1673,TBL_Categories,4,FALSE)</f>
        <v>No</v>
      </c>
      <c r="V1673" t="str">
        <f>VLOOKUP($W1673,TBL_Categories,5,FALSE)</f>
        <v>None</v>
      </c>
      <c r="W1673" t="str">
        <f t="shared" si="80"/>
        <v>Net Salary</v>
      </c>
    </row>
    <row r="1674" spans="1:23" x14ac:dyDescent="0.25">
      <c r="A1674" t="s">
        <v>284</v>
      </c>
      <c r="B1674" s="5">
        <v>41670</v>
      </c>
      <c r="C1674" s="4">
        <v>6195.6</v>
      </c>
      <c r="D1674" t="s">
        <v>304</v>
      </c>
      <c r="E1674" t="s">
        <v>363</v>
      </c>
      <c r="F1674" t="s">
        <v>359</v>
      </c>
      <c r="G1674" t="s">
        <v>12</v>
      </c>
      <c r="K1674" t="s">
        <v>12</v>
      </c>
      <c r="Q1674" t="str">
        <f t="shared" si="78"/>
        <v>Jan</v>
      </c>
      <c r="R1674">
        <f t="shared" si="79"/>
        <v>2014</v>
      </c>
      <c r="S1674" t="str">
        <f>VLOOKUP($W1674,TBL_Categories,2,FALSE)</f>
        <v>Monthly</v>
      </c>
      <c r="T1674">
        <f>VLOOKUP($W1674,TBL_Categories,3,FALSE)</f>
        <v>0</v>
      </c>
      <c r="U1674" t="str">
        <f>VLOOKUP($W1674,TBL_Categories,4,FALSE)</f>
        <v>No</v>
      </c>
      <c r="V1674" t="str">
        <f>VLOOKUP($W1674,TBL_Categories,5,FALSE)</f>
        <v>None</v>
      </c>
      <c r="W1674" t="str">
        <f t="shared" si="80"/>
        <v>Net Salary</v>
      </c>
    </row>
    <row r="1675" spans="1:23" x14ac:dyDescent="0.25">
      <c r="A1675" t="s">
        <v>289</v>
      </c>
      <c r="B1675" s="5">
        <v>41670</v>
      </c>
      <c r="C1675">
        <v>0.19</v>
      </c>
      <c r="D1675" t="s">
        <v>304</v>
      </c>
      <c r="E1675" t="s">
        <v>396</v>
      </c>
      <c r="F1675" t="s">
        <v>1659</v>
      </c>
      <c r="G1675" t="s">
        <v>8</v>
      </c>
      <c r="K1675" t="s">
        <v>8</v>
      </c>
      <c r="Q1675" t="str">
        <f t="shared" si="78"/>
        <v>Jan</v>
      </c>
      <c r="R1675">
        <f t="shared" si="79"/>
        <v>2014</v>
      </c>
      <c r="S1675" t="str">
        <f>VLOOKUP($W1675,TBL_Categories,2,FALSE)</f>
        <v>Monthly</v>
      </c>
      <c r="T1675">
        <f>VLOOKUP($W1675,TBL_Categories,3,FALSE)</f>
        <v>0</v>
      </c>
      <c r="U1675" t="str">
        <f>VLOOKUP($W1675,TBL_Categories,4,FALSE)</f>
        <v>No</v>
      </c>
      <c r="V1675" t="str">
        <f>VLOOKUP($W1675,TBL_Categories,5,FALSE)</f>
        <v>None</v>
      </c>
      <c r="W1675" t="str">
        <f t="shared" si="80"/>
        <v>Interest Income</v>
      </c>
    </row>
    <row r="1676" spans="1:23" x14ac:dyDescent="0.25">
      <c r="A1676" t="s">
        <v>290</v>
      </c>
      <c r="B1676" s="5">
        <v>41670</v>
      </c>
      <c r="C1676">
        <v>0.14000000000000001</v>
      </c>
      <c r="D1676" t="s">
        <v>304</v>
      </c>
      <c r="E1676" t="s">
        <v>399</v>
      </c>
      <c r="G1676" t="s">
        <v>8</v>
      </c>
      <c r="K1676" t="s">
        <v>8</v>
      </c>
      <c r="Q1676" t="str">
        <f t="shared" si="78"/>
        <v>Jan</v>
      </c>
      <c r="R1676">
        <f t="shared" si="79"/>
        <v>2014</v>
      </c>
      <c r="S1676" t="str">
        <f>VLOOKUP($W1676,TBL_Categories,2,FALSE)</f>
        <v>Monthly</v>
      </c>
      <c r="T1676">
        <f>VLOOKUP($W1676,TBL_Categories,3,FALSE)</f>
        <v>0</v>
      </c>
      <c r="U1676" t="str">
        <f>VLOOKUP($W1676,TBL_Categories,4,FALSE)</f>
        <v>No</v>
      </c>
      <c r="V1676" t="str">
        <f>VLOOKUP($W1676,TBL_Categories,5,FALSE)</f>
        <v>None</v>
      </c>
      <c r="W1676" t="str">
        <f t="shared" si="80"/>
        <v>Interest Income</v>
      </c>
    </row>
    <row r="1677" spans="1:23" x14ac:dyDescent="0.25">
      <c r="A1677" t="s">
        <v>290</v>
      </c>
      <c r="B1677" s="5">
        <v>41670</v>
      </c>
      <c r="C1677">
        <v>5.5</v>
      </c>
      <c r="D1677" t="s">
        <v>304</v>
      </c>
      <c r="E1677" t="s">
        <v>403</v>
      </c>
      <c r="G1677" t="s">
        <v>397</v>
      </c>
      <c r="K1677" t="s">
        <v>53</v>
      </c>
      <c r="L1677" t="s">
        <v>1562</v>
      </c>
      <c r="Q1677" t="str">
        <f t="shared" si="78"/>
        <v>Jan</v>
      </c>
      <c r="R1677">
        <f t="shared" si="79"/>
        <v>2014</v>
      </c>
      <c r="S1677" t="str">
        <f>VLOOKUP($W1677,TBL_Categories,2,FALSE)</f>
        <v>Monthly</v>
      </c>
      <c r="T1677">
        <f>VLOOKUP($W1677,TBL_Categories,3,FALSE)</f>
        <v>0</v>
      </c>
      <c r="U1677" t="str">
        <f>VLOOKUP($W1677,TBL_Categories,4,FALSE)</f>
        <v>No</v>
      </c>
      <c r="V1677" t="str">
        <f>VLOOKUP($W1677,TBL_Categories,5,FALSE)</f>
        <v>None</v>
      </c>
      <c r="W1677" t="str">
        <f t="shared" si="80"/>
        <v>Bank Fees &amp; Charges|ATM Fee</v>
      </c>
    </row>
    <row r="1678" spans="1:23" x14ac:dyDescent="0.25">
      <c r="A1678" t="s">
        <v>284</v>
      </c>
      <c r="B1678" s="5">
        <v>41669</v>
      </c>
      <c r="C1678">
        <v>-115</v>
      </c>
      <c r="D1678" t="s">
        <v>304</v>
      </c>
      <c r="E1678" t="s">
        <v>325</v>
      </c>
      <c r="F1678" t="s">
        <v>351</v>
      </c>
      <c r="G1678" t="s">
        <v>326</v>
      </c>
      <c r="K1678" t="s">
        <v>63</v>
      </c>
      <c r="L1678" t="s">
        <v>1528</v>
      </c>
      <c r="Q1678" t="str">
        <f t="shared" si="78"/>
        <v>Jan</v>
      </c>
      <c r="R1678">
        <f t="shared" si="79"/>
        <v>2014</v>
      </c>
      <c r="S1678" t="str">
        <f>VLOOKUP($W1678,TBL_Categories,2,FALSE)</f>
        <v>Monthly</v>
      </c>
      <c r="T1678">
        <f>VLOOKUP($W1678,TBL_Categories,3,FALSE)</f>
        <v>0</v>
      </c>
      <c r="U1678" t="str">
        <f>VLOOKUP($W1678,TBL_Categories,4,FALSE)</f>
        <v>No</v>
      </c>
      <c r="V1678" t="str">
        <f>VLOOKUP($W1678,TBL_Categories,5,FALSE)</f>
        <v>None</v>
      </c>
      <c r="W1678" t="str">
        <f t="shared" si="80"/>
        <v>Home|Home Services</v>
      </c>
    </row>
    <row r="1679" spans="1:23" x14ac:dyDescent="0.25">
      <c r="A1679" t="s">
        <v>296</v>
      </c>
      <c r="B1679" s="5">
        <v>41669</v>
      </c>
      <c r="C1679">
        <v>-52.56</v>
      </c>
      <c r="D1679" t="s">
        <v>304</v>
      </c>
      <c r="E1679" t="s">
        <v>433</v>
      </c>
      <c r="F1679" t="s">
        <v>624</v>
      </c>
      <c r="G1679" t="s">
        <v>927</v>
      </c>
      <c r="J1679" t="s">
        <v>1550</v>
      </c>
      <c r="K1679" t="s">
        <v>72</v>
      </c>
      <c r="L1679" t="s">
        <v>1537</v>
      </c>
      <c r="Q1679" t="str">
        <f t="shared" si="78"/>
        <v>Jan</v>
      </c>
      <c r="R1679">
        <f t="shared" si="79"/>
        <v>2014</v>
      </c>
      <c r="S1679" t="str">
        <f>VLOOKUP($W1679,TBL_Categories,2,FALSE)</f>
        <v>Annual</v>
      </c>
      <c r="T1679">
        <f>VLOOKUP($W1679,TBL_Categories,3,FALSE)</f>
        <v>0</v>
      </c>
      <c r="U1679" t="str">
        <f>VLOOKUP($W1679,TBL_Categories,4,FALSE)</f>
        <v>No</v>
      </c>
      <c r="V1679" t="str">
        <f>VLOOKUP($W1679,TBL_Categories,5,FALSE)</f>
        <v>None</v>
      </c>
      <c r="W1679" t="str">
        <f t="shared" si="80"/>
        <v>Shopping|Clothing</v>
      </c>
    </row>
    <row r="1680" spans="1:23" x14ac:dyDescent="0.25">
      <c r="A1680" t="s">
        <v>296</v>
      </c>
      <c r="B1680" s="5">
        <v>41668</v>
      </c>
      <c r="C1680">
        <v>-109.5</v>
      </c>
      <c r="D1680" t="s">
        <v>304</v>
      </c>
      <c r="E1680" t="s">
        <v>613</v>
      </c>
      <c r="F1680" t="s">
        <v>535</v>
      </c>
      <c r="G1680" t="s">
        <v>69</v>
      </c>
      <c r="K1680" t="s">
        <v>69</v>
      </c>
      <c r="Q1680" t="str">
        <f t="shared" si="78"/>
        <v>Jan</v>
      </c>
      <c r="R1680">
        <f t="shared" si="79"/>
        <v>2014</v>
      </c>
      <c r="S1680" t="str">
        <f>VLOOKUP($W1680,TBL_Categories,2,FALSE)</f>
        <v>Annual</v>
      </c>
      <c r="T1680">
        <f>VLOOKUP($W1680,TBL_Categories,3,FALSE)</f>
        <v>0</v>
      </c>
      <c r="U1680" t="str">
        <f>VLOOKUP($W1680,TBL_Categories,4,FALSE)</f>
        <v>No</v>
      </c>
      <c r="V1680" t="str">
        <f>VLOOKUP($W1680,TBL_Categories,5,FALSE)</f>
        <v>None</v>
      </c>
      <c r="W1680" t="str">
        <f t="shared" si="80"/>
        <v>Parties</v>
      </c>
    </row>
    <row r="1681" spans="1:23" x14ac:dyDescent="0.25">
      <c r="A1681" t="s">
        <v>290</v>
      </c>
      <c r="B1681" s="5">
        <v>41667</v>
      </c>
      <c r="C1681">
        <v>-40</v>
      </c>
      <c r="D1681" t="s">
        <v>304</v>
      </c>
      <c r="E1681" t="s">
        <v>402</v>
      </c>
      <c r="F1681" t="s">
        <v>885</v>
      </c>
      <c r="G1681" t="s">
        <v>886</v>
      </c>
      <c r="I1681" t="s">
        <v>272</v>
      </c>
      <c r="J1681" t="s">
        <v>1550</v>
      </c>
      <c r="K1681" t="s">
        <v>66</v>
      </c>
      <c r="L1681" t="s">
        <v>1527</v>
      </c>
      <c r="Q1681" t="str">
        <f t="shared" si="78"/>
        <v>Jan</v>
      </c>
      <c r="R1681">
        <f t="shared" si="79"/>
        <v>2014</v>
      </c>
      <c r="S1681" t="str">
        <f>VLOOKUP($W1681,TBL_Categories,2,FALSE)</f>
        <v>Monthly</v>
      </c>
      <c r="T1681">
        <f>VLOOKUP($W1681,TBL_Categories,3,FALSE)</f>
        <v>0</v>
      </c>
      <c r="U1681" t="str">
        <f>VLOOKUP($W1681,TBL_Categories,4,FALSE)</f>
        <v>No</v>
      </c>
      <c r="V1681" t="str">
        <f>VLOOKUP($W1681,TBL_Categories,5,FALSE)</f>
        <v>None</v>
      </c>
      <c r="W1681" t="str">
        <f t="shared" si="80"/>
        <v>Kids|Babysitter</v>
      </c>
    </row>
    <row r="1682" spans="1:23" x14ac:dyDescent="0.25">
      <c r="A1682" t="s">
        <v>290</v>
      </c>
      <c r="B1682" s="5">
        <v>41667</v>
      </c>
      <c r="C1682">
        <v>-2</v>
      </c>
      <c r="D1682" t="s">
        <v>304</v>
      </c>
      <c r="E1682" t="s">
        <v>402</v>
      </c>
      <c r="G1682" t="s">
        <v>882</v>
      </c>
      <c r="I1682" t="s">
        <v>272</v>
      </c>
      <c r="J1682" t="s">
        <v>1550</v>
      </c>
      <c r="K1682" t="s">
        <v>53</v>
      </c>
      <c r="L1682" t="s">
        <v>1562</v>
      </c>
      <c r="Q1682" t="str">
        <f t="shared" si="78"/>
        <v>Jan</v>
      </c>
      <c r="R1682">
        <f t="shared" si="79"/>
        <v>2014</v>
      </c>
      <c r="S1682" t="str">
        <f>VLOOKUP($W1682,TBL_Categories,2,FALSE)</f>
        <v>Monthly</v>
      </c>
      <c r="T1682">
        <f>VLOOKUP($W1682,TBL_Categories,3,FALSE)</f>
        <v>0</v>
      </c>
      <c r="U1682" t="str">
        <f>VLOOKUP($W1682,TBL_Categories,4,FALSE)</f>
        <v>No</v>
      </c>
      <c r="V1682" t="str">
        <f>VLOOKUP($W1682,TBL_Categories,5,FALSE)</f>
        <v>None</v>
      </c>
      <c r="W1682" t="str">
        <f t="shared" si="80"/>
        <v>Bank Fees &amp; Charges|ATM Fee</v>
      </c>
    </row>
    <row r="1683" spans="1:23" x14ac:dyDescent="0.25">
      <c r="A1683" t="s">
        <v>296</v>
      </c>
      <c r="B1683" s="5">
        <v>41667</v>
      </c>
      <c r="C1683">
        <v>-17.32</v>
      </c>
      <c r="D1683" t="s">
        <v>304</v>
      </c>
      <c r="E1683" t="s">
        <v>463</v>
      </c>
      <c r="F1683" t="s">
        <v>534</v>
      </c>
      <c r="G1683" t="s">
        <v>773</v>
      </c>
      <c r="J1683" t="s">
        <v>1550</v>
      </c>
      <c r="K1683" t="s">
        <v>61</v>
      </c>
      <c r="L1683" t="s">
        <v>1530</v>
      </c>
      <c r="Q1683" t="str">
        <f t="shared" si="78"/>
        <v>Jan</v>
      </c>
      <c r="R1683">
        <f t="shared" si="79"/>
        <v>2014</v>
      </c>
      <c r="S1683" t="str">
        <f>VLOOKUP($W1683,TBL_Categories,2,FALSE)</f>
        <v>Monthly</v>
      </c>
      <c r="T1683">
        <f>VLOOKUP($W1683,TBL_Categories,3,FALSE)</f>
        <v>0</v>
      </c>
      <c r="U1683" t="str">
        <f>VLOOKUP($W1683,TBL_Categories,4,FALSE)</f>
        <v>No</v>
      </c>
      <c r="V1683" t="str">
        <f>VLOOKUP($W1683,TBL_Categories,5,FALSE)</f>
        <v>None</v>
      </c>
      <c r="W1683" t="str">
        <f t="shared" si="80"/>
        <v>Food &amp; Dining|Restaurants</v>
      </c>
    </row>
    <row r="1684" spans="1:23" x14ac:dyDescent="0.25">
      <c r="A1684" t="s">
        <v>284</v>
      </c>
      <c r="B1684" s="5">
        <v>41666</v>
      </c>
      <c r="C1684">
        <v>-30</v>
      </c>
      <c r="D1684" t="s">
        <v>304</v>
      </c>
      <c r="E1684" t="s">
        <v>377</v>
      </c>
      <c r="F1684" t="s">
        <v>578</v>
      </c>
      <c r="G1684" t="s">
        <v>73</v>
      </c>
      <c r="K1684" t="s">
        <v>73</v>
      </c>
      <c r="Q1684" t="str">
        <f t="shared" si="78"/>
        <v>Jan</v>
      </c>
      <c r="R1684">
        <f t="shared" si="79"/>
        <v>2014</v>
      </c>
      <c r="S1684" t="str">
        <f>VLOOKUP($W1684,TBL_Categories,2,FALSE)</f>
        <v>Annual</v>
      </c>
      <c r="T1684">
        <f>VLOOKUP($W1684,TBL_Categories,3,FALSE)</f>
        <v>0</v>
      </c>
      <c r="U1684" t="str">
        <f>VLOOKUP($W1684,TBL_Categories,4,FALSE)</f>
        <v>No</v>
      </c>
      <c r="V1684" t="str">
        <f>VLOOKUP($W1684,TBL_Categories,5,FALSE)</f>
        <v>None</v>
      </c>
      <c r="W1684" t="str">
        <f t="shared" si="80"/>
        <v>Subscriptions &amp; Dues</v>
      </c>
    </row>
    <row r="1685" spans="1:23" x14ac:dyDescent="0.25">
      <c r="A1685" t="s">
        <v>296</v>
      </c>
      <c r="B1685" s="5">
        <v>41666</v>
      </c>
      <c r="C1685">
        <v>-4.26</v>
      </c>
      <c r="D1685" t="s">
        <v>304</v>
      </c>
      <c r="E1685" t="s">
        <v>461</v>
      </c>
      <c r="F1685" t="s">
        <v>533</v>
      </c>
      <c r="G1685" t="s">
        <v>333</v>
      </c>
      <c r="K1685" t="s">
        <v>61</v>
      </c>
      <c r="L1685" t="s">
        <v>1530</v>
      </c>
      <c r="Q1685" t="str">
        <f t="shared" si="78"/>
        <v>Jan</v>
      </c>
      <c r="R1685">
        <f t="shared" si="79"/>
        <v>2014</v>
      </c>
      <c r="S1685" t="str">
        <f>VLOOKUP($W1685,TBL_Categories,2,FALSE)</f>
        <v>Monthly</v>
      </c>
      <c r="T1685">
        <f>VLOOKUP($W1685,TBL_Categories,3,FALSE)</f>
        <v>0</v>
      </c>
      <c r="U1685" t="str">
        <f>VLOOKUP($W1685,TBL_Categories,4,FALSE)</f>
        <v>No</v>
      </c>
      <c r="V1685" t="str">
        <f>VLOOKUP($W1685,TBL_Categories,5,FALSE)</f>
        <v>None</v>
      </c>
      <c r="W1685" t="str">
        <f t="shared" si="80"/>
        <v>Food &amp; Dining|Restaurants</v>
      </c>
    </row>
    <row r="1686" spans="1:23" x14ac:dyDescent="0.25">
      <c r="A1686" t="s">
        <v>296</v>
      </c>
      <c r="B1686" s="5">
        <v>41665</v>
      </c>
      <c r="C1686">
        <v>-8.3800000000000008</v>
      </c>
      <c r="D1686" t="s">
        <v>304</v>
      </c>
      <c r="E1686" t="s">
        <v>428</v>
      </c>
      <c r="F1686" t="s">
        <v>472</v>
      </c>
      <c r="G1686" t="s">
        <v>342</v>
      </c>
      <c r="K1686" t="s">
        <v>61</v>
      </c>
      <c r="L1686" t="s">
        <v>401</v>
      </c>
      <c r="Q1686" t="str">
        <f t="shared" si="78"/>
        <v>Jan</v>
      </c>
      <c r="R1686">
        <f t="shared" si="79"/>
        <v>2014</v>
      </c>
      <c r="S1686" t="str">
        <f>VLOOKUP($W1686,TBL_Categories,2,FALSE)</f>
        <v>Monthly</v>
      </c>
      <c r="T1686">
        <f>VLOOKUP($W1686,TBL_Categories,3,FALSE)</f>
        <v>0</v>
      </c>
      <c r="U1686" t="str">
        <f>VLOOKUP($W1686,TBL_Categories,4,FALSE)</f>
        <v>No</v>
      </c>
      <c r="V1686" t="str">
        <f>VLOOKUP($W1686,TBL_Categories,5,FALSE)</f>
        <v>None</v>
      </c>
      <c r="W1686" t="str">
        <f t="shared" si="80"/>
        <v>Food &amp; Dining|Groceries</v>
      </c>
    </row>
    <row r="1687" spans="1:23" x14ac:dyDescent="0.25">
      <c r="A1687" t="s">
        <v>296</v>
      </c>
      <c r="B1687" s="5">
        <v>41665</v>
      </c>
      <c r="C1687">
        <v>-44.96</v>
      </c>
      <c r="D1687" t="s">
        <v>304</v>
      </c>
      <c r="E1687" t="s">
        <v>531</v>
      </c>
      <c r="F1687" t="s">
        <v>1045</v>
      </c>
      <c r="G1687" t="s">
        <v>1046</v>
      </c>
      <c r="J1687" t="s">
        <v>1550</v>
      </c>
      <c r="K1687" t="s">
        <v>55</v>
      </c>
      <c r="L1687" t="s">
        <v>1553</v>
      </c>
      <c r="Q1687" t="str">
        <f t="shared" si="78"/>
        <v>Jan</v>
      </c>
      <c r="R1687">
        <f t="shared" si="79"/>
        <v>2014</v>
      </c>
      <c r="S1687" t="str">
        <f>VLOOKUP($W1687,TBL_Categories,2,FALSE)</f>
        <v>Monthly</v>
      </c>
      <c r="T1687">
        <f>VLOOKUP($W1687,TBL_Categories,3,FALSE)</f>
        <v>0</v>
      </c>
      <c r="U1687" t="str">
        <f>VLOOKUP($W1687,TBL_Categories,4,FALSE)</f>
        <v>No</v>
      </c>
      <c r="V1687" t="str">
        <f>VLOOKUP($W1687,TBL_Categories,5,FALSE)</f>
        <v>None</v>
      </c>
      <c r="W1687" t="str">
        <f t="shared" si="80"/>
        <v>Business Expenses (Koolikai)|Office Expenses (Business)</v>
      </c>
    </row>
    <row r="1688" spans="1:23" x14ac:dyDescent="0.25">
      <c r="A1688" t="s">
        <v>290</v>
      </c>
      <c r="B1688" s="5">
        <v>41664</v>
      </c>
      <c r="C1688">
        <v>-3.5</v>
      </c>
      <c r="D1688" t="s">
        <v>304</v>
      </c>
      <c r="E1688" t="s">
        <v>404</v>
      </c>
      <c r="G1688" t="s">
        <v>397</v>
      </c>
      <c r="I1688" t="s">
        <v>272</v>
      </c>
      <c r="K1688" t="s">
        <v>53</v>
      </c>
      <c r="L1688" t="s">
        <v>1562</v>
      </c>
      <c r="Q1688" t="str">
        <f t="shared" si="78"/>
        <v>Jan</v>
      </c>
      <c r="R1688">
        <f t="shared" si="79"/>
        <v>2014</v>
      </c>
      <c r="S1688" t="str">
        <f>VLOOKUP($W1688,TBL_Categories,2,FALSE)</f>
        <v>Monthly</v>
      </c>
      <c r="T1688">
        <f>VLOOKUP($W1688,TBL_Categories,3,FALSE)</f>
        <v>0</v>
      </c>
      <c r="U1688" t="str">
        <f>VLOOKUP($W1688,TBL_Categories,4,FALSE)</f>
        <v>No</v>
      </c>
      <c r="V1688" t="str">
        <f>VLOOKUP($W1688,TBL_Categories,5,FALSE)</f>
        <v>None</v>
      </c>
      <c r="W1688" t="str">
        <f t="shared" si="80"/>
        <v>Bank Fees &amp; Charges|ATM Fee</v>
      </c>
    </row>
    <row r="1689" spans="1:23" x14ac:dyDescent="0.25">
      <c r="A1689" t="s">
        <v>290</v>
      </c>
      <c r="B1689" s="5">
        <v>41664</v>
      </c>
      <c r="C1689">
        <v>-20</v>
      </c>
      <c r="D1689" t="s">
        <v>304</v>
      </c>
      <c r="E1689" t="s">
        <v>404</v>
      </c>
      <c r="F1689" t="s">
        <v>884</v>
      </c>
      <c r="G1689" t="s">
        <v>322</v>
      </c>
      <c r="I1689" t="s">
        <v>272</v>
      </c>
      <c r="K1689" t="s">
        <v>66</v>
      </c>
      <c r="L1689" t="s">
        <v>1527</v>
      </c>
      <c r="Q1689" t="str">
        <f t="shared" si="78"/>
        <v>Jan</v>
      </c>
      <c r="R1689">
        <f t="shared" si="79"/>
        <v>2014</v>
      </c>
      <c r="S1689" t="str">
        <f>VLOOKUP($W1689,TBL_Categories,2,FALSE)</f>
        <v>Monthly</v>
      </c>
      <c r="T1689">
        <f>VLOOKUP($W1689,TBL_Categories,3,FALSE)</f>
        <v>0</v>
      </c>
      <c r="U1689" t="str">
        <f>VLOOKUP($W1689,TBL_Categories,4,FALSE)</f>
        <v>No</v>
      </c>
      <c r="V1689" t="str">
        <f>VLOOKUP($W1689,TBL_Categories,5,FALSE)</f>
        <v>None</v>
      </c>
      <c r="W1689" t="str">
        <f t="shared" si="80"/>
        <v>Kids|Babysitter</v>
      </c>
    </row>
    <row r="1690" spans="1:23" x14ac:dyDescent="0.25">
      <c r="A1690" t="s">
        <v>296</v>
      </c>
      <c r="B1690" s="5">
        <v>41664</v>
      </c>
      <c r="C1690">
        <v>-6</v>
      </c>
      <c r="D1690" t="s">
        <v>304</v>
      </c>
      <c r="E1690" t="s">
        <v>529</v>
      </c>
      <c r="F1690" t="s">
        <v>530</v>
      </c>
      <c r="G1690" t="s">
        <v>1044</v>
      </c>
      <c r="J1690" t="s">
        <v>1550</v>
      </c>
      <c r="K1690" t="s">
        <v>66</v>
      </c>
      <c r="L1690" t="s">
        <v>1555</v>
      </c>
      <c r="Q1690" t="str">
        <f t="shared" si="78"/>
        <v>Jan</v>
      </c>
      <c r="R1690">
        <f t="shared" si="79"/>
        <v>2014</v>
      </c>
      <c r="S1690" t="str">
        <f>VLOOKUP($W1690,TBL_Categories,2,FALSE)</f>
        <v>Monthly</v>
      </c>
      <c r="T1690">
        <f>VLOOKUP($W1690,TBL_Categories,3,FALSE)</f>
        <v>0</v>
      </c>
      <c r="U1690" t="str">
        <f>VLOOKUP($W1690,TBL_Categories,4,FALSE)</f>
        <v>No</v>
      </c>
      <c r="V1690" t="str">
        <f>VLOOKUP($W1690,TBL_Categories,5,FALSE)</f>
        <v>None</v>
      </c>
      <c r="W1690" t="str">
        <f t="shared" si="80"/>
        <v>Kids|Kids Activities</v>
      </c>
    </row>
    <row r="1691" spans="1:23" x14ac:dyDescent="0.25">
      <c r="A1691" t="s">
        <v>296</v>
      </c>
      <c r="B1691" s="5">
        <v>41664</v>
      </c>
      <c r="C1691">
        <v>-44.86</v>
      </c>
      <c r="D1691" t="s">
        <v>304</v>
      </c>
      <c r="E1691" t="s">
        <v>531</v>
      </c>
      <c r="F1691" t="s">
        <v>532</v>
      </c>
      <c r="G1691" t="s">
        <v>425</v>
      </c>
      <c r="K1691" t="s">
        <v>55</v>
      </c>
      <c r="L1691" t="s">
        <v>1553</v>
      </c>
      <c r="Q1691" t="str">
        <f t="shared" si="78"/>
        <v>Jan</v>
      </c>
      <c r="R1691">
        <f t="shared" si="79"/>
        <v>2014</v>
      </c>
      <c r="S1691" t="str">
        <f>VLOOKUP($W1691,TBL_Categories,2,FALSE)</f>
        <v>Monthly</v>
      </c>
      <c r="T1691">
        <f>VLOOKUP($W1691,TBL_Categories,3,FALSE)</f>
        <v>0</v>
      </c>
      <c r="U1691" t="str">
        <f>VLOOKUP($W1691,TBL_Categories,4,FALSE)</f>
        <v>No</v>
      </c>
      <c r="V1691" t="str">
        <f>VLOOKUP($W1691,TBL_Categories,5,FALSE)</f>
        <v>None</v>
      </c>
      <c r="W1691" t="str">
        <f t="shared" si="80"/>
        <v>Business Expenses (Koolikai)|Office Expenses (Business)</v>
      </c>
    </row>
    <row r="1692" spans="1:23" x14ac:dyDescent="0.25">
      <c r="A1692" t="s">
        <v>296</v>
      </c>
      <c r="B1692" s="5">
        <v>41664</v>
      </c>
      <c r="C1692">
        <v>-119.88</v>
      </c>
      <c r="D1692" t="s">
        <v>304</v>
      </c>
      <c r="E1692" t="s">
        <v>433</v>
      </c>
      <c r="F1692" t="s">
        <v>481</v>
      </c>
      <c r="G1692" t="s">
        <v>887</v>
      </c>
      <c r="J1692" t="s">
        <v>1550</v>
      </c>
      <c r="K1692" t="s">
        <v>61</v>
      </c>
      <c r="L1692" t="s">
        <v>401</v>
      </c>
      <c r="Q1692" t="str">
        <f t="shared" si="78"/>
        <v>Jan</v>
      </c>
      <c r="R1692">
        <f t="shared" si="79"/>
        <v>2014</v>
      </c>
      <c r="S1692" t="str">
        <f>VLOOKUP($W1692,TBL_Categories,2,FALSE)</f>
        <v>Monthly</v>
      </c>
      <c r="T1692">
        <f>VLOOKUP($W1692,TBL_Categories,3,FALSE)</f>
        <v>0</v>
      </c>
      <c r="U1692" t="str">
        <f>VLOOKUP($W1692,TBL_Categories,4,FALSE)</f>
        <v>No</v>
      </c>
      <c r="V1692" t="str">
        <f>VLOOKUP($W1692,TBL_Categories,5,FALSE)</f>
        <v>None</v>
      </c>
      <c r="W1692" t="str">
        <f t="shared" si="80"/>
        <v>Food &amp; Dining|Groceries</v>
      </c>
    </row>
    <row r="1693" spans="1:23" x14ac:dyDescent="0.25">
      <c r="A1693" t="s">
        <v>284</v>
      </c>
      <c r="B1693" s="5">
        <v>41663</v>
      </c>
      <c r="C1693">
        <v>-510.46</v>
      </c>
      <c r="D1693" t="s">
        <v>304</v>
      </c>
      <c r="E1693" t="s">
        <v>293</v>
      </c>
      <c r="F1693" t="s">
        <v>337</v>
      </c>
      <c r="G1693" t="s">
        <v>18</v>
      </c>
      <c r="K1693" t="s">
        <v>18</v>
      </c>
      <c r="Q1693" t="str">
        <f t="shared" si="78"/>
        <v>Jan</v>
      </c>
      <c r="R1693">
        <f t="shared" si="79"/>
        <v>2014</v>
      </c>
      <c r="S1693" t="str">
        <f>VLOOKUP($W1693,TBL_Categories,2,FALSE)</f>
        <v>Account</v>
      </c>
      <c r="T1693">
        <f>VLOOKUP($W1693,TBL_Categories,3,FALSE)</f>
        <v>0</v>
      </c>
      <c r="U1693" t="str">
        <f>VLOOKUP($W1693,TBL_Categories,4,FALSE)</f>
        <v>No</v>
      </c>
      <c r="V1693" t="str">
        <f>VLOOKUP($W1693,TBL_Categories,5,FALSE)</f>
        <v>None</v>
      </c>
      <c r="W1693" t="str">
        <f t="shared" si="80"/>
        <v>[Discover Card]</v>
      </c>
    </row>
    <row r="1694" spans="1:23" x14ac:dyDescent="0.25">
      <c r="A1694" t="s">
        <v>284</v>
      </c>
      <c r="B1694" s="5">
        <v>41663</v>
      </c>
      <c r="C1694">
        <v>-60</v>
      </c>
      <c r="D1694" t="s">
        <v>304</v>
      </c>
      <c r="E1694" t="s">
        <v>348</v>
      </c>
      <c r="F1694" t="s">
        <v>334</v>
      </c>
      <c r="G1694" t="s">
        <v>322</v>
      </c>
      <c r="H1694">
        <v>2293</v>
      </c>
      <c r="K1694" t="s">
        <v>66</v>
      </c>
      <c r="L1694" t="s">
        <v>1527</v>
      </c>
      <c r="Q1694" t="str">
        <f t="shared" si="78"/>
        <v>Jan</v>
      </c>
      <c r="R1694">
        <f t="shared" si="79"/>
        <v>2014</v>
      </c>
      <c r="S1694" t="str">
        <f>VLOOKUP($W1694,TBL_Categories,2,FALSE)</f>
        <v>Monthly</v>
      </c>
      <c r="T1694">
        <f>VLOOKUP($W1694,TBL_Categories,3,FALSE)</f>
        <v>0</v>
      </c>
      <c r="U1694" t="str">
        <f>VLOOKUP($W1694,TBL_Categories,4,FALSE)</f>
        <v>No</v>
      </c>
      <c r="V1694" t="str">
        <f>VLOOKUP($W1694,TBL_Categories,5,FALSE)</f>
        <v>None</v>
      </c>
      <c r="W1694" t="str">
        <f t="shared" si="80"/>
        <v>Kids|Babysitter</v>
      </c>
    </row>
    <row r="1695" spans="1:23" x14ac:dyDescent="0.25">
      <c r="A1695" t="s">
        <v>288</v>
      </c>
      <c r="B1695" s="5">
        <v>41663</v>
      </c>
      <c r="C1695">
        <v>-146.54</v>
      </c>
      <c r="D1695" t="s">
        <v>304</v>
      </c>
      <c r="E1695" t="s">
        <v>391</v>
      </c>
      <c r="G1695" t="s">
        <v>31</v>
      </c>
      <c r="K1695" t="s">
        <v>31</v>
      </c>
      <c r="Q1695" t="str">
        <f t="shared" si="78"/>
        <v>Jan</v>
      </c>
      <c r="R1695">
        <f t="shared" si="79"/>
        <v>2014</v>
      </c>
      <c r="S1695" t="str">
        <f>VLOOKUP($W1695,TBL_Categories,2,FALSE)</f>
        <v>Account</v>
      </c>
      <c r="T1695">
        <f>VLOOKUP($W1695,TBL_Categories,3,FALSE)</f>
        <v>0</v>
      </c>
      <c r="U1695" t="str">
        <f>VLOOKUP($W1695,TBL_Categories,4,FALSE)</f>
        <v>No</v>
      </c>
      <c r="V1695" t="str">
        <f>VLOOKUP($W1695,TBL_Categories,5,FALSE)</f>
        <v>None</v>
      </c>
      <c r="W1695" t="str">
        <f t="shared" si="80"/>
        <v>[Koolikai Credit Card]</v>
      </c>
    </row>
    <row r="1696" spans="1:23" x14ac:dyDescent="0.25">
      <c r="A1696" t="s">
        <v>296</v>
      </c>
      <c r="B1696" s="5">
        <v>41663</v>
      </c>
      <c r="C1696">
        <v>-36.93</v>
      </c>
      <c r="D1696" t="s">
        <v>304</v>
      </c>
      <c r="E1696" t="s">
        <v>527</v>
      </c>
      <c r="F1696" t="s">
        <v>528</v>
      </c>
      <c r="G1696" t="s">
        <v>333</v>
      </c>
      <c r="K1696" t="s">
        <v>61</v>
      </c>
      <c r="L1696" t="s">
        <v>1530</v>
      </c>
      <c r="Q1696" t="str">
        <f t="shared" si="78"/>
        <v>Jan</v>
      </c>
      <c r="R1696">
        <f t="shared" si="79"/>
        <v>2014</v>
      </c>
      <c r="S1696" t="str">
        <f>VLOOKUP($W1696,TBL_Categories,2,FALSE)</f>
        <v>Monthly</v>
      </c>
      <c r="T1696">
        <f>VLOOKUP($W1696,TBL_Categories,3,FALSE)</f>
        <v>0</v>
      </c>
      <c r="U1696" t="str">
        <f>VLOOKUP($W1696,TBL_Categories,4,FALSE)</f>
        <v>No</v>
      </c>
      <c r="V1696" t="str">
        <f>VLOOKUP($W1696,TBL_Categories,5,FALSE)</f>
        <v>None</v>
      </c>
      <c r="W1696" t="str">
        <f t="shared" si="80"/>
        <v>Food &amp; Dining|Restaurants</v>
      </c>
    </row>
    <row r="1697" spans="1:23" x14ac:dyDescent="0.25">
      <c r="A1697" t="s">
        <v>284</v>
      </c>
      <c r="B1697" s="5">
        <v>41662</v>
      </c>
      <c r="C1697">
        <v>-183.85</v>
      </c>
      <c r="D1697" t="s">
        <v>304</v>
      </c>
      <c r="E1697" t="s">
        <v>352</v>
      </c>
      <c r="F1697" t="s">
        <v>353</v>
      </c>
      <c r="G1697" t="s">
        <v>354</v>
      </c>
      <c r="K1697" t="s">
        <v>52</v>
      </c>
      <c r="L1697" t="s">
        <v>1544</v>
      </c>
      <c r="Q1697" t="str">
        <f t="shared" si="78"/>
        <v>Jan</v>
      </c>
      <c r="R1697">
        <f t="shared" si="79"/>
        <v>2014</v>
      </c>
      <c r="S1697" t="str">
        <f>VLOOKUP($W1697,TBL_Categories,2,FALSE)</f>
        <v>Monthly</v>
      </c>
      <c r="T1697">
        <f>VLOOKUP($W1697,TBL_Categories,3,FALSE)</f>
        <v>0</v>
      </c>
      <c r="U1697" t="str">
        <f>VLOOKUP($W1697,TBL_Categories,4,FALSE)</f>
        <v>No</v>
      </c>
      <c r="V1697" t="str">
        <f>VLOOKUP($W1697,TBL_Categories,5,FALSE)</f>
        <v>None</v>
      </c>
      <c r="W1697" t="str">
        <f t="shared" si="80"/>
        <v>Auto &amp; Transport|Auto Lease Payment</v>
      </c>
    </row>
    <row r="1698" spans="1:23" x14ac:dyDescent="0.25">
      <c r="A1698" t="s">
        <v>284</v>
      </c>
      <c r="B1698" s="5">
        <v>41662</v>
      </c>
      <c r="C1698">
        <v>-157.29</v>
      </c>
      <c r="D1698" t="s">
        <v>304</v>
      </c>
      <c r="E1698" t="s">
        <v>362</v>
      </c>
      <c r="G1698" t="s">
        <v>15</v>
      </c>
      <c r="K1698" t="s">
        <v>15</v>
      </c>
      <c r="Q1698" t="str">
        <f t="shared" si="78"/>
        <v>Jan</v>
      </c>
      <c r="R1698">
        <f t="shared" si="79"/>
        <v>2014</v>
      </c>
      <c r="S1698" t="str">
        <f>VLOOKUP($W1698,TBL_Categories,2,FALSE)</f>
        <v>Account</v>
      </c>
      <c r="T1698">
        <f>VLOOKUP($W1698,TBL_Categories,3,FALSE)</f>
        <v>0</v>
      </c>
      <c r="U1698" t="str">
        <f>VLOOKUP($W1698,TBL_Categories,4,FALSE)</f>
        <v>No</v>
      </c>
      <c r="V1698" t="str">
        <f>VLOOKUP($W1698,TBL_Categories,5,FALSE)</f>
        <v>None</v>
      </c>
      <c r="W1698" t="str">
        <f t="shared" si="80"/>
        <v>[American Express (Costco)]</v>
      </c>
    </row>
    <row r="1699" spans="1:23" x14ac:dyDescent="0.25">
      <c r="A1699" t="s">
        <v>291</v>
      </c>
      <c r="B1699" s="5">
        <v>41662</v>
      </c>
      <c r="C1699">
        <v>157.29</v>
      </c>
      <c r="D1699" t="s">
        <v>304</v>
      </c>
      <c r="E1699" t="s">
        <v>362</v>
      </c>
      <c r="G1699" t="s">
        <v>9</v>
      </c>
      <c r="K1699" t="s">
        <v>9</v>
      </c>
      <c r="Q1699" t="str">
        <f t="shared" si="78"/>
        <v>Jan</v>
      </c>
      <c r="R1699">
        <f t="shared" si="79"/>
        <v>2014</v>
      </c>
      <c r="S1699" t="str">
        <f>VLOOKUP($W1699,TBL_Categories,2,FALSE)</f>
        <v>Account</v>
      </c>
      <c r="T1699">
        <f>VLOOKUP($W1699,TBL_Categories,3,FALSE)</f>
        <v>0</v>
      </c>
      <c r="U1699" t="str">
        <f>VLOOKUP($W1699,TBL_Categories,4,FALSE)</f>
        <v>No</v>
      </c>
      <c r="V1699" t="str">
        <f>VLOOKUP($W1699,TBL_Categories,5,FALSE)</f>
        <v>None</v>
      </c>
      <c r="W1699" t="str">
        <f t="shared" si="80"/>
        <v>[First Tech - Checking (5544)]</v>
      </c>
    </row>
    <row r="1700" spans="1:23" x14ac:dyDescent="0.25">
      <c r="A1700" t="s">
        <v>293</v>
      </c>
      <c r="B1700" s="5">
        <v>41662</v>
      </c>
      <c r="C1700">
        <v>510.46</v>
      </c>
      <c r="D1700" t="s">
        <v>304</v>
      </c>
      <c r="E1700" t="s">
        <v>419</v>
      </c>
      <c r="G1700" t="s">
        <v>9</v>
      </c>
      <c r="K1700" t="s">
        <v>9</v>
      </c>
      <c r="Q1700" t="str">
        <f t="shared" si="78"/>
        <v>Jan</v>
      </c>
      <c r="R1700">
        <f t="shared" si="79"/>
        <v>2014</v>
      </c>
      <c r="S1700" t="str">
        <f>VLOOKUP($W1700,TBL_Categories,2,FALSE)</f>
        <v>Account</v>
      </c>
      <c r="T1700">
        <f>VLOOKUP($W1700,TBL_Categories,3,FALSE)</f>
        <v>0</v>
      </c>
      <c r="U1700" t="str">
        <f>VLOOKUP($W1700,TBL_Categories,4,FALSE)</f>
        <v>No</v>
      </c>
      <c r="V1700" t="str">
        <f>VLOOKUP($W1700,TBL_Categories,5,FALSE)</f>
        <v>None</v>
      </c>
      <c r="W1700" t="str">
        <f t="shared" si="80"/>
        <v>[First Tech - Checking (5544)]</v>
      </c>
    </row>
    <row r="1701" spans="1:23" x14ac:dyDescent="0.25">
      <c r="A1701" t="s">
        <v>294</v>
      </c>
      <c r="B1701" s="5">
        <v>41662</v>
      </c>
      <c r="C1701">
        <v>146.54</v>
      </c>
      <c r="D1701" t="s">
        <v>304</v>
      </c>
      <c r="E1701" t="s">
        <v>384</v>
      </c>
      <c r="G1701" t="s">
        <v>24</v>
      </c>
      <c r="K1701" t="s">
        <v>24</v>
      </c>
      <c r="Q1701" t="str">
        <f t="shared" si="78"/>
        <v>Jan</v>
      </c>
      <c r="R1701">
        <f t="shared" si="79"/>
        <v>2014</v>
      </c>
      <c r="S1701" t="str">
        <f>VLOOKUP($W1701,TBL_Categories,2,FALSE)</f>
        <v>Account</v>
      </c>
      <c r="T1701">
        <f>VLOOKUP($W1701,TBL_Categories,3,FALSE)</f>
        <v>0</v>
      </c>
      <c r="U1701" t="str">
        <f>VLOOKUP($W1701,TBL_Categories,4,FALSE)</f>
        <v>No</v>
      </c>
      <c r="V1701" t="str">
        <f>VLOOKUP($W1701,TBL_Categories,5,FALSE)</f>
        <v>None</v>
      </c>
      <c r="W1701" t="str">
        <f t="shared" si="80"/>
        <v>[Koolikai - Checking XX2129]</v>
      </c>
    </row>
    <row r="1702" spans="1:23" x14ac:dyDescent="0.25">
      <c r="A1702" t="s">
        <v>296</v>
      </c>
      <c r="B1702" s="5">
        <v>41662</v>
      </c>
      <c r="C1702">
        <v>-23.9</v>
      </c>
      <c r="D1702" t="s">
        <v>304</v>
      </c>
      <c r="E1702" t="s">
        <v>469</v>
      </c>
      <c r="F1702" t="s">
        <v>526</v>
      </c>
      <c r="G1702" t="s">
        <v>333</v>
      </c>
      <c r="K1702" t="s">
        <v>61</v>
      </c>
      <c r="L1702" t="s">
        <v>1530</v>
      </c>
      <c r="Q1702" t="str">
        <f t="shared" si="78"/>
        <v>Jan</v>
      </c>
      <c r="R1702">
        <f t="shared" si="79"/>
        <v>2014</v>
      </c>
      <c r="S1702" t="str">
        <f>VLOOKUP($W1702,TBL_Categories,2,FALSE)</f>
        <v>Monthly</v>
      </c>
      <c r="T1702">
        <f>VLOOKUP($W1702,TBL_Categories,3,FALSE)</f>
        <v>0</v>
      </c>
      <c r="U1702" t="str">
        <f>VLOOKUP($W1702,TBL_Categories,4,FALSE)</f>
        <v>No</v>
      </c>
      <c r="V1702" t="str">
        <f>VLOOKUP($W1702,TBL_Categories,5,FALSE)</f>
        <v>None</v>
      </c>
      <c r="W1702" t="str">
        <f t="shared" si="80"/>
        <v>Food &amp; Dining|Restaurants</v>
      </c>
    </row>
    <row r="1703" spans="1:23" x14ac:dyDescent="0.25">
      <c r="A1703" t="s">
        <v>284</v>
      </c>
      <c r="B1703" s="5">
        <v>41661</v>
      </c>
      <c r="C1703">
        <v>-27.88</v>
      </c>
      <c r="D1703" t="s">
        <v>304</v>
      </c>
      <c r="E1703" t="s">
        <v>327</v>
      </c>
      <c r="F1703" t="s">
        <v>328</v>
      </c>
      <c r="G1703" t="s">
        <v>329</v>
      </c>
      <c r="K1703" t="s">
        <v>54</v>
      </c>
      <c r="L1703" t="s">
        <v>1529</v>
      </c>
      <c r="Q1703" t="str">
        <f t="shared" si="78"/>
        <v>Jan</v>
      </c>
      <c r="R1703">
        <f t="shared" si="79"/>
        <v>2014</v>
      </c>
      <c r="S1703" t="str">
        <f>VLOOKUP($W1703,TBL_Categories,2,FALSE)</f>
        <v>Monthly</v>
      </c>
      <c r="T1703">
        <f>VLOOKUP($W1703,TBL_Categories,3,FALSE)</f>
        <v>0</v>
      </c>
      <c r="U1703" t="str">
        <f>VLOOKUP($W1703,TBL_Categories,4,FALSE)</f>
        <v>No</v>
      </c>
      <c r="V1703" t="str">
        <f>VLOOKUP($W1703,TBL_Categories,5,FALSE)</f>
        <v>None</v>
      </c>
      <c r="W1703" t="str">
        <f t="shared" si="80"/>
        <v>Bills &amp; Utilities|Insurance (Umbrella)</v>
      </c>
    </row>
    <row r="1704" spans="1:23" x14ac:dyDescent="0.25">
      <c r="A1704" t="s">
        <v>293</v>
      </c>
      <c r="B1704" s="5">
        <v>41661</v>
      </c>
      <c r="C1704">
        <v>-90</v>
      </c>
      <c r="D1704" t="s">
        <v>304</v>
      </c>
      <c r="E1704" t="s">
        <v>417</v>
      </c>
      <c r="F1704" t="s">
        <v>414</v>
      </c>
      <c r="G1704" t="s">
        <v>418</v>
      </c>
      <c r="K1704" t="s">
        <v>52</v>
      </c>
      <c r="L1704" t="s">
        <v>1578</v>
      </c>
      <c r="Q1704" t="str">
        <f t="shared" si="78"/>
        <v>Jan</v>
      </c>
      <c r="R1704">
        <f t="shared" si="79"/>
        <v>2014</v>
      </c>
      <c r="S1704" t="str">
        <f>VLOOKUP($W1704,TBL_Categories,2,FALSE)</f>
        <v>Annual</v>
      </c>
      <c r="T1704">
        <f>VLOOKUP($W1704,TBL_Categories,3,FALSE)</f>
        <v>0</v>
      </c>
      <c r="U1704" t="str">
        <f>VLOOKUP($W1704,TBL_Categories,4,FALSE)</f>
        <v>No</v>
      </c>
      <c r="V1704" t="str">
        <f>VLOOKUP($W1704,TBL_Categories,5,FALSE)</f>
        <v>None</v>
      </c>
      <c r="W1704" t="str">
        <f t="shared" si="80"/>
        <v>Auto &amp; Transport|Auto Insurance</v>
      </c>
    </row>
    <row r="1705" spans="1:23" x14ac:dyDescent="0.25">
      <c r="A1705" t="s">
        <v>296</v>
      </c>
      <c r="B1705" s="5">
        <v>41661</v>
      </c>
      <c r="C1705">
        <v>25</v>
      </c>
      <c r="D1705" t="s">
        <v>304</v>
      </c>
      <c r="E1705" t="s">
        <v>429</v>
      </c>
      <c r="F1705" t="s">
        <v>427</v>
      </c>
      <c r="G1705" t="s">
        <v>14</v>
      </c>
      <c r="K1705" t="s">
        <v>14</v>
      </c>
      <c r="Q1705" t="str">
        <f t="shared" si="78"/>
        <v>Jan</v>
      </c>
      <c r="R1705">
        <f t="shared" si="79"/>
        <v>2014</v>
      </c>
      <c r="S1705" t="str">
        <f>VLOOKUP($W1705,TBL_Categories,2,FALSE)</f>
        <v>Monthly</v>
      </c>
      <c r="T1705">
        <f>VLOOKUP($W1705,TBL_Categories,3,FALSE)</f>
        <v>0</v>
      </c>
      <c r="U1705" t="str">
        <f>VLOOKUP($W1705,TBL_Categories,4,FALSE)</f>
        <v>No</v>
      </c>
      <c r="V1705" t="str">
        <f>VLOOKUP($W1705,TBL_Categories,5,FALSE)</f>
        <v>None</v>
      </c>
      <c r="W1705" t="str">
        <f t="shared" si="80"/>
        <v>Other Inc</v>
      </c>
    </row>
    <row r="1706" spans="1:23" x14ac:dyDescent="0.25">
      <c r="A1706" t="s">
        <v>296</v>
      </c>
      <c r="B1706" s="5">
        <v>41661</v>
      </c>
      <c r="C1706">
        <v>-15.09</v>
      </c>
      <c r="D1706" t="s">
        <v>304</v>
      </c>
      <c r="E1706" t="s">
        <v>523</v>
      </c>
      <c r="F1706" t="s">
        <v>524</v>
      </c>
      <c r="G1706" t="s">
        <v>773</v>
      </c>
      <c r="J1706" t="s">
        <v>1550</v>
      </c>
      <c r="K1706" t="s">
        <v>61</v>
      </c>
      <c r="L1706" t="s">
        <v>1530</v>
      </c>
      <c r="Q1706" t="str">
        <f t="shared" si="78"/>
        <v>Jan</v>
      </c>
      <c r="R1706">
        <f t="shared" si="79"/>
        <v>2014</v>
      </c>
      <c r="S1706" t="str">
        <f>VLOOKUP($W1706,TBL_Categories,2,FALSE)</f>
        <v>Monthly</v>
      </c>
      <c r="T1706">
        <f>VLOOKUP($W1706,TBL_Categories,3,FALSE)</f>
        <v>0</v>
      </c>
      <c r="U1706" t="str">
        <f>VLOOKUP($W1706,TBL_Categories,4,FALSE)</f>
        <v>No</v>
      </c>
      <c r="V1706" t="str">
        <f>VLOOKUP($W1706,TBL_Categories,5,FALSE)</f>
        <v>None</v>
      </c>
      <c r="W1706" t="str">
        <f t="shared" si="80"/>
        <v>Food &amp; Dining|Restaurants</v>
      </c>
    </row>
    <row r="1707" spans="1:23" x14ac:dyDescent="0.25">
      <c r="A1707" t="s">
        <v>296</v>
      </c>
      <c r="B1707" s="5">
        <v>41661</v>
      </c>
      <c r="C1707">
        <v>-27</v>
      </c>
      <c r="D1707" t="s">
        <v>304</v>
      </c>
      <c r="E1707" t="s">
        <v>441</v>
      </c>
      <c r="F1707" t="s">
        <v>525</v>
      </c>
      <c r="G1707" t="s">
        <v>17</v>
      </c>
      <c r="K1707" t="s">
        <v>17</v>
      </c>
      <c r="Q1707" t="str">
        <f t="shared" si="78"/>
        <v>Jan</v>
      </c>
      <c r="R1707">
        <f t="shared" si="79"/>
        <v>2014</v>
      </c>
      <c r="S1707" t="str">
        <f>VLOOKUP($W1707,TBL_Categories,2,FALSE)</f>
        <v>Monthly</v>
      </c>
      <c r="T1707">
        <f>VLOOKUP($W1707,TBL_Categories,3,FALSE)</f>
        <v>0</v>
      </c>
      <c r="U1707" t="str">
        <f>VLOOKUP($W1707,TBL_Categories,4,FALSE)</f>
        <v>No</v>
      </c>
      <c r="V1707" t="str">
        <f>VLOOKUP($W1707,TBL_Categories,5,FALSE)</f>
        <v>None</v>
      </c>
      <c r="W1707" t="str">
        <f t="shared" si="80"/>
        <v>Entertainment</v>
      </c>
    </row>
    <row r="1708" spans="1:23" x14ac:dyDescent="0.25">
      <c r="A1708" t="s">
        <v>284</v>
      </c>
      <c r="B1708" s="5">
        <v>41660</v>
      </c>
      <c r="C1708">
        <v>-100</v>
      </c>
      <c r="D1708" t="s">
        <v>304</v>
      </c>
      <c r="E1708" t="s">
        <v>331</v>
      </c>
      <c r="F1708" t="s">
        <v>332</v>
      </c>
      <c r="G1708" t="s">
        <v>773</v>
      </c>
      <c r="J1708" t="s">
        <v>1550</v>
      </c>
      <c r="K1708" t="s">
        <v>61</v>
      </c>
      <c r="L1708" t="s">
        <v>1530</v>
      </c>
      <c r="Q1708" t="str">
        <f t="shared" si="78"/>
        <v>Jan</v>
      </c>
      <c r="R1708">
        <f t="shared" si="79"/>
        <v>2014</v>
      </c>
      <c r="S1708" t="str">
        <f>VLOOKUP($W1708,TBL_Categories,2,FALSE)</f>
        <v>Monthly</v>
      </c>
      <c r="T1708">
        <f>VLOOKUP($W1708,TBL_Categories,3,FALSE)</f>
        <v>0</v>
      </c>
      <c r="U1708" t="str">
        <f>VLOOKUP($W1708,TBL_Categories,4,FALSE)</f>
        <v>No</v>
      </c>
      <c r="V1708" t="str">
        <f>VLOOKUP($W1708,TBL_Categories,5,FALSE)</f>
        <v>None</v>
      </c>
      <c r="W1708" t="str">
        <f t="shared" si="80"/>
        <v>Food &amp; Dining|Restaurants</v>
      </c>
    </row>
    <row r="1709" spans="1:23" x14ac:dyDescent="0.25">
      <c r="A1709" t="s">
        <v>284</v>
      </c>
      <c r="B1709" s="5">
        <v>41660</v>
      </c>
      <c r="C1709">
        <v>-105</v>
      </c>
      <c r="D1709" t="s">
        <v>304</v>
      </c>
      <c r="E1709" t="s">
        <v>325</v>
      </c>
      <c r="F1709" t="s">
        <v>351</v>
      </c>
      <c r="G1709" t="s">
        <v>326</v>
      </c>
      <c r="K1709" t="s">
        <v>63</v>
      </c>
      <c r="L1709" t="s">
        <v>1528</v>
      </c>
      <c r="Q1709" t="str">
        <f t="shared" si="78"/>
        <v>Jan</v>
      </c>
      <c r="R1709">
        <f t="shared" si="79"/>
        <v>2014</v>
      </c>
      <c r="S1709" t="str">
        <f>VLOOKUP($W1709,TBL_Categories,2,FALSE)</f>
        <v>Monthly</v>
      </c>
      <c r="T1709">
        <f>VLOOKUP($W1709,TBL_Categories,3,FALSE)</f>
        <v>0</v>
      </c>
      <c r="U1709" t="str">
        <f>VLOOKUP($W1709,TBL_Categories,4,FALSE)</f>
        <v>No</v>
      </c>
      <c r="V1709" t="str">
        <f>VLOOKUP($W1709,TBL_Categories,5,FALSE)</f>
        <v>None</v>
      </c>
      <c r="W1709" t="str">
        <f t="shared" si="80"/>
        <v>Home|Home Services</v>
      </c>
    </row>
    <row r="1710" spans="1:23" x14ac:dyDescent="0.25">
      <c r="A1710" t="s">
        <v>296</v>
      </c>
      <c r="B1710" s="5">
        <v>41659</v>
      </c>
      <c r="C1710">
        <v>-5.37</v>
      </c>
      <c r="D1710" t="s">
        <v>304</v>
      </c>
      <c r="E1710" t="s">
        <v>424</v>
      </c>
      <c r="F1710" t="s">
        <v>520</v>
      </c>
      <c r="G1710" t="s">
        <v>887</v>
      </c>
      <c r="J1710" t="s">
        <v>1550</v>
      </c>
      <c r="K1710" t="s">
        <v>61</v>
      </c>
      <c r="L1710" t="s">
        <v>401</v>
      </c>
      <c r="Q1710" t="str">
        <f t="shared" si="78"/>
        <v>Jan</v>
      </c>
      <c r="R1710">
        <f t="shared" si="79"/>
        <v>2014</v>
      </c>
      <c r="S1710" t="str">
        <f>VLOOKUP($W1710,TBL_Categories,2,FALSE)</f>
        <v>Monthly</v>
      </c>
      <c r="T1710">
        <f>VLOOKUP($W1710,TBL_Categories,3,FALSE)</f>
        <v>0</v>
      </c>
      <c r="U1710" t="str">
        <f>VLOOKUP($W1710,TBL_Categories,4,FALSE)</f>
        <v>No</v>
      </c>
      <c r="V1710" t="str">
        <f>VLOOKUP($W1710,TBL_Categories,5,FALSE)</f>
        <v>None</v>
      </c>
      <c r="W1710" t="str">
        <f t="shared" si="80"/>
        <v>Food &amp; Dining|Groceries</v>
      </c>
    </row>
    <row r="1711" spans="1:23" x14ac:dyDescent="0.25">
      <c r="A1711" t="s">
        <v>296</v>
      </c>
      <c r="B1711" s="5">
        <v>41659</v>
      </c>
      <c r="C1711" s="4">
        <v>-1516.19</v>
      </c>
      <c r="D1711" t="s">
        <v>304</v>
      </c>
      <c r="E1711" t="s">
        <v>521</v>
      </c>
      <c r="F1711" t="s">
        <v>522</v>
      </c>
      <c r="G1711" t="s">
        <v>468</v>
      </c>
      <c r="K1711" t="s">
        <v>62</v>
      </c>
      <c r="L1711" t="s">
        <v>1592</v>
      </c>
      <c r="Q1711" t="str">
        <f t="shared" si="78"/>
        <v>Jan</v>
      </c>
      <c r="R1711">
        <f t="shared" si="79"/>
        <v>2014</v>
      </c>
      <c r="S1711" t="str">
        <f>VLOOKUP($W1711,TBL_Categories,2,FALSE)</f>
        <v>Irregular</v>
      </c>
      <c r="T1711">
        <f>VLOOKUP($W1711,TBL_Categories,3,FALSE)</f>
        <v>0</v>
      </c>
      <c r="U1711" t="str">
        <f>VLOOKUP($W1711,TBL_Categories,4,FALSE)</f>
        <v>No</v>
      </c>
      <c r="V1711" t="str">
        <f>VLOOKUP($W1711,TBL_Categories,5,FALSE)</f>
        <v>None</v>
      </c>
      <c r="W1711" t="str">
        <f t="shared" si="80"/>
        <v>Health &amp; Fitness|Pharmacy</v>
      </c>
    </row>
    <row r="1712" spans="1:23" x14ac:dyDescent="0.25">
      <c r="A1712" t="s">
        <v>296</v>
      </c>
      <c r="B1712" s="5">
        <v>41658</v>
      </c>
      <c r="C1712">
        <v>-18.329999999999998</v>
      </c>
      <c r="D1712" t="s">
        <v>304</v>
      </c>
      <c r="E1712" t="s">
        <v>462</v>
      </c>
      <c r="F1712" t="s">
        <v>518</v>
      </c>
      <c r="G1712" t="s">
        <v>333</v>
      </c>
      <c r="K1712" t="s">
        <v>61</v>
      </c>
      <c r="L1712" t="s">
        <v>1530</v>
      </c>
      <c r="Q1712" t="str">
        <f t="shared" si="78"/>
        <v>Jan</v>
      </c>
      <c r="R1712">
        <f t="shared" si="79"/>
        <v>2014</v>
      </c>
      <c r="S1712" t="str">
        <f>VLOOKUP($W1712,TBL_Categories,2,FALSE)</f>
        <v>Monthly</v>
      </c>
      <c r="T1712">
        <f>VLOOKUP($W1712,TBL_Categories,3,FALSE)</f>
        <v>0</v>
      </c>
      <c r="U1712" t="str">
        <f>VLOOKUP($W1712,TBL_Categories,4,FALSE)</f>
        <v>No</v>
      </c>
      <c r="V1712" t="str">
        <f>VLOOKUP($W1712,TBL_Categories,5,FALSE)</f>
        <v>None</v>
      </c>
      <c r="W1712" t="str">
        <f t="shared" si="80"/>
        <v>Food &amp; Dining|Restaurants</v>
      </c>
    </row>
    <row r="1713" spans="1:23" x14ac:dyDescent="0.25">
      <c r="A1713" t="s">
        <v>296</v>
      </c>
      <c r="B1713" s="5">
        <v>41658</v>
      </c>
      <c r="C1713">
        <v>-19.7</v>
      </c>
      <c r="D1713" t="s">
        <v>304</v>
      </c>
      <c r="E1713" t="s">
        <v>519</v>
      </c>
      <c r="F1713" t="s">
        <v>1043</v>
      </c>
      <c r="G1713" t="s">
        <v>915</v>
      </c>
      <c r="J1713" t="s">
        <v>1550</v>
      </c>
      <c r="K1713" t="s">
        <v>20</v>
      </c>
      <c r="Q1713" t="str">
        <f t="shared" si="78"/>
        <v>Jan</v>
      </c>
      <c r="R1713">
        <f t="shared" si="79"/>
        <v>2014</v>
      </c>
      <c r="S1713" t="str">
        <f>VLOOKUP($W1713,TBL_Categories,2,FALSE)</f>
        <v>Monthly</v>
      </c>
      <c r="T1713">
        <f>VLOOKUP($W1713,TBL_Categories,3,FALSE)</f>
        <v>0</v>
      </c>
      <c r="U1713" t="str">
        <f>VLOOKUP($W1713,TBL_Categories,4,FALSE)</f>
        <v>No</v>
      </c>
      <c r="V1713" t="str">
        <f>VLOOKUP($W1713,TBL_Categories,5,FALSE)</f>
        <v>None</v>
      </c>
      <c r="W1713" t="str">
        <f t="shared" si="80"/>
        <v>Gifts</v>
      </c>
    </row>
    <row r="1714" spans="1:23" x14ac:dyDescent="0.25">
      <c r="A1714" t="s">
        <v>288</v>
      </c>
      <c r="B1714" s="5">
        <v>41657</v>
      </c>
      <c r="C1714" s="4">
        <v>1195</v>
      </c>
      <c r="D1714" t="s">
        <v>304</v>
      </c>
      <c r="E1714" t="s">
        <v>383</v>
      </c>
      <c r="F1714" t="s">
        <v>394</v>
      </c>
      <c r="G1714" t="s">
        <v>386</v>
      </c>
      <c r="J1714">
        <v>7231</v>
      </c>
      <c r="K1714" t="s">
        <v>33</v>
      </c>
      <c r="L1714" t="s">
        <v>1519</v>
      </c>
      <c r="Q1714" t="str">
        <f t="shared" si="78"/>
        <v>Jan</v>
      </c>
      <c r="R1714">
        <f t="shared" si="79"/>
        <v>2014</v>
      </c>
      <c r="S1714" t="str">
        <f>VLOOKUP($W1714,TBL_Categories,2,FALSE)</f>
        <v>Monthly</v>
      </c>
      <c r="T1714">
        <f>VLOOKUP($W1714,TBL_Categories,3,FALSE)</f>
        <v>0</v>
      </c>
      <c r="U1714" t="str">
        <f>VLOOKUP($W1714,TBL_Categories,4,FALSE)</f>
        <v>No</v>
      </c>
      <c r="V1714" t="str">
        <f>VLOOKUP($W1714,TBL_Categories,5,FALSE)</f>
        <v>None</v>
      </c>
      <c r="W1714" t="str">
        <f t="shared" si="80"/>
        <v>Business Income (Koolikai)|Rent</v>
      </c>
    </row>
    <row r="1715" spans="1:23" x14ac:dyDescent="0.25">
      <c r="A1715" t="s">
        <v>296</v>
      </c>
      <c r="B1715" s="5">
        <v>41657</v>
      </c>
      <c r="C1715">
        <v>49.26</v>
      </c>
      <c r="D1715" t="s">
        <v>304</v>
      </c>
      <c r="E1715" t="s">
        <v>505</v>
      </c>
      <c r="F1715" t="s">
        <v>506</v>
      </c>
      <c r="G1715" t="s">
        <v>927</v>
      </c>
      <c r="J1715" t="s">
        <v>1550</v>
      </c>
      <c r="K1715" t="s">
        <v>72</v>
      </c>
      <c r="L1715" t="s">
        <v>1537</v>
      </c>
      <c r="Q1715" t="str">
        <f t="shared" si="78"/>
        <v>Jan</v>
      </c>
      <c r="R1715">
        <f t="shared" si="79"/>
        <v>2014</v>
      </c>
      <c r="S1715" t="str">
        <f>VLOOKUP($W1715,TBL_Categories,2,FALSE)</f>
        <v>Annual</v>
      </c>
      <c r="T1715">
        <f>VLOOKUP($W1715,TBL_Categories,3,FALSE)</f>
        <v>0</v>
      </c>
      <c r="U1715" t="str">
        <f>VLOOKUP($W1715,TBL_Categories,4,FALSE)</f>
        <v>No</v>
      </c>
      <c r="V1715" t="str">
        <f>VLOOKUP($W1715,TBL_Categories,5,FALSE)</f>
        <v>None</v>
      </c>
      <c r="W1715" t="str">
        <f t="shared" si="80"/>
        <v>Shopping|Clothing</v>
      </c>
    </row>
    <row r="1716" spans="1:23" x14ac:dyDescent="0.25">
      <c r="A1716" t="s">
        <v>296</v>
      </c>
      <c r="B1716" s="5">
        <v>41657</v>
      </c>
      <c r="C1716">
        <v>-0.5</v>
      </c>
      <c r="D1716" t="s">
        <v>304</v>
      </c>
      <c r="E1716" t="s">
        <v>514</v>
      </c>
      <c r="F1716" t="s">
        <v>515</v>
      </c>
      <c r="G1716" t="s">
        <v>341</v>
      </c>
      <c r="K1716" t="s">
        <v>72</v>
      </c>
      <c r="L1716" t="s">
        <v>1534</v>
      </c>
      <c r="Q1716" t="str">
        <f t="shared" si="78"/>
        <v>Jan</v>
      </c>
      <c r="R1716">
        <f t="shared" si="79"/>
        <v>2014</v>
      </c>
      <c r="S1716" t="str">
        <f>VLOOKUP($W1716,TBL_Categories,2,FALSE)</f>
        <v>Annual</v>
      </c>
      <c r="T1716">
        <f>VLOOKUP($W1716,TBL_Categories,3,FALSE)</f>
        <v>0</v>
      </c>
      <c r="U1716" t="str">
        <f>VLOOKUP($W1716,TBL_Categories,4,FALSE)</f>
        <v>No</v>
      </c>
      <c r="V1716" t="str">
        <f>VLOOKUP($W1716,TBL_Categories,5,FALSE)</f>
        <v>None</v>
      </c>
      <c r="W1716" t="str">
        <f t="shared" si="80"/>
        <v>Shopping|Electronics &amp; Software</v>
      </c>
    </row>
    <row r="1717" spans="1:23" x14ac:dyDescent="0.25">
      <c r="A1717" t="s">
        <v>296</v>
      </c>
      <c r="B1717" s="5">
        <v>41657</v>
      </c>
      <c r="C1717">
        <v>-2.4900000000000002</v>
      </c>
      <c r="D1717" t="s">
        <v>304</v>
      </c>
      <c r="E1717" t="s">
        <v>453</v>
      </c>
      <c r="F1717" t="s">
        <v>474</v>
      </c>
      <c r="G1717" t="s">
        <v>432</v>
      </c>
      <c r="K1717" t="s">
        <v>52</v>
      </c>
      <c r="L1717" t="s">
        <v>1577</v>
      </c>
      <c r="Q1717" t="str">
        <f t="shared" si="78"/>
        <v>Jan</v>
      </c>
      <c r="R1717">
        <f t="shared" si="79"/>
        <v>2014</v>
      </c>
      <c r="S1717" t="str">
        <f>VLOOKUP($W1717,TBL_Categories,2,FALSE)</f>
        <v>Monthly</v>
      </c>
      <c r="T1717">
        <f>VLOOKUP($W1717,TBL_Categories,3,FALSE)</f>
        <v>0</v>
      </c>
      <c r="U1717" t="str">
        <f>VLOOKUP($W1717,TBL_Categories,4,FALSE)</f>
        <v>No</v>
      </c>
      <c r="V1717" t="str">
        <f>VLOOKUP($W1717,TBL_Categories,5,FALSE)</f>
        <v>None</v>
      </c>
      <c r="W1717" t="str">
        <f t="shared" si="80"/>
        <v>Auto &amp; Transport|Parking</v>
      </c>
    </row>
    <row r="1718" spans="1:23" x14ac:dyDescent="0.25">
      <c r="A1718" t="s">
        <v>296</v>
      </c>
      <c r="B1718" s="5">
        <v>41657</v>
      </c>
      <c r="C1718">
        <v>-4.1100000000000003</v>
      </c>
      <c r="D1718" t="s">
        <v>304</v>
      </c>
      <c r="E1718" t="s">
        <v>433</v>
      </c>
      <c r="F1718" t="s">
        <v>475</v>
      </c>
      <c r="G1718" t="s">
        <v>1042</v>
      </c>
      <c r="J1718" t="s">
        <v>1550</v>
      </c>
      <c r="K1718" t="s">
        <v>66</v>
      </c>
      <c r="L1718" t="s">
        <v>1537</v>
      </c>
      <c r="Q1718" t="str">
        <f t="shared" si="78"/>
        <v>Jan</v>
      </c>
      <c r="R1718">
        <f t="shared" si="79"/>
        <v>2014</v>
      </c>
      <c r="S1718" t="str">
        <f>VLOOKUP($W1718,TBL_Categories,2,FALSE)</f>
        <v>Monthly</v>
      </c>
      <c r="T1718">
        <f>VLOOKUP($W1718,TBL_Categories,3,FALSE)</f>
        <v>0</v>
      </c>
      <c r="U1718" t="str">
        <f>VLOOKUP($W1718,TBL_Categories,4,FALSE)</f>
        <v>No</v>
      </c>
      <c r="V1718" t="str">
        <f>VLOOKUP($W1718,TBL_Categories,5,FALSE)</f>
        <v>None</v>
      </c>
      <c r="W1718" t="str">
        <f t="shared" si="80"/>
        <v>Kids|Clothing</v>
      </c>
    </row>
    <row r="1719" spans="1:23" x14ac:dyDescent="0.25">
      <c r="A1719" t="s">
        <v>296</v>
      </c>
      <c r="B1719" s="5">
        <v>41657</v>
      </c>
      <c r="C1719">
        <v>-102.42</v>
      </c>
      <c r="D1719" t="s">
        <v>304</v>
      </c>
      <c r="E1719" t="s">
        <v>433</v>
      </c>
      <c r="F1719" t="s">
        <v>475</v>
      </c>
      <c r="G1719" t="s">
        <v>887</v>
      </c>
      <c r="J1719" t="s">
        <v>1550</v>
      </c>
      <c r="K1719" t="s">
        <v>61</v>
      </c>
      <c r="L1719" t="s">
        <v>401</v>
      </c>
      <c r="Q1719" t="str">
        <f t="shared" si="78"/>
        <v>Jan</v>
      </c>
      <c r="R1719">
        <f t="shared" si="79"/>
        <v>2014</v>
      </c>
      <c r="S1719" t="str">
        <f>VLOOKUP($W1719,TBL_Categories,2,FALSE)</f>
        <v>Monthly</v>
      </c>
      <c r="T1719">
        <f>VLOOKUP($W1719,TBL_Categories,3,FALSE)</f>
        <v>0</v>
      </c>
      <c r="U1719" t="str">
        <f>VLOOKUP($W1719,TBL_Categories,4,FALSE)</f>
        <v>No</v>
      </c>
      <c r="V1719" t="str">
        <f>VLOOKUP($W1719,TBL_Categories,5,FALSE)</f>
        <v>None</v>
      </c>
      <c r="W1719" t="str">
        <f t="shared" si="80"/>
        <v>Food &amp; Dining|Groceries</v>
      </c>
    </row>
    <row r="1720" spans="1:23" x14ac:dyDescent="0.25">
      <c r="A1720" t="s">
        <v>296</v>
      </c>
      <c r="B1720" s="5">
        <v>41657</v>
      </c>
      <c r="C1720">
        <v>-244.77</v>
      </c>
      <c r="D1720" t="s">
        <v>304</v>
      </c>
      <c r="E1720" t="s">
        <v>516</v>
      </c>
      <c r="F1720" t="s">
        <v>517</v>
      </c>
      <c r="G1720" t="s">
        <v>333</v>
      </c>
      <c r="K1720" t="s">
        <v>61</v>
      </c>
      <c r="L1720" t="s">
        <v>1530</v>
      </c>
      <c r="Q1720" t="str">
        <f t="shared" si="78"/>
        <v>Jan</v>
      </c>
      <c r="R1720">
        <f t="shared" si="79"/>
        <v>2014</v>
      </c>
      <c r="S1720" t="str">
        <f>VLOOKUP($W1720,TBL_Categories,2,FALSE)</f>
        <v>Monthly</v>
      </c>
      <c r="T1720">
        <f>VLOOKUP($W1720,TBL_Categories,3,FALSE)</f>
        <v>0</v>
      </c>
      <c r="U1720" t="str">
        <f>VLOOKUP($W1720,TBL_Categories,4,FALSE)</f>
        <v>No</v>
      </c>
      <c r="V1720" t="str">
        <f>VLOOKUP($W1720,TBL_Categories,5,FALSE)</f>
        <v>None</v>
      </c>
      <c r="W1720" t="str">
        <f t="shared" si="80"/>
        <v>Food &amp; Dining|Restaurants</v>
      </c>
    </row>
    <row r="1721" spans="1:23" x14ac:dyDescent="0.25">
      <c r="A1721" t="s">
        <v>284</v>
      </c>
      <c r="B1721" s="5">
        <v>41656</v>
      </c>
      <c r="C1721">
        <v>159.56</v>
      </c>
      <c r="D1721" t="s">
        <v>304</v>
      </c>
      <c r="E1721" t="s">
        <v>360</v>
      </c>
      <c r="F1721" t="s">
        <v>358</v>
      </c>
      <c r="G1721" t="s">
        <v>22</v>
      </c>
      <c r="K1721" t="s">
        <v>22</v>
      </c>
      <c r="Q1721" t="str">
        <f t="shared" si="78"/>
        <v>Jan</v>
      </c>
      <c r="R1721">
        <f t="shared" si="79"/>
        <v>2014</v>
      </c>
      <c r="S1721" t="str">
        <f>VLOOKUP($W1721,TBL_Categories,2,FALSE)</f>
        <v>Account</v>
      </c>
      <c r="T1721">
        <f>VLOOKUP($W1721,TBL_Categories,3,FALSE)</f>
        <v>0</v>
      </c>
      <c r="U1721" t="str">
        <f>VLOOKUP($W1721,TBL_Categories,4,FALSE)</f>
        <v>No</v>
      </c>
      <c r="V1721" t="str">
        <f>VLOOKUP($W1721,TBL_Categories,5,FALSE)</f>
        <v>None</v>
      </c>
      <c r="W1721" t="str">
        <f t="shared" si="80"/>
        <v>[Premera Health Care Payment]</v>
      </c>
    </row>
    <row r="1722" spans="1:23" x14ac:dyDescent="0.25">
      <c r="A1722" t="s">
        <v>296</v>
      </c>
      <c r="B1722" s="5">
        <v>41656</v>
      </c>
      <c r="C1722">
        <v>-2.73</v>
      </c>
      <c r="D1722" t="s">
        <v>304</v>
      </c>
      <c r="E1722" t="s">
        <v>420</v>
      </c>
      <c r="F1722" t="s">
        <v>511</v>
      </c>
      <c r="G1722" t="s">
        <v>341</v>
      </c>
      <c r="K1722" t="s">
        <v>72</v>
      </c>
      <c r="L1722" t="s">
        <v>1534</v>
      </c>
      <c r="Q1722" t="str">
        <f t="shared" si="78"/>
        <v>Jan</v>
      </c>
      <c r="R1722">
        <f t="shared" si="79"/>
        <v>2014</v>
      </c>
      <c r="S1722" t="str">
        <f>VLOOKUP($W1722,TBL_Categories,2,FALSE)</f>
        <v>Annual</v>
      </c>
      <c r="T1722">
        <f>VLOOKUP($W1722,TBL_Categories,3,FALSE)</f>
        <v>0</v>
      </c>
      <c r="U1722" t="str">
        <f>VLOOKUP($W1722,TBL_Categories,4,FALSE)</f>
        <v>No</v>
      </c>
      <c r="V1722" t="str">
        <f>VLOOKUP($W1722,TBL_Categories,5,FALSE)</f>
        <v>None</v>
      </c>
      <c r="W1722" t="str">
        <f t="shared" si="80"/>
        <v>Shopping|Electronics &amp; Software</v>
      </c>
    </row>
    <row r="1723" spans="1:23" x14ac:dyDescent="0.25">
      <c r="A1723" t="s">
        <v>296</v>
      </c>
      <c r="B1723" s="5">
        <v>41656</v>
      </c>
      <c r="C1723">
        <v>-3.99</v>
      </c>
      <c r="D1723" t="s">
        <v>304</v>
      </c>
      <c r="E1723" t="s">
        <v>433</v>
      </c>
      <c r="F1723" t="s">
        <v>1041</v>
      </c>
      <c r="G1723" t="s">
        <v>887</v>
      </c>
      <c r="J1723" t="s">
        <v>1550</v>
      </c>
      <c r="K1723" t="s">
        <v>61</v>
      </c>
      <c r="L1723" t="s">
        <v>401</v>
      </c>
      <c r="Q1723" t="str">
        <f t="shared" si="78"/>
        <v>Jan</v>
      </c>
      <c r="R1723">
        <f t="shared" si="79"/>
        <v>2014</v>
      </c>
      <c r="S1723" t="str">
        <f>VLOOKUP($W1723,TBL_Categories,2,FALSE)</f>
        <v>Monthly</v>
      </c>
      <c r="T1723">
        <f>VLOOKUP($W1723,TBL_Categories,3,FALSE)</f>
        <v>0</v>
      </c>
      <c r="U1723" t="str">
        <f>VLOOKUP($W1723,TBL_Categories,4,FALSE)</f>
        <v>No</v>
      </c>
      <c r="V1723" t="str">
        <f>VLOOKUP($W1723,TBL_Categories,5,FALSE)</f>
        <v>None</v>
      </c>
      <c r="W1723" t="str">
        <f t="shared" si="80"/>
        <v>Food &amp; Dining|Groceries</v>
      </c>
    </row>
    <row r="1724" spans="1:23" x14ac:dyDescent="0.25">
      <c r="A1724" t="s">
        <v>296</v>
      </c>
      <c r="B1724" s="5">
        <v>41656</v>
      </c>
      <c r="C1724">
        <v>-275.91000000000003</v>
      </c>
      <c r="D1724" t="s">
        <v>304</v>
      </c>
      <c r="E1724" t="s">
        <v>467</v>
      </c>
      <c r="F1724" t="s">
        <v>512</v>
      </c>
      <c r="G1724" t="s">
        <v>513</v>
      </c>
      <c r="J1724">
        <v>7231</v>
      </c>
      <c r="K1724" t="s">
        <v>55</v>
      </c>
      <c r="L1724" t="s">
        <v>1559</v>
      </c>
      <c r="Q1724" t="str">
        <f t="shared" si="78"/>
        <v>Jan</v>
      </c>
      <c r="R1724">
        <f t="shared" si="79"/>
        <v>2014</v>
      </c>
      <c r="S1724" t="str">
        <f>VLOOKUP($W1724,TBL_Categories,2,FALSE)</f>
        <v>Irregular</v>
      </c>
      <c r="T1724">
        <f>VLOOKUP($W1724,TBL_Categories,3,FALSE)</f>
        <v>0</v>
      </c>
      <c r="U1724" t="str">
        <f>VLOOKUP($W1724,TBL_Categories,4,FALSE)</f>
        <v>No</v>
      </c>
      <c r="V1724" t="str">
        <f>VLOOKUP($W1724,TBL_Categories,5,FALSE)</f>
        <v>None</v>
      </c>
      <c r="W1724" t="str">
        <f t="shared" si="80"/>
        <v>Business Expenses (Koolikai)|Repairs</v>
      </c>
    </row>
    <row r="1725" spans="1:23" x14ac:dyDescent="0.25">
      <c r="A1725" t="s">
        <v>298</v>
      </c>
      <c r="B1725" s="5">
        <v>41656</v>
      </c>
      <c r="C1725">
        <v>-159.56</v>
      </c>
      <c r="E1725" t="s">
        <v>360</v>
      </c>
      <c r="F1725" t="s">
        <v>358</v>
      </c>
      <c r="G1725" t="s">
        <v>9</v>
      </c>
      <c r="K1725" t="s">
        <v>9</v>
      </c>
      <c r="Q1725" t="str">
        <f t="shared" si="78"/>
        <v>Jan</v>
      </c>
      <c r="R1725">
        <f t="shared" si="79"/>
        <v>2014</v>
      </c>
      <c r="S1725" t="str">
        <f>VLOOKUP($W1725,TBL_Categories,2,FALSE)</f>
        <v>Account</v>
      </c>
      <c r="T1725">
        <f>VLOOKUP($W1725,TBL_Categories,3,FALSE)</f>
        <v>0</v>
      </c>
      <c r="U1725" t="str">
        <f>VLOOKUP($W1725,TBL_Categories,4,FALSE)</f>
        <v>No</v>
      </c>
      <c r="V1725" t="str">
        <f>VLOOKUP($W1725,TBL_Categories,5,FALSE)</f>
        <v>None</v>
      </c>
      <c r="W1725" t="str">
        <f t="shared" si="80"/>
        <v>[First Tech - Checking (5544)]</v>
      </c>
    </row>
    <row r="1726" spans="1:23" x14ac:dyDescent="0.25">
      <c r="A1726" t="s">
        <v>281</v>
      </c>
      <c r="B1726" s="5">
        <v>41655</v>
      </c>
      <c r="C1726">
        <v>25.31</v>
      </c>
      <c r="D1726" t="s">
        <v>304</v>
      </c>
      <c r="E1726" t="s">
        <v>311</v>
      </c>
      <c r="G1726" t="s">
        <v>8</v>
      </c>
      <c r="K1726" t="s">
        <v>8</v>
      </c>
      <c r="Q1726" t="str">
        <f t="shared" si="78"/>
        <v>Jan</v>
      </c>
      <c r="R1726">
        <f t="shared" si="79"/>
        <v>2014</v>
      </c>
      <c r="S1726" t="str">
        <f>VLOOKUP($W1726,TBL_Categories,2,FALSE)</f>
        <v>Monthly</v>
      </c>
      <c r="T1726">
        <f>VLOOKUP($W1726,TBL_Categories,3,FALSE)</f>
        <v>0</v>
      </c>
      <c r="U1726" t="str">
        <f>VLOOKUP($W1726,TBL_Categories,4,FALSE)</f>
        <v>No</v>
      </c>
      <c r="V1726" t="str">
        <f>VLOOKUP($W1726,TBL_Categories,5,FALSE)</f>
        <v>None</v>
      </c>
      <c r="W1726" t="str">
        <f t="shared" si="80"/>
        <v>Interest Income</v>
      </c>
    </row>
    <row r="1727" spans="1:23" x14ac:dyDescent="0.25">
      <c r="A1727" t="s">
        <v>296</v>
      </c>
      <c r="B1727" s="5">
        <v>41655</v>
      </c>
      <c r="C1727">
        <v>-4.29</v>
      </c>
      <c r="D1727" t="s">
        <v>304</v>
      </c>
      <c r="E1727" t="s">
        <v>428</v>
      </c>
      <c r="F1727" t="s">
        <v>472</v>
      </c>
      <c r="G1727" t="s">
        <v>342</v>
      </c>
      <c r="K1727" t="s">
        <v>61</v>
      </c>
      <c r="L1727" t="s">
        <v>401</v>
      </c>
      <c r="Q1727" t="str">
        <f t="shared" si="78"/>
        <v>Jan</v>
      </c>
      <c r="R1727">
        <f t="shared" si="79"/>
        <v>2014</v>
      </c>
      <c r="S1727" t="str">
        <f>VLOOKUP($W1727,TBL_Categories,2,FALSE)</f>
        <v>Monthly</v>
      </c>
      <c r="T1727">
        <f>VLOOKUP($W1727,TBL_Categories,3,FALSE)</f>
        <v>0</v>
      </c>
      <c r="U1727" t="str">
        <f>VLOOKUP($W1727,TBL_Categories,4,FALSE)</f>
        <v>No</v>
      </c>
      <c r="V1727" t="str">
        <f>VLOOKUP($W1727,TBL_Categories,5,FALSE)</f>
        <v>None</v>
      </c>
      <c r="W1727" t="str">
        <f t="shared" si="80"/>
        <v>Food &amp; Dining|Groceries</v>
      </c>
    </row>
    <row r="1728" spans="1:23" x14ac:dyDescent="0.25">
      <c r="A1728" t="s">
        <v>296</v>
      </c>
      <c r="B1728" s="5">
        <v>41655</v>
      </c>
      <c r="C1728">
        <v>-9.1300000000000008</v>
      </c>
      <c r="D1728" t="s">
        <v>304</v>
      </c>
      <c r="E1728" t="s">
        <v>428</v>
      </c>
      <c r="F1728" t="s">
        <v>472</v>
      </c>
      <c r="G1728" t="s">
        <v>342</v>
      </c>
      <c r="K1728" t="s">
        <v>61</v>
      </c>
      <c r="L1728" t="s">
        <v>401</v>
      </c>
      <c r="Q1728" t="str">
        <f t="shared" si="78"/>
        <v>Jan</v>
      </c>
      <c r="R1728">
        <f t="shared" si="79"/>
        <v>2014</v>
      </c>
      <c r="S1728" t="str">
        <f>VLOOKUP($W1728,TBL_Categories,2,FALSE)</f>
        <v>Monthly</v>
      </c>
      <c r="T1728">
        <f>VLOOKUP($W1728,TBL_Categories,3,FALSE)</f>
        <v>0</v>
      </c>
      <c r="U1728" t="str">
        <f>VLOOKUP($W1728,TBL_Categories,4,FALSE)</f>
        <v>No</v>
      </c>
      <c r="V1728" t="str">
        <f>VLOOKUP($W1728,TBL_Categories,5,FALSE)</f>
        <v>None</v>
      </c>
      <c r="W1728" t="str">
        <f t="shared" si="80"/>
        <v>Food &amp; Dining|Groceries</v>
      </c>
    </row>
    <row r="1729" spans="1:23" x14ac:dyDescent="0.25">
      <c r="A1729" t="s">
        <v>296</v>
      </c>
      <c r="B1729" s="5">
        <v>41654</v>
      </c>
      <c r="C1729">
        <v>-25</v>
      </c>
      <c r="D1729" t="s">
        <v>304</v>
      </c>
      <c r="E1729" t="s">
        <v>1040</v>
      </c>
      <c r="F1729" t="s">
        <v>510</v>
      </c>
      <c r="G1729" t="s">
        <v>409</v>
      </c>
      <c r="K1729" t="s">
        <v>52</v>
      </c>
      <c r="L1729" t="s">
        <v>1568</v>
      </c>
      <c r="Q1729" t="str">
        <f t="shared" si="78"/>
        <v>Jan</v>
      </c>
      <c r="R1729">
        <f t="shared" si="79"/>
        <v>2014</v>
      </c>
      <c r="S1729" t="str">
        <f>VLOOKUP($W1729,TBL_Categories,2,FALSE)</f>
        <v>Monthly</v>
      </c>
      <c r="T1729">
        <f>VLOOKUP($W1729,TBL_Categories,3,FALSE)</f>
        <v>0</v>
      </c>
      <c r="U1729" t="str">
        <f>VLOOKUP($W1729,TBL_Categories,4,FALSE)</f>
        <v>No</v>
      </c>
      <c r="V1729" t="str">
        <f>VLOOKUP($W1729,TBL_Categories,5,FALSE)</f>
        <v>None</v>
      </c>
      <c r="W1729" t="str">
        <f t="shared" si="80"/>
        <v>Auto &amp; Transport|Gas &amp; Fuel</v>
      </c>
    </row>
    <row r="1730" spans="1:23" x14ac:dyDescent="0.25">
      <c r="A1730" t="s">
        <v>284</v>
      </c>
      <c r="B1730" s="5">
        <v>41653</v>
      </c>
      <c r="C1730" s="4">
        <v>3165.19</v>
      </c>
      <c r="D1730" t="s">
        <v>304</v>
      </c>
      <c r="E1730" t="s">
        <v>361</v>
      </c>
      <c r="F1730" t="s">
        <v>312</v>
      </c>
      <c r="G1730" t="s">
        <v>12</v>
      </c>
      <c r="K1730" t="s">
        <v>12</v>
      </c>
      <c r="Q1730" t="str">
        <f t="shared" ref="Q1730:Q1791" si="81">TEXT($B1730,"MMM")</f>
        <v>Jan</v>
      </c>
      <c r="R1730">
        <f t="shared" ref="R1730:R1791" si="82">YEAR($B1730)</f>
        <v>2014</v>
      </c>
      <c r="S1730" t="str">
        <f>VLOOKUP($W1730,TBL_Categories,2,FALSE)</f>
        <v>Monthly</v>
      </c>
      <c r="T1730">
        <f>VLOOKUP($W1730,TBL_Categories,3,FALSE)</f>
        <v>0</v>
      </c>
      <c r="U1730" t="str">
        <f>VLOOKUP($W1730,TBL_Categories,4,FALSE)</f>
        <v>No</v>
      </c>
      <c r="V1730" t="str">
        <f>VLOOKUP($W1730,TBL_Categories,5,FALSE)</f>
        <v>None</v>
      </c>
      <c r="W1730" t="str">
        <f t="shared" ref="W1730:W1793" si="83">IF(ISBLANK($L1730),$K1730,CONCATENATE($K1730,"|",$L1730))</f>
        <v>Net Salary</v>
      </c>
    </row>
    <row r="1731" spans="1:23" x14ac:dyDescent="0.25">
      <c r="A1731" t="s">
        <v>284</v>
      </c>
      <c r="B1731" s="5">
        <v>41653</v>
      </c>
      <c r="C1731">
        <v>-156.19999999999999</v>
      </c>
      <c r="D1731" t="s">
        <v>304</v>
      </c>
      <c r="E1731" t="s">
        <v>324</v>
      </c>
      <c r="F1731" t="s">
        <v>376</v>
      </c>
      <c r="G1731" t="s">
        <v>313</v>
      </c>
      <c r="K1731" t="s">
        <v>54</v>
      </c>
      <c r="L1731" t="s">
        <v>1521</v>
      </c>
      <c r="Q1731" t="str">
        <f t="shared" si="81"/>
        <v>Jan</v>
      </c>
      <c r="R1731">
        <f t="shared" si="82"/>
        <v>2014</v>
      </c>
      <c r="S1731" t="str">
        <f>VLOOKUP($W1731,TBL_Categories,2,FALSE)</f>
        <v>Monthly</v>
      </c>
      <c r="T1731">
        <f>VLOOKUP($W1731,TBL_Categories,3,FALSE)</f>
        <v>0</v>
      </c>
      <c r="U1731" t="str">
        <f>VLOOKUP($W1731,TBL_Categories,4,FALSE)</f>
        <v>No</v>
      </c>
      <c r="V1731" t="str">
        <f>VLOOKUP($W1731,TBL_Categories,5,FALSE)</f>
        <v>None</v>
      </c>
      <c r="W1731" t="str">
        <f t="shared" si="83"/>
        <v>Bills &amp; Utilities|Utilities</v>
      </c>
    </row>
    <row r="1732" spans="1:23" x14ac:dyDescent="0.25">
      <c r="A1732" t="s">
        <v>296</v>
      </c>
      <c r="B1732" s="5">
        <v>41653</v>
      </c>
      <c r="C1732">
        <v>25</v>
      </c>
      <c r="D1732" t="s">
        <v>304</v>
      </c>
      <c r="E1732" t="s">
        <v>429</v>
      </c>
      <c r="F1732" t="s">
        <v>427</v>
      </c>
      <c r="G1732" t="s">
        <v>14</v>
      </c>
      <c r="K1732" t="s">
        <v>14</v>
      </c>
      <c r="Q1732" t="str">
        <f t="shared" si="81"/>
        <v>Jan</v>
      </c>
      <c r="R1732">
        <f t="shared" si="82"/>
        <v>2014</v>
      </c>
      <c r="S1732" t="str">
        <f>VLOOKUP($W1732,TBL_Categories,2,FALSE)</f>
        <v>Monthly</v>
      </c>
      <c r="T1732">
        <f>VLOOKUP($W1732,TBL_Categories,3,FALSE)</f>
        <v>0</v>
      </c>
      <c r="U1732" t="str">
        <f>VLOOKUP($W1732,TBL_Categories,4,FALSE)</f>
        <v>No</v>
      </c>
      <c r="V1732" t="str">
        <f>VLOOKUP($W1732,TBL_Categories,5,FALSE)</f>
        <v>None</v>
      </c>
      <c r="W1732" t="str">
        <f t="shared" si="83"/>
        <v>Other Inc</v>
      </c>
    </row>
    <row r="1733" spans="1:23" x14ac:dyDescent="0.25">
      <c r="A1733" t="s">
        <v>296</v>
      </c>
      <c r="B1733" s="5">
        <v>41653</v>
      </c>
      <c r="C1733">
        <v>-50</v>
      </c>
      <c r="D1733" t="s">
        <v>304</v>
      </c>
      <c r="E1733" t="s">
        <v>676</v>
      </c>
      <c r="F1733" t="s">
        <v>509</v>
      </c>
      <c r="G1733" t="s">
        <v>448</v>
      </c>
      <c r="K1733" t="s">
        <v>52</v>
      </c>
      <c r="L1733" t="s">
        <v>1585</v>
      </c>
      <c r="Q1733" t="str">
        <f t="shared" si="81"/>
        <v>Jan</v>
      </c>
      <c r="R1733">
        <f t="shared" si="82"/>
        <v>2014</v>
      </c>
      <c r="S1733" t="str">
        <f>VLOOKUP($W1733,TBL_Categories,2,FALSE)</f>
        <v>Irregular</v>
      </c>
      <c r="T1733">
        <f>VLOOKUP($W1733,TBL_Categories,3,FALSE)</f>
        <v>0</v>
      </c>
      <c r="U1733" t="str">
        <f>VLOOKUP($W1733,TBL_Categories,4,FALSE)</f>
        <v>No</v>
      </c>
      <c r="V1733" t="str">
        <f>VLOOKUP($W1733,TBL_Categories,5,FALSE)</f>
        <v>None</v>
      </c>
      <c r="W1733" t="str">
        <f t="shared" si="83"/>
        <v>Auto &amp; Transport|Tolls</v>
      </c>
    </row>
    <row r="1734" spans="1:23" x14ac:dyDescent="0.25">
      <c r="A1734" t="s">
        <v>284</v>
      </c>
      <c r="B1734" s="5">
        <v>41652</v>
      </c>
      <c r="C1734">
        <v>-118.52</v>
      </c>
      <c r="D1734" t="s">
        <v>304</v>
      </c>
      <c r="E1734" t="s">
        <v>323</v>
      </c>
      <c r="F1734" t="s">
        <v>343</v>
      </c>
      <c r="G1734" t="s">
        <v>313</v>
      </c>
      <c r="K1734" t="s">
        <v>54</v>
      </c>
      <c r="L1734" t="s">
        <v>1521</v>
      </c>
      <c r="Q1734" t="str">
        <f t="shared" si="81"/>
        <v>Jan</v>
      </c>
      <c r="R1734">
        <f t="shared" si="82"/>
        <v>2014</v>
      </c>
      <c r="S1734" t="str">
        <f>VLOOKUP($W1734,TBL_Categories,2,FALSE)</f>
        <v>Monthly</v>
      </c>
      <c r="T1734">
        <f>VLOOKUP($W1734,TBL_Categories,3,FALSE)</f>
        <v>0</v>
      </c>
      <c r="U1734" t="str">
        <f>VLOOKUP($W1734,TBL_Categories,4,FALSE)</f>
        <v>No</v>
      </c>
      <c r="V1734" t="str">
        <f>VLOOKUP($W1734,TBL_Categories,5,FALSE)</f>
        <v>None</v>
      </c>
      <c r="W1734" t="str">
        <f t="shared" si="83"/>
        <v>Bills &amp; Utilities|Utilities</v>
      </c>
    </row>
    <row r="1735" spans="1:23" x14ac:dyDescent="0.25">
      <c r="A1735" t="s">
        <v>291</v>
      </c>
      <c r="B1735" s="5">
        <v>41652</v>
      </c>
      <c r="C1735">
        <v>199.99</v>
      </c>
      <c r="D1735" t="s">
        <v>304</v>
      </c>
      <c r="E1735" t="s">
        <v>411</v>
      </c>
      <c r="F1735" t="s">
        <v>412</v>
      </c>
      <c r="G1735" t="s">
        <v>894</v>
      </c>
      <c r="J1735" t="s">
        <v>1550</v>
      </c>
      <c r="K1735" t="s">
        <v>62</v>
      </c>
      <c r="L1735" t="s">
        <v>1545</v>
      </c>
      <c r="Q1735" t="str">
        <f t="shared" si="81"/>
        <v>Jan</v>
      </c>
      <c r="R1735">
        <f t="shared" si="82"/>
        <v>2014</v>
      </c>
      <c r="S1735" t="str">
        <f>VLOOKUP($W1735,TBL_Categories,2,FALSE)</f>
        <v>Irregular</v>
      </c>
      <c r="T1735">
        <f>VLOOKUP($W1735,TBL_Categories,3,FALSE)</f>
        <v>0</v>
      </c>
      <c r="U1735" t="str">
        <f>VLOOKUP($W1735,TBL_Categories,4,FALSE)</f>
        <v>No</v>
      </c>
      <c r="V1735" t="str">
        <f>VLOOKUP($W1735,TBL_Categories,5,FALSE)</f>
        <v>None</v>
      </c>
      <c r="W1735" t="str">
        <f t="shared" si="83"/>
        <v>Health &amp; Fitness|Sports</v>
      </c>
    </row>
    <row r="1736" spans="1:23" x14ac:dyDescent="0.25">
      <c r="A1736" t="s">
        <v>291</v>
      </c>
      <c r="B1736" s="5">
        <v>41652</v>
      </c>
      <c r="C1736">
        <v>-160</v>
      </c>
      <c r="D1736" t="s">
        <v>304</v>
      </c>
      <c r="E1736" t="s">
        <v>400</v>
      </c>
      <c r="F1736" t="s">
        <v>413</v>
      </c>
      <c r="G1736" t="s">
        <v>919</v>
      </c>
      <c r="I1736" t="s">
        <v>272</v>
      </c>
      <c r="J1736" t="s">
        <v>1550</v>
      </c>
      <c r="K1736" t="s">
        <v>70</v>
      </c>
      <c r="L1736" t="s">
        <v>1571</v>
      </c>
      <c r="Q1736" t="str">
        <f t="shared" si="81"/>
        <v>Jan</v>
      </c>
      <c r="R1736">
        <f t="shared" si="82"/>
        <v>2014</v>
      </c>
      <c r="S1736" t="str">
        <f>VLOOKUP($W1736,TBL_Categories,2,FALSE)</f>
        <v>Irregular</v>
      </c>
      <c r="T1736">
        <f>VLOOKUP($W1736,TBL_Categories,3,FALSE)</f>
        <v>0</v>
      </c>
      <c r="U1736" t="str">
        <f>VLOOKUP($W1736,TBL_Categories,4,FALSE)</f>
        <v>No</v>
      </c>
      <c r="V1736" t="str">
        <f>VLOOKUP($W1736,TBL_Categories,5,FALSE)</f>
        <v>None</v>
      </c>
      <c r="W1736" t="str">
        <f t="shared" si="83"/>
        <v>Personal Care|Spa &amp; Massage</v>
      </c>
    </row>
    <row r="1737" spans="1:23" x14ac:dyDescent="0.25">
      <c r="A1737" t="s">
        <v>291</v>
      </c>
      <c r="B1737" s="5">
        <v>41652</v>
      </c>
      <c r="C1737">
        <v>-90.3</v>
      </c>
      <c r="D1737" t="s">
        <v>304</v>
      </c>
      <c r="E1737" t="s">
        <v>400</v>
      </c>
      <c r="G1737" t="s">
        <v>887</v>
      </c>
      <c r="I1737" t="s">
        <v>272</v>
      </c>
      <c r="J1737" t="s">
        <v>1550</v>
      </c>
      <c r="K1737" t="s">
        <v>61</v>
      </c>
      <c r="L1737" t="s">
        <v>401</v>
      </c>
      <c r="Q1737" t="str">
        <f t="shared" si="81"/>
        <v>Jan</v>
      </c>
      <c r="R1737">
        <f t="shared" si="82"/>
        <v>2014</v>
      </c>
      <c r="S1737" t="str">
        <f>VLOOKUP($W1737,TBL_Categories,2,FALSE)</f>
        <v>Monthly</v>
      </c>
      <c r="T1737">
        <f>VLOOKUP($W1737,TBL_Categories,3,FALSE)</f>
        <v>0</v>
      </c>
      <c r="U1737" t="str">
        <f>VLOOKUP($W1737,TBL_Categories,4,FALSE)</f>
        <v>No</v>
      </c>
      <c r="V1737" t="str">
        <f>VLOOKUP($W1737,TBL_Categories,5,FALSE)</f>
        <v>None</v>
      </c>
      <c r="W1737" t="str">
        <f t="shared" si="83"/>
        <v>Food &amp; Dining|Groceries</v>
      </c>
    </row>
    <row r="1738" spans="1:23" x14ac:dyDescent="0.25">
      <c r="A1738" t="s">
        <v>296</v>
      </c>
      <c r="B1738" s="5">
        <v>41652</v>
      </c>
      <c r="C1738">
        <v>-6.5</v>
      </c>
      <c r="D1738" t="s">
        <v>304</v>
      </c>
      <c r="E1738" t="s">
        <v>502</v>
      </c>
      <c r="F1738" t="s">
        <v>503</v>
      </c>
      <c r="G1738" t="s">
        <v>1039</v>
      </c>
      <c r="J1738" t="s">
        <v>1550</v>
      </c>
      <c r="K1738" t="s">
        <v>17</v>
      </c>
      <c r="L1738" t="s">
        <v>1576</v>
      </c>
      <c r="Q1738" t="str">
        <f t="shared" si="81"/>
        <v>Jan</v>
      </c>
      <c r="R1738">
        <f t="shared" si="82"/>
        <v>2014</v>
      </c>
      <c r="S1738" t="str">
        <f>VLOOKUP($W1738,TBL_Categories,2,FALSE)</f>
        <v>Unplanned</v>
      </c>
      <c r="T1738">
        <f>VLOOKUP($W1738,TBL_Categories,3,FALSE)</f>
        <v>0</v>
      </c>
      <c r="U1738" t="str">
        <f>VLOOKUP($W1738,TBL_Categories,4,FALSE)</f>
        <v>No</v>
      </c>
      <c r="V1738" t="str">
        <f>VLOOKUP($W1738,TBL_Categories,5,FALSE)</f>
        <v>None</v>
      </c>
      <c r="W1738" t="str">
        <f t="shared" si="83"/>
        <v>Entertainment|Movies &amp; DVDs</v>
      </c>
    </row>
    <row r="1739" spans="1:23" x14ac:dyDescent="0.25">
      <c r="A1739" t="s">
        <v>296</v>
      </c>
      <c r="B1739" s="5">
        <v>41652</v>
      </c>
      <c r="C1739">
        <v>-8.42</v>
      </c>
      <c r="D1739" t="s">
        <v>304</v>
      </c>
      <c r="E1739" t="s">
        <v>428</v>
      </c>
      <c r="F1739" t="s">
        <v>472</v>
      </c>
      <c r="G1739" t="s">
        <v>342</v>
      </c>
      <c r="K1739" t="s">
        <v>61</v>
      </c>
      <c r="L1739" t="s">
        <v>401</v>
      </c>
      <c r="Q1739" t="str">
        <f t="shared" si="81"/>
        <v>Jan</v>
      </c>
      <c r="R1739">
        <f t="shared" si="82"/>
        <v>2014</v>
      </c>
      <c r="S1739" t="str">
        <f>VLOOKUP($W1739,TBL_Categories,2,FALSE)</f>
        <v>Monthly</v>
      </c>
      <c r="T1739">
        <f>VLOOKUP($W1739,TBL_Categories,3,FALSE)</f>
        <v>0</v>
      </c>
      <c r="U1739" t="str">
        <f>VLOOKUP($W1739,TBL_Categories,4,FALSE)</f>
        <v>No</v>
      </c>
      <c r="V1739" t="str">
        <f>VLOOKUP($W1739,TBL_Categories,5,FALSE)</f>
        <v>None</v>
      </c>
      <c r="W1739" t="str">
        <f t="shared" si="83"/>
        <v>Food &amp; Dining|Groceries</v>
      </c>
    </row>
    <row r="1740" spans="1:23" x14ac:dyDescent="0.25">
      <c r="A1740" t="s">
        <v>296</v>
      </c>
      <c r="B1740" s="5">
        <v>41652</v>
      </c>
      <c r="C1740">
        <v>-22.44</v>
      </c>
      <c r="D1740" t="s">
        <v>304</v>
      </c>
      <c r="E1740" t="s">
        <v>469</v>
      </c>
      <c r="F1740" t="s">
        <v>504</v>
      </c>
      <c r="G1740" t="s">
        <v>333</v>
      </c>
      <c r="K1740" t="s">
        <v>61</v>
      </c>
      <c r="L1740" t="s">
        <v>1530</v>
      </c>
      <c r="Q1740" t="str">
        <f t="shared" si="81"/>
        <v>Jan</v>
      </c>
      <c r="R1740">
        <f t="shared" si="82"/>
        <v>2014</v>
      </c>
      <c r="S1740" t="str">
        <f>VLOOKUP($W1740,TBL_Categories,2,FALSE)</f>
        <v>Monthly</v>
      </c>
      <c r="T1740">
        <f>VLOOKUP($W1740,TBL_Categories,3,FALSE)</f>
        <v>0</v>
      </c>
      <c r="U1740" t="str">
        <f>VLOOKUP($W1740,TBL_Categories,4,FALSE)</f>
        <v>No</v>
      </c>
      <c r="V1740" t="str">
        <f>VLOOKUP($W1740,TBL_Categories,5,FALSE)</f>
        <v>None</v>
      </c>
      <c r="W1740" t="str">
        <f t="shared" si="83"/>
        <v>Food &amp; Dining|Restaurants</v>
      </c>
    </row>
    <row r="1741" spans="1:23" x14ac:dyDescent="0.25">
      <c r="A1741" t="s">
        <v>296</v>
      </c>
      <c r="B1741" s="5">
        <v>41652</v>
      </c>
      <c r="C1741">
        <v>-62.37</v>
      </c>
      <c r="D1741" t="s">
        <v>304</v>
      </c>
      <c r="E1741" t="s">
        <v>505</v>
      </c>
      <c r="F1741" t="s">
        <v>506</v>
      </c>
      <c r="G1741" t="s">
        <v>927</v>
      </c>
      <c r="J1741" t="s">
        <v>1550</v>
      </c>
      <c r="K1741" t="s">
        <v>72</v>
      </c>
      <c r="L1741" t="s">
        <v>1537</v>
      </c>
      <c r="Q1741" t="str">
        <f t="shared" si="81"/>
        <v>Jan</v>
      </c>
      <c r="R1741">
        <f t="shared" si="82"/>
        <v>2014</v>
      </c>
      <c r="S1741" t="str">
        <f>VLOOKUP($W1741,TBL_Categories,2,FALSE)</f>
        <v>Annual</v>
      </c>
      <c r="T1741">
        <f>VLOOKUP($W1741,TBL_Categories,3,FALSE)</f>
        <v>0</v>
      </c>
      <c r="U1741" t="str">
        <f>VLOOKUP($W1741,TBL_Categories,4,FALSE)</f>
        <v>No</v>
      </c>
      <c r="V1741" t="str">
        <f>VLOOKUP($W1741,TBL_Categories,5,FALSE)</f>
        <v>None</v>
      </c>
      <c r="W1741" t="str">
        <f t="shared" si="83"/>
        <v>Shopping|Clothing</v>
      </c>
    </row>
    <row r="1742" spans="1:23" x14ac:dyDescent="0.25">
      <c r="A1742" t="s">
        <v>296</v>
      </c>
      <c r="B1742" s="5">
        <v>41652</v>
      </c>
      <c r="C1742">
        <v>-188.19</v>
      </c>
      <c r="D1742" t="s">
        <v>304</v>
      </c>
      <c r="E1742" t="s">
        <v>507</v>
      </c>
      <c r="F1742" t="s">
        <v>508</v>
      </c>
      <c r="G1742" t="s">
        <v>927</v>
      </c>
      <c r="J1742" t="s">
        <v>1550</v>
      </c>
      <c r="K1742" t="s">
        <v>72</v>
      </c>
      <c r="L1742" t="s">
        <v>1537</v>
      </c>
      <c r="Q1742" t="str">
        <f t="shared" si="81"/>
        <v>Jan</v>
      </c>
      <c r="R1742">
        <f t="shared" si="82"/>
        <v>2014</v>
      </c>
      <c r="S1742" t="str">
        <f>VLOOKUP($W1742,TBL_Categories,2,FALSE)</f>
        <v>Annual</v>
      </c>
      <c r="T1742">
        <f>VLOOKUP($W1742,TBL_Categories,3,FALSE)</f>
        <v>0</v>
      </c>
      <c r="U1742" t="str">
        <f>VLOOKUP($W1742,TBL_Categories,4,FALSE)</f>
        <v>No</v>
      </c>
      <c r="V1742" t="str">
        <f>VLOOKUP($W1742,TBL_Categories,5,FALSE)</f>
        <v>None</v>
      </c>
      <c r="W1742" t="str">
        <f t="shared" si="83"/>
        <v>Shopping|Clothing</v>
      </c>
    </row>
    <row r="1743" spans="1:23" x14ac:dyDescent="0.25">
      <c r="A1743" t="s">
        <v>284</v>
      </c>
      <c r="B1743" s="5">
        <v>41651</v>
      </c>
      <c r="C1743">
        <v>19.75</v>
      </c>
      <c r="D1743" t="s">
        <v>304</v>
      </c>
      <c r="E1743" t="s">
        <v>355</v>
      </c>
      <c r="F1743" t="s">
        <v>373</v>
      </c>
      <c r="G1743" t="s">
        <v>367</v>
      </c>
      <c r="K1743" t="s">
        <v>62</v>
      </c>
      <c r="L1743" t="s">
        <v>1549</v>
      </c>
      <c r="Q1743" t="str">
        <f t="shared" si="81"/>
        <v>Jan</v>
      </c>
      <c r="R1743">
        <f t="shared" si="82"/>
        <v>2014</v>
      </c>
      <c r="S1743" t="str">
        <f>VLOOKUP($W1743,TBL_Categories,2,FALSE)</f>
        <v>Irregular</v>
      </c>
      <c r="T1743">
        <f>VLOOKUP($W1743,TBL_Categories,3,FALSE)</f>
        <v>0</v>
      </c>
      <c r="U1743" t="str">
        <f>VLOOKUP($W1743,TBL_Categories,4,FALSE)</f>
        <v>No</v>
      </c>
      <c r="V1743" t="str">
        <f>VLOOKUP($W1743,TBL_Categories,5,FALSE)</f>
        <v>None</v>
      </c>
      <c r="W1743" t="str">
        <f t="shared" si="83"/>
        <v>Health &amp; Fitness|Doctor</v>
      </c>
    </row>
    <row r="1744" spans="1:23" x14ac:dyDescent="0.25">
      <c r="A1744" t="s">
        <v>284</v>
      </c>
      <c r="B1744" s="5">
        <v>41651</v>
      </c>
      <c r="C1744">
        <v>61.66</v>
      </c>
      <c r="D1744" t="s">
        <v>304</v>
      </c>
      <c r="E1744" t="s">
        <v>374</v>
      </c>
      <c r="F1744" t="s">
        <v>375</v>
      </c>
      <c r="G1744" t="s">
        <v>367</v>
      </c>
      <c r="K1744" t="s">
        <v>62</v>
      </c>
      <c r="L1744" t="s">
        <v>1549</v>
      </c>
      <c r="Q1744" t="str">
        <f t="shared" si="81"/>
        <v>Jan</v>
      </c>
      <c r="R1744">
        <f t="shared" si="82"/>
        <v>2014</v>
      </c>
      <c r="S1744" t="str">
        <f>VLOOKUP($W1744,TBL_Categories,2,FALSE)</f>
        <v>Irregular</v>
      </c>
      <c r="T1744">
        <f>VLOOKUP($W1744,TBL_Categories,3,FALSE)</f>
        <v>0</v>
      </c>
      <c r="U1744" t="str">
        <f>VLOOKUP($W1744,TBL_Categories,4,FALSE)</f>
        <v>No</v>
      </c>
      <c r="V1744" t="str">
        <f>VLOOKUP($W1744,TBL_Categories,5,FALSE)</f>
        <v>None</v>
      </c>
      <c r="W1744" t="str">
        <f t="shared" si="83"/>
        <v>Health &amp; Fitness|Doctor</v>
      </c>
    </row>
    <row r="1745" spans="1:23" x14ac:dyDescent="0.25">
      <c r="A1745" t="s">
        <v>294</v>
      </c>
      <c r="B1745" s="5">
        <v>41651</v>
      </c>
      <c r="C1745">
        <v>-146.54</v>
      </c>
      <c r="D1745" t="s">
        <v>304</v>
      </c>
      <c r="E1745" t="s">
        <v>335</v>
      </c>
      <c r="G1745" t="s">
        <v>336</v>
      </c>
      <c r="K1745" t="s">
        <v>55</v>
      </c>
      <c r="L1745" t="s">
        <v>1532</v>
      </c>
      <c r="Q1745" t="str">
        <f t="shared" si="81"/>
        <v>Jan</v>
      </c>
      <c r="R1745">
        <f t="shared" si="82"/>
        <v>2014</v>
      </c>
      <c r="S1745" t="str">
        <f>VLOOKUP($W1745,TBL_Categories,2,FALSE)</f>
        <v>Monthly</v>
      </c>
      <c r="T1745">
        <f>VLOOKUP($W1745,TBL_Categories,3,FALSE)</f>
        <v>0</v>
      </c>
      <c r="U1745" t="str">
        <f>VLOOKUP($W1745,TBL_Categories,4,FALSE)</f>
        <v>No</v>
      </c>
      <c r="V1745" t="str">
        <f>VLOOKUP($W1745,TBL_Categories,5,FALSE)</f>
        <v>None</v>
      </c>
      <c r="W1745" t="str">
        <f t="shared" si="83"/>
        <v>Business Expenses (Koolikai)|Cell Phone</v>
      </c>
    </row>
    <row r="1746" spans="1:23" x14ac:dyDescent="0.25">
      <c r="A1746" t="s">
        <v>296</v>
      </c>
      <c r="B1746" s="5">
        <v>41651</v>
      </c>
      <c r="C1746">
        <v>1.68</v>
      </c>
      <c r="D1746" t="s">
        <v>304</v>
      </c>
      <c r="E1746" t="s">
        <v>500</v>
      </c>
      <c r="F1746" t="s">
        <v>501</v>
      </c>
      <c r="G1746" t="s">
        <v>341</v>
      </c>
      <c r="K1746" t="s">
        <v>72</v>
      </c>
      <c r="L1746" t="s">
        <v>1534</v>
      </c>
      <c r="Q1746" t="str">
        <f t="shared" si="81"/>
        <v>Jan</v>
      </c>
      <c r="R1746">
        <f t="shared" si="82"/>
        <v>2014</v>
      </c>
      <c r="S1746" t="str">
        <f>VLOOKUP($W1746,TBL_Categories,2,FALSE)</f>
        <v>Annual</v>
      </c>
      <c r="T1746">
        <f>VLOOKUP($W1746,TBL_Categories,3,FALSE)</f>
        <v>0</v>
      </c>
      <c r="U1746" t="str">
        <f>VLOOKUP($W1746,TBL_Categories,4,FALSE)</f>
        <v>No</v>
      </c>
      <c r="V1746" t="str">
        <f>VLOOKUP($W1746,TBL_Categories,5,FALSE)</f>
        <v>None</v>
      </c>
      <c r="W1746" t="str">
        <f t="shared" si="83"/>
        <v>Shopping|Electronics &amp; Software</v>
      </c>
    </row>
    <row r="1747" spans="1:23" x14ac:dyDescent="0.25">
      <c r="A1747" t="s">
        <v>296</v>
      </c>
      <c r="B1747" s="5">
        <v>41651</v>
      </c>
      <c r="C1747">
        <v>-1.55</v>
      </c>
      <c r="D1747" t="s">
        <v>304</v>
      </c>
      <c r="E1747" t="s">
        <v>428</v>
      </c>
      <c r="F1747" t="s">
        <v>472</v>
      </c>
      <c r="G1747" t="s">
        <v>342</v>
      </c>
      <c r="K1747" t="s">
        <v>61</v>
      </c>
      <c r="L1747" t="s">
        <v>401</v>
      </c>
      <c r="Q1747" t="str">
        <f t="shared" si="81"/>
        <v>Jan</v>
      </c>
      <c r="R1747">
        <f t="shared" si="82"/>
        <v>2014</v>
      </c>
      <c r="S1747" t="str">
        <f>VLOOKUP($W1747,TBL_Categories,2,FALSE)</f>
        <v>Monthly</v>
      </c>
      <c r="T1747">
        <f>VLOOKUP($W1747,TBL_Categories,3,FALSE)</f>
        <v>0</v>
      </c>
      <c r="U1747" t="str">
        <f>VLOOKUP($W1747,TBL_Categories,4,FALSE)</f>
        <v>No</v>
      </c>
      <c r="V1747" t="str">
        <f>VLOOKUP($W1747,TBL_Categories,5,FALSE)</f>
        <v>None</v>
      </c>
      <c r="W1747" t="str">
        <f t="shared" si="83"/>
        <v>Food &amp; Dining|Groceries</v>
      </c>
    </row>
    <row r="1748" spans="1:23" x14ac:dyDescent="0.25">
      <c r="A1748" t="s">
        <v>296</v>
      </c>
      <c r="B1748" s="5">
        <v>41650</v>
      </c>
      <c r="C1748">
        <v>-4.33</v>
      </c>
      <c r="D1748" t="s">
        <v>304</v>
      </c>
      <c r="E1748" t="s">
        <v>368</v>
      </c>
      <c r="F1748" t="s">
        <v>497</v>
      </c>
      <c r="G1748" t="s">
        <v>915</v>
      </c>
      <c r="J1748" t="s">
        <v>1550</v>
      </c>
      <c r="K1748" t="s">
        <v>20</v>
      </c>
      <c r="Q1748" t="str">
        <f t="shared" si="81"/>
        <v>Jan</v>
      </c>
      <c r="R1748">
        <f t="shared" si="82"/>
        <v>2014</v>
      </c>
      <c r="S1748" t="str">
        <f>VLOOKUP($W1748,TBL_Categories,2,FALSE)</f>
        <v>Monthly</v>
      </c>
      <c r="T1748">
        <f>VLOOKUP($W1748,TBL_Categories,3,FALSE)</f>
        <v>0</v>
      </c>
      <c r="U1748" t="str">
        <f>VLOOKUP($W1748,TBL_Categories,4,FALSE)</f>
        <v>No</v>
      </c>
      <c r="V1748" t="str">
        <f>VLOOKUP($W1748,TBL_Categories,5,FALSE)</f>
        <v>None</v>
      </c>
      <c r="W1748" t="str">
        <f t="shared" si="83"/>
        <v>Gifts</v>
      </c>
    </row>
    <row r="1749" spans="1:23" x14ac:dyDescent="0.25">
      <c r="A1749" t="s">
        <v>296</v>
      </c>
      <c r="B1749" s="5">
        <v>41650</v>
      </c>
      <c r="C1749">
        <v>-6</v>
      </c>
      <c r="D1749" t="s">
        <v>304</v>
      </c>
      <c r="E1749" t="s">
        <v>453</v>
      </c>
      <c r="F1749" t="s">
        <v>474</v>
      </c>
      <c r="G1749" t="s">
        <v>432</v>
      </c>
      <c r="K1749" t="s">
        <v>52</v>
      </c>
      <c r="L1749" t="s">
        <v>1577</v>
      </c>
      <c r="Q1749" t="str">
        <f t="shared" si="81"/>
        <v>Jan</v>
      </c>
      <c r="R1749">
        <f t="shared" si="82"/>
        <v>2014</v>
      </c>
      <c r="S1749" t="str">
        <f>VLOOKUP($W1749,TBL_Categories,2,FALSE)</f>
        <v>Monthly</v>
      </c>
      <c r="T1749">
        <f>VLOOKUP($W1749,TBL_Categories,3,FALSE)</f>
        <v>0</v>
      </c>
      <c r="U1749" t="str">
        <f>VLOOKUP($W1749,TBL_Categories,4,FALSE)</f>
        <v>No</v>
      </c>
      <c r="V1749" t="str">
        <f>VLOOKUP($W1749,TBL_Categories,5,FALSE)</f>
        <v>None</v>
      </c>
      <c r="W1749" t="str">
        <f t="shared" si="83"/>
        <v>Auto &amp; Transport|Parking</v>
      </c>
    </row>
    <row r="1750" spans="1:23" x14ac:dyDescent="0.25">
      <c r="A1750" t="s">
        <v>296</v>
      </c>
      <c r="B1750" s="5">
        <v>41650</v>
      </c>
      <c r="C1750">
        <v>-17.52</v>
      </c>
      <c r="D1750" t="s">
        <v>304</v>
      </c>
      <c r="E1750" t="s">
        <v>440</v>
      </c>
      <c r="F1750" t="s">
        <v>498</v>
      </c>
      <c r="G1750" t="s">
        <v>1037</v>
      </c>
      <c r="J1750" t="s">
        <v>1550</v>
      </c>
      <c r="K1750" t="s">
        <v>72</v>
      </c>
      <c r="L1750" t="s">
        <v>460</v>
      </c>
      <c r="Q1750" t="str">
        <f t="shared" si="81"/>
        <v>Jan</v>
      </c>
      <c r="R1750">
        <f t="shared" si="82"/>
        <v>2014</v>
      </c>
      <c r="S1750" t="str">
        <f>VLOOKUP($W1750,TBL_Categories,2,FALSE)</f>
        <v>Unplanned</v>
      </c>
      <c r="T1750">
        <f>VLOOKUP($W1750,TBL_Categories,3,FALSE)</f>
        <v>0</v>
      </c>
      <c r="U1750" t="str">
        <f>VLOOKUP($W1750,TBL_Categories,4,FALSE)</f>
        <v>No</v>
      </c>
      <c r="V1750" t="str">
        <f>VLOOKUP($W1750,TBL_Categories,5,FALSE)</f>
        <v>None</v>
      </c>
      <c r="W1750" t="str">
        <f t="shared" si="83"/>
        <v>Shopping|Books</v>
      </c>
    </row>
    <row r="1751" spans="1:23" x14ac:dyDescent="0.25">
      <c r="A1751" t="s">
        <v>296</v>
      </c>
      <c r="B1751" s="5">
        <v>41650</v>
      </c>
      <c r="C1751">
        <v>-20.75</v>
      </c>
      <c r="D1751" t="s">
        <v>304</v>
      </c>
      <c r="E1751" t="s">
        <v>477</v>
      </c>
      <c r="F1751" t="s">
        <v>498</v>
      </c>
      <c r="G1751" t="s">
        <v>1037</v>
      </c>
      <c r="J1751" t="s">
        <v>1550</v>
      </c>
      <c r="K1751" t="s">
        <v>72</v>
      </c>
      <c r="L1751" t="s">
        <v>460</v>
      </c>
      <c r="Q1751" t="str">
        <f t="shared" si="81"/>
        <v>Jan</v>
      </c>
      <c r="R1751">
        <f t="shared" si="82"/>
        <v>2014</v>
      </c>
      <c r="S1751" t="str">
        <f>VLOOKUP($W1751,TBL_Categories,2,FALSE)</f>
        <v>Unplanned</v>
      </c>
      <c r="T1751">
        <f>VLOOKUP($W1751,TBL_Categories,3,FALSE)</f>
        <v>0</v>
      </c>
      <c r="U1751" t="str">
        <f>VLOOKUP($W1751,TBL_Categories,4,FALSE)</f>
        <v>No</v>
      </c>
      <c r="V1751" t="str">
        <f>VLOOKUP($W1751,TBL_Categories,5,FALSE)</f>
        <v>None</v>
      </c>
      <c r="W1751" t="str">
        <f t="shared" si="83"/>
        <v>Shopping|Books</v>
      </c>
    </row>
    <row r="1752" spans="1:23" x14ac:dyDescent="0.25">
      <c r="A1752" t="s">
        <v>296</v>
      </c>
      <c r="B1752" s="5">
        <v>41650</v>
      </c>
      <c r="C1752">
        <v>-79.709999999999994</v>
      </c>
      <c r="D1752" t="s">
        <v>304</v>
      </c>
      <c r="E1752" t="s">
        <v>1038</v>
      </c>
      <c r="F1752" t="s">
        <v>499</v>
      </c>
      <c r="G1752" t="s">
        <v>333</v>
      </c>
      <c r="K1752" t="s">
        <v>61</v>
      </c>
      <c r="L1752" t="s">
        <v>1530</v>
      </c>
      <c r="Q1752" t="str">
        <f t="shared" si="81"/>
        <v>Jan</v>
      </c>
      <c r="R1752">
        <f t="shared" si="82"/>
        <v>2014</v>
      </c>
      <c r="S1752" t="str">
        <f>VLOOKUP($W1752,TBL_Categories,2,FALSE)</f>
        <v>Monthly</v>
      </c>
      <c r="T1752">
        <f>VLOOKUP($W1752,TBL_Categories,3,FALSE)</f>
        <v>0</v>
      </c>
      <c r="U1752" t="str">
        <f>VLOOKUP($W1752,TBL_Categories,4,FALSE)</f>
        <v>No</v>
      </c>
      <c r="V1752" t="str">
        <f>VLOOKUP($W1752,TBL_Categories,5,FALSE)</f>
        <v>None</v>
      </c>
      <c r="W1752" t="str">
        <f t="shared" si="83"/>
        <v>Food &amp; Dining|Restaurants</v>
      </c>
    </row>
    <row r="1753" spans="1:23" x14ac:dyDescent="0.25">
      <c r="A1753" t="s">
        <v>296</v>
      </c>
      <c r="B1753" s="5">
        <v>41650</v>
      </c>
      <c r="C1753">
        <v>-144.49</v>
      </c>
      <c r="D1753" t="s">
        <v>304</v>
      </c>
      <c r="E1753" t="s">
        <v>433</v>
      </c>
      <c r="F1753" t="s">
        <v>475</v>
      </c>
      <c r="G1753" t="s">
        <v>887</v>
      </c>
      <c r="J1753" t="s">
        <v>1550</v>
      </c>
      <c r="K1753" t="s">
        <v>61</v>
      </c>
      <c r="L1753" t="s">
        <v>401</v>
      </c>
      <c r="Q1753" t="str">
        <f t="shared" si="81"/>
        <v>Jan</v>
      </c>
      <c r="R1753">
        <f t="shared" si="82"/>
        <v>2014</v>
      </c>
      <c r="S1753" t="str">
        <f>VLOOKUP($W1753,TBL_Categories,2,FALSE)</f>
        <v>Monthly</v>
      </c>
      <c r="T1753">
        <f>VLOOKUP($W1753,TBL_Categories,3,FALSE)</f>
        <v>0</v>
      </c>
      <c r="U1753" t="str">
        <f>VLOOKUP($W1753,TBL_Categories,4,FALSE)</f>
        <v>No</v>
      </c>
      <c r="V1753" t="str">
        <f>VLOOKUP($W1753,TBL_Categories,5,FALSE)</f>
        <v>None</v>
      </c>
      <c r="W1753" t="str">
        <f t="shared" si="83"/>
        <v>Food &amp; Dining|Groceries</v>
      </c>
    </row>
    <row r="1754" spans="1:23" x14ac:dyDescent="0.25">
      <c r="A1754" t="s">
        <v>296</v>
      </c>
      <c r="B1754" s="5">
        <v>41649</v>
      </c>
      <c r="C1754">
        <v>-5.95</v>
      </c>
      <c r="D1754" t="s">
        <v>304</v>
      </c>
      <c r="E1754" t="s">
        <v>331</v>
      </c>
      <c r="F1754" t="s">
        <v>496</v>
      </c>
      <c r="G1754" t="s">
        <v>333</v>
      </c>
      <c r="K1754" t="s">
        <v>61</v>
      </c>
      <c r="L1754" t="s">
        <v>1530</v>
      </c>
      <c r="Q1754" t="str">
        <f t="shared" si="81"/>
        <v>Jan</v>
      </c>
      <c r="R1754">
        <f t="shared" si="82"/>
        <v>2014</v>
      </c>
      <c r="S1754" t="str">
        <f>VLOOKUP($W1754,TBL_Categories,2,FALSE)</f>
        <v>Monthly</v>
      </c>
      <c r="T1754">
        <f>VLOOKUP($W1754,TBL_Categories,3,FALSE)</f>
        <v>0</v>
      </c>
      <c r="U1754" t="str">
        <f>VLOOKUP($W1754,TBL_Categories,4,FALSE)</f>
        <v>No</v>
      </c>
      <c r="V1754" t="str">
        <f>VLOOKUP($W1754,TBL_Categories,5,FALSE)</f>
        <v>None</v>
      </c>
      <c r="W1754" t="str">
        <f t="shared" si="83"/>
        <v>Food &amp; Dining|Restaurants</v>
      </c>
    </row>
    <row r="1755" spans="1:23" x14ac:dyDescent="0.25">
      <c r="A1755" t="s">
        <v>296</v>
      </c>
      <c r="B1755" s="5">
        <v>41649</v>
      </c>
      <c r="C1755">
        <v>-18.07</v>
      </c>
      <c r="D1755" t="s">
        <v>304</v>
      </c>
      <c r="E1755" t="s">
        <v>428</v>
      </c>
      <c r="F1755" t="s">
        <v>472</v>
      </c>
      <c r="G1755" t="s">
        <v>342</v>
      </c>
      <c r="K1755" t="s">
        <v>61</v>
      </c>
      <c r="L1755" t="s">
        <v>401</v>
      </c>
      <c r="Q1755" t="str">
        <f t="shared" si="81"/>
        <v>Jan</v>
      </c>
      <c r="R1755">
        <f t="shared" si="82"/>
        <v>2014</v>
      </c>
      <c r="S1755" t="str">
        <f>VLOOKUP($W1755,TBL_Categories,2,FALSE)</f>
        <v>Monthly</v>
      </c>
      <c r="T1755">
        <f>VLOOKUP($W1755,TBL_Categories,3,FALSE)</f>
        <v>0</v>
      </c>
      <c r="U1755" t="str">
        <f>VLOOKUP($W1755,TBL_Categories,4,FALSE)</f>
        <v>No</v>
      </c>
      <c r="V1755" t="str">
        <f>VLOOKUP($W1755,TBL_Categories,5,FALSE)</f>
        <v>None</v>
      </c>
      <c r="W1755" t="str">
        <f t="shared" si="83"/>
        <v>Food &amp; Dining|Groceries</v>
      </c>
    </row>
    <row r="1756" spans="1:23" x14ac:dyDescent="0.25">
      <c r="A1756" t="s">
        <v>284</v>
      </c>
      <c r="B1756" s="5">
        <v>41647</v>
      </c>
      <c r="C1756">
        <v>-42.62</v>
      </c>
      <c r="D1756" t="s">
        <v>304</v>
      </c>
      <c r="E1756" t="s">
        <v>372</v>
      </c>
      <c r="F1756" t="s">
        <v>350</v>
      </c>
      <c r="G1756" t="s">
        <v>23</v>
      </c>
      <c r="K1756" t="s">
        <v>23</v>
      </c>
      <c r="Q1756" t="str">
        <f t="shared" si="81"/>
        <v>Jan</v>
      </c>
      <c r="R1756">
        <f t="shared" si="82"/>
        <v>2014</v>
      </c>
      <c r="S1756" t="str">
        <f>VLOOKUP($W1756,TBL_Categories,2,FALSE)</f>
        <v>Account</v>
      </c>
      <c r="T1756">
        <f>VLOOKUP($W1756,TBL_Categories,3,FALSE)</f>
        <v>0</v>
      </c>
      <c r="U1756" t="str">
        <f>VLOOKUP($W1756,TBL_Categories,4,FALSE)</f>
        <v>No</v>
      </c>
      <c r="V1756" t="str">
        <f>VLOOKUP($W1756,TBL_Categories,5,FALSE)</f>
        <v>None</v>
      </c>
      <c r="W1756" t="str">
        <f t="shared" si="83"/>
        <v>[Target Red Card]</v>
      </c>
    </row>
    <row r="1757" spans="1:23" x14ac:dyDescent="0.25">
      <c r="A1757" t="s">
        <v>284</v>
      </c>
      <c r="B1757" s="5">
        <v>41646</v>
      </c>
      <c r="C1757" s="4">
        <v>-3574.88</v>
      </c>
      <c r="D1757" t="s">
        <v>304</v>
      </c>
      <c r="E1757" t="s">
        <v>344</v>
      </c>
      <c r="F1757" t="s">
        <v>319</v>
      </c>
      <c r="G1757" t="s">
        <v>320</v>
      </c>
      <c r="K1757" t="s">
        <v>63</v>
      </c>
      <c r="L1757" t="s">
        <v>1526</v>
      </c>
      <c r="Q1757" t="str">
        <f t="shared" si="81"/>
        <v>Jan</v>
      </c>
      <c r="R1757">
        <f t="shared" si="82"/>
        <v>2014</v>
      </c>
      <c r="S1757" t="str">
        <f>VLOOKUP($W1757,TBL_Categories,2,FALSE)</f>
        <v>Monthly</v>
      </c>
      <c r="T1757">
        <f>VLOOKUP($W1757,TBL_Categories,3,FALSE)</f>
        <v>0</v>
      </c>
      <c r="U1757" t="str">
        <f>VLOOKUP($W1757,TBL_Categories,4,FALSE)</f>
        <v>No</v>
      </c>
      <c r="V1757" t="str">
        <f>VLOOKUP($W1757,TBL_Categories,5,FALSE)</f>
        <v>None</v>
      </c>
      <c r="W1757" t="str">
        <f t="shared" si="83"/>
        <v>Home|Mortgage</v>
      </c>
    </row>
    <row r="1758" spans="1:23" x14ac:dyDescent="0.25">
      <c r="A1758" t="s">
        <v>296</v>
      </c>
      <c r="B1758" s="5">
        <v>41646</v>
      </c>
      <c r="C1758">
        <v>-1.68</v>
      </c>
      <c r="D1758" t="s">
        <v>304</v>
      </c>
      <c r="E1758" t="s">
        <v>493</v>
      </c>
      <c r="F1758" t="s">
        <v>494</v>
      </c>
      <c r="G1758" t="s">
        <v>341</v>
      </c>
      <c r="K1758" t="s">
        <v>72</v>
      </c>
      <c r="L1758" t="s">
        <v>1534</v>
      </c>
      <c r="Q1758" t="str">
        <f t="shared" si="81"/>
        <v>Jan</v>
      </c>
      <c r="R1758">
        <f t="shared" si="82"/>
        <v>2014</v>
      </c>
      <c r="S1758" t="str">
        <f>VLOOKUP($W1758,TBL_Categories,2,FALSE)</f>
        <v>Annual</v>
      </c>
      <c r="T1758">
        <f>VLOOKUP($W1758,TBL_Categories,3,FALSE)</f>
        <v>0</v>
      </c>
      <c r="U1758" t="str">
        <f>VLOOKUP($W1758,TBL_Categories,4,FALSE)</f>
        <v>No</v>
      </c>
      <c r="V1758" t="str">
        <f>VLOOKUP($W1758,TBL_Categories,5,FALSE)</f>
        <v>None</v>
      </c>
      <c r="W1758" t="str">
        <f t="shared" si="83"/>
        <v>Shopping|Electronics &amp; Software</v>
      </c>
    </row>
    <row r="1759" spans="1:23" x14ac:dyDescent="0.25">
      <c r="A1759" t="s">
        <v>296</v>
      </c>
      <c r="B1759" s="5">
        <v>41646</v>
      </c>
      <c r="C1759">
        <v>-6</v>
      </c>
      <c r="D1759" t="s">
        <v>304</v>
      </c>
      <c r="E1759" t="s">
        <v>464</v>
      </c>
      <c r="F1759" t="s">
        <v>473</v>
      </c>
      <c r="G1759" t="s">
        <v>1036</v>
      </c>
      <c r="J1759" t="s">
        <v>1550</v>
      </c>
      <c r="K1759" t="s">
        <v>52</v>
      </c>
      <c r="L1759" t="s">
        <v>1577</v>
      </c>
      <c r="Q1759" t="str">
        <f t="shared" si="81"/>
        <v>Jan</v>
      </c>
      <c r="R1759">
        <f t="shared" si="82"/>
        <v>2014</v>
      </c>
      <c r="S1759" t="str">
        <f>VLOOKUP($W1759,TBL_Categories,2,FALSE)</f>
        <v>Monthly</v>
      </c>
      <c r="T1759">
        <f>VLOOKUP($W1759,TBL_Categories,3,FALSE)</f>
        <v>0</v>
      </c>
      <c r="U1759" t="str">
        <f>VLOOKUP($W1759,TBL_Categories,4,FALSE)</f>
        <v>No</v>
      </c>
      <c r="V1759" t="str">
        <f>VLOOKUP($W1759,TBL_Categories,5,FALSE)</f>
        <v>None</v>
      </c>
      <c r="W1759" t="str">
        <f t="shared" si="83"/>
        <v>Auto &amp; Transport|Parking</v>
      </c>
    </row>
    <row r="1760" spans="1:23" x14ac:dyDescent="0.25">
      <c r="A1760" t="s">
        <v>296</v>
      </c>
      <c r="B1760" s="5">
        <v>41646</v>
      </c>
      <c r="C1760">
        <v>-7.34</v>
      </c>
      <c r="D1760" t="s">
        <v>304</v>
      </c>
      <c r="E1760" t="s">
        <v>428</v>
      </c>
      <c r="F1760" t="s">
        <v>472</v>
      </c>
      <c r="G1760" t="s">
        <v>342</v>
      </c>
      <c r="K1760" t="s">
        <v>61</v>
      </c>
      <c r="L1760" t="s">
        <v>401</v>
      </c>
      <c r="Q1760" t="str">
        <f t="shared" si="81"/>
        <v>Jan</v>
      </c>
      <c r="R1760">
        <f t="shared" si="82"/>
        <v>2014</v>
      </c>
      <c r="S1760" t="str">
        <f>VLOOKUP($W1760,TBL_Categories,2,FALSE)</f>
        <v>Monthly</v>
      </c>
      <c r="T1760">
        <f>VLOOKUP($W1760,TBL_Categories,3,FALSE)</f>
        <v>0</v>
      </c>
      <c r="U1760" t="str">
        <f>VLOOKUP($W1760,TBL_Categories,4,FALSE)</f>
        <v>No</v>
      </c>
      <c r="V1760" t="str">
        <f>VLOOKUP($W1760,TBL_Categories,5,FALSE)</f>
        <v>None</v>
      </c>
      <c r="W1760" t="str">
        <f t="shared" si="83"/>
        <v>Food &amp; Dining|Groceries</v>
      </c>
    </row>
    <row r="1761" spans="1:23" x14ac:dyDescent="0.25">
      <c r="A1761" t="s">
        <v>296</v>
      </c>
      <c r="B1761" s="5">
        <v>41646</v>
      </c>
      <c r="C1761">
        <v>-14.64</v>
      </c>
      <c r="D1761" t="s">
        <v>304</v>
      </c>
      <c r="E1761" t="s">
        <v>431</v>
      </c>
      <c r="F1761" t="s">
        <v>492</v>
      </c>
      <c r="G1761" t="s">
        <v>432</v>
      </c>
      <c r="K1761" t="s">
        <v>52</v>
      </c>
      <c r="L1761" t="s">
        <v>1577</v>
      </c>
      <c r="Q1761" t="str">
        <f t="shared" si="81"/>
        <v>Jan</v>
      </c>
      <c r="R1761">
        <f t="shared" si="82"/>
        <v>2014</v>
      </c>
      <c r="S1761" t="str">
        <f>VLOOKUP($W1761,TBL_Categories,2,FALSE)</f>
        <v>Monthly</v>
      </c>
      <c r="T1761">
        <f>VLOOKUP($W1761,TBL_Categories,3,FALSE)</f>
        <v>0</v>
      </c>
      <c r="U1761" t="str">
        <f>VLOOKUP($W1761,TBL_Categories,4,FALSE)</f>
        <v>No</v>
      </c>
      <c r="V1761" t="str">
        <f>VLOOKUP($W1761,TBL_Categories,5,FALSE)</f>
        <v>None</v>
      </c>
      <c r="W1761" t="str">
        <f t="shared" si="83"/>
        <v>Auto &amp; Transport|Parking</v>
      </c>
    </row>
    <row r="1762" spans="1:23" x14ac:dyDescent="0.25">
      <c r="A1762" t="s">
        <v>296</v>
      </c>
      <c r="B1762" s="5">
        <v>41645</v>
      </c>
      <c r="C1762">
        <v>-13.42</v>
      </c>
      <c r="D1762" t="s">
        <v>304</v>
      </c>
      <c r="E1762" t="s">
        <v>431</v>
      </c>
      <c r="F1762" t="s">
        <v>492</v>
      </c>
      <c r="G1762" t="s">
        <v>432</v>
      </c>
      <c r="K1762" t="s">
        <v>52</v>
      </c>
      <c r="L1762" t="s">
        <v>1577</v>
      </c>
      <c r="Q1762" t="str">
        <f t="shared" si="81"/>
        <v>Jan</v>
      </c>
      <c r="R1762">
        <f t="shared" si="82"/>
        <v>2014</v>
      </c>
      <c r="S1762" t="str">
        <f>VLOOKUP($W1762,TBL_Categories,2,FALSE)</f>
        <v>Monthly</v>
      </c>
      <c r="T1762">
        <f>VLOOKUP($W1762,TBL_Categories,3,FALSE)</f>
        <v>0</v>
      </c>
      <c r="U1762" t="str">
        <f>VLOOKUP($W1762,TBL_Categories,4,FALSE)</f>
        <v>No</v>
      </c>
      <c r="V1762" t="str">
        <f>VLOOKUP($W1762,TBL_Categories,5,FALSE)</f>
        <v>None</v>
      </c>
      <c r="W1762" t="str">
        <f t="shared" si="83"/>
        <v>Auto &amp; Transport|Parking</v>
      </c>
    </row>
    <row r="1763" spans="1:23" x14ac:dyDescent="0.25">
      <c r="A1763" t="s">
        <v>299</v>
      </c>
      <c r="B1763" s="5">
        <v>41645</v>
      </c>
      <c r="C1763">
        <v>42.62</v>
      </c>
      <c r="D1763" t="s">
        <v>304</v>
      </c>
      <c r="E1763" t="s">
        <v>366</v>
      </c>
      <c r="G1763" t="s">
        <v>9</v>
      </c>
      <c r="K1763" t="s">
        <v>9</v>
      </c>
      <c r="Q1763" t="str">
        <f t="shared" si="81"/>
        <v>Jan</v>
      </c>
      <c r="R1763">
        <f t="shared" si="82"/>
        <v>2014</v>
      </c>
      <c r="S1763" t="str">
        <f>VLOOKUP($W1763,TBL_Categories,2,FALSE)</f>
        <v>Account</v>
      </c>
      <c r="T1763">
        <f>VLOOKUP($W1763,TBL_Categories,3,FALSE)</f>
        <v>0</v>
      </c>
      <c r="U1763" t="str">
        <f>VLOOKUP($W1763,TBL_Categories,4,FALSE)</f>
        <v>No</v>
      </c>
      <c r="V1763" t="str">
        <f>VLOOKUP($W1763,TBL_Categories,5,FALSE)</f>
        <v>None</v>
      </c>
      <c r="W1763" t="str">
        <f t="shared" si="83"/>
        <v>[First Tech - Checking (5544)]</v>
      </c>
    </row>
    <row r="1764" spans="1:23" x14ac:dyDescent="0.25">
      <c r="A1764" t="s">
        <v>288</v>
      </c>
      <c r="B1764" s="5">
        <v>41644</v>
      </c>
      <c r="C1764">
        <v>100</v>
      </c>
      <c r="D1764" t="s">
        <v>304</v>
      </c>
      <c r="E1764" t="s">
        <v>383</v>
      </c>
      <c r="F1764" t="s">
        <v>393</v>
      </c>
      <c r="G1764" t="s">
        <v>389</v>
      </c>
      <c r="I1764" t="s">
        <v>272</v>
      </c>
      <c r="J1764">
        <v>7231</v>
      </c>
      <c r="K1764" t="s">
        <v>55</v>
      </c>
      <c r="L1764" t="s">
        <v>1558</v>
      </c>
      <c r="Q1764" t="str">
        <f t="shared" si="81"/>
        <v>Jan</v>
      </c>
      <c r="R1764">
        <f t="shared" si="82"/>
        <v>2014</v>
      </c>
      <c r="S1764" t="str">
        <f>VLOOKUP($W1764,TBL_Categories,2,FALSE)</f>
        <v>Monthly</v>
      </c>
      <c r="T1764">
        <f>VLOOKUP($W1764,TBL_Categories,3,FALSE)</f>
        <v>0</v>
      </c>
      <c r="U1764" t="str">
        <f>VLOOKUP($W1764,TBL_Categories,4,FALSE)</f>
        <v>No</v>
      </c>
      <c r="V1764" t="str">
        <f>VLOOKUP($W1764,TBL_Categories,5,FALSE)</f>
        <v>None</v>
      </c>
      <c r="W1764" t="str">
        <f t="shared" si="83"/>
        <v>Business Expenses (Koolikai)|Utilities (Business)</v>
      </c>
    </row>
    <row r="1765" spans="1:23" x14ac:dyDescent="0.25">
      <c r="A1765" t="s">
        <v>296</v>
      </c>
      <c r="B1765" s="5">
        <v>41644</v>
      </c>
      <c r="C1765">
        <v>-3.01</v>
      </c>
      <c r="D1765" t="s">
        <v>304</v>
      </c>
      <c r="E1765" t="s">
        <v>440</v>
      </c>
      <c r="F1765" t="s">
        <v>1035</v>
      </c>
      <c r="G1765" t="s">
        <v>773</v>
      </c>
      <c r="J1765" t="s">
        <v>1550</v>
      </c>
      <c r="K1765" t="s">
        <v>61</v>
      </c>
      <c r="L1765" t="s">
        <v>1530</v>
      </c>
      <c r="Q1765" t="str">
        <f t="shared" si="81"/>
        <v>Jan</v>
      </c>
      <c r="R1765">
        <f t="shared" si="82"/>
        <v>2014</v>
      </c>
      <c r="S1765" t="str">
        <f>VLOOKUP($W1765,TBL_Categories,2,FALSE)</f>
        <v>Monthly</v>
      </c>
      <c r="T1765">
        <f>VLOOKUP($W1765,TBL_Categories,3,FALSE)</f>
        <v>0</v>
      </c>
      <c r="U1765" t="str">
        <f>VLOOKUP($W1765,TBL_Categories,4,FALSE)</f>
        <v>No</v>
      </c>
      <c r="V1765" t="str">
        <f>VLOOKUP($W1765,TBL_Categories,5,FALSE)</f>
        <v>None</v>
      </c>
      <c r="W1765" t="str">
        <f t="shared" si="83"/>
        <v>Food &amp; Dining|Restaurants</v>
      </c>
    </row>
    <row r="1766" spans="1:23" x14ac:dyDescent="0.25">
      <c r="A1766" t="s">
        <v>296</v>
      </c>
      <c r="B1766" s="5">
        <v>41644</v>
      </c>
      <c r="C1766">
        <v>-19.66</v>
      </c>
      <c r="D1766" t="s">
        <v>304</v>
      </c>
      <c r="E1766" t="s">
        <v>422</v>
      </c>
      <c r="F1766" t="s">
        <v>491</v>
      </c>
      <c r="G1766" t="s">
        <v>944</v>
      </c>
      <c r="J1766" t="s">
        <v>1561</v>
      </c>
      <c r="K1766" t="s">
        <v>55</v>
      </c>
      <c r="L1766" t="s">
        <v>1559</v>
      </c>
      <c r="Q1766" t="str">
        <f t="shared" si="81"/>
        <v>Jan</v>
      </c>
      <c r="R1766">
        <f t="shared" si="82"/>
        <v>2014</v>
      </c>
      <c r="S1766" t="str">
        <f>VLOOKUP($W1766,TBL_Categories,2,FALSE)</f>
        <v>Irregular</v>
      </c>
      <c r="T1766">
        <f>VLOOKUP($W1766,TBL_Categories,3,FALSE)</f>
        <v>0</v>
      </c>
      <c r="U1766" t="str">
        <f>VLOOKUP($W1766,TBL_Categories,4,FALSE)</f>
        <v>No</v>
      </c>
      <c r="V1766" t="str">
        <f>VLOOKUP($W1766,TBL_Categories,5,FALSE)</f>
        <v>None</v>
      </c>
      <c r="W1766" t="str">
        <f t="shared" si="83"/>
        <v>Business Expenses (Koolikai)|Repairs</v>
      </c>
    </row>
    <row r="1767" spans="1:23" x14ac:dyDescent="0.25">
      <c r="A1767" t="s">
        <v>296</v>
      </c>
      <c r="B1767" s="5">
        <v>41643</v>
      </c>
      <c r="C1767">
        <v>-16.34</v>
      </c>
      <c r="D1767" t="s">
        <v>304</v>
      </c>
      <c r="E1767" t="s">
        <v>426</v>
      </c>
      <c r="F1767" t="s">
        <v>1034</v>
      </c>
      <c r="G1767" t="s">
        <v>342</v>
      </c>
      <c r="K1767" t="s">
        <v>61</v>
      </c>
      <c r="L1767" t="s">
        <v>401</v>
      </c>
      <c r="Q1767" t="str">
        <f t="shared" si="81"/>
        <v>Jan</v>
      </c>
      <c r="R1767">
        <f t="shared" si="82"/>
        <v>2014</v>
      </c>
      <c r="S1767" t="str">
        <f>VLOOKUP($W1767,TBL_Categories,2,FALSE)</f>
        <v>Monthly</v>
      </c>
      <c r="T1767">
        <f>VLOOKUP($W1767,TBL_Categories,3,FALSE)</f>
        <v>0</v>
      </c>
      <c r="U1767" t="str">
        <f>VLOOKUP($W1767,TBL_Categories,4,FALSE)</f>
        <v>No</v>
      </c>
      <c r="V1767" t="str">
        <f>VLOOKUP($W1767,TBL_Categories,5,FALSE)</f>
        <v>None</v>
      </c>
      <c r="W1767" t="str">
        <f t="shared" si="83"/>
        <v>Food &amp; Dining|Groceries</v>
      </c>
    </row>
    <row r="1768" spans="1:23" x14ac:dyDescent="0.25">
      <c r="A1768" t="s">
        <v>296</v>
      </c>
      <c r="B1768" s="5">
        <v>41643</v>
      </c>
      <c r="C1768">
        <v>-18</v>
      </c>
      <c r="D1768" t="s">
        <v>304</v>
      </c>
      <c r="E1768" t="s">
        <v>488</v>
      </c>
      <c r="F1768" t="s">
        <v>489</v>
      </c>
      <c r="G1768" t="s">
        <v>449</v>
      </c>
      <c r="K1768" t="s">
        <v>66</v>
      </c>
      <c r="L1768" t="s">
        <v>1555</v>
      </c>
      <c r="Q1768" t="str">
        <f t="shared" si="81"/>
        <v>Jan</v>
      </c>
      <c r="R1768">
        <f t="shared" si="82"/>
        <v>2014</v>
      </c>
      <c r="S1768" t="str">
        <f>VLOOKUP($W1768,TBL_Categories,2,FALSE)</f>
        <v>Monthly</v>
      </c>
      <c r="T1768">
        <f>VLOOKUP($W1768,TBL_Categories,3,FALSE)</f>
        <v>0</v>
      </c>
      <c r="U1768" t="str">
        <f>VLOOKUP($W1768,TBL_Categories,4,FALSE)</f>
        <v>No</v>
      </c>
      <c r="V1768" t="str">
        <f>VLOOKUP($W1768,TBL_Categories,5,FALSE)</f>
        <v>None</v>
      </c>
      <c r="W1768" t="str">
        <f t="shared" si="83"/>
        <v>Kids|Kids Activities</v>
      </c>
    </row>
    <row r="1769" spans="1:23" x14ac:dyDescent="0.25">
      <c r="A1769" t="s">
        <v>296</v>
      </c>
      <c r="B1769" s="5">
        <v>41643</v>
      </c>
      <c r="C1769">
        <v>-77.150000000000006</v>
      </c>
      <c r="D1769" t="s">
        <v>304</v>
      </c>
      <c r="E1769" t="s">
        <v>459</v>
      </c>
      <c r="F1769" t="s">
        <v>490</v>
      </c>
      <c r="G1769" t="s">
        <v>333</v>
      </c>
      <c r="K1769" t="s">
        <v>61</v>
      </c>
      <c r="L1769" t="s">
        <v>1530</v>
      </c>
      <c r="Q1769" t="str">
        <f t="shared" si="81"/>
        <v>Jan</v>
      </c>
      <c r="R1769">
        <f t="shared" si="82"/>
        <v>2014</v>
      </c>
      <c r="S1769" t="str">
        <f>VLOOKUP($W1769,TBL_Categories,2,FALSE)</f>
        <v>Monthly</v>
      </c>
      <c r="T1769">
        <f>VLOOKUP($W1769,TBL_Categories,3,FALSE)</f>
        <v>0</v>
      </c>
      <c r="U1769" t="str">
        <f>VLOOKUP($W1769,TBL_Categories,4,FALSE)</f>
        <v>No</v>
      </c>
      <c r="V1769" t="str">
        <f>VLOOKUP($W1769,TBL_Categories,5,FALSE)</f>
        <v>None</v>
      </c>
      <c r="W1769" t="str">
        <f t="shared" si="83"/>
        <v>Food &amp; Dining|Restaurants</v>
      </c>
    </row>
    <row r="1770" spans="1:23" x14ac:dyDescent="0.25">
      <c r="A1770" t="s">
        <v>296</v>
      </c>
      <c r="B1770" s="5">
        <v>41643</v>
      </c>
      <c r="C1770">
        <v>-95.46</v>
      </c>
      <c r="D1770" t="s">
        <v>304</v>
      </c>
      <c r="E1770" t="s">
        <v>433</v>
      </c>
      <c r="F1770" t="s">
        <v>1034</v>
      </c>
      <c r="G1770" t="s">
        <v>342</v>
      </c>
      <c r="K1770" t="s">
        <v>61</v>
      </c>
      <c r="L1770" t="s">
        <v>401</v>
      </c>
      <c r="Q1770" t="str">
        <f t="shared" si="81"/>
        <v>Jan</v>
      </c>
      <c r="R1770">
        <f t="shared" si="82"/>
        <v>2014</v>
      </c>
      <c r="S1770" t="str">
        <f>VLOOKUP($W1770,TBL_Categories,2,FALSE)</f>
        <v>Monthly</v>
      </c>
      <c r="T1770">
        <f>VLOOKUP($W1770,TBL_Categories,3,FALSE)</f>
        <v>0</v>
      </c>
      <c r="U1770" t="str">
        <f>VLOOKUP($W1770,TBL_Categories,4,FALSE)</f>
        <v>No</v>
      </c>
      <c r="V1770" t="str">
        <f>VLOOKUP($W1770,TBL_Categories,5,FALSE)</f>
        <v>None</v>
      </c>
      <c r="W1770" t="str">
        <f t="shared" si="83"/>
        <v>Food &amp; Dining|Groceries</v>
      </c>
    </row>
    <row r="1771" spans="1:23" x14ac:dyDescent="0.25">
      <c r="A1771" t="s">
        <v>284</v>
      </c>
      <c r="B1771" s="5">
        <v>41642</v>
      </c>
      <c r="C1771">
        <v>315.45999999999998</v>
      </c>
      <c r="D1771" t="s">
        <v>304</v>
      </c>
      <c r="E1771" t="s">
        <v>772</v>
      </c>
      <c r="F1771" t="s">
        <v>369</v>
      </c>
      <c r="G1771" t="s">
        <v>356</v>
      </c>
      <c r="K1771" t="s">
        <v>62</v>
      </c>
      <c r="L1771" t="s">
        <v>1545</v>
      </c>
      <c r="Q1771" t="str">
        <f t="shared" si="81"/>
        <v>Jan</v>
      </c>
      <c r="R1771">
        <f t="shared" si="82"/>
        <v>2014</v>
      </c>
      <c r="S1771" t="str">
        <f>VLOOKUP($W1771,TBL_Categories,2,FALSE)</f>
        <v>Irregular</v>
      </c>
      <c r="T1771">
        <f>VLOOKUP($W1771,TBL_Categories,3,FALSE)</f>
        <v>0</v>
      </c>
      <c r="U1771" t="str">
        <f>VLOOKUP($W1771,TBL_Categories,4,FALSE)</f>
        <v>No</v>
      </c>
      <c r="V1771" t="str">
        <f>VLOOKUP($W1771,TBL_Categories,5,FALSE)</f>
        <v>None</v>
      </c>
      <c r="W1771" t="str">
        <f t="shared" si="83"/>
        <v>Health &amp; Fitness|Sports</v>
      </c>
    </row>
    <row r="1772" spans="1:23" x14ac:dyDescent="0.25">
      <c r="A1772" t="s">
        <v>284</v>
      </c>
      <c r="B1772" s="5">
        <v>41642</v>
      </c>
      <c r="C1772">
        <v>-500</v>
      </c>
      <c r="D1772" t="s">
        <v>304</v>
      </c>
      <c r="E1772" t="s">
        <v>338</v>
      </c>
      <c r="F1772" t="s">
        <v>339</v>
      </c>
      <c r="G1772" t="s">
        <v>340</v>
      </c>
      <c r="K1772" t="s">
        <v>66</v>
      </c>
      <c r="L1772" t="s">
        <v>1533</v>
      </c>
      <c r="Q1772" t="str">
        <f t="shared" si="81"/>
        <v>Jan</v>
      </c>
      <c r="R1772">
        <f t="shared" si="82"/>
        <v>2014</v>
      </c>
      <c r="S1772" t="str">
        <f>VLOOKUP($W1772,TBL_Categories,2,FALSE)</f>
        <v>Monthly</v>
      </c>
      <c r="T1772">
        <f>VLOOKUP($W1772,TBL_Categories,3,FALSE)</f>
        <v>0</v>
      </c>
      <c r="U1772" t="str">
        <f>VLOOKUP($W1772,TBL_Categories,4,FALSE)</f>
        <v>No</v>
      </c>
      <c r="V1772" t="str">
        <f>VLOOKUP($W1772,TBL_Categories,5,FALSE)</f>
        <v>None</v>
      </c>
      <c r="W1772" t="str">
        <f t="shared" si="83"/>
        <v>Kids|American Funds 529A</v>
      </c>
    </row>
    <row r="1773" spans="1:23" x14ac:dyDescent="0.25">
      <c r="A1773" t="s">
        <v>284</v>
      </c>
      <c r="B1773" s="5">
        <v>41642</v>
      </c>
      <c r="C1773" s="4">
        <v>-2048.5100000000002</v>
      </c>
      <c r="D1773" t="s">
        <v>304</v>
      </c>
      <c r="E1773" t="s">
        <v>318</v>
      </c>
      <c r="F1773" t="s">
        <v>370</v>
      </c>
      <c r="G1773" t="s">
        <v>379</v>
      </c>
      <c r="J1773">
        <v>9602</v>
      </c>
      <c r="K1773" t="s">
        <v>55</v>
      </c>
      <c r="L1773" t="s">
        <v>1525</v>
      </c>
      <c r="Q1773" t="str">
        <f t="shared" si="81"/>
        <v>Jan</v>
      </c>
      <c r="R1773">
        <f t="shared" si="82"/>
        <v>2014</v>
      </c>
      <c r="S1773" t="str">
        <f>VLOOKUP($W1773,TBL_Categories,2,FALSE)</f>
        <v>Monthly</v>
      </c>
      <c r="T1773">
        <f>VLOOKUP($W1773,TBL_Categories,3,FALSE)</f>
        <v>0</v>
      </c>
      <c r="U1773" t="str">
        <f>VLOOKUP($W1773,TBL_Categories,4,FALSE)</f>
        <v>No</v>
      </c>
      <c r="V1773" t="str">
        <f>VLOOKUP($W1773,TBL_Categories,5,FALSE)</f>
        <v>None</v>
      </c>
      <c r="W1773" t="str">
        <f t="shared" si="83"/>
        <v>Business Expenses (Koolikai)|Mortgage (Business)</v>
      </c>
    </row>
    <row r="1774" spans="1:23" x14ac:dyDescent="0.25">
      <c r="A1774" t="s">
        <v>284</v>
      </c>
      <c r="B1774" s="5">
        <v>41642</v>
      </c>
      <c r="C1774" s="4">
        <v>-3513.25</v>
      </c>
      <c r="D1774" t="s">
        <v>304</v>
      </c>
      <c r="E1774" t="s">
        <v>318</v>
      </c>
      <c r="F1774" t="s">
        <v>371</v>
      </c>
      <c r="G1774" t="s">
        <v>380</v>
      </c>
      <c r="J1774">
        <v>7231</v>
      </c>
      <c r="K1774" t="s">
        <v>55</v>
      </c>
      <c r="L1774" t="s">
        <v>1525</v>
      </c>
      <c r="Q1774" t="str">
        <f t="shared" si="81"/>
        <v>Jan</v>
      </c>
      <c r="R1774">
        <f t="shared" si="82"/>
        <v>2014</v>
      </c>
      <c r="S1774" t="str">
        <f>VLOOKUP($W1774,TBL_Categories,2,FALSE)</f>
        <v>Monthly</v>
      </c>
      <c r="T1774">
        <f>VLOOKUP($W1774,TBL_Categories,3,FALSE)</f>
        <v>0</v>
      </c>
      <c r="U1774" t="str">
        <f>VLOOKUP($W1774,TBL_Categories,4,FALSE)</f>
        <v>No</v>
      </c>
      <c r="V1774" t="str">
        <f>VLOOKUP($W1774,TBL_Categories,5,FALSE)</f>
        <v>None</v>
      </c>
      <c r="W1774" t="str">
        <f t="shared" si="83"/>
        <v>Business Expenses (Koolikai)|Mortgage (Business)</v>
      </c>
    </row>
    <row r="1775" spans="1:23" x14ac:dyDescent="0.25">
      <c r="A1775" t="s">
        <v>284</v>
      </c>
      <c r="B1775" s="5">
        <v>41642</v>
      </c>
      <c r="C1775" s="4">
        <v>-3941.59</v>
      </c>
      <c r="D1775" t="s">
        <v>304</v>
      </c>
      <c r="E1775" t="s">
        <v>321</v>
      </c>
      <c r="G1775" t="s">
        <v>13</v>
      </c>
      <c r="K1775" t="s">
        <v>13</v>
      </c>
      <c r="Q1775" t="str">
        <f t="shared" si="81"/>
        <v>Jan</v>
      </c>
      <c r="R1775">
        <f t="shared" si="82"/>
        <v>2014</v>
      </c>
      <c r="S1775" t="str">
        <f>VLOOKUP($W1775,TBL_Categories,2,FALSE)</f>
        <v>Account</v>
      </c>
      <c r="T1775">
        <f>VLOOKUP($W1775,TBL_Categories,3,FALSE)</f>
        <v>0</v>
      </c>
      <c r="U1775" t="str">
        <f>VLOOKUP($W1775,TBL_Categories,4,FALSE)</f>
        <v>No</v>
      </c>
      <c r="V1775" t="str">
        <f>VLOOKUP($W1775,TBL_Categories,5,FALSE)</f>
        <v>None</v>
      </c>
      <c r="W1775" t="str">
        <f t="shared" si="83"/>
        <v>[MasterCard (Capital One)]</v>
      </c>
    </row>
    <row r="1776" spans="1:23" x14ac:dyDescent="0.25">
      <c r="A1776" t="s">
        <v>288</v>
      </c>
      <c r="B1776" s="5">
        <v>41642</v>
      </c>
      <c r="C1776">
        <v>238.75</v>
      </c>
      <c r="D1776" t="s">
        <v>304</v>
      </c>
      <c r="E1776" t="s">
        <v>318</v>
      </c>
      <c r="F1776" t="s">
        <v>392</v>
      </c>
      <c r="G1776" t="s">
        <v>379</v>
      </c>
      <c r="J1776">
        <v>9602</v>
      </c>
      <c r="K1776" t="s">
        <v>55</v>
      </c>
      <c r="L1776" t="s">
        <v>1525</v>
      </c>
      <c r="Q1776" t="str">
        <f t="shared" si="81"/>
        <v>Jan</v>
      </c>
      <c r="R1776">
        <f t="shared" si="82"/>
        <v>2014</v>
      </c>
      <c r="S1776" t="str">
        <f>VLOOKUP($W1776,TBL_Categories,2,FALSE)</f>
        <v>Monthly</v>
      </c>
      <c r="T1776">
        <f>VLOOKUP($W1776,TBL_Categories,3,FALSE)</f>
        <v>0</v>
      </c>
      <c r="U1776" t="str">
        <f>VLOOKUP($W1776,TBL_Categories,4,FALSE)</f>
        <v>No</v>
      </c>
      <c r="V1776" t="str">
        <f>VLOOKUP($W1776,TBL_Categories,5,FALSE)</f>
        <v>None</v>
      </c>
      <c r="W1776" t="str">
        <f t="shared" si="83"/>
        <v>Business Expenses (Koolikai)|Mortgage (Business)</v>
      </c>
    </row>
    <row r="1777" spans="1:23" x14ac:dyDescent="0.25">
      <c r="A1777" t="s">
        <v>296</v>
      </c>
      <c r="B1777" s="5">
        <v>41642</v>
      </c>
      <c r="C1777" s="4">
        <v>3941.59</v>
      </c>
      <c r="D1777" t="s">
        <v>304</v>
      </c>
      <c r="E1777" t="s">
        <v>321</v>
      </c>
      <c r="G1777" t="s">
        <v>9</v>
      </c>
      <c r="K1777" t="s">
        <v>9</v>
      </c>
      <c r="Q1777" t="str">
        <f t="shared" si="81"/>
        <v>Jan</v>
      </c>
      <c r="R1777">
        <f t="shared" si="82"/>
        <v>2014</v>
      </c>
      <c r="S1777" t="str">
        <f>VLOOKUP($W1777,TBL_Categories,2,FALSE)</f>
        <v>Account</v>
      </c>
      <c r="T1777">
        <f>VLOOKUP($W1777,TBL_Categories,3,FALSE)</f>
        <v>0</v>
      </c>
      <c r="U1777" t="str">
        <f>VLOOKUP($W1777,TBL_Categories,4,FALSE)</f>
        <v>No</v>
      </c>
      <c r="V1777" t="str">
        <f>VLOOKUP($W1777,TBL_Categories,5,FALSE)</f>
        <v>None</v>
      </c>
      <c r="W1777" t="str">
        <f t="shared" si="83"/>
        <v>[First Tech - Checking (5544)]</v>
      </c>
    </row>
    <row r="1778" spans="1:23" x14ac:dyDescent="0.25">
      <c r="A1778" t="s">
        <v>296</v>
      </c>
      <c r="B1778" s="5">
        <v>41642</v>
      </c>
      <c r="C1778">
        <v>-5.51</v>
      </c>
      <c r="D1778" t="s">
        <v>304</v>
      </c>
      <c r="E1778" t="s">
        <v>485</v>
      </c>
      <c r="F1778" t="s">
        <v>486</v>
      </c>
      <c r="G1778" t="s">
        <v>773</v>
      </c>
      <c r="J1778" t="s">
        <v>1550</v>
      </c>
      <c r="K1778" t="s">
        <v>61</v>
      </c>
      <c r="L1778" t="s">
        <v>1530</v>
      </c>
      <c r="Q1778" t="str">
        <f t="shared" si="81"/>
        <v>Jan</v>
      </c>
      <c r="R1778">
        <f t="shared" si="82"/>
        <v>2014</v>
      </c>
      <c r="S1778" t="str">
        <f>VLOOKUP($W1778,TBL_Categories,2,FALSE)</f>
        <v>Monthly</v>
      </c>
      <c r="T1778">
        <f>VLOOKUP($W1778,TBL_Categories,3,FALSE)</f>
        <v>0</v>
      </c>
      <c r="U1778" t="str">
        <f>VLOOKUP($W1778,TBL_Categories,4,FALSE)</f>
        <v>No</v>
      </c>
      <c r="V1778" t="str">
        <f>VLOOKUP($W1778,TBL_Categories,5,FALSE)</f>
        <v>None</v>
      </c>
      <c r="W1778" t="str">
        <f t="shared" si="83"/>
        <v>Food &amp; Dining|Restaurants</v>
      </c>
    </row>
    <row r="1779" spans="1:23" x14ac:dyDescent="0.25">
      <c r="A1779" t="s">
        <v>284</v>
      </c>
      <c r="B1779" s="5">
        <v>41641</v>
      </c>
      <c r="C1779">
        <v>112.5</v>
      </c>
      <c r="D1779" t="s">
        <v>304</v>
      </c>
      <c r="E1779" t="s">
        <v>360</v>
      </c>
      <c r="F1779" t="s">
        <v>358</v>
      </c>
      <c r="G1779" t="s">
        <v>22</v>
      </c>
      <c r="K1779" t="s">
        <v>22</v>
      </c>
      <c r="Q1779" t="str">
        <f t="shared" si="81"/>
        <v>Jan</v>
      </c>
      <c r="R1779">
        <f t="shared" si="82"/>
        <v>2014</v>
      </c>
      <c r="S1779" t="str">
        <f>VLOOKUP($W1779,TBL_Categories,2,FALSE)</f>
        <v>Account</v>
      </c>
      <c r="T1779">
        <f>VLOOKUP($W1779,TBL_Categories,3,FALSE)</f>
        <v>0</v>
      </c>
      <c r="U1779" t="str">
        <f>VLOOKUP($W1779,TBL_Categories,4,FALSE)</f>
        <v>No</v>
      </c>
      <c r="V1779" t="str">
        <f>VLOOKUP($W1779,TBL_Categories,5,FALSE)</f>
        <v>None</v>
      </c>
      <c r="W1779" t="str">
        <f t="shared" si="83"/>
        <v>[Premera Health Care Payment]</v>
      </c>
    </row>
    <row r="1780" spans="1:23" x14ac:dyDescent="0.25">
      <c r="A1780" t="s">
        <v>284</v>
      </c>
      <c r="B1780" s="5">
        <v>41641</v>
      </c>
      <c r="C1780" s="4">
        <v>-1976</v>
      </c>
      <c r="D1780" t="s">
        <v>304</v>
      </c>
      <c r="E1780" t="s">
        <v>314</v>
      </c>
      <c r="F1780" t="s">
        <v>315</v>
      </c>
      <c r="G1780" t="s">
        <v>316</v>
      </c>
      <c r="K1780" t="s">
        <v>66</v>
      </c>
      <c r="L1780" t="s">
        <v>1522</v>
      </c>
      <c r="Q1780" t="str">
        <f t="shared" si="81"/>
        <v>Jan</v>
      </c>
      <c r="R1780">
        <f t="shared" si="82"/>
        <v>2014</v>
      </c>
      <c r="S1780" t="str">
        <f>VLOOKUP($W1780,TBL_Categories,2,FALSE)</f>
        <v>Monthly</v>
      </c>
      <c r="T1780">
        <f>VLOOKUP($W1780,TBL_Categories,3,FALSE)</f>
        <v>0</v>
      </c>
      <c r="U1780" t="str">
        <f>VLOOKUP($W1780,TBL_Categories,4,FALSE)</f>
        <v>No</v>
      </c>
      <c r="V1780" t="str">
        <f>VLOOKUP($W1780,TBL_Categories,5,FALSE)</f>
        <v>None</v>
      </c>
      <c r="W1780" t="str">
        <f t="shared" si="83"/>
        <v>Kids|Daycare</v>
      </c>
    </row>
    <row r="1781" spans="1:23" x14ac:dyDescent="0.25">
      <c r="A1781" t="s">
        <v>284</v>
      </c>
      <c r="B1781" s="5">
        <v>41641</v>
      </c>
      <c r="C1781">
        <v>-85.41</v>
      </c>
      <c r="E1781" t="s">
        <v>770</v>
      </c>
      <c r="G1781" t="s">
        <v>771</v>
      </c>
      <c r="K1781" t="s">
        <v>771</v>
      </c>
      <c r="Q1781" t="str">
        <f t="shared" si="81"/>
        <v>Jan</v>
      </c>
      <c r="R1781">
        <f t="shared" si="82"/>
        <v>2014</v>
      </c>
      <c r="S1781" t="e">
        <f>VLOOKUP($W1781,TBL_Categories,2,FALSE)</f>
        <v>#N/A</v>
      </c>
      <c r="T1781" t="e">
        <f>VLOOKUP($W1781,TBL_Categories,3,FALSE)</f>
        <v>#N/A</v>
      </c>
      <c r="U1781" t="e">
        <f>VLOOKUP($W1781,TBL_Categories,4,FALSE)</f>
        <v>#N/A</v>
      </c>
      <c r="V1781" t="e">
        <f>VLOOKUP($W1781,TBL_Categories,5,FALSE)</f>
        <v>#N/A</v>
      </c>
      <c r="W1781" t="str">
        <f t="shared" si="83"/>
        <v>[REI Mastercard (xx1787)]</v>
      </c>
    </row>
    <row r="1782" spans="1:23" x14ac:dyDescent="0.25">
      <c r="A1782" t="s">
        <v>296</v>
      </c>
      <c r="B1782" s="5">
        <v>41641</v>
      </c>
      <c r="C1782">
        <v>-20.84</v>
      </c>
      <c r="D1782" t="s">
        <v>304</v>
      </c>
      <c r="E1782" t="s">
        <v>443</v>
      </c>
      <c r="F1782" t="s">
        <v>484</v>
      </c>
      <c r="G1782" t="s">
        <v>444</v>
      </c>
      <c r="I1782" t="s">
        <v>272</v>
      </c>
      <c r="K1782" t="s">
        <v>54</v>
      </c>
      <c r="L1782" t="s">
        <v>1581</v>
      </c>
      <c r="Q1782" t="str">
        <f t="shared" si="81"/>
        <v>Jan</v>
      </c>
      <c r="R1782">
        <f t="shared" si="82"/>
        <v>2014</v>
      </c>
      <c r="S1782" t="str">
        <f>VLOOKUP($W1782,TBL_Categories,2,FALSE)</f>
        <v>Monthly</v>
      </c>
      <c r="T1782">
        <f>VLOOKUP($W1782,TBL_Categories,3,FALSE)</f>
        <v>0</v>
      </c>
      <c r="U1782" t="str">
        <f>VLOOKUP($W1782,TBL_Categories,4,FALSE)</f>
        <v>No</v>
      </c>
      <c r="V1782" t="str">
        <f>VLOOKUP($W1782,TBL_Categories,5,FALSE)</f>
        <v>None</v>
      </c>
      <c r="W1782" t="str">
        <f t="shared" si="83"/>
        <v>Bills &amp; Utilities|Television</v>
      </c>
    </row>
    <row r="1783" spans="1:23" x14ac:dyDescent="0.25">
      <c r="A1783" t="s">
        <v>296</v>
      </c>
      <c r="B1783" s="5">
        <v>41641</v>
      </c>
      <c r="C1783">
        <v>-61.9</v>
      </c>
      <c r="D1783" t="s">
        <v>304</v>
      </c>
      <c r="E1783" t="s">
        <v>443</v>
      </c>
      <c r="G1783" t="s">
        <v>445</v>
      </c>
      <c r="I1783" t="s">
        <v>272</v>
      </c>
      <c r="K1783" t="s">
        <v>55</v>
      </c>
      <c r="L1783" t="s">
        <v>1582</v>
      </c>
      <c r="Q1783" t="str">
        <f t="shared" si="81"/>
        <v>Jan</v>
      </c>
      <c r="R1783">
        <f t="shared" si="82"/>
        <v>2014</v>
      </c>
      <c r="S1783" t="str">
        <f>VLOOKUP($W1783,TBL_Categories,2,FALSE)</f>
        <v>Monthly</v>
      </c>
      <c r="T1783">
        <f>VLOOKUP($W1783,TBL_Categories,3,FALSE)</f>
        <v>0</v>
      </c>
      <c r="U1783" t="str">
        <f>VLOOKUP($W1783,TBL_Categories,4,FALSE)</f>
        <v>No</v>
      </c>
      <c r="V1783" t="str">
        <f>VLOOKUP($W1783,TBL_Categories,5,FALSE)</f>
        <v>None</v>
      </c>
      <c r="W1783" t="str">
        <f t="shared" si="83"/>
        <v>Business Expenses (Koolikai)|Internet</v>
      </c>
    </row>
    <row r="1784" spans="1:23" x14ac:dyDescent="0.25">
      <c r="A1784" t="s">
        <v>296</v>
      </c>
      <c r="B1784" s="5">
        <v>41641</v>
      </c>
      <c r="C1784">
        <v>-46.29</v>
      </c>
      <c r="D1784" t="s">
        <v>304</v>
      </c>
      <c r="E1784" t="s">
        <v>443</v>
      </c>
      <c r="G1784" t="s">
        <v>446</v>
      </c>
      <c r="I1784" t="s">
        <v>272</v>
      </c>
      <c r="K1784" t="s">
        <v>54</v>
      </c>
      <c r="L1784" t="s">
        <v>1583</v>
      </c>
      <c r="Q1784" t="str">
        <f t="shared" si="81"/>
        <v>Jan</v>
      </c>
      <c r="R1784">
        <f t="shared" si="82"/>
        <v>2014</v>
      </c>
      <c r="S1784" t="str">
        <f>VLOOKUP($W1784,TBL_Categories,2,FALSE)</f>
        <v>Monthly</v>
      </c>
      <c r="T1784">
        <f>VLOOKUP($W1784,TBL_Categories,3,FALSE)</f>
        <v>0</v>
      </c>
      <c r="U1784" t="str">
        <f>VLOOKUP($W1784,TBL_Categories,4,FALSE)</f>
        <v>No</v>
      </c>
      <c r="V1784" t="str">
        <f>VLOOKUP($W1784,TBL_Categories,5,FALSE)</f>
        <v>None</v>
      </c>
      <c r="W1784" t="str">
        <f t="shared" si="83"/>
        <v>Bills &amp; Utilities|Home Phone</v>
      </c>
    </row>
    <row r="1785" spans="1:23" x14ac:dyDescent="0.25">
      <c r="A1785" t="s">
        <v>296</v>
      </c>
      <c r="B1785" s="5">
        <v>41641</v>
      </c>
      <c r="C1785">
        <v>-2.61</v>
      </c>
      <c r="D1785" t="s">
        <v>304</v>
      </c>
      <c r="E1785" t="s">
        <v>451</v>
      </c>
      <c r="F1785" t="s">
        <v>1033</v>
      </c>
      <c r="G1785" t="s">
        <v>341</v>
      </c>
      <c r="K1785" t="s">
        <v>72</v>
      </c>
      <c r="L1785" t="s">
        <v>1534</v>
      </c>
      <c r="Q1785" t="str">
        <f t="shared" si="81"/>
        <v>Jan</v>
      </c>
      <c r="R1785">
        <f t="shared" si="82"/>
        <v>2014</v>
      </c>
      <c r="S1785" t="str">
        <f>VLOOKUP($W1785,TBL_Categories,2,FALSE)</f>
        <v>Annual</v>
      </c>
      <c r="T1785">
        <f>VLOOKUP($W1785,TBL_Categories,3,FALSE)</f>
        <v>0</v>
      </c>
      <c r="U1785" t="str">
        <f>VLOOKUP($W1785,TBL_Categories,4,FALSE)</f>
        <v>No</v>
      </c>
      <c r="V1785" t="str">
        <f>VLOOKUP($W1785,TBL_Categories,5,FALSE)</f>
        <v>None</v>
      </c>
      <c r="W1785" t="str">
        <f t="shared" si="83"/>
        <v>Shopping|Electronics &amp; Software</v>
      </c>
    </row>
    <row r="1786" spans="1:23" x14ac:dyDescent="0.25">
      <c r="A1786" t="s">
        <v>296</v>
      </c>
      <c r="B1786" s="5">
        <v>41641</v>
      </c>
      <c r="C1786">
        <v>-6.92</v>
      </c>
      <c r="D1786" t="s">
        <v>304</v>
      </c>
      <c r="E1786" t="s">
        <v>428</v>
      </c>
      <c r="F1786" t="s">
        <v>472</v>
      </c>
      <c r="G1786" t="s">
        <v>342</v>
      </c>
      <c r="K1786" t="s">
        <v>61</v>
      </c>
      <c r="L1786" t="s">
        <v>401</v>
      </c>
      <c r="Q1786" t="str">
        <f t="shared" si="81"/>
        <v>Jan</v>
      </c>
      <c r="R1786">
        <f t="shared" si="82"/>
        <v>2014</v>
      </c>
      <c r="S1786" t="str">
        <f>VLOOKUP($W1786,TBL_Categories,2,FALSE)</f>
        <v>Monthly</v>
      </c>
      <c r="T1786">
        <f>VLOOKUP($W1786,TBL_Categories,3,FALSE)</f>
        <v>0</v>
      </c>
      <c r="U1786" t="str">
        <f>VLOOKUP($W1786,TBL_Categories,4,FALSE)</f>
        <v>No</v>
      </c>
      <c r="V1786" t="str">
        <f>VLOOKUP($W1786,TBL_Categories,5,FALSE)</f>
        <v>None</v>
      </c>
      <c r="W1786" t="str">
        <f t="shared" si="83"/>
        <v>Food &amp; Dining|Groceries</v>
      </c>
    </row>
    <row r="1787" spans="1:23" x14ac:dyDescent="0.25">
      <c r="A1787" t="s">
        <v>298</v>
      </c>
      <c r="B1787" s="5">
        <v>41641</v>
      </c>
      <c r="C1787">
        <v>-112.5</v>
      </c>
      <c r="E1787" t="s">
        <v>360</v>
      </c>
      <c r="F1787" t="s">
        <v>358</v>
      </c>
      <c r="G1787" t="s">
        <v>9</v>
      </c>
      <c r="K1787" t="s">
        <v>9</v>
      </c>
      <c r="Q1787" t="str">
        <f t="shared" si="81"/>
        <v>Jan</v>
      </c>
      <c r="R1787">
        <f t="shared" si="82"/>
        <v>2014</v>
      </c>
      <c r="S1787" t="str">
        <f>VLOOKUP($W1787,TBL_Categories,2,FALSE)</f>
        <v>Account</v>
      </c>
      <c r="T1787">
        <f>VLOOKUP($W1787,TBL_Categories,3,FALSE)</f>
        <v>0</v>
      </c>
      <c r="U1787" t="str">
        <f>VLOOKUP($W1787,TBL_Categories,4,FALSE)</f>
        <v>No</v>
      </c>
      <c r="V1787" t="str">
        <f>VLOOKUP($W1787,TBL_Categories,5,FALSE)</f>
        <v>None</v>
      </c>
      <c r="W1787" t="str">
        <f t="shared" si="83"/>
        <v>[First Tech - Checking (5544)]</v>
      </c>
    </row>
    <row r="1788" spans="1:23" x14ac:dyDescent="0.25">
      <c r="A1788" t="s">
        <v>762</v>
      </c>
      <c r="B1788" s="5">
        <v>41641</v>
      </c>
      <c r="C1788">
        <v>85.41</v>
      </c>
      <c r="D1788" t="s">
        <v>304</v>
      </c>
      <c r="E1788" t="s">
        <v>770</v>
      </c>
      <c r="G1788" t="s">
        <v>9</v>
      </c>
      <c r="H1788" t="s">
        <v>1470</v>
      </c>
      <c r="K1788" t="s">
        <v>9</v>
      </c>
      <c r="Q1788" t="str">
        <f t="shared" si="81"/>
        <v>Jan</v>
      </c>
      <c r="R1788">
        <f t="shared" si="82"/>
        <v>2014</v>
      </c>
      <c r="S1788" t="str">
        <f>VLOOKUP($W1788,TBL_Categories,2,FALSE)</f>
        <v>Account</v>
      </c>
      <c r="T1788">
        <f>VLOOKUP($W1788,TBL_Categories,3,FALSE)</f>
        <v>0</v>
      </c>
      <c r="U1788" t="str">
        <f>VLOOKUP($W1788,TBL_Categories,4,FALSE)</f>
        <v>No</v>
      </c>
      <c r="V1788" t="str">
        <f>VLOOKUP($W1788,TBL_Categories,5,FALSE)</f>
        <v>None</v>
      </c>
      <c r="W1788" t="str">
        <f t="shared" si="83"/>
        <v>[First Tech - Checking (5544)]</v>
      </c>
    </row>
    <row r="1789" spans="1:23" x14ac:dyDescent="0.25">
      <c r="A1789" t="s">
        <v>288</v>
      </c>
      <c r="B1789" s="5">
        <v>41640</v>
      </c>
      <c r="C1789" s="4">
        <v>2195</v>
      </c>
      <c r="D1789" t="s">
        <v>304</v>
      </c>
      <c r="E1789" t="s">
        <v>385</v>
      </c>
      <c r="F1789" t="s">
        <v>1517</v>
      </c>
      <c r="G1789" t="s">
        <v>390</v>
      </c>
      <c r="J1789">
        <v>9602</v>
      </c>
      <c r="K1789" t="s">
        <v>33</v>
      </c>
      <c r="L1789" t="s">
        <v>1519</v>
      </c>
      <c r="Q1789" t="str">
        <f t="shared" si="81"/>
        <v>Jan</v>
      </c>
      <c r="R1789">
        <f t="shared" si="82"/>
        <v>2014</v>
      </c>
      <c r="S1789" t="str">
        <f>VLOOKUP($W1789,TBL_Categories,2,FALSE)</f>
        <v>Monthly</v>
      </c>
      <c r="T1789">
        <f>VLOOKUP($W1789,TBL_Categories,3,FALSE)</f>
        <v>0</v>
      </c>
      <c r="U1789" t="str">
        <f>VLOOKUP($W1789,TBL_Categories,4,FALSE)</f>
        <v>No</v>
      </c>
      <c r="V1789" t="str">
        <f>VLOOKUP($W1789,TBL_Categories,5,FALSE)</f>
        <v>None</v>
      </c>
      <c r="W1789" t="str">
        <f t="shared" si="83"/>
        <v>Business Income (Koolikai)|Rent</v>
      </c>
    </row>
    <row r="1790" spans="1:23" x14ac:dyDescent="0.25">
      <c r="A1790" t="s">
        <v>288</v>
      </c>
      <c r="B1790" s="5">
        <v>41640</v>
      </c>
      <c r="C1790" s="4">
        <v>1100</v>
      </c>
      <c r="D1790" t="s">
        <v>304</v>
      </c>
      <c r="E1790" t="s">
        <v>383</v>
      </c>
      <c r="F1790" t="s">
        <v>1517</v>
      </c>
      <c r="G1790" t="s">
        <v>386</v>
      </c>
      <c r="I1790" t="s">
        <v>272</v>
      </c>
      <c r="J1790">
        <v>7231</v>
      </c>
      <c r="K1790" t="s">
        <v>33</v>
      </c>
      <c r="L1790" t="s">
        <v>1519</v>
      </c>
      <c r="Q1790" t="str">
        <f t="shared" si="81"/>
        <v>Jan</v>
      </c>
      <c r="R1790">
        <f t="shared" si="82"/>
        <v>2014</v>
      </c>
      <c r="S1790" t="str">
        <f>VLOOKUP($W1790,TBL_Categories,2,FALSE)</f>
        <v>Monthly</v>
      </c>
      <c r="T1790">
        <f>VLOOKUP($W1790,TBL_Categories,3,FALSE)</f>
        <v>0</v>
      </c>
      <c r="U1790" t="str">
        <f>VLOOKUP($W1790,TBL_Categories,4,FALSE)</f>
        <v>No</v>
      </c>
      <c r="V1790" t="str">
        <f>VLOOKUP($W1790,TBL_Categories,5,FALSE)</f>
        <v>None</v>
      </c>
      <c r="W1790" t="str">
        <f t="shared" si="83"/>
        <v>Business Income (Koolikai)|Rent</v>
      </c>
    </row>
    <row r="1791" spans="1:23" x14ac:dyDescent="0.25">
      <c r="A1791" t="s">
        <v>296</v>
      </c>
      <c r="B1791" s="5">
        <v>41640</v>
      </c>
      <c r="C1791">
        <v>-27.77</v>
      </c>
      <c r="D1791" t="s">
        <v>304</v>
      </c>
      <c r="E1791" t="s">
        <v>482</v>
      </c>
      <c r="F1791" t="s">
        <v>483</v>
      </c>
      <c r="G1791" t="s">
        <v>773</v>
      </c>
      <c r="J1791" t="s">
        <v>1550</v>
      </c>
      <c r="K1791" t="s">
        <v>61</v>
      </c>
      <c r="L1791" t="s">
        <v>1530</v>
      </c>
      <c r="Q1791" t="str">
        <f t="shared" si="81"/>
        <v>Jan</v>
      </c>
      <c r="R1791">
        <f t="shared" si="82"/>
        <v>2014</v>
      </c>
      <c r="S1791" t="str">
        <f>VLOOKUP($W1791,TBL_Categories,2,FALSE)</f>
        <v>Monthly</v>
      </c>
      <c r="T1791">
        <f>VLOOKUP($W1791,TBL_Categories,3,FALSE)</f>
        <v>0</v>
      </c>
      <c r="U1791" t="str">
        <f>VLOOKUP($W1791,TBL_Categories,4,FALSE)</f>
        <v>No</v>
      </c>
      <c r="V1791" t="str">
        <f>VLOOKUP($W1791,TBL_Categories,5,FALSE)</f>
        <v>None</v>
      </c>
      <c r="W1791" t="str">
        <f t="shared" si="83"/>
        <v>Food &amp; Dining|Restaurants</v>
      </c>
    </row>
    <row r="1792" spans="1:23" x14ac:dyDescent="0.25">
      <c r="A1792" t="s">
        <v>86</v>
      </c>
      <c r="B1792" s="5">
        <f t="shared" ref="B1792:B1793" ca="1" si="84">TODAY()</f>
        <v>42007</v>
      </c>
      <c r="C1792">
        <v>-200</v>
      </c>
      <c r="K1792" t="s">
        <v>52</v>
      </c>
      <c r="L1792" t="s">
        <v>1578</v>
      </c>
      <c r="M1792" t="s">
        <v>86</v>
      </c>
      <c r="Q1792" t="s">
        <v>87</v>
      </c>
      <c r="R1792" t="s">
        <v>86</v>
      </c>
      <c r="S1792" t="str">
        <f>VLOOKUP($W1792,TBL_Categories,2,FALSE)</f>
        <v>Annual</v>
      </c>
      <c r="T1792">
        <f>VLOOKUP($W1792,TBL_Categories,3,FALSE)</f>
        <v>0</v>
      </c>
      <c r="U1792" t="str">
        <f>VLOOKUP($W1792,TBL_Categories,4,FALSE)</f>
        <v>No</v>
      </c>
      <c r="V1792" t="str">
        <f>VLOOKUP($W1792,TBL_Categories,5,FALSE)</f>
        <v>None</v>
      </c>
      <c r="W1792" t="str">
        <f t="shared" si="83"/>
        <v>Auto &amp; Transport|Auto Insurance</v>
      </c>
    </row>
    <row r="1793" spans="1:23" x14ac:dyDescent="0.25">
      <c r="A1793" t="s">
        <v>86</v>
      </c>
      <c r="B1793" s="5">
        <f t="shared" ca="1" si="84"/>
        <v>42007</v>
      </c>
      <c r="C1793">
        <v>-2400</v>
      </c>
      <c r="K1793" t="s">
        <v>52</v>
      </c>
      <c r="L1793" t="s">
        <v>1578</v>
      </c>
      <c r="M1793" t="s">
        <v>86</v>
      </c>
      <c r="Q1793" t="s">
        <v>88</v>
      </c>
      <c r="R1793" t="s">
        <v>86</v>
      </c>
      <c r="S1793" t="str">
        <f>VLOOKUP($W1793,TBL_Categories,2,FALSE)</f>
        <v>Annual</v>
      </c>
      <c r="T1793">
        <f>VLOOKUP($W1793,TBL_Categories,3,FALSE)</f>
        <v>0</v>
      </c>
      <c r="U1793" t="str">
        <f>VLOOKUP($W1793,TBL_Categories,4,FALSE)</f>
        <v>No</v>
      </c>
      <c r="V1793" t="str">
        <f>VLOOKUP($W1793,TBL_Categories,5,FALSE)</f>
        <v>None</v>
      </c>
      <c r="W1793" t="str">
        <f t="shared" si="83"/>
        <v>Auto &amp; Transport|Auto Insurance</v>
      </c>
    </row>
    <row r="1794" spans="1:23" x14ac:dyDescent="0.25">
      <c r="A1794" t="s">
        <v>86</v>
      </c>
      <c r="B1794" s="5">
        <f t="shared" ref="B1794:B1795" ca="1" si="85">TODAY()</f>
        <v>42007</v>
      </c>
      <c r="C1794">
        <v>-185</v>
      </c>
      <c r="K1794" t="s">
        <v>52</v>
      </c>
      <c r="L1794" t="s">
        <v>1544</v>
      </c>
      <c r="M1794" t="s">
        <v>86</v>
      </c>
      <c r="Q1794" t="s">
        <v>87</v>
      </c>
      <c r="R1794" t="s">
        <v>86</v>
      </c>
      <c r="S1794" t="str">
        <f>VLOOKUP($W1794,TBL_Categories,2,FALSE)</f>
        <v>Monthly</v>
      </c>
      <c r="T1794">
        <f>VLOOKUP($W1794,TBL_Categories,3,FALSE)</f>
        <v>0</v>
      </c>
      <c r="U1794" t="str">
        <f>VLOOKUP($W1794,TBL_Categories,4,FALSE)</f>
        <v>No</v>
      </c>
      <c r="V1794" t="str">
        <f>VLOOKUP($W1794,TBL_Categories,5,FALSE)</f>
        <v>None</v>
      </c>
      <c r="W1794" t="str">
        <f t="shared" ref="W1794:W1857" si="86">IF(ISBLANK($L1794),$K1794,CONCATENATE($K1794,"|",$L1794))</f>
        <v>Auto &amp; Transport|Auto Lease Payment</v>
      </c>
    </row>
    <row r="1795" spans="1:23" x14ac:dyDescent="0.25">
      <c r="A1795" t="s">
        <v>86</v>
      </c>
      <c r="B1795" s="5">
        <f t="shared" ca="1" si="85"/>
        <v>42007</v>
      </c>
      <c r="C1795">
        <v>-2220</v>
      </c>
      <c r="K1795" t="s">
        <v>52</v>
      </c>
      <c r="L1795" t="s">
        <v>1544</v>
      </c>
      <c r="M1795" t="s">
        <v>86</v>
      </c>
      <c r="Q1795" t="s">
        <v>88</v>
      </c>
      <c r="R1795" t="s">
        <v>86</v>
      </c>
      <c r="S1795" t="str">
        <f>VLOOKUP($W1795,TBL_Categories,2,FALSE)</f>
        <v>Monthly</v>
      </c>
      <c r="T1795">
        <f>VLOOKUP($W1795,TBL_Categories,3,FALSE)</f>
        <v>0</v>
      </c>
      <c r="U1795" t="str">
        <f>VLOOKUP($W1795,TBL_Categories,4,FALSE)</f>
        <v>No</v>
      </c>
      <c r="V1795" t="str">
        <f>VLOOKUP($W1795,TBL_Categories,5,FALSE)</f>
        <v>None</v>
      </c>
      <c r="W1795" t="str">
        <f t="shared" si="86"/>
        <v>Auto &amp; Transport|Auto Lease Payment</v>
      </c>
    </row>
    <row r="1796" spans="1:23" x14ac:dyDescent="0.25">
      <c r="A1796" t="s">
        <v>86</v>
      </c>
      <c r="B1796" s="5">
        <f t="shared" ref="B1796:B1797" ca="1" si="87">TODAY()</f>
        <v>42007</v>
      </c>
      <c r="C1796">
        <v>-2</v>
      </c>
      <c r="K1796" t="s">
        <v>52</v>
      </c>
      <c r="L1796" t="s">
        <v>1584</v>
      </c>
      <c r="M1796" t="s">
        <v>86</v>
      </c>
      <c r="Q1796" t="s">
        <v>87</v>
      </c>
      <c r="R1796" t="s">
        <v>86</v>
      </c>
      <c r="S1796" t="str">
        <f>VLOOKUP($W1796,TBL_Categories,2,FALSE)</f>
        <v>Annual</v>
      </c>
      <c r="T1796">
        <f>VLOOKUP($W1796,TBL_Categories,3,FALSE)</f>
        <v>0</v>
      </c>
      <c r="U1796" t="str">
        <f>VLOOKUP($W1796,TBL_Categories,4,FALSE)</f>
        <v>No</v>
      </c>
      <c r="V1796" t="str">
        <f>VLOOKUP($W1796,TBL_Categories,5,FALSE)</f>
        <v>None</v>
      </c>
      <c r="W1796" t="str">
        <f t="shared" si="86"/>
        <v>Auto &amp; Transport|Driver's License</v>
      </c>
    </row>
    <row r="1797" spans="1:23" x14ac:dyDescent="0.25">
      <c r="A1797" t="s">
        <v>86</v>
      </c>
      <c r="B1797" s="5">
        <f t="shared" ca="1" si="87"/>
        <v>42007</v>
      </c>
      <c r="C1797">
        <v>-24</v>
      </c>
      <c r="K1797" t="s">
        <v>52</v>
      </c>
      <c r="L1797" t="s">
        <v>1584</v>
      </c>
      <c r="M1797" t="s">
        <v>86</v>
      </c>
      <c r="Q1797" t="s">
        <v>88</v>
      </c>
      <c r="R1797" t="s">
        <v>86</v>
      </c>
      <c r="S1797" t="str">
        <f>VLOOKUP($W1797,TBL_Categories,2,FALSE)</f>
        <v>Annual</v>
      </c>
      <c r="T1797">
        <f>VLOOKUP($W1797,TBL_Categories,3,FALSE)</f>
        <v>0</v>
      </c>
      <c r="U1797" t="str">
        <f>VLOOKUP($W1797,TBL_Categories,4,FALSE)</f>
        <v>No</v>
      </c>
      <c r="V1797" t="str">
        <f>VLOOKUP($W1797,TBL_Categories,5,FALSE)</f>
        <v>None</v>
      </c>
      <c r="W1797" t="str">
        <f t="shared" si="86"/>
        <v>Auto &amp; Transport|Driver's License</v>
      </c>
    </row>
    <row r="1798" spans="1:23" x14ac:dyDescent="0.25">
      <c r="A1798" t="s">
        <v>86</v>
      </c>
      <c r="B1798" s="5">
        <f t="shared" ref="B1798:B1799" ca="1" si="88">TODAY()</f>
        <v>42007</v>
      </c>
      <c r="C1798">
        <v>-15</v>
      </c>
      <c r="K1798" t="s">
        <v>52</v>
      </c>
      <c r="L1798" t="s">
        <v>1568</v>
      </c>
      <c r="M1798" t="s">
        <v>86</v>
      </c>
      <c r="Q1798" t="s">
        <v>87</v>
      </c>
      <c r="R1798" t="s">
        <v>86</v>
      </c>
      <c r="S1798" t="str">
        <f>VLOOKUP($W1798,TBL_Categories,2,FALSE)</f>
        <v>Monthly</v>
      </c>
      <c r="T1798">
        <f>VLOOKUP($W1798,TBL_Categories,3,FALSE)</f>
        <v>0</v>
      </c>
      <c r="U1798" t="str">
        <f>VLOOKUP($W1798,TBL_Categories,4,FALSE)</f>
        <v>No</v>
      </c>
      <c r="V1798" t="str">
        <f>VLOOKUP($W1798,TBL_Categories,5,FALSE)</f>
        <v>None</v>
      </c>
      <c r="W1798" t="str">
        <f t="shared" si="86"/>
        <v>Auto &amp; Transport|Gas &amp; Fuel</v>
      </c>
    </row>
    <row r="1799" spans="1:23" x14ac:dyDescent="0.25">
      <c r="A1799" t="s">
        <v>86</v>
      </c>
      <c r="B1799" s="5">
        <f t="shared" ca="1" si="88"/>
        <v>42007</v>
      </c>
      <c r="C1799">
        <v>-180</v>
      </c>
      <c r="K1799" t="s">
        <v>52</v>
      </c>
      <c r="L1799" t="s">
        <v>1568</v>
      </c>
      <c r="M1799" t="s">
        <v>86</v>
      </c>
      <c r="Q1799" t="s">
        <v>88</v>
      </c>
      <c r="R1799" t="s">
        <v>86</v>
      </c>
      <c r="S1799" t="str">
        <f>VLOOKUP($W1799,TBL_Categories,2,FALSE)</f>
        <v>Monthly</v>
      </c>
      <c r="T1799">
        <f>VLOOKUP($W1799,TBL_Categories,3,FALSE)</f>
        <v>0</v>
      </c>
      <c r="U1799" t="str">
        <f>VLOOKUP($W1799,TBL_Categories,4,FALSE)</f>
        <v>No</v>
      </c>
      <c r="V1799" t="str">
        <f>VLOOKUP($W1799,TBL_Categories,5,FALSE)</f>
        <v>None</v>
      </c>
      <c r="W1799" t="str">
        <f t="shared" si="86"/>
        <v>Auto &amp; Transport|Gas &amp; Fuel</v>
      </c>
    </row>
    <row r="1800" spans="1:23" x14ac:dyDescent="0.25">
      <c r="A1800" t="s">
        <v>86</v>
      </c>
      <c r="B1800" s="5">
        <f t="shared" ref="B1800:B1801" ca="1" si="89">TODAY()</f>
        <v>42007</v>
      </c>
      <c r="C1800">
        <v>-30</v>
      </c>
      <c r="K1800" t="s">
        <v>52</v>
      </c>
      <c r="L1800" t="s">
        <v>1577</v>
      </c>
      <c r="M1800" t="s">
        <v>86</v>
      </c>
      <c r="Q1800" t="s">
        <v>87</v>
      </c>
      <c r="R1800" t="s">
        <v>86</v>
      </c>
      <c r="S1800" t="str">
        <f>VLOOKUP($W1800,TBL_Categories,2,FALSE)</f>
        <v>Monthly</v>
      </c>
      <c r="T1800">
        <f>VLOOKUP($W1800,TBL_Categories,3,FALSE)</f>
        <v>0</v>
      </c>
      <c r="U1800" t="str">
        <f>VLOOKUP($W1800,TBL_Categories,4,FALSE)</f>
        <v>No</v>
      </c>
      <c r="V1800" t="str">
        <f>VLOOKUP($W1800,TBL_Categories,5,FALSE)</f>
        <v>None</v>
      </c>
      <c r="W1800" t="str">
        <f t="shared" si="86"/>
        <v>Auto &amp; Transport|Parking</v>
      </c>
    </row>
    <row r="1801" spans="1:23" x14ac:dyDescent="0.25">
      <c r="A1801" t="s">
        <v>86</v>
      </c>
      <c r="B1801" s="5">
        <f t="shared" ca="1" si="89"/>
        <v>42007</v>
      </c>
      <c r="C1801">
        <v>-360</v>
      </c>
      <c r="K1801" t="s">
        <v>52</v>
      </c>
      <c r="L1801" t="s">
        <v>1577</v>
      </c>
      <c r="M1801" t="s">
        <v>86</v>
      </c>
      <c r="Q1801" t="s">
        <v>88</v>
      </c>
      <c r="R1801" t="s">
        <v>86</v>
      </c>
      <c r="S1801" t="str">
        <f>VLOOKUP($W1801,TBL_Categories,2,FALSE)</f>
        <v>Monthly</v>
      </c>
      <c r="T1801">
        <f>VLOOKUP($W1801,TBL_Categories,3,FALSE)</f>
        <v>0</v>
      </c>
      <c r="U1801" t="str">
        <f>VLOOKUP($W1801,TBL_Categories,4,FALSE)</f>
        <v>No</v>
      </c>
      <c r="V1801" t="str">
        <f>VLOOKUP($W1801,TBL_Categories,5,FALSE)</f>
        <v>None</v>
      </c>
      <c r="W1801" t="str">
        <f t="shared" si="86"/>
        <v>Auto &amp; Transport|Parking</v>
      </c>
    </row>
    <row r="1802" spans="1:23" x14ac:dyDescent="0.25">
      <c r="A1802" t="s">
        <v>86</v>
      </c>
      <c r="B1802" s="5">
        <f t="shared" ref="B1802:B1803" ca="1" si="90">TODAY()</f>
        <v>42007</v>
      </c>
      <c r="C1802">
        <v>-20</v>
      </c>
      <c r="K1802" t="s">
        <v>52</v>
      </c>
      <c r="L1802" t="s">
        <v>1588</v>
      </c>
      <c r="M1802" t="s">
        <v>86</v>
      </c>
      <c r="Q1802" t="s">
        <v>87</v>
      </c>
      <c r="R1802" t="s">
        <v>86</v>
      </c>
      <c r="S1802" t="str">
        <f>VLOOKUP($W1802,TBL_Categories,2,FALSE)</f>
        <v>Annual</v>
      </c>
      <c r="T1802">
        <f>VLOOKUP($W1802,TBL_Categories,3,FALSE)</f>
        <v>0</v>
      </c>
      <c r="U1802" t="str">
        <f>VLOOKUP($W1802,TBL_Categories,4,FALSE)</f>
        <v>No</v>
      </c>
      <c r="V1802" t="str">
        <f>VLOOKUP($W1802,TBL_Categories,5,FALSE)</f>
        <v>None</v>
      </c>
      <c r="W1802" t="str">
        <f t="shared" si="86"/>
        <v>Auto &amp; Transport|Registration</v>
      </c>
    </row>
    <row r="1803" spans="1:23" x14ac:dyDescent="0.25">
      <c r="A1803" t="s">
        <v>86</v>
      </c>
      <c r="B1803" s="5">
        <f t="shared" ca="1" si="90"/>
        <v>42007</v>
      </c>
      <c r="C1803">
        <v>-240</v>
      </c>
      <c r="K1803" t="s">
        <v>52</v>
      </c>
      <c r="L1803" t="s">
        <v>1588</v>
      </c>
      <c r="M1803" t="s">
        <v>86</v>
      </c>
      <c r="Q1803" t="s">
        <v>88</v>
      </c>
      <c r="R1803" t="s">
        <v>86</v>
      </c>
      <c r="S1803" t="str">
        <f>VLOOKUP($W1803,TBL_Categories,2,FALSE)</f>
        <v>Annual</v>
      </c>
      <c r="T1803">
        <f>VLOOKUP($W1803,TBL_Categories,3,FALSE)</f>
        <v>0</v>
      </c>
      <c r="U1803" t="str">
        <f>VLOOKUP($W1803,TBL_Categories,4,FALSE)</f>
        <v>No</v>
      </c>
      <c r="V1803" t="str">
        <f>VLOOKUP($W1803,TBL_Categories,5,FALSE)</f>
        <v>None</v>
      </c>
      <c r="W1803" t="str">
        <f t="shared" si="86"/>
        <v>Auto &amp; Transport|Registration</v>
      </c>
    </row>
    <row r="1804" spans="1:23" x14ac:dyDescent="0.25">
      <c r="A1804" t="s">
        <v>86</v>
      </c>
      <c r="B1804" s="5">
        <f t="shared" ref="B1804:B1805" ca="1" si="91">TODAY()</f>
        <v>42007</v>
      </c>
      <c r="C1804">
        <v>-20</v>
      </c>
      <c r="K1804" t="s">
        <v>52</v>
      </c>
      <c r="L1804" t="s">
        <v>1586</v>
      </c>
      <c r="M1804" t="s">
        <v>86</v>
      </c>
      <c r="Q1804" t="s">
        <v>87</v>
      </c>
      <c r="R1804" t="s">
        <v>86</v>
      </c>
      <c r="S1804" t="str">
        <f>VLOOKUP($W1804,TBL_Categories,2,FALSE)</f>
        <v>Unplanned</v>
      </c>
      <c r="T1804">
        <f>VLOOKUP($W1804,TBL_Categories,3,FALSE)</f>
        <v>0</v>
      </c>
      <c r="U1804" t="str">
        <f>VLOOKUP($W1804,TBL_Categories,4,FALSE)</f>
        <v>No</v>
      </c>
      <c r="V1804" t="str">
        <f>VLOOKUP($W1804,TBL_Categories,5,FALSE)</f>
        <v>None</v>
      </c>
      <c r="W1804" t="str">
        <f t="shared" si="86"/>
        <v>Auto &amp; Transport|Service &amp; Parts</v>
      </c>
    </row>
    <row r="1805" spans="1:23" x14ac:dyDescent="0.25">
      <c r="A1805" t="s">
        <v>86</v>
      </c>
      <c r="B1805" s="5">
        <f t="shared" ca="1" si="91"/>
        <v>42007</v>
      </c>
      <c r="C1805">
        <v>-240</v>
      </c>
      <c r="K1805" t="s">
        <v>52</v>
      </c>
      <c r="L1805" t="s">
        <v>1586</v>
      </c>
      <c r="M1805" t="s">
        <v>86</v>
      </c>
      <c r="Q1805" t="s">
        <v>88</v>
      </c>
      <c r="R1805" t="s">
        <v>86</v>
      </c>
      <c r="S1805" t="str">
        <f>VLOOKUP($W1805,TBL_Categories,2,FALSE)</f>
        <v>Unplanned</v>
      </c>
      <c r="T1805">
        <f>VLOOKUP($W1805,TBL_Categories,3,FALSE)</f>
        <v>0</v>
      </c>
      <c r="U1805" t="str">
        <f>VLOOKUP($W1805,TBL_Categories,4,FALSE)</f>
        <v>No</v>
      </c>
      <c r="V1805" t="str">
        <f>VLOOKUP($W1805,TBL_Categories,5,FALSE)</f>
        <v>None</v>
      </c>
      <c r="W1805" t="str">
        <f t="shared" si="86"/>
        <v>Auto &amp; Transport|Service &amp; Parts</v>
      </c>
    </row>
    <row r="1806" spans="1:23" x14ac:dyDescent="0.25">
      <c r="A1806" t="s">
        <v>86</v>
      </c>
      <c r="B1806" s="5">
        <f t="shared" ref="B1806:B1807" ca="1" si="92">TODAY()</f>
        <v>42007</v>
      </c>
      <c r="C1806">
        <v>-15</v>
      </c>
      <c r="K1806" t="s">
        <v>52</v>
      </c>
      <c r="L1806" t="s">
        <v>1585</v>
      </c>
      <c r="M1806" t="s">
        <v>86</v>
      </c>
      <c r="Q1806" t="s">
        <v>87</v>
      </c>
      <c r="R1806" t="s">
        <v>86</v>
      </c>
      <c r="S1806" t="str">
        <f>VLOOKUP($W1806,TBL_Categories,2,FALSE)</f>
        <v>Irregular</v>
      </c>
      <c r="T1806">
        <f>VLOOKUP($W1806,TBL_Categories,3,FALSE)</f>
        <v>0</v>
      </c>
      <c r="U1806" t="str">
        <f>VLOOKUP($W1806,TBL_Categories,4,FALSE)</f>
        <v>No</v>
      </c>
      <c r="V1806" t="str">
        <f>VLOOKUP($W1806,TBL_Categories,5,FALSE)</f>
        <v>None</v>
      </c>
      <c r="W1806" t="str">
        <f t="shared" si="86"/>
        <v>Auto &amp; Transport|Tolls</v>
      </c>
    </row>
    <row r="1807" spans="1:23" x14ac:dyDescent="0.25">
      <c r="A1807" t="s">
        <v>86</v>
      </c>
      <c r="B1807" s="5">
        <f t="shared" ca="1" si="92"/>
        <v>42007</v>
      </c>
      <c r="C1807">
        <v>-180</v>
      </c>
      <c r="K1807" t="s">
        <v>52</v>
      </c>
      <c r="L1807" t="s">
        <v>1585</v>
      </c>
      <c r="M1807" t="s">
        <v>86</v>
      </c>
      <c r="Q1807" t="s">
        <v>88</v>
      </c>
      <c r="R1807" t="s">
        <v>86</v>
      </c>
      <c r="S1807" t="str">
        <f>VLOOKUP($W1807,TBL_Categories,2,FALSE)</f>
        <v>Irregular</v>
      </c>
      <c r="T1807">
        <f>VLOOKUP($W1807,TBL_Categories,3,FALSE)</f>
        <v>0</v>
      </c>
      <c r="U1807" t="str">
        <f>VLOOKUP($W1807,TBL_Categories,4,FALSE)</f>
        <v>No</v>
      </c>
      <c r="V1807" t="str">
        <f>VLOOKUP($W1807,TBL_Categories,5,FALSE)</f>
        <v>None</v>
      </c>
      <c r="W1807" t="str">
        <f t="shared" si="86"/>
        <v>Auto &amp; Transport|Tolls</v>
      </c>
    </row>
    <row r="1808" spans="1:23" x14ac:dyDescent="0.25">
      <c r="A1808" t="s">
        <v>86</v>
      </c>
      <c r="B1808" s="5">
        <f t="shared" ref="B1808:B1809" ca="1" si="93">TODAY()</f>
        <v>42007</v>
      </c>
      <c r="C1808">
        <v>-48</v>
      </c>
      <c r="K1808" t="s">
        <v>54</v>
      </c>
      <c r="L1808" t="s">
        <v>1583</v>
      </c>
      <c r="M1808" t="s">
        <v>86</v>
      </c>
      <c r="Q1808" t="s">
        <v>87</v>
      </c>
      <c r="R1808" t="s">
        <v>86</v>
      </c>
      <c r="S1808" t="str">
        <f>VLOOKUP($W1808,TBL_Categories,2,FALSE)</f>
        <v>Monthly</v>
      </c>
      <c r="T1808">
        <f>VLOOKUP($W1808,TBL_Categories,3,FALSE)</f>
        <v>0</v>
      </c>
      <c r="U1808" t="str">
        <f>VLOOKUP($W1808,TBL_Categories,4,FALSE)</f>
        <v>No</v>
      </c>
      <c r="V1808" t="str">
        <f>VLOOKUP($W1808,TBL_Categories,5,FALSE)</f>
        <v>None</v>
      </c>
      <c r="W1808" t="str">
        <f t="shared" si="86"/>
        <v>Bills &amp; Utilities|Home Phone</v>
      </c>
    </row>
    <row r="1809" spans="1:23" x14ac:dyDescent="0.25">
      <c r="A1809" t="s">
        <v>86</v>
      </c>
      <c r="B1809" s="5">
        <f t="shared" ca="1" si="93"/>
        <v>42007</v>
      </c>
      <c r="C1809">
        <v>-576</v>
      </c>
      <c r="K1809" t="s">
        <v>54</v>
      </c>
      <c r="L1809" t="s">
        <v>1583</v>
      </c>
      <c r="M1809" t="s">
        <v>86</v>
      </c>
      <c r="Q1809" t="s">
        <v>88</v>
      </c>
      <c r="R1809" t="s">
        <v>86</v>
      </c>
      <c r="S1809" t="str">
        <f>VLOOKUP($W1809,TBL_Categories,2,FALSE)</f>
        <v>Monthly</v>
      </c>
      <c r="T1809">
        <f>VLOOKUP($W1809,TBL_Categories,3,FALSE)</f>
        <v>0</v>
      </c>
      <c r="U1809" t="str">
        <f>VLOOKUP($W1809,TBL_Categories,4,FALSE)</f>
        <v>No</v>
      </c>
      <c r="V1809" t="str">
        <f>VLOOKUP($W1809,TBL_Categories,5,FALSE)</f>
        <v>None</v>
      </c>
      <c r="W1809" t="str">
        <f t="shared" si="86"/>
        <v>Bills &amp; Utilities|Home Phone</v>
      </c>
    </row>
    <row r="1810" spans="1:23" x14ac:dyDescent="0.25">
      <c r="A1810" t="s">
        <v>86</v>
      </c>
      <c r="B1810" s="5">
        <f t="shared" ref="B1810:B1811" ca="1" si="94">TODAY()</f>
        <v>42007</v>
      </c>
      <c r="C1810">
        <v>-28</v>
      </c>
      <c r="K1810" t="s">
        <v>54</v>
      </c>
      <c r="L1810" t="s">
        <v>1529</v>
      </c>
      <c r="M1810" t="s">
        <v>86</v>
      </c>
      <c r="Q1810" t="s">
        <v>87</v>
      </c>
      <c r="R1810" t="s">
        <v>86</v>
      </c>
      <c r="S1810" t="str">
        <f>VLOOKUP($W1810,TBL_Categories,2,FALSE)</f>
        <v>Monthly</v>
      </c>
      <c r="T1810">
        <f>VLOOKUP($W1810,TBL_Categories,3,FALSE)</f>
        <v>0</v>
      </c>
      <c r="U1810" t="str">
        <f>VLOOKUP($W1810,TBL_Categories,4,FALSE)</f>
        <v>No</v>
      </c>
      <c r="V1810" t="str">
        <f>VLOOKUP($W1810,TBL_Categories,5,FALSE)</f>
        <v>None</v>
      </c>
      <c r="W1810" t="str">
        <f t="shared" si="86"/>
        <v>Bills &amp; Utilities|Insurance (Umbrella)</v>
      </c>
    </row>
    <row r="1811" spans="1:23" x14ac:dyDescent="0.25">
      <c r="A1811" t="s">
        <v>86</v>
      </c>
      <c r="B1811" s="5">
        <f t="shared" ca="1" si="94"/>
        <v>42007</v>
      </c>
      <c r="C1811">
        <v>-336</v>
      </c>
      <c r="K1811" t="s">
        <v>54</v>
      </c>
      <c r="L1811" t="s">
        <v>1529</v>
      </c>
      <c r="M1811" t="s">
        <v>86</v>
      </c>
      <c r="Q1811" t="s">
        <v>88</v>
      </c>
      <c r="R1811" t="s">
        <v>86</v>
      </c>
      <c r="S1811" t="str">
        <f>VLOOKUP($W1811,TBL_Categories,2,FALSE)</f>
        <v>Monthly</v>
      </c>
      <c r="T1811">
        <f>VLOOKUP($W1811,TBL_Categories,3,FALSE)</f>
        <v>0</v>
      </c>
      <c r="U1811" t="str">
        <f>VLOOKUP($W1811,TBL_Categories,4,FALSE)</f>
        <v>No</v>
      </c>
      <c r="V1811" t="str">
        <f>VLOOKUP($W1811,TBL_Categories,5,FALSE)</f>
        <v>None</v>
      </c>
      <c r="W1811" t="str">
        <f t="shared" si="86"/>
        <v>Bills &amp; Utilities|Insurance (Umbrella)</v>
      </c>
    </row>
    <row r="1812" spans="1:23" x14ac:dyDescent="0.25">
      <c r="A1812" t="s">
        <v>86</v>
      </c>
      <c r="B1812" s="5">
        <f t="shared" ref="B1812:B1813" ca="1" si="95">TODAY()</f>
        <v>42007</v>
      </c>
      <c r="C1812">
        <v>-21</v>
      </c>
      <c r="K1812" t="s">
        <v>54</v>
      </c>
      <c r="L1812" t="s">
        <v>1581</v>
      </c>
      <c r="M1812" t="s">
        <v>86</v>
      </c>
      <c r="Q1812" t="s">
        <v>87</v>
      </c>
      <c r="R1812" t="s">
        <v>86</v>
      </c>
      <c r="S1812" t="str">
        <f>VLOOKUP($W1812,TBL_Categories,2,FALSE)</f>
        <v>Monthly</v>
      </c>
      <c r="T1812">
        <f>VLOOKUP($W1812,TBL_Categories,3,FALSE)</f>
        <v>0</v>
      </c>
      <c r="U1812" t="str">
        <f>VLOOKUP($W1812,TBL_Categories,4,FALSE)</f>
        <v>No</v>
      </c>
      <c r="V1812" t="str">
        <f>VLOOKUP($W1812,TBL_Categories,5,FALSE)</f>
        <v>None</v>
      </c>
      <c r="W1812" t="str">
        <f t="shared" si="86"/>
        <v>Bills &amp; Utilities|Television</v>
      </c>
    </row>
    <row r="1813" spans="1:23" x14ac:dyDescent="0.25">
      <c r="A1813" t="s">
        <v>86</v>
      </c>
      <c r="B1813" s="5">
        <f t="shared" ca="1" si="95"/>
        <v>42007</v>
      </c>
      <c r="C1813">
        <v>-252</v>
      </c>
      <c r="K1813" t="s">
        <v>54</v>
      </c>
      <c r="L1813" t="s">
        <v>1581</v>
      </c>
      <c r="M1813" t="s">
        <v>86</v>
      </c>
      <c r="Q1813" t="s">
        <v>88</v>
      </c>
      <c r="R1813" t="s">
        <v>86</v>
      </c>
      <c r="S1813" t="str">
        <f>VLOOKUP($W1813,TBL_Categories,2,FALSE)</f>
        <v>Monthly</v>
      </c>
      <c r="T1813">
        <f>VLOOKUP($W1813,TBL_Categories,3,FALSE)</f>
        <v>0</v>
      </c>
      <c r="U1813" t="str">
        <f>VLOOKUP($W1813,TBL_Categories,4,FALSE)</f>
        <v>No</v>
      </c>
      <c r="V1813" t="str">
        <f>VLOOKUP($W1813,TBL_Categories,5,FALSE)</f>
        <v>None</v>
      </c>
      <c r="W1813" t="str">
        <f t="shared" si="86"/>
        <v>Bills &amp; Utilities|Television</v>
      </c>
    </row>
    <row r="1814" spans="1:23" x14ac:dyDescent="0.25">
      <c r="A1814" t="s">
        <v>86</v>
      </c>
      <c r="B1814" s="5">
        <f t="shared" ref="B1814:B1815" ca="1" si="96">TODAY()</f>
        <v>42007</v>
      </c>
      <c r="C1814">
        <v>-250</v>
      </c>
      <c r="K1814" t="s">
        <v>54</v>
      </c>
      <c r="L1814" t="s">
        <v>1521</v>
      </c>
      <c r="M1814" t="s">
        <v>86</v>
      </c>
      <c r="Q1814" t="s">
        <v>87</v>
      </c>
      <c r="R1814" t="s">
        <v>86</v>
      </c>
      <c r="S1814" t="str">
        <f>VLOOKUP($W1814,TBL_Categories,2,FALSE)</f>
        <v>Monthly</v>
      </c>
      <c r="T1814">
        <f>VLOOKUP($W1814,TBL_Categories,3,FALSE)</f>
        <v>0</v>
      </c>
      <c r="U1814" t="str">
        <f>VLOOKUP($W1814,TBL_Categories,4,FALSE)</f>
        <v>No</v>
      </c>
      <c r="V1814" t="str">
        <f>VLOOKUP($W1814,TBL_Categories,5,FALSE)</f>
        <v>None</v>
      </c>
      <c r="W1814" t="str">
        <f t="shared" si="86"/>
        <v>Bills &amp; Utilities|Utilities</v>
      </c>
    </row>
    <row r="1815" spans="1:23" x14ac:dyDescent="0.25">
      <c r="A1815" t="s">
        <v>86</v>
      </c>
      <c r="B1815" s="5">
        <f t="shared" ca="1" si="96"/>
        <v>42007</v>
      </c>
      <c r="C1815">
        <v>-3000</v>
      </c>
      <c r="K1815" t="s">
        <v>54</v>
      </c>
      <c r="L1815" t="s">
        <v>1521</v>
      </c>
      <c r="M1815" t="s">
        <v>86</v>
      </c>
      <c r="Q1815" t="s">
        <v>88</v>
      </c>
      <c r="R1815" t="s">
        <v>86</v>
      </c>
      <c r="S1815" t="str">
        <f>VLOOKUP($W1815,TBL_Categories,2,FALSE)</f>
        <v>Monthly</v>
      </c>
      <c r="T1815">
        <f>VLOOKUP($W1815,TBL_Categories,3,FALSE)</f>
        <v>0</v>
      </c>
      <c r="U1815" t="str">
        <f>VLOOKUP($W1815,TBL_Categories,4,FALSE)</f>
        <v>No</v>
      </c>
      <c r="V1815" t="str">
        <f>VLOOKUP($W1815,TBL_Categories,5,FALSE)</f>
        <v>None</v>
      </c>
      <c r="W1815" t="str">
        <f t="shared" si="86"/>
        <v>Bills &amp; Utilities|Utilities</v>
      </c>
    </row>
    <row r="1816" spans="1:23" x14ac:dyDescent="0.25">
      <c r="A1816" t="s">
        <v>86</v>
      </c>
      <c r="B1816" s="5">
        <f t="shared" ref="B1816:B1817" ca="1" si="97">TODAY()</f>
        <v>42007</v>
      </c>
      <c r="C1816">
        <v>-147</v>
      </c>
      <c r="K1816" t="s">
        <v>55</v>
      </c>
      <c r="L1816" t="s">
        <v>1532</v>
      </c>
      <c r="M1816" t="s">
        <v>86</v>
      </c>
      <c r="Q1816" t="s">
        <v>87</v>
      </c>
      <c r="R1816" t="s">
        <v>86</v>
      </c>
      <c r="S1816" t="str">
        <f>VLOOKUP($W1816,TBL_Categories,2,FALSE)</f>
        <v>Monthly</v>
      </c>
      <c r="T1816">
        <f>VLOOKUP($W1816,TBL_Categories,3,FALSE)</f>
        <v>0</v>
      </c>
      <c r="U1816" t="str">
        <f>VLOOKUP($W1816,TBL_Categories,4,FALSE)</f>
        <v>No</v>
      </c>
      <c r="V1816" t="str">
        <f>VLOOKUP($W1816,TBL_Categories,5,FALSE)</f>
        <v>None</v>
      </c>
      <c r="W1816" t="str">
        <f t="shared" si="86"/>
        <v>Business Expenses (Koolikai)|Cell Phone</v>
      </c>
    </row>
    <row r="1817" spans="1:23" x14ac:dyDescent="0.25">
      <c r="A1817" t="s">
        <v>86</v>
      </c>
      <c r="B1817" s="5">
        <f t="shared" ca="1" si="97"/>
        <v>42007</v>
      </c>
      <c r="C1817">
        <v>-1764</v>
      </c>
      <c r="K1817" t="s">
        <v>55</v>
      </c>
      <c r="L1817" t="s">
        <v>1532</v>
      </c>
      <c r="M1817" t="s">
        <v>86</v>
      </c>
      <c r="Q1817" t="s">
        <v>88</v>
      </c>
      <c r="R1817" t="s">
        <v>86</v>
      </c>
      <c r="S1817" t="str">
        <f>VLOOKUP($W1817,TBL_Categories,2,FALSE)</f>
        <v>Monthly</v>
      </c>
      <c r="T1817">
        <f>VLOOKUP($W1817,TBL_Categories,3,FALSE)</f>
        <v>0</v>
      </c>
      <c r="U1817" t="str">
        <f>VLOOKUP($W1817,TBL_Categories,4,FALSE)</f>
        <v>No</v>
      </c>
      <c r="V1817" t="str">
        <f>VLOOKUP($W1817,TBL_Categories,5,FALSE)</f>
        <v>None</v>
      </c>
      <c r="W1817" t="str">
        <f t="shared" si="86"/>
        <v>Business Expenses (Koolikai)|Cell Phone</v>
      </c>
    </row>
    <row r="1818" spans="1:23" x14ac:dyDescent="0.25">
      <c r="A1818" t="s">
        <v>86</v>
      </c>
      <c r="B1818" s="5">
        <f t="shared" ref="B1818:B1819" ca="1" si="98">TODAY()</f>
        <v>42007</v>
      </c>
      <c r="C1818">
        <v>-62</v>
      </c>
      <c r="K1818" t="s">
        <v>55</v>
      </c>
      <c r="L1818" t="s">
        <v>1582</v>
      </c>
      <c r="M1818" t="s">
        <v>86</v>
      </c>
      <c r="Q1818" t="s">
        <v>87</v>
      </c>
      <c r="R1818" t="s">
        <v>86</v>
      </c>
      <c r="S1818" t="str">
        <f>VLOOKUP($W1818,TBL_Categories,2,FALSE)</f>
        <v>Monthly</v>
      </c>
      <c r="T1818">
        <f>VLOOKUP($W1818,TBL_Categories,3,FALSE)</f>
        <v>0</v>
      </c>
      <c r="U1818" t="str">
        <f>VLOOKUP($W1818,TBL_Categories,4,FALSE)</f>
        <v>No</v>
      </c>
      <c r="V1818" t="str">
        <f>VLOOKUP($W1818,TBL_Categories,5,FALSE)</f>
        <v>None</v>
      </c>
      <c r="W1818" t="str">
        <f t="shared" si="86"/>
        <v>Business Expenses (Koolikai)|Internet</v>
      </c>
    </row>
    <row r="1819" spans="1:23" x14ac:dyDescent="0.25">
      <c r="A1819" t="s">
        <v>86</v>
      </c>
      <c r="B1819" s="5">
        <f t="shared" ca="1" si="98"/>
        <v>42007</v>
      </c>
      <c r="C1819">
        <v>-744</v>
      </c>
      <c r="K1819" t="s">
        <v>55</v>
      </c>
      <c r="L1819" t="s">
        <v>1582</v>
      </c>
      <c r="M1819" t="s">
        <v>86</v>
      </c>
      <c r="Q1819" t="s">
        <v>88</v>
      </c>
      <c r="R1819" t="s">
        <v>86</v>
      </c>
      <c r="S1819" t="str">
        <f>VLOOKUP($W1819,TBL_Categories,2,FALSE)</f>
        <v>Monthly</v>
      </c>
      <c r="T1819">
        <f>VLOOKUP($W1819,TBL_Categories,3,FALSE)</f>
        <v>0</v>
      </c>
      <c r="U1819" t="str">
        <f>VLOOKUP($W1819,TBL_Categories,4,FALSE)</f>
        <v>No</v>
      </c>
      <c r="V1819" t="str">
        <f>VLOOKUP($W1819,TBL_Categories,5,FALSE)</f>
        <v>None</v>
      </c>
      <c r="W1819" t="str">
        <f t="shared" si="86"/>
        <v>Business Expenses (Koolikai)|Internet</v>
      </c>
    </row>
    <row r="1820" spans="1:23" x14ac:dyDescent="0.25">
      <c r="A1820" t="s">
        <v>86</v>
      </c>
      <c r="B1820" s="5">
        <f t="shared" ref="B1820:B1821" ca="1" si="99">TODAY()</f>
        <v>42007</v>
      </c>
      <c r="C1820">
        <v>-5600</v>
      </c>
      <c r="K1820" t="s">
        <v>55</v>
      </c>
      <c r="L1820" t="s">
        <v>1525</v>
      </c>
      <c r="M1820" t="s">
        <v>86</v>
      </c>
      <c r="Q1820" t="s">
        <v>87</v>
      </c>
      <c r="R1820" t="s">
        <v>86</v>
      </c>
      <c r="S1820" t="str">
        <f>VLOOKUP($W1820,TBL_Categories,2,FALSE)</f>
        <v>Monthly</v>
      </c>
      <c r="T1820">
        <f>VLOOKUP($W1820,TBL_Categories,3,FALSE)</f>
        <v>0</v>
      </c>
      <c r="U1820" t="str">
        <f>VLOOKUP($W1820,TBL_Categories,4,FALSE)</f>
        <v>No</v>
      </c>
      <c r="V1820" t="str">
        <f>VLOOKUP($W1820,TBL_Categories,5,FALSE)</f>
        <v>None</v>
      </c>
      <c r="W1820" t="str">
        <f t="shared" si="86"/>
        <v>Business Expenses (Koolikai)|Mortgage (Business)</v>
      </c>
    </row>
    <row r="1821" spans="1:23" x14ac:dyDescent="0.25">
      <c r="A1821" t="s">
        <v>86</v>
      </c>
      <c r="B1821" s="5">
        <f t="shared" ca="1" si="99"/>
        <v>42007</v>
      </c>
      <c r="C1821">
        <v>-67200</v>
      </c>
      <c r="K1821" t="s">
        <v>55</v>
      </c>
      <c r="L1821" t="s">
        <v>1525</v>
      </c>
      <c r="M1821" t="s">
        <v>86</v>
      </c>
      <c r="Q1821" t="s">
        <v>88</v>
      </c>
      <c r="R1821" t="s">
        <v>86</v>
      </c>
      <c r="S1821" t="str">
        <f>VLOOKUP($W1821,TBL_Categories,2,FALSE)</f>
        <v>Monthly</v>
      </c>
      <c r="T1821">
        <f>VLOOKUP($W1821,TBL_Categories,3,FALSE)</f>
        <v>0</v>
      </c>
      <c r="U1821" t="str">
        <f>VLOOKUP($W1821,TBL_Categories,4,FALSE)</f>
        <v>No</v>
      </c>
      <c r="V1821" t="str">
        <f>VLOOKUP($W1821,TBL_Categories,5,FALSE)</f>
        <v>None</v>
      </c>
      <c r="W1821" t="str">
        <f t="shared" si="86"/>
        <v>Business Expenses (Koolikai)|Mortgage (Business)</v>
      </c>
    </row>
    <row r="1822" spans="1:23" x14ac:dyDescent="0.25">
      <c r="A1822" t="s">
        <v>86</v>
      </c>
      <c r="B1822" s="5">
        <f t="shared" ref="B1822:B1823" ca="1" si="100">TODAY()</f>
        <v>42007</v>
      </c>
      <c r="C1822">
        <v>-40</v>
      </c>
      <c r="K1822" t="s">
        <v>55</v>
      </c>
      <c r="L1822" t="s">
        <v>1553</v>
      </c>
      <c r="M1822" t="s">
        <v>86</v>
      </c>
      <c r="Q1822" t="s">
        <v>87</v>
      </c>
      <c r="R1822" t="s">
        <v>86</v>
      </c>
      <c r="S1822" t="str">
        <f>VLOOKUP($W1822,TBL_Categories,2,FALSE)</f>
        <v>Monthly</v>
      </c>
      <c r="T1822">
        <f>VLOOKUP($W1822,TBL_Categories,3,FALSE)</f>
        <v>0</v>
      </c>
      <c r="U1822" t="str">
        <f>VLOOKUP($W1822,TBL_Categories,4,FALSE)</f>
        <v>No</v>
      </c>
      <c r="V1822" t="str">
        <f>VLOOKUP($W1822,TBL_Categories,5,FALSE)</f>
        <v>None</v>
      </c>
      <c r="W1822" t="str">
        <f t="shared" si="86"/>
        <v>Business Expenses (Koolikai)|Office Expenses (Business)</v>
      </c>
    </row>
    <row r="1823" spans="1:23" x14ac:dyDescent="0.25">
      <c r="A1823" t="s">
        <v>86</v>
      </c>
      <c r="B1823" s="5">
        <f t="shared" ca="1" si="100"/>
        <v>42007</v>
      </c>
      <c r="C1823">
        <v>-480</v>
      </c>
      <c r="K1823" t="s">
        <v>55</v>
      </c>
      <c r="L1823" t="s">
        <v>1553</v>
      </c>
      <c r="M1823" t="s">
        <v>86</v>
      </c>
      <c r="Q1823" t="s">
        <v>88</v>
      </c>
      <c r="R1823" t="s">
        <v>86</v>
      </c>
      <c r="S1823" t="str">
        <f>VLOOKUP($W1823,TBL_Categories,2,FALSE)</f>
        <v>Monthly</v>
      </c>
      <c r="T1823">
        <f>VLOOKUP($W1823,TBL_Categories,3,FALSE)</f>
        <v>0</v>
      </c>
      <c r="U1823" t="str">
        <f>VLOOKUP($W1823,TBL_Categories,4,FALSE)</f>
        <v>No</v>
      </c>
      <c r="V1823" t="str">
        <f>VLOOKUP($W1823,TBL_Categories,5,FALSE)</f>
        <v>None</v>
      </c>
      <c r="W1823" t="str">
        <f t="shared" si="86"/>
        <v>Business Expenses (Koolikai)|Office Expenses (Business)</v>
      </c>
    </row>
    <row r="1824" spans="1:23" x14ac:dyDescent="0.25">
      <c r="A1824" t="s">
        <v>86</v>
      </c>
      <c r="B1824" s="5">
        <f t="shared" ref="B1824:B1825" ca="1" si="101">TODAY()</f>
        <v>42007</v>
      </c>
      <c r="C1824">
        <v>-2</v>
      </c>
      <c r="K1824" t="s">
        <v>55</v>
      </c>
      <c r="L1824" t="s">
        <v>1548</v>
      </c>
      <c r="M1824" t="s">
        <v>86</v>
      </c>
      <c r="Q1824" t="s">
        <v>87</v>
      </c>
      <c r="R1824" t="s">
        <v>86</v>
      </c>
      <c r="S1824" t="str">
        <f>VLOOKUP($W1824,TBL_Categories,2,FALSE)</f>
        <v>Annual</v>
      </c>
      <c r="T1824">
        <f>VLOOKUP($W1824,TBL_Categories,3,FALSE)</f>
        <v>0</v>
      </c>
      <c r="U1824" t="str">
        <f>VLOOKUP($W1824,TBL_Categories,4,FALSE)</f>
        <v>No</v>
      </c>
      <c r="V1824" t="str">
        <f>VLOOKUP($W1824,TBL_Categories,5,FALSE)</f>
        <v>None</v>
      </c>
      <c r="W1824" t="str">
        <f t="shared" si="86"/>
        <v>Business Expenses (Koolikai)|Postage and Delivery (Business)</v>
      </c>
    </row>
    <row r="1825" spans="1:23" x14ac:dyDescent="0.25">
      <c r="A1825" t="s">
        <v>86</v>
      </c>
      <c r="B1825" s="5">
        <f t="shared" ca="1" si="101"/>
        <v>42007</v>
      </c>
      <c r="C1825">
        <v>-24</v>
      </c>
      <c r="K1825" t="s">
        <v>55</v>
      </c>
      <c r="L1825" t="s">
        <v>1548</v>
      </c>
      <c r="M1825" t="s">
        <v>86</v>
      </c>
      <c r="Q1825" t="s">
        <v>88</v>
      </c>
      <c r="R1825" t="s">
        <v>86</v>
      </c>
      <c r="S1825" t="str">
        <f>VLOOKUP($W1825,TBL_Categories,2,FALSE)</f>
        <v>Annual</v>
      </c>
      <c r="T1825">
        <f>VLOOKUP($W1825,TBL_Categories,3,FALSE)</f>
        <v>0</v>
      </c>
      <c r="U1825" t="str">
        <f>VLOOKUP($W1825,TBL_Categories,4,FALSE)</f>
        <v>No</v>
      </c>
      <c r="V1825" t="str">
        <f>VLOOKUP($W1825,TBL_Categories,5,FALSE)</f>
        <v>None</v>
      </c>
      <c r="W1825" t="str">
        <f t="shared" si="86"/>
        <v>Business Expenses (Koolikai)|Postage and Delivery (Business)</v>
      </c>
    </row>
    <row r="1826" spans="1:23" x14ac:dyDescent="0.25">
      <c r="A1826" t="s">
        <v>86</v>
      </c>
      <c r="B1826" s="5">
        <f t="shared" ref="B1826:B1827" ca="1" si="102">TODAY()</f>
        <v>42007</v>
      </c>
      <c r="C1826">
        <v>-50</v>
      </c>
      <c r="K1826" t="s">
        <v>55</v>
      </c>
      <c r="L1826" t="s">
        <v>1590</v>
      </c>
      <c r="M1826" t="s">
        <v>86</v>
      </c>
      <c r="Q1826" t="s">
        <v>87</v>
      </c>
      <c r="R1826" t="s">
        <v>86</v>
      </c>
      <c r="S1826" t="str">
        <f>VLOOKUP($W1826,TBL_Categories,2,FALSE)</f>
        <v>Annual</v>
      </c>
      <c r="T1826">
        <f>VLOOKUP($W1826,TBL_Categories,3,FALSE)</f>
        <v>0</v>
      </c>
      <c r="U1826" t="str">
        <f>VLOOKUP($W1826,TBL_Categories,4,FALSE)</f>
        <v>No</v>
      </c>
      <c r="V1826" t="str">
        <f>VLOOKUP($W1826,TBL_Categories,5,FALSE)</f>
        <v>None</v>
      </c>
      <c r="W1826" t="str">
        <f t="shared" si="86"/>
        <v>Business Expenses (Koolikai)|Prof and Legal Fees</v>
      </c>
    </row>
    <row r="1827" spans="1:23" x14ac:dyDescent="0.25">
      <c r="A1827" t="s">
        <v>86</v>
      </c>
      <c r="B1827" s="5">
        <f t="shared" ca="1" si="102"/>
        <v>42007</v>
      </c>
      <c r="C1827">
        <v>-600</v>
      </c>
      <c r="K1827" t="s">
        <v>55</v>
      </c>
      <c r="L1827" t="s">
        <v>1590</v>
      </c>
      <c r="M1827" t="s">
        <v>86</v>
      </c>
      <c r="Q1827" t="s">
        <v>88</v>
      </c>
      <c r="R1827" t="s">
        <v>86</v>
      </c>
      <c r="S1827" t="str">
        <f>VLOOKUP($W1827,TBL_Categories,2,FALSE)</f>
        <v>Annual</v>
      </c>
      <c r="T1827">
        <f>VLOOKUP($W1827,TBL_Categories,3,FALSE)</f>
        <v>0</v>
      </c>
      <c r="U1827" t="str">
        <f>VLOOKUP($W1827,TBL_Categories,4,FALSE)</f>
        <v>No</v>
      </c>
      <c r="V1827" t="str">
        <f>VLOOKUP($W1827,TBL_Categories,5,FALSE)</f>
        <v>None</v>
      </c>
      <c r="W1827" t="str">
        <f t="shared" si="86"/>
        <v>Business Expenses (Koolikai)|Prof and Legal Fees</v>
      </c>
    </row>
    <row r="1828" spans="1:23" x14ac:dyDescent="0.25">
      <c r="A1828" t="s">
        <v>86</v>
      </c>
      <c r="B1828" s="5">
        <f t="shared" ref="B1828:B1829" ca="1" si="103">TODAY()</f>
        <v>42007</v>
      </c>
      <c r="C1828">
        <v>-250</v>
      </c>
      <c r="K1828" t="s">
        <v>55</v>
      </c>
      <c r="L1828" t="s">
        <v>90</v>
      </c>
      <c r="M1828" t="s">
        <v>86</v>
      </c>
      <c r="Q1828" t="s">
        <v>87</v>
      </c>
      <c r="R1828" t="s">
        <v>86</v>
      </c>
      <c r="S1828" t="str">
        <f>VLOOKUP($W1828,TBL_Categories,2,FALSE)</f>
        <v>Irregular</v>
      </c>
      <c r="T1828">
        <f>VLOOKUP($W1828,TBL_Categories,3,FALSE)</f>
        <v>0</v>
      </c>
      <c r="U1828" t="str">
        <f>VLOOKUP($W1828,TBL_Categories,4,FALSE)</f>
        <v>No</v>
      </c>
      <c r="V1828" t="str">
        <f>VLOOKUP($W1828,TBL_Categories,5,FALSE)</f>
        <v>None</v>
      </c>
      <c r="W1828" t="str">
        <f t="shared" si="86"/>
        <v>Business Expenses (Koolikai)|Projects</v>
      </c>
    </row>
    <row r="1829" spans="1:23" x14ac:dyDescent="0.25">
      <c r="A1829" t="s">
        <v>86</v>
      </c>
      <c r="B1829" s="5">
        <f t="shared" ca="1" si="103"/>
        <v>42007</v>
      </c>
      <c r="C1829">
        <v>-3000</v>
      </c>
      <c r="K1829" t="s">
        <v>55</v>
      </c>
      <c r="L1829" t="s">
        <v>90</v>
      </c>
      <c r="M1829" t="s">
        <v>86</v>
      </c>
      <c r="Q1829" t="s">
        <v>88</v>
      </c>
      <c r="R1829" t="s">
        <v>86</v>
      </c>
      <c r="S1829" t="str">
        <f>VLOOKUP($W1829,TBL_Categories,2,FALSE)</f>
        <v>Irregular</v>
      </c>
      <c r="T1829">
        <f>VLOOKUP($W1829,TBL_Categories,3,FALSE)</f>
        <v>0</v>
      </c>
      <c r="U1829" t="str">
        <f>VLOOKUP($W1829,TBL_Categories,4,FALSE)</f>
        <v>No</v>
      </c>
      <c r="V1829" t="str">
        <f>VLOOKUP($W1829,TBL_Categories,5,FALSE)</f>
        <v>None</v>
      </c>
      <c r="W1829" t="str">
        <f t="shared" si="86"/>
        <v>Business Expenses (Koolikai)|Projects</v>
      </c>
    </row>
    <row r="1830" spans="1:23" x14ac:dyDescent="0.25">
      <c r="A1830" t="s">
        <v>86</v>
      </c>
      <c r="B1830" s="5">
        <f t="shared" ref="B1830:B1831" ca="1" si="104">TODAY()</f>
        <v>42007</v>
      </c>
      <c r="C1830">
        <v>-100</v>
      </c>
      <c r="K1830" t="s">
        <v>55</v>
      </c>
      <c r="L1830" t="s">
        <v>1559</v>
      </c>
      <c r="M1830" t="s">
        <v>86</v>
      </c>
      <c r="Q1830" t="s">
        <v>87</v>
      </c>
      <c r="R1830" t="s">
        <v>86</v>
      </c>
      <c r="S1830" t="str">
        <f>VLOOKUP($W1830,TBL_Categories,2,FALSE)</f>
        <v>Irregular</v>
      </c>
      <c r="T1830">
        <f>VLOOKUP($W1830,TBL_Categories,3,FALSE)</f>
        <v>0</v>
      </c>
      <c r="U1830" t="str">
        <f>VLOOKUP($W1830,TBL_Categories,4,FALSE)</f>
        <v>No</v>
      </c>
      <c r="V1830" t="str">
        <f>VLOOKUP($W1830,TBL_Categories,5,FALSE)</f>
        <v>None</v>
      </c>
      <c r="W1830" t="str">
        <f t="shared" si="86"/>
        <v>Business Expenses (Koolikai)|Repairs</v>
      </c>
    </row>
    <row r="1831" spans="1:23" x14ac:dyDescent="0.25">
      <c r="A1831" t="s">
        <v>86</v>
      </c>
      <c r="B1831" s="5">
        <f t="shared" ca="1" si="104"/>
        <v>42007</v>
      </c>
      <c r="C1831">
        <v>-1200</v>
      </c>
      <c r="K1831" t="s">
        <v>55</v>
      </c>
      <c r="L1831" t="s">
        <v>1559</v>
      </c>
      <c r="M1831" t="s">
        <v>86</v>
      </c>
      <c r="Q1831" t="s">
        <v>88</v>
      </c>
      <c r="R1831" t="s">
        <v>86</v>
      </c>
      <c r="S1831" t="str">
        <f>VLOOKUP($W1831,TBL_Categories,2,FALSE)</f>
        <v>Irregular</v>
      </c>
      <c r="T1831">
        <f>VLOOKUP($W1831,TBL_Categories,3,FALSE)</f>
        <v>0</v>
      </c>
      <c r="U1831" t="str">
        <f>VLOOKUP($W1831,TBL_Categories,4,FALSE)</f>
        <v>No</v>
      </c>
      <c r="V1831" t="str">
        <f>VLOOKUP($W1831,TBL_Categories,5,FALSE)</f>
        <v>None</v>
      </c>
      <c r="W1831" t="str">
        <f t="shared" si="86"/>
        <v>Business Expenses (Koolikai)|Repairs</v>
      </c>
    </row>
    <row r="1832" spans="1:23" x14ac:dyDescent="0.25">
      <c r="A1832" t="s">
        <v>86</v>
      </c>
      <c r="B1832" s="5">
        <f t="shared" ref="B1832:B1833" ca="1" si="105">TODAY()</f>
        <v>42007</v>
      </c>
      <c r="C1832">
        <v>-10</v>
      </c>
      <c r="K1832" t="s">
        <v>55</v>
      </c>
      <c r="L1832" t="s">
        <v>1580</v>
      </c>
      <c r="M1832" t="s">
        <v>86</v>
      </c>
      <c r="Q1832" t="s">
        <v>87</v>
      </c>
      <c r="R1832" t="s">
        <v>86</v>
      </c>
      <c r="S1832" t="str">
        <f>VLOOKUP($W1832,TBL_Categories,2,FALSE)</f>
        <v>Irregular</v>
      </c>
      <c r="T1832">
        <f>VLOOKUP($W1832,TBL_Categories,3,FALSE)</f>
        <v>0</v>
      </c>
      <c r="U1832" t="str">
        <f>VLOOKUP($W1832,TBL_Categories,4,FALSE)</f>
        <v>No</v>
      </c>
      <c r="V1832" t="str">
        <f>VLOOKUP($W1832,TBL_Categories,5,FALSE)</f>
        <v>None</v>
      </c>
      <c r="W1832" t="str">
        <f t="shared" si="86"/>
        <v>Business Expenses (Koolikai)|Supplies (Business)</v>
      </c>
    </row>
    <row r="1833" spans="1:23" x14ac:dyDescent="0.25">
      <c r="A1833" t="s">
        <v>86</v>
      </c>
      <c r="B1833" s="5">
        <f t="shared" ca="1" si="105"/>
        <v>42007</v>
      </c>
      <c r="C1833">
        <v>-120</v>
      </c>
      <c r="K1833" t="s">
        <v>55</v>
      </c>
      <c r="L1833" t="s">
        <v>1580</v>
      </c>
      <c r="M1833" t="s">
        <v>86</v>
      </c>
      <c r="Q1833" t="s">
        <v>88</v>
      </c>
      <c r="R1833" t="s">
        <v>86</v>
      </c>
      <c r="S1833" t="str">
        <f>VLOOKUP($W1833,TBL_Categories,2,FALSE)</f>
        <v>Irregular</v>
      </c>
      <c r="T1833">
        <f>VLOOKUP($W1833,TBL_Categories,3,FALSE)</f>
        <v>0</v>
      </c>
      <c r="U1833" t="str">
        <f>VLOOKUP($W1833,TBL_Categories,4,FALSE)</f>
        <v>No</v>
      </c>
      <c r="V1833" t="str">
        <f>VLOOKUP($W1833,TBL_Categories,5,FALSE)</f>
        <v>None</v>
      </c>
      <c r="W1833" t="str">
        <f t="shared" si="86"/>
        <v>Business Expenses (Koolikai)|Supplies (Business)</v>
      </c>
    </row>
    <row r="1834" spans="1:23" x14ac:dyDescent="0.25">
      <c r="A1834" t="s">
        <v>86</v>
      </c>
      <c r="B1834" s="5">
        <f t="shared" ref="B1834:B1835" ca="1" si="106">TODAY()</f>
        <v>42007</v>
      </c>
      <c r="C1834">
        <v>-6</v>
      </c>
      <c r="K1834" t="s">
        <v>55</v>
      </c>
      <c r="L1834" t="s">
        <v>1579</v>
      </c>
      <c r="M1834" t="s">
        <v>86</v>
      </c>
      <c r="Q1834" t="s">
        <v>87</v>
      </c>
      <c r="R1834" t="s">
        <v>86</v>
      </c>
      <c r="S1834" t="str">
        <f>VLOOKUP($W1834,TBL_Categories,2,FALSE)</f>
        <v>Annual</v>
      </c>
      <c r="T1834">
        <f>VLOOKUP($W1834,TBL_Categories,3,FALSE)</f>
        <v>0</v>
      </c>
      <c r="U1834" t="str">
        <f>VLOOKUP($W1834,TBL_Categories,4,FALSE)</f>
        <v>No</v>
      </c>
      <c r="V1834" t="str">
        <f>VLOOKUP($W1834,TBL_Categories,5,FALSE)</f>
        <v>None</v>
      </c>
      <c r="W1834" t="str">
        <f t="shared" si="86"/>
        <v>Business Expenses (Koolikai)|Taxes (Business)</v>
      </c>
    </row>
    <row r="1835" spans="1:23" x14ac:dyDescent="0.25">
      <c r="A1835" t="s">
        <v>86</v>
      </c>
      <c r="B1835" s="5">
        <f t="shared" ca="1" si="106"/>
        <v>42007</v>
      </c>
      <c r="C1835">
        <v>-72</v>
      </c>
      <c r="K1835" t="s">
        <v>55</v>
      </c>
      <c r="L1835" t="s">
        <v>1579</v>
      </c>
      <c r="M1835" t="s">
        <v>86</v>
      </c>
      <c r="Q1835" t="s">
        <v>88</v>
      </c>
      <c r="R1835" t="s">
        <v>86</v>
      </c>
      <c r="S1835" t="str">
        <f>VLOOKUP($W1835,TBL_Categories,2,FALSE)</f>
        <v>Annual</v>
      </c>
      <c r="T1835">
        <f>VLOOKUP($W1835,TBL_Categories,3,FALSE)</f>
        <v>0</v>
      </c>
      <c r="U1835" t="str">
        <f>VLOOKUP($W1835,TBL_Categories,4,FALSE)</f>
        <v>No</v>
      </c>
      <c r="V1835" t="str">
        <f>VLOOKUP($W1835,TBL_Categories,5,FALSE)</f>
        <v>None</v>
      </c>
      <c r="W1835" t="str">
        <f t="shared" si="86"/>
        <v>Business Expenses (Koolikai)|Taxes (Business)</v>
      </c>
    </row>
    <row r="1836" spans="1:23" x14ac:dyDescent="0.25">
      <c r="A1836" t="s">
        <v>86</v>
      </c>
      <c r="B1836" s="5">
        <f t="shared" ref="B1836:B1837" ca="1" si="107">TODAY()</f>
        <v>42007</v>
      </c>
      <c r="C1836">
        <v>-10</v>
      </c>
      <c r="K1836" t="s">
        <v>55</v>
      </c>
      <c r="L1836" t="s">
        <v>1572</v>
      </c>
      <c r="M1836" t="s">
        <v>86</v>
      </c>
      <c r="Q1836" t="s">
        <v>87</v>
      </c>
      <c r="R1836" t="s">
        <v>86</v>
      </c>
      <c r="S1836" t="str">
        <f>VLOOKUP($W1836,TBL_Categories,2,FALSE)</f>
        <v>Irregular</v>
      </c>
      <c r="T1836">
        <f>VLOOKUP($W1836,TBL_Categories,3,FALSE)</f>
        <v>0</v>
      </c>
      <c r="U1836" t="str">
        <f>VLOOKUP($W1836,TBL_Categories,4,FALSE)</f>
        <v>No</v>
      </c>
      <c r="V1836" t="str">
        <f>VLOOKUP($W1836,TBL_Categories,5,FALSE)</f>
        <v>None</v>
      </c>
      <c r="W1836" t="str">
        <f t="shared" si="86"/>
        <v>Business Expenses (Koolikai)|Tools</v>
      </c>
    </row>
    <row r="1837" spans="1:23" x14ac:dyDescent="0.25">
      <c r="A1837" t="s">
        <v>86</v>
      </c>
      <c r="B1837" s="5">
        <f t="shared" ca="1" si="107"/>
        <v>42007</v>
      </c>
      <c r="C1837">
        <v>-120</v>
      </c>
      <c r="K1837" t="s">
        <v>55</v>
      </c>
      <c r="L1837" t="s">
        <v>1572</v>
      </c>
      <c r="M1837" t="s">
        <v>86</v>
      </c>
      <c r="Q1837" t="s">
        <v>88</v>
      </c>
      <c r="R1837" t="s">
        <v>86</v>
      </c>
      <c r="S1837" t="str">
        <f>VLOOKUP($W1837,TBL_Categories,2,FALSE)</f>
        <v>Irregular</v>
      </c>
      <c r="T1837">
        <f>VLOOKUP($W1837,TBL_Categories,3,FALSE)</f>
        <v>0</v>
      </c>
      <c r="U1837" t="str">
        <f>VLOOKUP($W1837,TBL_Categories,4,FALSE)</f>
        <v>No</v>
      </c>
      <c r="V1837" t="str">
        <f>VLOOKUP($W1837,TBL_Categories,5,FALSE)</f>
        <v>None</v>
      </c>
      <c r="W1837" t="str">
        <f t="shared" si="86"/>
        <v>Business Expenses (Koolikai)|Tools</v>
      </c>
    </row>
    <row r="1838" spans="1:23" x14ac:dyDescent="0.25">
      <c r="A1838" t="s">
        <v>86</v>
      </c>
      <c r="B1838" s="5">
        <f t="shared" ref="B1838:B1839" ca="1" si="108">TODAY()</f>
        <v>42007</v>
      </c>
      <c r="C1838">
        <v>4490</v>
      </c>
      <c r="K1838" t="s">
        <v>33</v>
      </c>
      <c r="L1838" t="s">
        <v>1519</v>
      </c>
      <c r="M1838" t="s">
        <v>86</v>
      </c>
      <c r="Q1838" t="s">
        <v>87</v>
      </c>
      <c r="R1838" t="s">
        <v>86</v>
      </c>
      <c r="S1838" t="str">
        <f>VLOOKUP($W1838,TBL_Categories,2,FALSE)</f>
        <v>Monthly</v>
      </c>
      <c r="T1838">
        <f>VLOOKUP($W1838,TBL_Categories,3,FALSE)</f>
        <v>0</v>
      </c>
      <c r="U1838" t="str">
        <f>VLOOKUP($W1838,TBL_Categories,4,FALSE)</f>
        <v>No</v>
      </c>
      <c r="V1838" t="str">
        <f>VLOOKUP($W1838,TBL_Categories,5,FALSE)</f>
        <v>None</v>
      </c>
      <c r="W1838" t="str">
        <f t="shared" si="86"/>
        <v>Business Income (Koolikai)|Rent</v>
      </c>
    </row>
    <row r="1839" spans="1:23" x14ac:dyDescent="0.25">
      <c r="A1839" t="s">
        <v>86</v>
      </c>
      <c r="B1839" s="5">
        <f t="shared" ca="1" si="108"/>
        <v>42007</v>
      </c>
      <c r="C1839">
        <v>53880</v>
      </c>
      <c r="K1839" t="s">
        <v>33</v>
      </c>
      <c r="L1839" t="s">
        <v>1519</v>
      </c>
      <c r="M1839" t="s">
        <v>86</v>
      </c>
      <c r="Q1839" t="s">
        <v>88</v>
      </c>
      <c r="R1839" t="s">
        <v>86</v>
      </c>
      <c r="S1839" t="str">
        <f>VLOOKUP($W1839,TBL_Categories,2,FALSE)</f>
        <v>Monthly</v>
      </c>
      <c r="T1839">
        <f>VLOOKUP($W1839,TBL_Categories,3,FALSE)</f>
        <v>0</v>
      </c>
      <c r="U1839" t="str">
        <f>VLOOKUP($W1839,TBL_Categories,4,FALSE)</f>
        <v>No</v>
      </c>
      <c r="V1839" t="str">
        <f>VLOOKUP($W1839,TBL_Categories,5,FALSE)</f>
        <v>None</v>
      </c>
      <c r="W1839" t="str">
        <f t="shared" si="86"/>
        <v>Business Income (Koolikai)|Rent</v>
      </c>
    </row>
    <row r="1840" spans="1:23" x14ac:dyDescent="0.25">
      <c r="A1840" t="s">
        <v>86</v>
      </c>
      <c r="B1840" s="5">
        <f t="shared" ref="B1840:B1841" ca="1" si="109">TODAY()</f>
        <v>42007</v>
      </c>
      <c r="C1840">
        <v>-2</v>
      </c>
      <c r="K1840" t="s">
        <v>58</v>
      </c>
      <c r="L1840" t="s">
        <v>1622</v>
      </c>
      <c r="M1840" t="s">
        <v>86</v>
      </c>
      <c r="Q1840" t="s">
        <v>87</v>
      </c>
      <c r="R1840" t="s">
        <v>86</v>
      </c>
      <c r="S1840" t="str">
        <f>VLOOKUP($W1840,TBL_Categories,2,FALSE)</f>
        <v>Irregular</v>
      </c>
      <c r="T1840">
        <f>VLOOKUP($W1840,TBL_Categories,3,FALSE)</f>
        <v>0</v>
      </c>
      <c r="U1840" t="str">
        <f>VLOOKUP($W1840,TBL_Categories,4,FALSE)</f>
        <v>No</v>
      </c>
      <c r="V1840" t="str">
        <f>VLOOKUP($W1840,TBL_Categories,5,FALSE)</f>
        <v>None</v>
      </c>
      <c r="W1840" t="str">
        <f t="shared" si="86"/>
        <v>Education|Books &amp; Supplies</v>
      </c>
    </row>
    <row r="1841" spans="1:23" x14ac:dyDescent="0.25">
      <c r="A1841" t="s">
        <v>86</v>
      </c>
      <c r="B1841" s="5">
        <f t="shared" ca="1" si="109"/>
        <v>42007</v>
      </c>
      <c r="C1841">
        <v>-24</v>
      </c>
      <c r="K1841" t="s">
        <v>58</v>
      </c>
      <c r="L1841" t="s">
        <v>1622</v>
      </c>
      <c r="M1841" t="s">
        <v>86</v>
      </c>
      <c r="Q1841" t="s">
        <v>88</v>
      </c>
      <c r="R1841" t="s">
        <v>86</v>
      </c>
      <c r="S1841" t="str">
        <f>VLOOKUP($W1841,TBL_Categories,2,FALSE)</f>
        <v>Irregular</v>
      </c>
      <c r="T1841">
        <f>VLOOKUP($W1841,TBL_Categories,3,FALSE)</f>
        <v>0</v>
      </c>
      <c r="U1841" t="str">
        <f>VLOOKUP($W1841,TBL_Categories,4,FALSE)</f>
        <v>No</v>
      </c>
      <c r="V1841" t="str">
        <f>VLOOKUP($W1841,TBL_Categories,5,FALSE)</f>
        <v>None</v>
      </c>
      <c r="W1841" t="str">
        <f t="shared" si="86"/>
        <v>Education|Books &amp; Supplies</v>
      </c>
    </row>
    <row r="1842" spans="1:23" x14ac:dyDescent="0.25">
      <c r="A1842" t="s">
        <v>86</v>
      </c>
      <c r="B1842" s="5">
        <f t="shared" ref="B1842:B1843" ca="1" si="110">TODAY()</f>
        <v>42007</v>
      </c>
      <c r="C1842">
        <v>-2</v>
      </c>
      <c r="K1842" t="s">
        <v>58</v>
      </c>
      <c r="L1842" t="s">
        <v>1531</v>
      </c>
      <c r="M1842" t="s">
        <v>86</v>
      </c>
      <c r="Q1842" t="s">
        <v>87</v>
      </c>
      <c r="R1842" t="s">
        <v>86</v>
      </c>
      <c r="S1842" t="str">
        <f>VLOOKUP($W1842,TBL_Categories,2,FALSE)</f>
        <v>Irregular</v>
      </c>
      <c r="T1842">
        <f>VLOOKUP($W1842,TBL_Categories,3,FALSE)</f>
        <v>0</v>
      </c>
      <c r="U1842" t="str">
        <f>VLOOKUP($W1842,TBL_Categories,4,FALSE)</f>
        <v>No</v>
      </c>
      <c r="V1842" t="str">
        <f>VLOOKUP($W1842,TBL_Categories,5,FALSE)</f>
        <v>None</v>
      </c>
      <c r="W1842" t="str">
        <f t="shared" si="86"/>
        <v>Education|Community Education</v>
      </c>
    </row>
    <row r="1843" spans="1:23" x14ac:dyDescent="0.25">
      <c r="A1843" t="s">
        <v>86</v>
      </c>
      <c r="B1843" s="5">
        <f t="shared" ca="1" si="110"/>
        <v>42007</v>
      </c>
      <c r="C1843">
        <v>-24</v>
      </c>
      <c r="K1843" t="s">
        <v>58</v>
      </c>
      <c r="L1843" t="s">
        <v>1531</v>
      </c>
      <c r="M1843" t="s">
        <v>86</v>
      </c>
      <c r="Q1843" t="s">
        <v>88</v>
      </c>
      <c r="R1843" t="s">
        <v>86</v>
      </c>
      <c r="S1843" t="str">
        <f>VLOOKUP($W1843,TBL_Categories,2,FALSE)</f>
        <v>Irregular</v>
      </c>
      <c r="T1843">
        <f>VLOOKUP($W1843,TBL_Categories,3,FALSE)</f>
        <v>0</v>
      </c>
      <c r="U1843" t="str">
        <f>VLOOKUP($W1843,TBL_Categories,4,FALSE)</f>
        <v>No</v>
      </c>
      <c r="V1843" t="str">
        <f>VLOOKUP($W1843,TBL_Categories,5,FALSE)</f>
        <v>None</v>
      </c>
      <c r="W1843" t="str">
        <f t="shared" si="86"/>
        <v>Education|Community Education</v>
      </c>
    </row>
    <row r="1844" spans="1:23" x14ac:dyDescent="0.25">
      <c r="A1844" t="s">
        <v>86</v>
      </c>
      <c r="B1844" s="5">
        <f t="shared" ref="B1844:B1845" ca="1" si="111">TODAY()</f>
        <v>42007</v>
      </c>
      <c r="C1844">
        <v>-100</v>
      </c>
      <c r="K1844" t="s">
        <v>17</v>
      </c>
      <c r="M1844" t="s">
        <v>86</v>
      </c>
      <c r="Q1844" t="s">
        <v>87</v>
      </c>
      <c r="R1844" t="s">
        <v>86</v>
      </c>
      <c r="S1844" t="str">
        <f>VLOOKUP($W1844,TBL_Categories,2,FALSE)</f>
        <v>Monthly</v>
      </c>
      <c r="T1844">
        <f>VLOOKUP($W1844,TBL_Categories,3,FALSE)</f>
        <v>0</v>
      </c>
      <c r="U1844" t="str">
        <f>VLOOKUP($W1844,TBL_Categories,4,FALSE)</f>
        <v>No</v>
      </c>
      <c r="V1844" t="str">
        <f>VLOOKUP($W1844,TBL_Categories,5,FALSE)</f>
        <v>None</v>
      </c>
      <c r="W1844" t="str">
        <f t="shared" si="86"/>
        <v>Entertainment</v>
      </c>
    </row>
    <row r="1845" spans="1:23" x14ac:dyDescent="0.25">
      <c r="A1845" t="s">
        <v>86</v>
      </c>
      <c r="B1845" s="5">
        <f t="shared" ca="1" si="111"/>
        <v>42007</v>
      </c>
      <c r="C1845">
        <v>-1200</v>
      </c>
      <c r="K1845" t="s">
        <v>17</v>
      </c>
      <c r="M1845" t="s">
        <v>86</v>
      </c>
      <c r="Q1845" t="s">
        <v>88</v>
      </c>
      <c r="R1845" t="s">
        <v>86</v>
      </c>
      <c r="S1845" t="str">
        <f>VLOOKUP($W1845,TBL_Categories,2,FALSE)</f>
        <v>Monthly</v>
      </c>
      <c r="T1845">
        <f>VLOOKUP($W1845,TBL_Categories,3,FALSE)</f>
        <v>0</v>
      </c>
      <c r="U1845" t="str">
        <f>VLOOKUP($W1845,TBL_Categories,4,FALSE)</f>
        <v>No</v>
      </c>
      <c r="V1845" t="str">
        <f>VLOOKUP($W1845,TBL_Categories,5,FALSE)</f>
        <v>None</v>
      </c>
      <c r="W1845" t="str">
        <f t="shared" si="86"/>
        <v>Entertainment</v>
      </c>
    </row>
    <row r="1846" spans="1:23" x14ac:dyDescent="0.25">
      <c r="A1846" t="s">
        <v>86</v>
      </c>
      <c r="B1846" s="5">
        <f t="shared" ref="B1846:B1847" ca="1" si="112">TODAY()</f>
        <v>42007</v>
      </c>
      <c r="C1846">
        <v>-700</v>
      </c>
      <c r="K1846" t="s">
        <v>61</v>
      </c>
      <c r="L1846" t="s">
        <v>401</v>
      </c>
      <c r="M1846" t="s">
        <v>86</v>
      </c>
      <c r="Q1846" t="s">
        <v>87</v>
      </c>
      <c r="R1846" t="s">
        <v>86</v>
      </c>
      <c r="S1846" t="str">
        <f>VLOOKUP($W1846,TBL_Categories,2,FALSE)</f>
        <v>Monthly</v>
      </c>
      <c r="T1846">
        <f>VLOOKUP($W1846,TBL_Categories,3,FALSE)</f>
        <v>0</v>
      </c>
      <c r="U1846" t="str">
        <f>VLOOKUP($W1846,TBL_Categories,4,FALSE)</f>
        <v>No</v>
      </c>
      <c r="V1846" t="str">
        <f>VLOOKUP($W1846,TBL_Categories,5,FALSE)</f>
        <v>None</v>
      </c>
      <c r="W1846" t="str">
        <f t="shared" si="86"/>
        <v>Food &amp; Dining|Groceries</v>
      </c>
    </row>
    <row r="1847" spans="1:23" x14ac:dyDescent="0.25">
      <c r="A1847" t="s">
        <v>86</v>
      </c>
      <c r="B1847" s="5">
        <f t="shared" ca="1" si="112"/>
        <v>42007</v>
      </c>
      <c r="C1847">
        <v>-8400</v>
      </c>
      <c r="K1847" t="s">
        <v>61</v>
      </c>
      <c r="L1847" t="s">
        <v>401</v>
      </c>
      <c r="M1847" t="s">
        <v>86</v>
      </c>
      <c r="Q1847" t="s">
        <v>88</v>
      </c>
      <c r="R1847" t="s">
        <v>86</v>
      </c>
      <c r="S1847" t="str">
        <f>VLOOKUP($W1847,TBL_Categories,2,FALSE)</f>
        <v>Monthly</v>
      </c>
      <c r="T1847">
        <f>VLOOKUP($W1847,TBL_Categories,3,FALSE)</f>
        <v>0</v>
      </c>
      <c r="U1847" t="str">
        <f>VLOOKUP($W1847,TBL_Categories,4,FALSE)</f>
        <v>No</v>
      </c>
      <c r="V1847" t="str">
        <f>VLOOKUP($W1847,TBL_Categories,5,FALSE)</f>
        <v>None</v>
      </c>
      <c r="W1847" t="str">
        <f t="shared" si="86"/>
        <v>Food &amp; Dining|Groceries</v>
      </c>
    </row>
    <row r="1848" spans="1:23" x14ac:dyDescent="0.25">
      <c r="A1848" t="s">
        <v>86</v>
      </c>
      <c r="B1848" s="5">
        <f t="shared" ref="B1848:B1849" ca="1" si="113">TODAY()</f>
        <v>42007</v>
      </c>
      <c r="C1848">
        <v>-500</v>
      </c>
      <c r="K1848" t="s">
        <v>61</v>
      </c>
      <c r="L1848" t="s">
        <v>1530</v>
      </c>
      <c r="M1848" t="s">
        <v>86</v>
      </c>
      <c r="Q1848" t="s">
        <v>87</v>
      </c>
      <c r="R1848" t="s">
        <v>86</v>
      </c>
      <c r="S1848" t="str">
        <f>VLOOKUP($W1848,TBL_Categories,2,FALSE)</f>
        <v>Monthly</v>
      </c>
      <c r="T1848">
        <f>VLOOKUP($W1848,TBL_Categories,3,FALSE)</f>
        <v>0</v>
      </c>
      <c r="U1848" t="str">
        <f>VLOOKUP($W1848,TBL_Categories,4,FALSE)</f>
        <v>No</v>
      </c>
      <c r="V1848" t="str">
        <f>VLOOKUP($W1848,TBL_Categories,5,FALSE)</f>
        <v>None</v>
      </c>
      <c r="W1848" t="str">
        <f t="shared" si="86"/>
        <v>Food &amp; Dining|Restaurants</v>
      </c>
    </row>
    <row r="1849" spans="1:23" x14ac:dyDescent="0.25">
      <c r="A1849" t="s">
        <v>86</v>
      </c>
      <c r="B1849" s="5">
        <f t="shared" ca="1" si="113"/>
        <v>42007</v>
      </c>
      <c r="C1849">
        <v>-6000</v>
      </c>
      <c r="K1849" t="s">
        <v>61</v>
      </c>
      <c r="L1849" t="s">
        <v>1530</v>
      </c>
      <c r="M1849" t="s">
        <v>86</v>
      </c>
      <c r="Q1849" t="s">
        <v>88</v>
      </c>
      <c r="R1849" t="s">
        <v>86</v>
      </c>
      <c r="S1849" t="str">
        <f>VLOOKUP($W1849,TBL_Categories,2,FALSE)</f>
        <v>Monthly</v>
      </c>
      <c r="T1849">
        <f>VLOOKUP($W1849,TBL_Categories,3,FALSE)</f>
        <v>0</v>
      </c>
      <c r="U1849" t="str">
        <f>VLOOKUP($W1849,TBL_Categories,4,FALSE)</f>
        <v>No</v>
      </c>
      <c r="V1849" t="str">
        <f>VLOOKUP($W1849,TBL_Categories,5,FALSE)</f>
        <v>None</v>
      </c>
      <c r="W1849" t="str">
        <f t="shared" si="86"/>
        <v>Food &amp; Dining|Restaurants</v>
      </c>
    </row>
    <row r="1850" spans="1:23" x14ac:dyDescent="0.25">
      <c r="A1850" t="s">
        <v>86</v>
      </c>
      <c r="B1850" s="5">
        <f t="shared" ref="B1850:B1851" ca="1" si="114">TODAY()</f>
        <v>42007</v>
      </c>
      <c r="C1850">
        <v>-100</v>
      </c>
      <c r="K1850" t="s">
        <v>20</v>
      </c>
      <c r="M1850" t="s">
        <v>86</v>
      </c>
      <c r="Q1850" t="s">
        <v>87</v>
      </c>
      <c r="R1850" t="s">
        <v>86</v>
      </c>
      <c r="S1850" t="str">
        <f>VLOOKUP($W1850,TBL_Categories,2,FALSE)</f>
        <v>Monthly</v>
      </c>
      <c r="T1850">
        <f>VLOOKUP($W1850,TBL_Categories,3,FALSE)</f>
        <v>0</v>
      </c>
      <c r="U1850" t="str">
        <f>VLOOKUP($W1850,TBL_Categories,4,FALSE)</f>
        <v>No</v>
      </c>
      <c r="V1850" t="str">
        <f>VLOOKUP($W1850,TBL_Categories,5,FALSE)</f>
        <v>None</v>
      </c>
      <c r="W1850" t="str">
        <f t="shared" si="86"/>
        <v>Gifts</v>
      </c>
    </row>
    <row r="1851" spans="1:23" x14ac:dyDescent="0.25">
      <c r="A1851" t="s">
        <v>86</v>
      </c>
      <c r="B1851" s="5">
        <f t="shared" ca="1" si="114"/>
        <v>42007</v>
      </c>
      <c r="C1851">
        <v>-1200</v>
      </c>
      <c r="K1851" t="s">
        <v>20</v>
      </c>
      <c r="M1851" t="s">
        <v>86</v>
      </c>
      <c r="Q1851" t="s">
        <v>88</v>
      </c>
      <c r="R1851" t="s">
        <v>86</v>
      </c>
      <c r="S1851" t="str">
        <f>VLOOKUP($W1851,TBL_Categories,2,FALSE)</f>
        <v>Monthly</v>
      </c>
      <c r="T1851">
        <f>VLOOKUP($W1851,TBL_Categories,3,FALSE)</f>
        <v>0</v>
      </c>
      <c r="U1851" t="str">
        <f>VLOOKUP($W1851,TBL_Categories,4,FALSE)</f>
        <v>No</v>
      </c>
      <c r="V1851" t="str">
        <f>VLOOKUP($W1851,TBL_Categories,5,FALSE)</f>
        <v>None</v>
      </c>
      <c r="W1851" t="str">
        <f t="shared" si="86"/>
        <v>Gifts</v>
      </c>
    </row>
    <row r="1852" spans="1:23" x14ac:dyDescent="0.25">
      <c r="A1852" t="s">
        <v>86</v>
      </c>
      <c r="B1852" s="5">
        <f t="shared" ref="B1852:B1853" ca="1" si="115">TODAY()</f>
        <v>42007</v>
      </c>
      <c r="C1852">
        <v>-325</v>
      </c>
      <c r="K1852" t="s">
        <v>62</v>
      </c>
      <c r="L1852" t="s">
        <v>1549</v>
      </c>
      <c r="M1852" t="s">
        <v>86</v>
      </c>
      <c r="Q1852" t="s">
        <v>87</v>
      </c>
      <c r="R1852" t="s">
        <v>86</v>
      </c>
      <c r="S1852" t="str">
        <f>VLOOKUP($W1852,TBL_Categories,2,FALSE)</f>
        <v>Irregular</v>
      </c>
      <c r="T1852">
        <f>VLOOKUP($W1852,TBL_Categories,3,FALSE)</f>
        <v>0</v>
      </c>
      <c r="U1852" t="str">
        <f>VLOOKUP($W1852,TBL_Categories,4,FALSE)</f>
        <v>No</v>
      </c>
      <c r="V1852" t="str">
        <f>VLOOKUP($W1852,TBL_Categories,5,FALSE)</f>
        <v>None</v>
      </c>
      <c r="W1852" t="str">
        <f t="shared" si="86"/>
        <v>Health &amp; Fitness|Doctor</v>
      </c>
    </row>
    <row r="1853" spans="1:23" x14ac:dyDescent="0.25">
      <c r="A1853" t="s">
        <v>86</v>
      </c>
      <c r="B1853" s="5">
        <f t="shared" ca="1" si="115"/>
        <v>42007</v>
      </c>
      <c r="C1853">
        <v>-3900</v>
      </c>
      <c r="K1853" t="s">
        <v>62</v>
      </c>
      <c r="L1853" t="s">
        <v>1549</v>
      </c>
      <c r="M1853" t="s">
        <v>86</v>
      </c>
      <c r="Q1853" t="s">
        <v>88</v>
      </c>
      <c r="R1853" t="s">
        <v>86</v>
      </c>
      <c r="S1853" t="str">
        <f>VLOOKUP($W1853,TBL_Categories,2,FALSE)</f>
        <v>Irregular</v>
      </c>
      <c r="T1853">
        <f>VLOOKUP($W1853,TBL_Categories,3,FALSE)</f>
        <v>0</v>
      </c>
      <c r="U1853" t="str">
        <f>VLOOKUP($W1853,TBL_Categories,4,FALSE)</f>
        <v>No</v>
      </c>
      <c r="V1853" t="str">
        <f>VLOOKUP($W1853,TBL_Categories,5,FALSE)</f>
        <v>None</v>
      </c>
      <c r="W1853" t="str">
        <f t="shared" si="86"/>
        <v>Health &amp; Fitness|Doctor</v>
      </c>
    </row>
    <row r="1854" spans="1:23" x14ac:dyDescent="0.25">
      <c r="A1854" t="s">
        <v>86</v>
      </c>
      <c r="B1854" s="5">
        <f t="shared" ref="B1854:B1855" ca="1" si="116">TODAY()</f>
        <v>42007</v>
      </c>
      <c r="C1854">
        <v>-50</v>
      </c>
      <c r="K1854" t="s">
        <v>63</v>
      </c>
      <c r="L1854" t="s">
        <v>1546</v>
      </c>
      <c r="M1854" t="s">
        <v>86</v>
      </c>
      <c r="Q1854" t="s">
        <v>87</v>
      </c>
      <c r="R1854" t="s">
        <v>86</v>
      </c>
      <c r="S1854" t="str">
        <f>VLOOKUP($W1854,TBL_Categories,2,FALSE)</f>
        <v>Monthly</v>
      </c>
      <c r="T1854">
        <f>VLOOKUP($W1854,TBL_Categories,3,FALSE)</f>
        <v>0</v>
      </c>
      <c r="U1854" t="str">
        <f>VLOOKUP($W1854,TBL_Categories,4,FALSE)</f>
        <v>No</v>
      </c>
      <c r="V1854" t="str">
        <f>VLOOKUP($W1854,TBL_Categories,5,FALSE)</f>
        <v>None</v>
      </c>
      <c r="W1854" t="str">
        <f t="shared" si="86"/>
        <v>Home|Furnishings</v>
      </c>
    </row>
    <row r="1855" spans="1:23" x14ac:dyDescent="0.25">
      <c r="A1855" t="s">
        <v>86</v>
      </c>
      <c r="B1855" s="5">
        <f t="shared" ca="1" si="116"/>
        <v>42007</v>
      </c>
      <c r="C1855">
        <v>-600</v>
      </c>
      <c r="K1855" t="s">
        <v>63</v>
      </c>
      <c r="L1855" t="s">
        <v>1546</v>
      </c>
      <c r="M1855" t="s">
        <v>86</v>
      </c>
      <c r="Q1855" t="s">
        <v>88</v>
      </c>
      <c r="R1855" t="s">
        <v>86</v>
      </c>
      <c r="S1855" t="str">
        <f>VLOOKUP($W1855,TBL_Categories,2,FALSE)</f>
        <v>Monthly</v>
      </c>
      <c r="T1855">
        <f>VLOOKUP($W1855,TBL_Categories,3,FALSE)</f>
        <v>0</v>
      </c>
      <c r="U1855" t="str">
        <f>VLOOKUP($W1855,TBL_Categories,4,FALSE)</f>
        <v>No</v>
      </c>
      <c r="V1855" t="str">
        <f>VLOOKUP($W1855,TBL_Categories,5,FALSE)</f>
        <v>None</v>
      </c>
      <c r="W1855" t="str">
        <f t="shared" si="86"/>
        <v>Home|Furnishings</v>
      </c>
    </row>
    <row r="1856" spans="1:23" x14ac:dyDescent="0.25">
      <c r="A1856" t="s">
        <v>86</v>
      </c>
      <c r="B1856" s="5">
        <f t="shared" ref="B1856:B1857" ca="1" si="117">TODAY()</f>
        <v>42007</v>
      </c>
      <c r="C1856">
        <v>-210</v>
      </c>
      <c r="K1856" t="s">
        <v>63</v>
      </c>
      <c r="L1856" t="s">
        <v>1528</v>
      </c>
      <c r="M1856" t="s">
        <v>86</v>
      </c>
      <c r="Q1856" t="s">
        <v>87</v>
      </c>
      <c r="R1856" t="s">
        <v>86</v>
      </c>
      <c r="S1856" t="str">
        <f>VLOOKUP($W1856,TBL_Categories,2,FALSE)</f>
        <v>Monthly</v>
      </c>
      <c r="T1856">
        <f>VLOOKUP($W1856,TBL_Categories,3,FALSE)</f>
        <v>0</v>
      </c>
      <c r="U1856" t="str">
        <f>VLOOKUP($W1856,TBL_Categories,4,FALSE)</f>
        <v>No</v>
      </c>
      <c r="V1856" t="str">
        <f>VLOOKUP($W1856,TBL_Categories,5,FALSE)</f>
        <v>None</v>
      </c>
      <c r="W1856" t="str">
        <f t="shared" si="86"/>
        <v>Home|Home Services</v>
      </c>
    </row>
    <row r="1857" spans="1:23" x14ac:dyDescent="0.25">
      <c r="A1857" t="s">
        <v>86</v>
      </c>
      <c r="B1857" s="5">
        <f t="shared" ca="1" si="117"/>
        <v>42007</v>
      </c>
      <c r="C1857">
        <v>-2520</v>
      </c>
      <c r="K1857" t="s">
        <v>63</v>
      </c>
      <c r="L1857" t="s">
        <v>1528</v>
      </c>
      <c r="M1857" t="s">
        <v>86</v>
      </c>
      <c r="Q1857" t="s">
        <v>88</v>
      </c>
      <c r="R1857" t="s">
        <v>86</v>
      </c>
      <c r="S1857" t="str">
        <f>VLOOKUP($W1857,TBL_Categories,2,FALSE)</f>
        <v>Monthly</v>
      </c>
      <c r="T1857">
        <f>VLOOKUP($W1857,TBL_Categories,3,FALSE)</f>
        <v>0</v>
      </c>
      <c r="U1857" t="str">
        <f>VLOOKUP($W1857,TBL_Categories,4,FALSE)</f>
        <v>No</v>
      </c>
      <c r="V1857" t="str">
        <f>VLOOKUP($W1857,TBL_Categories,5,FALSE)</f>
        <v>None</v>
      </c>
      <c r="W1857" t="str">
        <f t="shared" si="86"/>
        <v>Home|Home Services</v>
      </c>
    </row>
    <row r="1858" spans="1:23" x14ac:dyDescent="0.25">
      <c r="A1858" t="s">
        <v>86</v>
      </c>
      <c r="B1858" s="5">
        <f t="shared" ref="B1858:B1859" ca="1" si="118">TODAY()</f>
        <v>42007</v>
      </c>
      <c r="C1858">
        <v>-3575</v>
      </c>
      <c r="K1858" t="s">
        <v>63</v>
      </c>
      <c r="L1858" t="s">
        <v>1526</v>
      </c>
      <c r="M1858" t="s">
        <v>86</v>
      </c>
      <c r="Q1858" t="s">
        <v>87</v>
      </c>
      <c r="R1858" t="s">
        <v>86</v>
      </c>
      <c r="S1858" t="str">
        <f>VLOOKUP($W1858,TBL_Categories,2,FALSE)</f>
        <v>Monthly</v>
      </c>
      <c r="T1858">
        <f>VLOOKUP($W1858,TBL_Categories,3,FALSE)</f>
        <v>0</v>
      </c>
      <c r="U1858" t="str">
        <f>VLOOKUP($W1858,TBL_Categories,4,FALSE)</f>
        <v>No</v>
      </c>
      <c r="V1858" t="str">
        <f>VLOOKUP($W1858,TBL_Categories,5,FALSE)</f>
        <v>None</v>
      </c>
      <c r="W1858" t="str">
        <f t="shared" ref="W1858:W1903" si="119">IF(ISBLANK($L1858),$K1858,CONCATENATE($K1858,"|",$L1858))</f>
        <v>Home|Mortgage</v>
      </c>
    </row>
    <row r="1859" spans="1:23" x14ac:dyDescent="0.25">
      <c r="A1859" t="s">
        <v>86</v>
      </c>
      <c r="B1859" s="5">
        <f t="shared" ca="1" si="118"/>
        <v>42007</v>
      </c>
      <c r="C1859">
        <v>-42900</v>
      </c>
      <c r="K1859" t="s">
        <v>63</v>
      </c>
      <c r="L1859" t="s">
        <v>1526</v>
      </c>
      <c r="M1859" t="s">
        <v>86</v>
      </c>
      <c r="Q1859" t="s">
        <v>88</v>
      </c>
      <c r="R1859" t="s">
        <v>86</v>
      </c>
      <c r="S1859" t="str">
        <f>VLOOKUP($W1859,TBL_Categories,2,FALSE)</f>
        <v>Monthly</v>
      </c>
      <c r="T1859">
        <f>VLOOKUP($W1859,TBL_Categories,3,FALSE)</f>
        <v>0</v>
      </c>
      <c r="U1859" t="str">
        <f>VLOOKUP($W1859,TBL_Categories,4,FALSE)</f>
        <v>No</v>
      </c>
      <c r="V1859" t="str">
        <f>VLOOKUP($W1859,TBL_Categories,5,FALSE)</f>
        <v>None</v>
      </c>
      <c r="W1859" t="str">
        <f t="shared" si="119"/>
        <v>Home|Mortgage</v>
      </c>
    </row>
    <row r="1860" spans="1:23" x14ac:dyDescent="0.25">
      <c r="A1860" t="s">
        <v>86</v>
      </c>
      <c r="B1860" s="5">
        <f t="shared" ref="B1860:B1861" ca="1" si="120">TODAY()</f>
        <v>42007</v>
      </c>
      <c r="C1860">
        <v>150</v>
      </c>
      <c r="K1860" t="s">
        <v>8</v>
      </c>
      <c r="M1860" t="s">
        <v>86</v>
      </c>
      <c r="Q1860" t="s">
        <v>87</v>
      </c>
      <c r="R1860" t="s">
        <v>86</v>
      </c>
      <c r="S1860" t="str">
        <f>VLOOKUP($W1860,TBL_Categories,2,FALSE)</f>
        <v>Monthly</v>
      </c>
      <c r="T1860">
        <f>VLOOKUP($W1860,TBL_Categories,3,FALSE)</f>
        <v>0</v>
      </c>
      <c r="U1860" t="str">
        <f>VLOOKUP($W1860,TBL_Categories,4,FALSE)</f>
        <v>No</v>
      </c>
      <c r="V1860" t="str">
        <f>VLOOKUP($W1860,TBL_Categories,5,FALSE)</f>
        <v>None</v>
      </c>
      <c r="W1860" t="str">
        <f t="shared" si="119"/>
        <v>Interest Income</v>
      </c>
    </row>
    <row r="1861" spans="1:23" x14ac:dyDescent="0.25">
      <c r="A1861" t="s">
        <v>86</v>
      </c>
      <c r="B1861" s="5">
        <f t="shared" ca="1" si="120"/>
        <v>42007</v>
      </c>
      <c r="C1861">
        <v>1800</v>
      </c>
      <c r="K1861" t="s">
        <v>8</v>
      </c>
      <c r="M1861" t="s">
        <v>86</v>
      </c>
      <c r="Q1861" t="s">
        <v>88</v>
      </c>
      <c r="R1861" t="s">
        <v>86</v>
      </c>
      <c r="S1861" t="str">
        <f>VLOOKUP($W1861,TBL_Categories,2,FALSE)</f>
        <v>Monthly</v>
      </c>
      <c r="T1861">
        <f>VLOOKUP($W1861,TBL_Categories,3,FALSE)</f>
        <v>0</v>
      </c>
      <c r="U1861" t="str">
        <f>VLOOKUP($W1861,TBL_Categories,4,FALSE)</f>
        <v>No</v>
      </c>
      <c r="V1861" t="str">
        <f>VLOOKUP($W1861,TBL_Categories,5,FALSE)</f>
        <v>None</v>
      </c>
      <c r="W1861" t="str">
        <f t="shared" si="119"/>
        <v>Interest Income</v>
      </c>
    </row>
    <row r="1862" spans="1:23" x14ac:dyDescent="0.25">
      <c r="A1862" t="s">
        <v>86</v>
      </c>
      <c r="B1862" s="5">
        <f t="shared" ref="B1862:B1863" ca="1" si="121">TODAY()</f>
        <v>42007</v>
      </c>
      <c r="C1862">
        <v>-500</v>
      </c>
      <c r="K1862" t="s">
        <v>66</v>
      </c>
      <c r="L1862" t="s">
        <v>1533</v>
      </c>
      <c r="M1862" t="s">
        <v>86</v>
      </c>
      <c r="Q1862" t="s">
        <v>87</v>
      </c>
      <c r="R1862" t="s">
        <v>86</v>
      </c>
      <c r="S1862" t="str">
        <f>VLOOKUP($W1862,TBL_Categories,2,FALSE)</f>
        <v>Monthly</v>
      </c>
      <c r="T1862">
        <f>VLOOKUP($W1862,TBL_Categories,3,FALSE)</f>
        <v>0</v>
      </c>
      <c r="U1862" t="str">
        <f>VLOOKUP($W1862,TBL_Categories,4,FALSE)</f>
        <v>No</v>
      </c>
      <c r="V1862" t="str">
        <f>VLOOKUP($W1862,TBL_Categories,5,FALSE)</f>
        <v>None</v>
      </c>
      <c r="W1862" t="str">
        <f t="shared" si="119"/>
        <v>Kids|American Funds 529A</v>
      </c>
    </row>
    <row r="1863" spans="1:23" x14ac:dyDescent="0.25">
      <c r="A1863" t="s">
        <v>86</v>
      </c>
      <c r="B1863" s="5">
        <f t="shared" ca="1" si="121"/>
        <v>42007</v>
      </c>
      <c r="C1863">
        <v>-6000</v>
      </c>
      <c r="K1863" t="s">
        <v>66</v>
      </c>
      <c r="L1863" t="s">
        <v>1533</v>
      </c>
      <c r="M1863" t="s">
        <v>86</v>
      </c>
      <c r="Q1863" t="s">
        <v>88</v>
      </c>
      <c r="R1863" t="s">
        <v>86</v>
      </c>
      <c r="S1863" t="str">
        <f>VLOOKUP($W1863,TBL_Categories,2,FALSE)</f>
        <v>Monthly</v>
      </c>
      <c r="T1863">
        <f>VLOOKUP($W1863,TBL_Categories,3,FALSE)</f>
        <v>0</v>
      </c>
      <c r="U1863" t="str">
        <f>VLOOKUP($W1863,TBL_Categories,4,FALSE)</f>
        <v>No</v>
      </c>
      <c r="V1863" t="str">
        <f>VLOOKUP($W1863,TBL_Categories,5,FALSE)</f>
        <v>None</v>
      </c>
      <c r="W1863" t="str">
        <f t="shared" si="119"/>
        <v>Kids|American Funds 529A</v>
      </c>
    </row>
    <row r="1864" spans="1:23" x14ac:dyDescent="0.25">
      <c r="A1864" t="s">
        <v>86</v>
      </c>
      <c r="B1864" s="5">
        <f t="shared" ref="B1864:B1865" ca="1" si="122">TODAY()</f>
        <v>42007</v>
      </c>
      <c r="C1864">
        <v>-125</v>
      </c>
      <c r="K1864" t="s">
        <v>66</v>
      </c>
      <c r="L1864" t="s">
        <v>1527</v>
      </c>
      <c r="M1864" t="s">
        <v>86</v>
      </c>
      <c r="Q1864" t="s">
        <v>87</v>
      </c>
      <c r="R1864" t="s">
        <v>86</v>
      </c>
      <c r="S1864" t="str">
        <f>VLOOKUP($W1864,TBL_Categories,2,FALSE)</f>
        <v>Monthly</v>
      </c>
      <c r="T1864">
        <f>VLOOKUP($W1864,TBL_Categories,3,FALSE)</f>
        <v>0</v>
      </c>
      <c r="U1864" t="str">
        <f>VLOOKUP($W1864,TBL_Categories,4,FALSE)</f>
        <v>No</v>
      </c>
      <c r="V1864" t="str">
        <f>VLOOKUP($W1864,TBL_Categories,5,FALSE)</f>
        <v>None</v>
      </c>
      <c r="W1864" t="str">
        <f t="shared" si="119"/>
        <v>Kids|Babysitter</v>
      </c>
    </row>
    <row r="1865" spans="1:23" x14ac:dyDescent="0.25">
      <c r="A1865" t="s">
        <v>86</v>
      </c>
      <c r="B1865" s="5">
        <f t="shared" ca="1" si="122"/>
        <v>42007</v>
      </c>
      <c r="C1865">
        <v>-1500</v>
      </c>
      <c r="K1865" t="s">
        <v>66</v>
      </c>
      <c r="L1865" t="s">
        <v>1527</v>
      </c>
      <c r="M1865" t="s">
        <v>86</v>
      </c>
      <c r="Q1865" t="s">
        <v>88</v>
      </c>
      <c r="R1865" t="s">
        <v>86</v>
      </c>
      <c r="S1865" t="str">
        <f>VLOOKUP($W1865,TBL_Categories,2,FALSE)</f>
        <v>Monthly</v>
      </c>
      <c r="T1865">
        <f>VLOOKUP($W1865,TBL_Categories,3,FALSE)</f>
        <v>0</v>
      </c>
      <c r="U1865" t="str">
        <f>VLOOKUP($W1865,TBL_Categories,4,FALSE)</f>
        <v>No</v>
      </c>
      <c r="V1865" t="str">
        <f>VLOOKUP($W1865,TBL_Categories,5,FALSE)</f>
        <v>None</v>
      </c>
      <c r="W1865" t="str">
        <f t="shared" si="119"/>
        <v>Kids|Babysitter</v>
      </c>
    </row>
    <row r="1866" spans="1:23" x14ac:dyDescent="0.25">
      <c r="A1866" t="s">
        <v>86</v>
      </c>
      <c r="B1866" s="5">
        <f t="shared" ref="B1866:B1867" ca="1" si="123">TODAY()</f>
        <v>42007</v>
      </c>
      <c r="C1866">
        <v>-40</v>
      </c>
      <c r="K1866" t="s">
        <v>66</v>
      </c>
      <c r="L1866" t="s">
        <v>1537</v>
      </c>
      <c r="M1866" t="s">
        <v>86</v>
      </c>
      <c r="Q1866" t="s">
        <v>87</v>
      </c>
      <c r="R1866" t="s">
        <v>86</v>
      </c>
      <c r="S1866" t="str">
        <f>VLOOKUP($W1866,TBL_Categories,2,FALSE)</f>
        <v>Monthly</v>
      </c>
      <c r="T1866">
        <f>VLOOKUP($W1866,TBL_Categories,3,FALSE)</f>
        <v>0</v>
      </c>
      <c r="U1866" t="str">
        <f>VLOOKUP($W1866,TBL_Categories,4,FALSE)</f>
        <v>No</v>
      </c>
      <c r="V1866" t="str">
        <f>VLOOKUP($W1866,TBL_Categories,5,FALSE)</f>
        <v>None</v>
      </c>
      <c r="W1866" t="str">
        <f t="shared" si="119"/>
        <v>Kids|Clothing</v>
      </c>
    </row>
    <row r="1867" spans="1:23" x14ac:dyDescent="0.25">
      <c r="A1867" t="s">
        <v>86</v>
      </c>
      <c r="B1867" s="5">
        <f t="shared" ca="1" si="123"/>
        <v>42007</v>
      </c>
      <c r="C1867">
        <v>-480</v>
      </c>
      <c r="K1867" t="s">
        <v>66</v>
      </c>
      <c r="L1867" t="s">
        <v>1537</v>
      </c>
      <c r="M1867" t="s">
        <v>86</v>
      </c>
      <c r="Q1867" t="s">
        <v>88</v>
      </c>
      <c r="R1867" t="s">
        <v>86</v>
      </c>
      <c r="S1867" t="str">
        <f>VLOOKUP($W1867,TBL_Categories,2,FALSE)</f>
        <v>Monthly</v>
      </c>
      <c r="T1867">
        <f>VLOOKUP($W1867,TBL_Categories,3,FALSE)</f>
        <v>0</v>
      </c>
      <c r="U1867" t="str">
        <f>VLOOKUP($W1867,TBL_Categories,4,FALSE)</f>
        <v>No</v>
      </c>
      <c r="V1867" t="str">
        <f>VLOOKUP($W1867,TBL_Categories,5,FALSE)</f>
        <v>None</v>
      </c>
      <c r="W1867" t="str">
        <f t="shared" si="119"/>
        <v>Kids|Clothing</v>
      </c>
    </row>
    <row r="1868" spans="1:23" x14ac:dyDescent="0.25">
      <c r="A1868" t="s">
        <v>86</v>
      </c>
      <c r="B1868" s="5">
        <f t="shared" ref="B1868:B1869" ca="1" si="124">TODAY()</f>
        <v>42007</v>
      </c>
      <c r="C1868">
        <v>-1976</v>
      </c>
      <c r="K1868" t="s">
        <v>66</v>
      </c>
      <c r="L1868" t="s">
        <v>1522</v>
      </c>
      <c r="M1868" t="s">
        <v>86</v>
      </c>
      <c r="Q1868" t="s">
        <v>87</v>
      </c>
      <c r="R1868" t="s">
        <v>86</v>
      </c>
      <c r="S1868" t="str">
        <f>VLOOKUP($W1868,TBL_Categories,2,FALSE)</f>
        <v>Monthly</v>
      </c>
      <c r="T1868">
        <f>VLOOKUP($W1868,TBL_Categories,3,FALSE)</f>
        <v>0</v>
      </c>
      <c r="U1868" t="str">
        <f>VLOOKUP($W1868,TBL_Categories,4,FALSE)</f>
        <v>No</v>
      </c>
      <c r="V1868" t="str">
        <f>VLOOKUP($W1868,TBL_Categories,5,FALSE)</f>
        <v>None</v>
      </c>
      <c r="W1868" t="str">
        <f t="shared" si="119"/>
        <v>Kids|Daycare</v>
      </c>
    </row>
    <row r="1869" spans="1:23" x14ac:dyDescent="0.25">
      <c r="A1869" t="s">
        <v>86</v>
      </c>
      <c r="B1869" s="5">
        <f t="shared" ca="1" si="124"/>
        <v>42007</v>
      </c>
      <c r="C1869">
        <v>-23712</v>
      </c>
      <c r="K1869" t="s">
        <v>66</v>
      </c>
      <c r="L1869" t="s">
        <v>1522</v>
      </c>
      <c r="M1869" t="s">
        <v>86</v>
      </c>
      <c r="Q1869" t="s">
        <v>88</v>
      </c>
      <c r="R1869" t="s">
        <v>86</v>
      </c>
      <c r="S1869" t="str">
        <f>VLOOKUP($W1869,TBL_Categories,2,FALSE)</f>
        <v>Monthly</v>
      </c>
      <c r="T1869">
        <f>VLOOKUP($W1869,TBL_Categories,3,FALSE)</f>
        <v>0</v>
      </c>
      <c r="U1869" t="str">
        <f>VLOOKUP($W1869,TBL_Categories,4,FALSE)</f>
        <v>No</v>
      </c>
      <c r="V1869" t="str">
        <f>VLOOKUP($W1869,TBL_Categories,5,FALSE)</f>
        <v>None</v>
      </c>
      <c r="W1869" t="str">
        <f t="shared" si="119"/>
        <v>Kids|Daycare</v>
      </c>
    </row>
    <row r="1870" spans="1:23" x14ac:dyDescent="0.25">
      <c r="A1870" t="s">
        <v>86</v>
      </c>
      <c r="B1870" s="5">
        <f t="shared" ref="B1870:B1871" ca="1" si="125">TODAY()</f>
        <v>42007</v>
      </c>
      <c r="C1870">
        <v>-65</v>
      </c>
      <c r="K1870" t="s">
        <v>66</v>
      </c>
      <c r="L1870" t="s">
        <v>1555</v>
      </c>
      <c r="M1870" t="s">
        <v>86</v>
      </c>
      <c r="Q1870" t="s">
        <v>87</v>
      </c>
      <c r="R1870" t="s">
        <v>86</v>
      </c>
      <c r="S1870" t="str">
        <f>VLOOKUP($W1870,TBL_Categories,2,FALSE)</f>
        <v>Monthly</v>
      </c>
      <c r="T1870">
        <f>VLOOKUP($W1870,TBL_Categories,3,FALSE)</f>
        <v>0</v>
      </c>
      <c r="U1870" t="str">
        <f>VLOOKUP($W1870,TBL_Categories,4,FALSE)</f>
        <v>No</v>
      </c>
      <c r="V1870" t="str">
        <f>VLOOKUP($W1870,TBL_Categories,5,FALSE)</f>
        <v>None</v>
      </c>
      <c r="W1870" t="str">
        <f t="shared" si="119"/>
        <v>Kids|Kids Activities</v>
      </c>
    </row>
    <row r="1871" spans="1:23" x14ac:dyDescent="0.25">
      <c r="A1871" t="s">
        <v>86</v>
      </c>
      <c r="B1871" s="5">
        <f t="shared" ca="1" si="125"/>
        <v>42007</v>
      </c>
      <c r="C1871">
        <v>-780</v>
      </c>
      <c r="K1871" t="s">
        <v>66</v>
      </c>
      <c r="L1871" t="s">
        <v>1555</v>
      </c>
      <c r="M1871" t="s">
        <v>86</v>
      </c>
      <c r="Q1871" t="s">
        <v>88</v>
      </c>
      <c r="R1871" t="s">
        <v>86</v>
      </c>
      <c r="S1871" t="str">
        <f>VLOOKUP($W1871,TBL_Categories,2,FALSE)</f>
        <v>Monthly</v>
      </c>
      <c r="T1871">
        <f>VLOOKUP($W1871,TBL_Categories,3,FALSE)</f>
        <v>0</v>
      </c>
      <c r="U1871" t="str">
        <f>VLOOKUP($W1871,TBL_Categories,4,FALSE)</f>
        <v>No</v>
      </c>
      <c r="V1871" t="str">
        <f>VLOOKUP($W1871,TBL_Categories,5,FALSE)</f>
        <v>None</v>
      </c>
      <c r="W1871" t="str">
        <f t="shared" si="119"/>
        <v>Kids|Kids Activities</v>
      </c>
    </row>
    <row r="1872" spans="1:23" x14ac:dyDescent="0.25">
      <c r="A1872" t="s">
        <v>86</v>
      </c>
      <c r="B1872" s="5">
        <f t="shared" ref="B1872:B1873" ca="1" si="126">TODAY()</f>
        <v>42007</v>
      </c>
      <c r="C1872">
        <v>-75</v>
      </c>
      <c r="K1872" t="s">
        <v>66</v>
      </c>
      <c r="L1872" t="s">
        <v>1536</v>
      </c>
      <c r="M1872" t="s">
        <v>86</v>
      </c>
      <c r="Q1872" t="s">
        <v>87</v>
      </c>
      <c r="R1872" t="s">
        <v>86</v>
      </c>
      <c r="S1872" t="str">
        <f>VLOOKUP($W1872,TBL_Categories,2,FALSE)</f>
        <v>Monthly</v>
      </c>
      <c r="T1872">
        <f>VLOOKUP($W1872,TBL_Categories,3,FALSE)</f>
        <v>0</v>
      </c>
      <c r="U1872" t="str">
        <f>VLOOKUP($W1872,TBL_Categories,4,FALSE)</f>
        <v>No</v>
      </c>
      <c r="V1872" t="str">
        <f>VLOOKUP($W1872,TBL_Categories,5,FALSE)</f>
        <v>None</v>
      </c>
      <c r="W1872" t="str">
        <f t="shared" si="119"/>
        <v>Kids|Toys</v>
      </c>
    </row>
    <row r="1873" spans="1:23" x14ac:dyDescent="0.25">
      <c r="A1873" t="s">
        <v>86</v>
      </c>
      <c r="B1873" s="5">
        <f t="shared" ca="1" si="126"/>
        <v>42007</v>
      </c>
      <c r="C1873">
        <v>-900</v>
      </c>
      <c r="K1873" t="s">
        <v>66</v>
      </c>
      <c r="L1873" t="s">
        <v>1536</v>
      </c>
      <c r="M1873" t="s">
        <v>86</v>
      </c>
      <c r="Q1873" t="s">
        <v>88</v>
      </c>
      <c r="R1873" t="s">
        <v>86</v>
      </c>
      <c r="S1873" t="str">
        <f>VLOOKUP($W1873,TBL_Categories,2,FALSE)</f>
        <v>Monthly</v>
      </c>
      <c r="T1873">
        <f>VLOOKUP($W1873,TBL_Categories,3,FALSE)</f>
        <v>0</v>
      </c>
      <c r="U1873" t="str">
        <f>VLOOKUP($W1873,TBL_Categories,4,FALSE)</f>
        <v>No</v>
      </c>
      <c r="V1873" t="str">
        <f>VLOOKUP($W1873,TBL_Categories,5,FALSE)</f>
        <v>None</v>
      </c>
      <c r="W1873" t="str">
        <f t="shared" si="119"/>
        <v>Kids|Toys</v>
      </c>
    </row>
    <row r="1874" spans="1:23" x14ac:dyDescent="0.25">
      <c r="A1874" t="s">
        <v>86</v>
      </c>
      <c r="B1874" s="5">
        <f t="shared" ref="B1874:B1875" ca="1" si="127">TODAY()</f>
        <v>42007</v>
      </c>
      <c r="C1874">
        <v>12500</v>
      </c>
      <c r="K1874" t="s">
        <v>12</v>
      </c>
      <c r="M1874" t="s">
        <v>86</v>
      </c>
      <c r="Q1874" t="s">
        <v>87</v>
      </c>
      <c r="R1874" t="s">
        <v>86</v>
      </c>
      <c r="S1874" t="str">
        <f>VLOOKUP($W1874,TBL_Categories,2,FALSE)</f>
        <v>Monthly</v>
      </c>
      <c r="T1874">
        <f>VLOOKUP($W1874,TBL_Categories,3,FALSE)</f>
        <v>0</v>
      </c>
      <c r="U1874" t="str">
        <f>VLOOKUP($W1874,TBL_Categories,4,FALSE)</f>
        <v>No</v>
      </c>
      <c r="V1874" t="str">
        <f>VLOOKUP($W1874,TBL_Categories,5,FALSE)</f>
        <v>None</v>
      </c>
      <c r="W1874" t="str">
        <f t="shared" si="119"/>
        <v>Net Salary</v>
      </c>
    </row>
    <row r="1875" spans="1:23" x14ac:dyDescent="0.25">
      <c r="A1875" t="s">
        <v>86</v>
      </c>
      <c r="B1875" s="5">
        <f t="shared" ca="1" si="127"/>
        <v>42007</v>
      </c>
      <c r="C1875">
        <v>150000</v>
      </c>
      <c r="K1875" t="s">
        <v>12</v>
      </c>
      <c r="M1875" t="s">
        <v>86</v>
      </c>
      <c r="Q1875" t="s">
        <v>88</v>
      </c>
      <c r="R1875" t="s">
        <v>86</v>
      </c>
      <c r="S1875" t="str">
        <f>VLOOKUP($W1875,TBL_Categories,2,FALSE)</f>
        <v>Monthly</v>
      </c>
      <c r="T1875">
        <f>VLOOKUP($W1875,TBL_Categories,3,FALSE)</f>
        <v>0</v>
      </c>
      <c r="U1875" t="str">
        <f>VLOOKUP($W1875,TBL_Categories,4,FALSE)</f>
        <v>No</v>
      </c>
      <c r="V1875" t="str">
        <f>VLOOKUP($W1875,TBL_Categories,5,FALSE)</f>
        <v>None</v>
      </c>
      <c r="W1875" t="str">
        <f t="shared" si="119"/>
        <v>Net Salary</v>
      </c>
    </row>
    <row r="1876" spans="1:23" x14ac:dyDescent="0.25">
      <c r="A1876" t="s">
        <v>86</v>
      </c>
      <c r="B1876" s="5">
        <f t="shared" ref="B1876:B1877" ca="1" si="128">TODAY()</f>
        <v>42007</v>
      </c>
      <c r="C1876">
        <v>75</v>
      </c>
      <c r="K1876" t="s">
        <v>14</v>
      </c>
      <c r="M1876" t="s">
        <v>86</v>
      </c>
      <c r="Q1876" t="s">
        <v>87</v>
      </c>
      <c r="R1876" t="s">
        <v>86</v>
      </c>
      <c r="S1876" t="str">
        <f>VLOOKUP($W1876,TBL_Categories,2,FALSE)</f>
        <v>Monthly</v>
      </c>
      <c r="T1876">
        <f>VLOOKUP($W1876,TBL_Categories,3,FALSE)</f>
        <v>0</v>
      </c>
      <c r="U1876" t="str">
        <f>VLOOKUP($W1876,TBL_Categories,4,FALSE)</f>
        <v>No</v>
      </c>
      <c r="V1876" t="str">
        <f>VLOOKUP($W1876,TBL_Categories,5,FALSE)</f>
        <v>None</v>
      </c>
      <c r="W1876" t="str">
        <f t="shared" si="119"/>
        <v>Other Inc</v>
      </c>
    </row>
    <row r="1877" spans="1:23" x14ac:dyDescent="0.25">
      <c r="A1877" t="s">
        <v>86</v>
      </c>
      <c r="B1877" s="5">
        <f t="shared" ca="1" si="128"/>
        <v>42007</v>
      </c>
      <c r="C1877">
        <v>900</v>
      </c>
      <c r="K1877" t="s">
        <v>14</v>
      </c>
      <c r="M1877" t="s">
        <v>86</v>
      </c>
      <c r="Q1877" t="s">
        <v>88</v>
      </c>
      <c r="R1877" t="s">
        <v>86</v>
      </c>
      <c r="S1877" t="str">
        <f>VLOOKUP($W1877,TBL_Categories,2,FALSE)</f>
        <v>Monthly</v>
      </c>
      <c r="T1877">
        <f>VLOOKUP($W1877,TBL_Categories,3,FALSE)</f>
        <v>0</v>
      </c>
      <c r="U1877" t="str">
        <f>VLOOKUP($W1877,TBL_Categories,4,FALSE)</f>
        <v>No</v>
      </c>
      <c r="V1877" t="str">
        <f>VLOOKUP($W1877,TBL_Categories,5,FALSE)</f>
        <v>None</v>
      </c>
      <c r="W1877" t="str">
        <f t="shared" si="119"/>
        <v>Other Inc</v>
      </c>
    </row>
    <row r="1878" spans="1:23" x14ac:dyDescent="0.25">
      <c r="A1878" t="s">
        <v>86</v>
      </c>
      <c r="B1878" s="5">
        <f t="shared" ref="B1878:B1879" ca="1" si="129">TODAY()</f>
        <v>42007</v>
      </c>
      <c r="C1878">
        <v>-50</v>
      </c>
      <c r="K1878" t="s">
        <v>69</v>
      </c>
      <c r="M1878" t="s">
        <v>86</v>
      </c>
      <c r="Q1878" t="s">
        <v>87</v>
      </c>
      <c r="R1878" t="s">
        <v>86</v>
      </c>
      <c r="S1878" t="str">
        <f>VLOOKUP($W1878,TBL_Categories,2,FALSE)</f>
        <v>Annual</v>
      </c>
      <c r="T1878">
        <f>VLOOKUP($W1878,TBL_Categories,3,FALSE)</f>
        <v>0</v>
      </c>
      <c r="U1878" t="str">
        <f>VLOOKUP($W1878,TBL_Categories,4,FALSE)</f>
        <v>No</v>
      </c>
      <c r="V1878" t="str">
        <f>VLOOKUP($W1878,TBL_Categories,5,FALSE)</f>
        <v>None</v>
      </c>
      <c r="W1878" t="str">
        <f t="shared" si="119"/>
        <v>Parties</v>
      </c>
    </row>
    <row r="1879" spans="1:23" x14ac:dyDescent="0.25">
      <c r="A1879" t="s">
        <v>86</v>
      </c>
      <c r="B1879" s="5">
        <f t="shared" ca="1" si="129"/>
        <v>42007</v>
      </c>
      <c r="C1879">
        <v>-600</v>
      </c>
      <c r="K1879" t="s">
        <v>69</v>
      </c>
      <c r="M1879" t="s">
        <v>86</v>
      </c>
      <c r="Q1879" t="s">
        <v>88</v>
      </c>
      <c r="R1879" t="s">
        <v>86</v>
      </c>
      <c r="S1879" t="str">
        <f>VLOOKUP($W1879,TBL_Categories,2,FALSE)</f>
        <v>Annual</v>
      </c>
      <c r="T1879">
        <f>VLOOKUP($W1879,TBL_Categories,3,FALSE)</f>
        <v>0</v>
      </c>
      <c r="U1879" t="str">
        <f>VLOOKUP($W1879,TBL_Categories,4,FALSE)</f>
        <v>No</v>
      </c>
      <c r="V1879" t="str">
        <f>VLOOKUP($W1879,TBL_Categories,5,FALSE)</f>
        <v>None</v>
      </c>
      <c r="W1879" t="str">
        <f t="shared" si="119"/>
        <v>Parties</v>
      </c>
    </row>
    <row r="1880" spans="1:23" x14ac:dyDescent="0.25">
      <c r="A1880" t="s">
        <v>86</v>
      </c>
      <c r="B1880" s="5">
        <f t="shared" ref="B1880:B1881" ca="1" si="130">TODAY()</f>
        <v>42007</v>
      </c>
      <c r="C1880">
        <v>-10</v>
      </c>
      <c r="K1880" t="s">
        <v>70</v>
      </c>
      <c r="L1880" t="s">
        <v>1569</v>
      </c>
      <c r="M1880" t="s">
        <v>86</v>
      </c>
      <c r="Q1880" t="s">
        <v>87</v>
      </c>
      <c r="R1880" t="s">
        <v>86</v>
      </c>
      <c r="S1880" t="str">
        <f>VLOOKUP($W1880,TBL_Categories,2,FALSE)</f>
        <v>Monthly</v>
      </c>
      <c r="T1880">
        <f>VLOOKUP($W1880,TBL_Categories,3,FALSE)</f>
        <v>0</v>
      </c>
      <c r="U1880" t="str">
        <f>VLOOKUP($W1880,TBL_Categories,4,FALSE)</f>
        <v>No</v>
      </c>
      <c r="V1880" t="str">
        <f>VLOOKUP($W1880,TBL_Categories,5,FALSE)</f>
        <v>None</v>
      </c>
      <c r="W1880" t="str">
        <f t="shared" si="119"/>
        <v>Personal Care|Beauty &amp; Makeup</v>
      </c>
    </row>
    <row r="1881" spans="1:23" x14ac:dyDescent="0.25">
      <c r="A1881" t="s">
        <v>86</v>
      </c>
      <c r="B1881" s="5">
        <f t="shared" ca="1" si="130"/>
        <v>42007</v>
      </c>
      <c r="C1881">
        <v>-120</v>
      </c>
      <c r="K1881" t="s">
        <v>70</v>
      </c>
      <c r="L1881" t="s">
        <v>1569</v>
      </c>
      <c r="M1881" t="s">
        <v>86</v>
      </c>
      <c r="Q1881" t="s">
        <v>88</v>
      </c>
      <c r="R1881" t="s">
        <v>86</v>
      </c>
      <c r="S1881" t="str">
        <f>VLOOKUP($W1881,TBL_Categories,2,FALSE)</f>
        <v>Monthly</v>
      </c>
      <c r="T1881">
        <f>VLOOKUP($W1881,TBL_Categories,3,FALSE)</f>
        <v>0</v>
      </c>
      <c r="U1881" t="str">
        <f>VLOOKUP($W1881,TBL_Categories,4,FALSE)</f>
        <v>No</v>
      </c>
      <c r="V1881" t="str">
        <f>VLOOKUP($W1881,TBL_Categories,5,FALSE)</f>
        <v>None</v>
      </c>
      <c r="W1881" t="str">
        <f t="shared" si="119"/>
        <v>Personal Care|Beauty &amp; Makeup</v>
      </c>
    </row>
    <row r="1882" spans="1:23" x14ac:dyDescent="0.25">
      <c r="A1882" t="s">
        <v>86</v>
      </c>
      <c r="B1882" s="5">
        <f t="shared" ref="B1882:B1883" ca="1" si="131">TODAY()</f>
        <v>42007</v>
      </c>
      <c r="C1882">
        <v>-100</v>
      </c>
      <c r="K1882" t="s">
        <v>70</v>
      </c>
      <c r="L1882" t="s">
        <v>1563</v>
      </c>
      <c r="M1882" t="s">
        <v>86</v>
      </c>
      <c r="Q1882" t="s">
        <v>87</v>
      </c>
      <c r="R1882" t="s">
        <v>86</v>
      </c>
      <c r="S1882" t="str">
        <f>VLOOKUP($W1882,TBL_Categories,2,FALSE)</f>
        <v>Monthly</v>
      </c>
      <c r="T1882">
        <f>VLOOKUP($W1882,TBL_Categories,3,FALSE)</f>
        <v>0</v>
      </c>
      <c r="U1882" t="str">
        <f>VLOOKUP($W1882,TBL_Categories,4,FALSE)</f>
        <v>No</v>
      </c>
      <c r="V1882" t="str">
        <f>VLOOKUP($W1882,TBL_Categories,5,FALSE)</f>
        <v>None</v>
      </c>
      <c r="W1882" t="str">
        <f t="shared" si="119"/>
        <v>Personal Care|Hair</v>
      </c>
    </row>
    <row r="1883" spans="1:23" x14ac:dyDescent="0.25">
      <c r="A1883" t="s">
        <v>86</v>
      </c>
      <c r="B1883" s="5">
        <f t="shared" ca="1" si="131"/>
        <v>42007</v>
      </c>
      <c r="C1883">
        <v>-1200</v>
      </c>
      <c r="K1883" t="s">
        <v>70</v>
      </c>
      <c r="L1883" t="s">
        <v>1563</v>
      </c>
      <c r="M1883" t="s">
        <v>86</v>
      </c>
      <c r="Q1883" t="s">
        <v>88</v>
      </c>
      <c r="R1883" t="s">
        <v>86</v>
      </c>
      <c r="S1883" t="str">
        <f>VLOOKUP($W1883,TBL_Categories,2,FALSE)</f>
        <v>Monthly</v>
      </c>
      <c r="T1883">
        <f>VLOOKUP($W1883,TBL_Categories,3,FALSE)</f>
        <v>0</v>
      </c>
      <c r="U1883" t="str">
        <f>VLOOKUP($W1883,TBL_Categories,4,FALSE)</f>
        <v>No</v>
      </c>
      <c r="V1883" t="str">
        <f>VLOOKUP($W1883,TBL_Categories,5,FALSE)</f>
        <v>None</v>
      </c>
      <c r="W1883" t="str">
        <f t="shared" si="119"/>
        <v>Personal Care|Hair</v>
      </c>
    </row>
    <row r="1884" spans="1:23" x14ac:dyDescent="0.25">
      <c r="A1884" t="s">
        <v>86</v>
      </c>
      <c r="B1884" s="5">
        <f t="shared" ref="B1884:B1885" ca="1" si="132">TODAY()</f>
        <v>42007</v>
      </c>
      <c r="C1884">
        <v>-2</v>
      </c>
      <c r="K1884" t="s">
        <v>70</v>
      </c>
      <c r="L1884" t="s">
        <v>1623</v>
      </c>
      <c r="M1884" t="s">
        <v>86</v>
      </c>
      <c r="Q1884" t="s">
        <v>87</v>
      </c>
      <c r="R1884" t="s">
        <v>86</v>
      </c>
      <c r="S1884" t="str">
        <f>VLOOKUP($W1884,TBL_Categories,2,FALSE)</f>
        <v>Unplanned</v>
      </c>
      <c r="T1884">
        <f>VLOOKUP($W1884,TBL_Categories,3,FALSE)</f>
        <v>0</v>
      </c>
      <c r="U1884" t="str">
        <f>VLOOKUP($W1884,TBL_Categories,4,FALSE)</f>
        <v>No</v>
      </c>
      <c r="V1884" t="str">
        <f>VLOOKUP($W1884,TBL_Categories,5,FALSE)</f>
        <v>None</v>
      </c>
      <c r="W1884" t="str">
        <f t="shared" si="119"/>
        <v>Personal Care|Laundry</v>
      </c>
    </row>
    <row r="1885" spans="1:23" x14ac:dyDescent="0.25">
      <c r="A1885" t="s">
        <v>86</v>
      </c>
      <c r="B1885" s="5">
        <f t="shared" ca="1" si="132"/>
        <v>42007</v>
      </c>
      <c r="C1885">
        <v>-24</v>
      </c>
      <c r="K1885" t="s">
        <v>70</v>
      </c>
      <c r="L1885" t="s">
        <v>1623</v>
      </c>
      <c r="M1885" t="s">
        <v>86</v>
      </c>
      <c r="Q1885" t="s">
        <v>88</v>
      </c>
      <c r="R1885" t="s">
        <v>86</v>
      </c>
      <c r="S1885" t="str">
        <f>VLOOKUP($W1885,TBL_Categories,2,FALSE)</f>
        <v>Unplanned</v>
      </c>
      <c r="T1885">
        <f>VLOOKUP($W1885,TBL_Categories,3,FALSE)</f>
        <v>0</v>
      </c>
      <c r="U1885" t="str">
        <f>VLOOKUP($W1885,TBL_Categories,4,FALSE)</f>
        <v>No</v>
      </c>
      <c r="V1885" t="str">
        <f>VLOOKUP($W1885,TBL_Categories,5,FALSE)</f>
        <v>None</v>
      </c>
      <c r="W1885" t="str">
        <f t="shared" si="119"/>
        <v>Personal Care|Laundry</v>
      </c>
    </row>
    <row r="1886" spans="1:23" x14ac:dyDescent="0.25">
      <c r="A1886" t="s">
        <v>86</v>
      </c>
      <c r="B1886" s="5">
        <f t="shared" ref="B1886:B1887" ca="1" si="133">TODAY()</f>
        <v>42007</v>
      </c>
      <c r="C1886">
        <v>-2</v>
      </c>
      <c r="K1886" t="s">
        <v>70</v>
      </c>
      <c r="L1886" t="s">
        <v>1587</v>
      </c>
      <c r="M1886" t="s">
        <v>86</v>
      </c>
      <c r="Q1886" t="s">
        <v>87</v>
      </c>
      <c r="R1886" t="s">
        <v>86</v>
      </c>
      <c r="S1886" t="str">
        <f>VLOOKUP($W1886,TBL_Categories,2,FALSE)</f>
        <v>Irregular</v>
      </c>
      <c r="T1886">
        <f>VLOOKUP($W1886,TBL_Categories,3,FALSE)</f>
        <v>0</v>
      </c>
      <c r="U1886" t="str">
        <f>VLOOKUP($W1886,TBL_Categories,4,FALSE)</f>
        <v>No</v>
      </c>
      <c r="V1886" t="str">
        <f>VLOOKUP($W1886,TBL_Categories,5,FALSE)</f>
        <v>None</v>
      </c>
      <c r="W1886" t="str">
        <f t="shared" si="119"/>
        <v>Personal Care|Miscellaneous</v>
      </c>
    </row>
    <row r="1887" spans="1:23" x14ac:dyDescent="0.25">
      <c r="A1887" t="s">
        <v>86</v>
      </c>
      <c r="B1887" s="5">
        <f t="shared" ca="1" si="133"/>
        <v>42007</v>
      </c>
      <c r="C1887">
        <v>-24</v>
      </c>
      <c r="K1887" t="s">
        <v>70</v>
      </c>
      <c r="L1887" t="s">
        <v>1587</v>
      </c>
      <c r="M1887" t="s">
        <v>86</v>
      </c>
      <c r="Q1887" t="s">
        <v>88</v>
      </c>
      <c r="R1887" t="s">
        <v>86</v>
      </c>
      <c r="S1887" t="str">
        <f>VLOOKUP($W1887,TBL_Categories,2,FALSE)</f>
        <v>Irregular</v>
      </c>
      <c r="T1887">
        <f>VLOOKUP($W1887,TBL_Categories,3,FALSE)</f>
        <v>0</v>
      </c>
      <c r="U1887" t="str">
        <f>VLOOKUP($W1887,TBL_Categories,4,FALSE)</f>
        <v>No</v>
      </c>
      <c r="V1887" t="str">
        <f>VLOOKUP($W1887,TBL_Categories,5,FALSE)</f>
        <v>None</v>
      </c>
      <c r="W1887" t="str">
        <f t="shared" si="119"/>
        <v>Personal Care|Miscellaneous</v>
      </c>
    </row>
    <row r="1888" spans="1:23" x14ac:dyDescent="0.25">
      <c r="A1888" t="s">
        <v>86</v>
      </c>
      <c r="B1888" s="5">
        <f t="shared" ref="B1888:B1889" ca="1" si="134">TODAY()</f>
        <v>42007</v>
      </c>
      <c r="C1888">
        <v>-625</v>
      </c>
      <c r="K1888" t="s">
        <v>90</v>
      </c>
      <c r="M1888" t="s">
        <v>86</v>
      </c>
      <c r="Q1888" t="s">
        <v>87</v>
      </c>
      <c r="R1888" t="s">
        <v>86</v>
      </c>
      <c r="S1888" t="str">
        <f>VLOOKUP($W1888,TBL_Categories,2,FALSE)</f>
        <v>Unplanned</v>
      </c>
      <c r="T1888">
        <f>VLOOKUP($W1888,TBL_Categories,3,FALSE)</f>
        <v>0</v>
      </c>
      <c r="U1888" t="str">
        <f>VLOOKUP($W1888,TBL_Categories,4,FALSE)</f>
        <v>No</v>
      </c>
      <c r="V1888" t="str">
        <f>VLOOKUP($W1888,TBL_Categories,5,FALSE)</f>
        <v>None</v>
      </c>
      <c r="W1888" t="str">
        <f t="shared" si="119"/>
        <v>Projects</v>
      </c>
    </row>
    <row r="1889" spans="1:23" x14ac:dyDescent="0.25">
      <c r="A1889" t="s">
        <v>86</v>
      </c>
      <c r="B1889" s="5">
        <f t="shared" ca="1" si="134"/>
        <v>42007</v>
      </c>
      <c r="C1889">
        <v>-7500</v>
      </c>
      <c r="K1889" t="s">
        <v>90</v>
      </c>
      <c r="M1889" t="s">
        <v>86</v>
      </c>
      <c r="Q1889" t="s">
        <v>88</v>
      </c>
      <c r="R1889" t="s">
        <v>86</v>
      </c>
      <c r="S1889" t="str">
        <f>VLOOKUP($W1889,TBL_Categories,2,FALSE)</f>
        <v>Unplanned</v>
      </c>
      <c r="T1889">
        <f>VLOOKUP($W1889,TBL_Categories,3,FALSE)</f>
        <v>0</v>
      </c>
      <c r="U1889" t="str">
        <f>VLOOKUP($W1889,TBL_Categories,4,FALSE)</f>
        <v>No</v>
      </c>
      <c r="V1889" t="str">
        <f>VLOOKUP($W1889,TBL_Categories,5,FALSE)</f>
        <v>None</v>
      </c>
      <c r="W1889" t="str">
        <f t="shared" si="119"/>
        <v>Projects</v>
      </c>
    </row>
    <row r="1890" spans="1:23" x14ac:dyDescent="0.25">
      <c r="A1890" t="s">
        <v>86</v>
      </c>
      <c r="B1890" s="5">
        <f t="shared" ref="B1890:B1891" ca="1" si="135">TODAY()</f>
        <v>42007</v>
      </c>
      <c r="C1890">
        <v>-5</v>
      </c>
      <c r="K1890" t="s">
        <v>72</v>
      </c>
      <c r="L1890" t="s">
        <v>460</v>
      </c>
      <c r="M1890" t="s">
        <v>86</v>
      </c>
      <c r="Q1890" t="s">
        <v>87</v>
      </c>
      <c r="R1890" t="s">
        <v>86</v>
      </c>
      <c r="S1890" t="str">
        <f>VLOOKUP($W1890,TBL_Categories,2,FALSE)</f>
        <v>Unplanned</v>
      </c>
      <c r="T1890">
        <f>VLOOKUP($W1890,TBL_Categories,3,FALSE)</f>
        <v>0</v>
      </c>
      <c r="U1890" t="str">
        <f>VLOOKUP($W1890,TBL_Categories,4,FALSE)</f>
        <v>No</v>
      </c>
      <c r="V1890" t="str">
        <f>VLOOKUP($W1890,TBL_Categories,5,FALSE)</f>
        <v>None</v>
      </c>
      <c r="W1890" t="str">
        <f t="shared" si="119"/>
        <v>Shopping|Books</v>
      </c>
    </row>
    <row r="1891" spans="1:23" x14ac:dyDescent="0.25">
      <c r="A1891" t="s">
        <v>86</v>
      </c>
      <c r="B1891" s="5">
        <f t="shared" ca="1" si="135"/>
        <v>42007</v>
      </c>
      <c r="C1891">
        <v>-60</v>
      </c>
      <c r="K1891" t="s">
        <v>72</v>
      </c>
      <c r="L1891" t="s">
        <v>460</v>
      </c>
      <c r="M1891" t="s">
        <v>86</v>
      </c>
      <c r="Q1891" t="s">
        <v>88</v>
      </c>
      <c r="R1891" t="s">
        <v>86</v>
      </c>
      <c r="S1891" t="str">
        <f>VLOOKUP($W1891,TBL_Categories,2,FALSE)</f>
        <v>Unplanned</v>
      </c>
      <c r="T1891">
        <f>VLOOKUP($W1891,TBL_Categories,3,FALSE)</f>
        <v>0</v>
      </c>
      <c r="U1891" t="str">
        <f>VLOOKUP($W1891,TBL_Categories,4,FALSE)</f>
        <v>No</v>
      </c>
      <c r="V1891" t="str">
        <f>VLOOKUP($W1891,TBL_Categories,5,FALSE)</f>
        <v>None</v>
      </c>
      <c r="W1891" t="str">
        <f t="shared" si="119"/>
        <v>Shopping|Books</v>
      </c>
    </row>
    <row r="1892" spans="1:23" x14ac:dyDescent="0.25">
      <c r="A1892" t="s">
        <v>86</v>
      </c>
      <c r="B1892" s="5">
        <f t="shared" ref="B1892:B1893" ca="1" si="136">TODAY()</f>
        <v>42007</v>
      </c>
      <c r="C1892">
        <v>-150</v>
      </c>
      <c r="K1892" t="s">
        <v>72</v>
      </c>
      <c r="L1892" t="s">
        <v>1537</v>
      </c>
      <c r="M1892" t="s">
        <v>86</v>
      </c>
      <c r="Q1892" t="s">
        <v>87</v>
      </c>
      <c r="R1892" t="s">
        <v>86</v>
      </c>
      <c r="S1892" t="str">
        <f>VLOOKUP($W1892,TBL_Categories,2,FALSE)</f>
        <v>Annual</v>
      </c>
      <c r="T1892">
        <f>VLOOKUP($W1892,TBL_Categories,3,FALSE)</f>
        <v>0</v>
      </c>
      <c r="U1892" t="str">
        <f>VLOOKUP($W1892,TBL_Categories,4,FALSE)</f>
        <v>No</v>
      </c>
      <c r="V1892" t="str">
        <f>VLOOKUP($W1892,TBL_Categories,5,FALSE)</f>
        <v>None</v>
      </c>
      <c r="W1892" t="str">
        <f t="shared" si="119"/>
        <v>Shopping|Clothing</v>
      </c>
    </row>
    <row r="1893" spans="1:23" x14ac:dyDescent="0.25">
      <c r="A1893" t="s">
        <v>86</v>
      </c>
      <c r="B1893" s="5">
        <f t="shared" ca="1" si="136"/>
        <v>42007</v>
      </c>
      <c r="C1893">
        <v>-1800</v>
      </c>
      <c r="K1893" t="s">
        <v>72</v>
      </c>
      <c r="L1893" t="s">
        <v>1537</v>
      </c>
      <c r="M1893" t="s">
        <v>86</v>
      </c>
      <c r="Q1893" t="s">
        <v>88</v>
      </c>
      <c r="R1893" t="s">
        <v>86</v>
      </c>
      <c r="S1893" t="str">
        <f>VLOOKUP($W1893,TBL_Categories,2,FALSE)</f>
        <v>Annual</v>
      </c>
      <c r="T1893">
        <f>VLOOKUP($W1893,TBL_Categories,3,FALSE)</f>
        <v>0</v>
      </c>
      <c r="U1893" t="str">
        <f>VLOOKUP($W1893,TBL_Categories,4,FALSE)</f>
        <v>No</v>
      </c>
      <c r="V1893" t="str">
        <f>VLOOKUP($W1893,TBL_Categories,5,FALSE)</f>
        <v>None</v>
      </c>
      <c r="W1893" t="str">
        <f t="shared" si="119"/>
        <v>Shopping|Clothing</v>
      </c>
    </row>
    <row r="1894" spans="1:23" x14ac:dyDescent="0.25">
      <c r="A1894" t="s">
        <v>86</v>
      </c>
      <c r="B1894" s="5">
        <f t="shared" ref="B1894:B1895" ca="1" si="137">TODAY()</f>
        <v>42007</v>
      </c>
      <c r="C1894">
        <v>-100</v>
      </c>
      <c r="K1894" t="s">
        <v>72</v>
      </c>
      <c r="L1894" t="s">
        <v>1534</v>
      </c>
      <c r="M1894" t="s">
        <v>86</v>
      </c>
      <c r="Q1894" t="s">
        <v>87</v>
      </c>
      <c r="R1894" t="s">
        <v>86</v>
      </c>
      <c r="S1894" t="str">
        <f>VLOOKUP($W1894,TBL_Categories,2,FALSE)</f>
        <v>Annual</v>
      </c>
      <c r="T1894">
        <f>VLOOKUP($W1894,TBL_Categories,3,FALSE)</f>
        <v>0</v>
      </c>
      <c r="U1894" t="str">
        <f>VLOOKUP($W1894,TBL_Categories,4,FALSE)</f>
        <v>No</v>
      </c>
      <c r="V1894" t="str">
        <f>VLOOKUP($W1894,TBL_Categories,5,FALSE)</f>
        <v>None</v>
      </c>
      <c r="W1894" t="str">
        <f t="shared" si="119"/>
        <v>Shopping|Electronics &amp; Software</v>
      </c>
    </row>
    <row r="1895" spans="1:23" x14ac:dyDescent="0.25">
      <c r="A1895" t="s">
        <v>86</v>
      </c>
      <c r="B1895" s="5">
        <f t="shared" ca="1" si="137"/>
        <v>42007</v>
      </c>
      <c r="C1895">
        <v>-1200</v>
      </c>
      <c r="K1895" t="s">
        <v>72</v>
      </c>
      <c r="L1895" t="s">
        <v>1534</v>
      </c>
      <c r="M1895" t="s">
        <v>86</v>
      </c>
      <c r="Q1895" t="s">
        <v>88</v>
      </c>
      <c r="R1895" t="s">
        <v>86</v>
      </c>
      <c r="S1895" t="str">
        <f>VLOOKUP($W1895,TBL_Categories,2,FALSE)</f>
        <v>Annual</v>
      </c>
      <c r="T1895">
        <f>VLOOKUP($W1895,TBL_Categories,3,FALSE)</f>
        <v>0</v>
      </c>
      <c r="U1895" t="str">
        <f>VLOOKUP($W1895,TBL_Categories,4,FALSE)</f>
        <v>No</v>
      </c>
      <c r="V1895" t="str">
        <f>VLOOKUP($W1895,TBL_Categories,5,FALSE)</f>
        <v>None</v>
      </c>
      <c r="W1895" t="str">
        <f t="shared" si="119"/>
        <v>Shopping|Electronics &amp; Software</v>
      </c>
    </row>
    <row r="1896" spans="1:23" x14ac:dyDescent="0.25">
      <c r="A1896" t="s">
        <v>86</v>
      </c>
      <c r="B1896" s="5">
        <f t="shared" ref="B1896:B1897" ca="1" si="138">TODAY()</f>
        <v>42007</v>
      </c>
      <c r="C1896">
        <v>-25</v>
      </c>
      <c r="K1896" t="s">
        <v>72</v>
      </c>
      <c r="L1896" t="s">
        <v>1565</v>
      </c>
      <c r="M1896" t="s">
        <v>86</v>
      </c>
      <c r="Q1896" t="s">
        <v>87</v>
      </c>
      <c r="R1896" t="s">
        <v>86</v>
      </c>
      <c r="S1896" t="str">
        <f>VLOOKUP($W1896,TBL_Categories,2,FALSE)</f>
        <v>Annual</v>
      </c>
      <c r="T1896">
        <f>VLOOKUP($W1896,TBL_Categories,3,FALSE)</f>
        <v>0</v>
      </c>
      <c r="U1896" t="str">
        <f>VLOOKUP($W1896,TBL_Categories,4,FALSE)</f>
        <v>No</v>
      </c>
      <c r="V1896" t="str">
        <f>VLOOKUP($W1896,TBL_Categories,5,FALSE)</f>
        <v>None</v>
      </c>
      <c r="W1896" t="str">
        <f t="shared" si="119"/>
        <v>Shopping|Hobbies</v>
      </c>
    </row>
    <row r="1897" spans="1:23" x14ac:dyDescent="0.25">
      <c r="A1897" t="s">
        <v>86</v>
      </c>
      <c r="B1897" s="5">
        <f t="shared" ca="1" si="138"/>
        <v>42007</v>
      </c>
      <c r="C1897">
        <v>-300</v>
      </c>
      <c r="K1897" t="s">
        <v>72</v>
      </c>
      <c r="L1897" t="s">
        <v>1565</v>
      </c>
      <c r="M1897" t="s">
        <v>86</v>
      </c>
      <c r="Q1897" t="s">
        <v>88</v>
      </c>
      <c r="R1897" t="s">
        <v>86</v>
      </c>
      <c r="S1897" t="str">
        <f>VLOOKUP($W1897,TBL_Categories,2,FALSE)</f>
        <v>Annual</v>
      </c>
      <c r="T1897">
        <f>VLOOKUP($W1897,TBL_Categories,3,FALSE)</f>
        <v>0</v>
      </c>
      <c r="U1897" t="str">
        <f>VLOOKUP($W1897,TBL_Categories,4,FALSE)</f>
        <v>No</v>
      </c>
      <c r="V1897" t="str">
        <f>VLOOKUP($W1897,TBL_Categories,5,FALSE)</f>
        <v>None</v>
      </c>
      <c r="W1897" t="str">
        <f t="shared" si="119"/>
        <v>Shopping|Hobbies</v>
      </c>
    </row>
    <row r="1898" spans="1:23" x14ac:dyDescent="0.25">
      <c r="A1898" t="s">
        <v>86</v>
      </c>
      <c r="B1898" s="5">
        <f t="shared" ref="B1898:B1899" ca="1" si="139">TODAY()</f>
        <v>42007</v>
      </c>
      <c r="C1898">
        <v>-20</v>
      </c>
      <c r="K1898" t="s">
        <v>72</v>
      </c>
      <c r="L1898" t="s">
        <v>1624</v>
      </c>
      <c r="M1898" t="s">
        <v>86</v>
      </c>
      <c r="Q1898" t="s">
        <v>87</v>
      </c>
      <c r="R1898" t="s">
        <v>86</v>
      </c>
      <c r="S1898" t="str">
        <f>VLOOKUP($W1898,TBL_Categories,2,FALSE)</f>
        <v>Annual</v>
      </c>
      <c r="T1898">
        <f>VLOOKUP($W1898,TBL_Categories,3,FALSE)</f>
        <v>0</v>
      </c>
      <c r="U1898" t="str">
        <f>VLOOKUP($W1898,TBL_Categories,4,FALSE)</f>
        <v>No</v>
      </c>
      <c r="V1898" t="str">
        <f>VLOOKUP($W1898,TBL_Categories,5,FALSE)</f>
        <v>None</v>
      </c>
      <c r="W1898" t="str">
        <f t="shared" si="119"/>
        <v>Shopping|Sporting Goods</v>
      </c>
    </row>
    <row r="1899" spans="1:23" x14ac:dyDescent="0.25">
      <c r="A1899" t="s">
        <v>86</v>
      </c>
      <c r="B1899" s="5">
        <f t="shared" ca="1" si="139"/>
        <v>42007</v>
      </c>
      <c r="C1899">
        <v>-240</v>
      </c>
      <c r="K1899" t="s">
        <v>72</v>
      </c>
      <c r="L1899" t="s">
        <v>1624</v>
      </c>
      <c r="M1899" t="s">
        <v>86</v>
      </c>
      <c r="Q1899" t="s">
        <v>88</v>
      </c>
      <c r="R1899" t="s">
        <v>86</v>
      </c>
      <c r="S1899" t="str">
        <f>VLOOKUP($W1899,TBL_Categories,2,FALSE)</f>
        <v>Annual</v>
      </c>
      <c r="T1899">
        <f>VLOOKUP($W1899,TBL_Categories,3,FALSE)</f>
        <v>0</v>
      </c>
      <c r="U1899" t="str">
        <f>VLOOKUP($W1899,TBL_Categories,4,FALSE)</f>
        <v>No</v>
      </c>
      <c r="V1899" t="str">
        <f>VLOOKUP($W1899,TBL_Categories,5,FALSE)</f>
        <v>None</v>
      </c>
      <c r="W1899" t="str">
        <f t="shared" si="119"/>
        <v>Shopping|Sporting Goods</v>
      </c>
    </row>
    <row r="1900" spans="1:23" x14ac:dyDescent="0.25">
      <c r="A1900" t="s">
        <v>86</v>
      </c>
      <c r="B1900" s="5">
        <f t="shared" ref="B1900:B1901" ca="1" si="140">TODAY()</f>
        <v>42007</v>
      </c>
      <c r="C1900">
        <v>-35</v>
      </c>
      <c r="K1900" t="s">
        <v>73</v>
      </c>
      <c r="M1900" t="s">
        <v>86</v>
      </c>
      <c r="Q1900" t="s">
        <v>87</v>
      </c>
      <c r="R1900" t="s">
        <v>86</v>
      </c>
      <c r="S1900" t="str">
        <f>VLOOKUP($W1900,TBL_Categories,2,FALSE)</f>
        <v>Annual</v>
      </c>
      <c r="T1900">
        <f>VLOOKUP($W1900,TBL_Categories,3,FALSE)</f>
        <v>0</v>
      </c>
      <c r="U1900" t="str">
        <f>VLOOKUP($W1900,TBL_Categories,4,FALSE)</f>
        <v>No</v>
      </c>
      <c r="V1900" t="str">
        <f>VLOOKUP($W1900,TBL_Categories,5,FALSE)</f>
        <v>None</v>
      </c>
      <c r="W1900" t="str">
        <f t="shared" si="119"/>
        <v>Subscriptions &amp; Dues</v>
      </c>
    </row>
    <row r="1901" spans="1:23" x14ac:dyDescent="0.25">
      <c r="A1901" t="s">
        <v>86</v>
      </c>
      <c r="B1901" s="5">
        <f t="shared" ca="1" si="140"/>
        <v>42007</v>
      </c>
      <c r="C1901">
        <v>-420</v>
      </c>
      <c r="K1901" t="s">
        <v>73</v>
      </c>
      <c r="M1901" t="s">
        <v>86</v>
      </c>
      <c r="Q1901" t="s">
        <v>88</v>
      </c>
      <c r="R1901" t="s">
        <v>86</v>
      </c>
      <c r="S1901" t="str">
        <f>VLOOKUP($W1901,TBL_Categories,2,FALSE)</f>
        <v>Annual</v>
      </c>
      <c r="T1901">
        <f>VLOOKUP($W1901,TBL_Categories,3,FALSE)</f>
        <v>0</v>
      </c>
      <c r="U1901" t="str">
        <f>VLOOKUP($W1901,TBL_Categories,4,FALSE)</f>
        <v>No</v>
      </c>
      <c r="V1901" t="str">
        <f>VLOOKUP($W1901,TBL_Categories,5,FALSE)</f>
        <v>None</v>
      </c>
      <c r="W1901" t="str">
        <f t="shared" si="119"/>
        <v>Subscriptions &amp; Dues</v>
      </c>
    </row>
    <row r="1902" spans="1:23" x14ac:dyDescent="0.25">
      <c r="A1902" t="s">
        <v>86</v>
      </c>
      <c r="B1902" s="5">
        <f t="shared" ref="B1902:B1903" ca="1" si="141">TODAY()</f>
        <v>42007</v>
      </c>
      <c r="C1902">
        <v>-800</v>
      </c>
      <c r="K1902" t="s">
        <v>75</v>
      </c>
      <c r="L1902" t="s">
        <v>1538</v>
      </c>
      <c r="M1902" t="s">
        <v>86</v>
      </c>
      <c r="Q1902" t="s">
        <v>87</v>
      </c>
      <c r="R1902" t="s">
        <v>86</v>
      </c>
      <c r="S1902" t="str">
        <f>VLOOKUP($W1902,TBL_Categories,2,FALSE)</f>
        <v>Irregular</v>
      </c>
      <c r="T1902">
        <f>VLOOKUP($W1902,TBL_Categories,3,FALSE)</f>
        <v>0</v>
      </c>
      <c r="U1902" t="str">
        <f>VLOOKUP($W1902,TBL_Categories,4,FALSE)</f>
        <v>No</v>
      </c>
      <c r="V1902" t="str">
        <f>VLOOKUP($W1902,TBL_Categories,5,FALSE)</f>
        <v>None</v>
      </c>
      <c r="W1902" t="str">
        <f t="shared" si="119"/>
        <v>Vacation|Other</v>
      </c>
    </row>
    <row r="1903" spans="1:23" x14ac:dyDescent="0.25">
      <c r="A1903" t="s">
        <v>86</v>
      </c>
      <c r="B1903" s="5">
        <f t="shared" ca="1" si="141"/>
        <v>42007</v>
      </c>
      <c r="C1903">
        <v>-9600</v>
      </c>
      <c r="K1903" t="s">
        <v>75</v>
      </c>
      <c r="L1903" t="s">
        <v>1538</v>
      </c>
      <c r="M1903" t="s">
        <v>86</v>
      </c>
      <c r="Q1903" t="s">
        <v>88</v>
      </c>
      <c r="R1903" t="s">
        <v>86</v>
      </c>
      <c r="S1903" t="str">
        <f>VLOOKUP($W1903,TBL_Categories,2,FALSE)</f>
        <v>Irregular</v>
      </c>
      <c r="T1903">
        <f>VLOOKUP($W1903,TBL_Categories,3,FALSE)</f>
        <v>0</v>
      </c>
      <c r="U1903" t="str">
        <f>VLOOKUP($W1903,TBL_Categories,4,FALSE)</f>
        <v>No</v>
      </c>
      <c r="V1903" t="str">
        <f>VLOOKUP($W1903,TBL_Categories,5,FALSE)</f>
        <v>None</v>
      </c>
      <c r="W1903" t="str">
        <f t="shared" si="119"/>
        <v>Vacation|Other</v>
      </c>
    </row>
  </sheetData>
  <sortState ref="A2:W1791">
    <sortCondition descending="1" ref="B2:B104857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5" x14ac:dyDescent="0.25"/>
  <cols>
    <col min="1" max="1" width="6.28515625" bestFit="1" customWidth="1"/>
    <col min="2" max="2" width="11.140625" bestFit="1" customWidth="1"/>
    <col min="3" max="3" width="11.28515625" bestFit="1" customWidth="1"/>
    <col min="4" max="4" width="8.42578125" bestFit="1" customWidth="1"/>
    <col min="5" max="5" width="5.28515625" bestFit="1" customWidth="1"/>
  </cols>
  <sheetData>
    <row r="1" spans="1:5" x14ac:dyDescent="0.25">
      <c r="A1" t="s">
        <v>264</v>
      </c>
      <c r="B1" t="s">
        <v>273</v>
      </c>
      <c r="C1" t="s">
        <v>274</v>
      </c>
      <c r="D1" t="s">
        <v>275</v>
      </c>
      <c r="E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5" x14ac:dyDescent="0.25"/>
  <cols>
    <col min="1" max="1" width="6.28515625" bestFit="1" customWidth="1"/>
    <col min="2" max="2" width="11.140625" bestFit="1" customWidth="1"/>
  </cols>
  <sheetData>
    <row r="1" spans="1:2" x14ac:dyDescent="0.25">
      <c r="A1" t="s">
        <v>264</v>
      </c>
      <c r="B1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5" x14ac:dyDescent="0.25"/>
  <sheetData>
    <row r="1" spans="1:3" x14ac:dyDescent="0.25">
      <c r="A1" t="s">
        <v>264</v>
      </c>
      <c r="B1" t="s">
        <v>276</v>
      </c>
      <c r="C1" t="s">
        <v>277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/>
  </sheetViews>
  <sheetFormatPr defaultRowHeight="15" x14ac:dyDescent="0.25"/>
  <cols>
    <col min="1" max="1" width="5.28515625" bestFit="1" customWidth="1"/>
    <col min="2" max="2" width="5.140625" bestFit="1" customWidth="1"/>
    <col min="3" max="3" width="8.140625" bestFit="1" customWidth="1"/>
    <col min="4" max="5" width="6.42578125" bestFit="1" customWidth="1"/>
    <col min="6" max="6" width="6.7109375" bestFit="1" customWidth="1"/>
    <col min="7" max="7" width="8.85546875" bestFit="1" customWidth="1"/>
    <col min="8" max="8" width="14.140625" bestFit="1" customWidth="1"/>
    <col min="9" max="9" width="5" bestFit="1" customWidth="1"/>
  </cols>
  <sheetData>
    <row r="1" spans="1:9" x14ac:dyDescent="0.25">
      <c r="A1" t="s">
        <v>0</v>
      </c>
      <c r="B1" t="s">
        <v>266</v>
      </c>
      <c r="C1" t="s">
        <v>267</v>
      </c>
      <c r="D1" t="s">
        <v>268</v>
      </c>
      <c r="E1" t="s">
        <v>269</v>
      </c>
      <c r="F1" t="s">
        <v>270</v>
      </c>
      <c r="G1" t="s">
        <v>3</v>
      </c>
      <c r="H1" t="s">
        <v>271</v>
      </c>
      <c r="I1" t="s">
        <v>272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2"/>
  <sheetViews>
    <sheetView topLeftCell="A25" workbookViewId="0">
      <selection activeCell="B61" sqref="B61"/>
    </sheetView>
  </sheetViews>
  <sheetFormatPr defaultRowHeight="15" x14ac:dyDescent="0.25"/>
  <cols>
    <col min="1" max="1" width="42.28515625" customWidth="1"/>
    <col min="2" max="2" width="14.85546875" customWidth="1"/>
    <col min="3" max="54" width="11.28515625" customWidth="1"/>
    <col min="55" max="56" width="11.28515625" bestFit="1" customWidth="1"/>
  </cols>
  <sheetData>
    <row r="3" spans="1:2" x14ac:dyDescent="0.25">
      <c r="A3" s="6" t="s">
        <v>1510</v>
      </c>
      <c r="B3" t="s">
        <v>1643</v>
      </c>
    </row>
    <row r="4" spans="1:2" x14ac:dyDescent="0.25">
      <c r="A4" s="6" t="s">
        <v>1512</v>
      </c>
      <c r="B4" t="s">
        <v>1643</v>
      </c>
    </row>
    <row r="6" spans="1:2" x14ac:dyDescent="0.25">
      <c r="A6" s="6" t="s">
        <v>1625</v>
      </c>
      <c r="B6" t="s">
        <v>1644</v>
      </c>
    </row>
    <row r="7" spans="1:2" x14ac:dyDescent="0.25">
      <c r="A7" s="7" t="s">
        <v>15</v>
      </c>
      <c r="B7" s="9">
        <v>-857.31999999999994</v>
      </c>
    </row>
    <row r="8" spans="1:2" x14ac:dyDescent="0.25">
      <c r="A8" s="7" t="s">
        <v>4</v>
      </c>
      <c r="B8" s="9">
        <v>0</v>
      </c>
    </row>
    <row r="9" spans="1:2" x14ac:dyDescent="0.25">
      <c r="A9" s="7" t="s">
        <v>6</v>
      </c>
      <c r="B9" s="9">
        <v>0</v>
      </c>
    </row>
    <row r="10" spans="1:2" x14ac:dyDescent="0.25">
      <c r="A10" s="7" t="s">
        <v>5</v>
      </c>
      <c r="B10" s="9">
        <v>83000</v>
      </c>
    </row>
    <row r="11" spans="1:2" x14ac:dyDescent="0.25">
      <c r="A11" s="7" t="s">
        <v>7</v>
      </c>
      <c r="B11" s="9">
        <v>117000</v>
      </c>
    </row>
    <row r="12" spans="1:2" x14ac:dyDescent="0.25">
      <c r="A12" s="7" t="s">
        <v>10</v>
      </c>
      <c r="B12" s="9">
        <v>-31000</v>
      </c>
    </row>
    <row r="13" spans="1:2" x14ac:dyDescent="0.25">
      <c r="A13" s="7" t="s">
        <v>830</v>
      </c>
      <c r="B13" s="9">
        <v>-98.42</v>
      </c>
    </row>
    <row r="14" spans="1:2" x14ac:dyDescent="0.25">
      <c r="A14" s="7" t="s">
        <v>657</v>
      </c>
      <c r="B14" s="9">
        <v>-4230.75</v>
      </c>
    </row>
    <row r="15" spans="1:2" x14ac:dyDescent="0.25">
      <c r="A15" s="7" t="s">
        <v>1007</v>
      </c>
      <c r="B15" s="9">
        <v>0</v>
      </c>
    </row>
    <row r="16" spans="1:2" x14ac:dyDescent="0.25">
      <c r="A16" s="7" t="s">
        <v>18</v>
      </c>
      <c r="B16" s="9">
        <v>-1691.7800000000002</v>
      </c>
    </row>
    <row r="17" spans="1:2" x14ac:dyDescent="0.25">
      <c r="A17" s="7" t="s">
        <v>867</v>
      </c>
      <c r="B17" s="9">
        <v>71250.350000000006</v>
      </c>
    </row>
    <row r="18" spans="1:2" x14ac:dyDescent="0.25">
      <c r="A18" s="7" t="s">
        <v>1500</v>
      </c>
      <c r="B18" s="9"/>
    </row>
    <row r="19" spans="1:2" x14ac:dyDescent="0.25">
      <c r="A19" s="7" t="s">
        <v>802</v>
      </c>
      <c r="B19" s="9">
        <v>100000</v>
      </c>
    </row>
    <row r="20" spans="1:2" x14ac:dyDescent="0.25">
      <c r="A20" s="7" t="s">
        <v>9</v>
      </c>
      <c r="B20" s="9">
        <v>66482.779999999984</v>
      </c>
    </row>
    <row r="21" spans="1:2" x14ac:dyDescent="0.25">
      <c r="A21" s="7" t="s">
        <v>30</v>
      </c>
      <c r="B21" s="9">
        <v>142683.85999999999</v>
      </c>
    </row>
    <row r="22" spans="1:2" x14ac:dyDescent="0.25">
      <c r="A22" s="7" t="s">
        <v>24</v>
      </c>
      <c r="B22" s="9">
        <v>41035.19</v>
      </c>
    </row>
    <row r="23" spans="1:2" x14ac:dyDescent="0.25">
      <c r="A23" s="7" t="s">
        <v>25</v>
      </c>
      <c r="B23" s="9">
        <v>0</v>
      </c>
    </row>
    <row r="24" spans="1:2" x14ac:dyDescent="0.25">
      <c r="A24" s="7" t="s">
        <v>31</v>
      </c>
      <c r="B24" s="9">
        <v>-2203.19</v>
      </c>
    </row>
    <row r="25" spans="1:2" x14ac:dyDescent="0.25">
      <c r="A25" s="7" t="s">
        <v>805</v>
      </c>
      <c r="B25" s="9">
        <v>-200000</v>
      </c>
    </row>
    <row r="26" spans="1:2" x14ac:dyDescent="0.25">
      <c r="A26" s="7" t="s">
        <v>16</v>
      </c>
      <c r="B26" s="9">
        <v>0</v>
      </c>
    </row>
    <row r="27" spans="1:2" x14ac:dyDescent="0.25">
      <c r="A27" s="7" t="s">
        <v>13</v>
      </c>
      <c r="B27" s="9">
        <v>-41630.899999999994</v>
      </c>
    </row>
    <row r="28" spans="1:2" x14ac:dyDescent="0.25">
      <c r="A28" s="7" t="s">
        <v>22</v>
      </c>
      <c r="B28" s="9">
        <v>4226.29</v>
      </c>
    </row>
    <row r="29" spans="1:2" x14ac:dyDescent="0.25">
      <c r="A29" s="7" t="s">
        <v>771</v>
      </c>
      <c r="B29" s="9">
        <v>-296.63</v>
      </c>
    </row>
    <row r="30" spans="1:2" x14ac:dyDescent="0.25">
      <c r="A30" s="7" t="s">
        <v>11</v>
      </c>
      <c r="B30" s="9">
        <v>0</v>
      </c>
    </row>
    <row r="31" spans="1:2" x14ac:dyDescent="0.25">
      <c r="A31" s="7" t="s">
        <v>23</v>
      </c>
      <c r="B31" s="9">
        <v>-1168.7799999999997</v>
      </c>
    </row>
    <row r="32" spans="1:2" x14ac:dyDescent="0.25">
      <c r="A32" s="7" t="s">
        <v>52</v>
      </c>
      <c r="B32" s="9">
        <v>-12895.41</v>
      </c>
    </row>
    <row r="33" spans="1:2" x14ac:dyDescent="0.25">
      <c r="A33" s="7" t="s">
        <v>53</v>
      </c>
      <c r="B33" s="9">
        <v>5.7000000000000011</v>
      </c>
    </row>
    <row r="34" spans="1:2" x14ac:dyDescent="0.25">
      <c r="A34" s="7" t="s">
        <v>54</v>
      </c>
      <c r="B34" s="9">
        <v>-8553.61</v>
      </c>
    </row>
    <row r="35" spans="1:2" x14ac:dyDescent="0.25">
      <c r="A35" s="7" t="s">
        <v>55</v>
      </c>
      <c r="B35" s="9">
        <v>-152317.19</v>
      </c>
    </row>
    <row r="36" spans="1:2" x14ac:dyDescent="0.25">
      <c r="A36" s="7" t="s">
        <v>33</v>
      </c>
      <c r="B36" s="9">
        <v>112250</v>
      </c>
    </row>
    <row r="37" spans="1:2" x14ac:dyDescent="0.25">
      <c r="A37" s="7" t="s">
        <v>56</v>
      </c>
      <c r="B37" s="9">
        <v>-756.58</v>
      </c>
    </row>
    <row r="38" spans="1:2" x14ac:dyDescent="0.25">
      <c r="A38" s="7" t="s">
        <v>58</v>
      </c>
      <c r="B38" s="9">
        <v>-52</v>
      </c>
    </row>
    <row r="39" spans="1:2" x14ac:dyDescent="0.25">
      <c r="A39" s="7" t="s">
        <v>17</v>
      </c>
      <c r="B39" s="9">
        <v>-2072.4700000000003</v>
      </c>
    </row>
    <row r="40" spans="1:2" x14ac:dyDescent="0.25">
      <c r="A40" s="7" t="s">
        <v>60</v>
      </c>
      <c r="B40" s="9">
        <v>-15527.26</v>
      </c>
    </row>
    <row r="41" spans="1:2" x14ac:dyDescent="0.25">
      <c r="A41" s="7" t="s">
        <v>61</v>
      </c>
      <c r="B41" s="9">
        <v>-29816.059999999998</v>
      </c>
    </row>
    <row r="42" spans="1:2" x14ac:dyDescent="0.25">
      <c r="A42" s="7" t="s">
        <v>20</v>
      </c>
      <c r="B42" s="9">
        <v>-3127.1699999999992</v>
      </c>
    </row>
    <row r="43" spans="1:2" x14ac:dyDescent="0.25">
      <c r="A43" s="7" t="s">
        <v>62</v>
      </c>
      <c r="B43" s="9">
        <v>-7234.83</v>
      </c>
    </row>
    <row r="44" spans="1:2" x14ac:dyDescent="0.25">
      <c r="A44" s="7" t="s">
        <v>63</v>
      </c>
      <c r="B44" s="9">
        <v>-97654.62</v>
      </c>
    </row>
    <row r="45" spans="1:2" x14ac:dyDescent="0.25">
      <c r="A45" s="7" t="s">
        <v>8</v>
      </c>
      <c r="B45" s="9">
        <v>2971.0499999999997</v>
      </c>
    </row>
    <row r="46" spans="1:2" x14ac:dyDescent="0.25">
      <c r="A46" s="7" t="s">
        <v>66</v>
      </c>
      <c r="B46" s="9">
        <v>-71159.91</v>
      </c>
    </row>
    <row r="47" spans="1:2" x14ac:dyDescent="0.25">
      <c r="A47" s="7" t="s">
        <v>1595</v>
      </c>
      <c r="B47" s="9">
        <v>2.1316282072803006E-13</v>
      </c>
    </row>
    <row r="48" spans="1:2" x14ac:dyDescent="0.25">
      <c r="A48" s="7" t="s">
        <v>641</v>
      </c>
      <c r="B48" s="9">
        <v>289.69</v>
      </c>
    </row>
    <row r="49" spans="1:2" x14ac:dyDescent="0.25">
      <c r="A49" s="7" t="s">
        <v>12</v>
      </c>
      <c r="B49" s="9">
        <v>362278.45000000007</v>
      </c>
    </row>
    <row r="50" spans="1:2" x14ac:dyDescent="0.25">
      <c r="A50" s="7" t="s">
        <v>26</v>
      </c>
      <c r="B50" s="9">
        <v>-200000</v>
      </c>
    </row>
    <row r="51" spans="1:2" x14ac:dyDescent="0.25">
      <c r="A51" s="7" t="s">
        <v>14</v>
      </c>
      <c r="B51" s="9">
        <v>3116.44</v>
      </c>
    </row>
    <row r="52" spans="1:2" x14ac:dyDescent="0.25">
      <c r="A52" s="7" t="s">
        <v>69</v>
      </c>
      <c r="B52" s="9">
        <v>-1201.53</v>
      </c>
    </row>
    <row r="53" spans="1:2" x14ac:dyDescent="0.25">
      <c r="A53" s="7" t="s">
        <v>70</v>
      </c>
      <c r="B53" s="9">
        <v>-2517.85</v>
      </c>
    </row>
    <row r="54" spans="1:2" x14ac:dyDescent="0.25">
      <c r="A54" s="7" t="s">
        <v>90</v>
      </c>
      <c r="B54" s="9">
        <v>-16896.109999999997</v>
      </c>
    </row>
    <row r="55" spans="1:2" x14ac:dyDescent="0.25">
      <c r="A55" s="7" t="s">
        <v>72</v>
      </c>
      <c r="B55" s="9">
        <v>-5957.5</v>
      </c>
    </row>
    <row r="56" spans="1:2" x14ac:dyDescent="0.25">
      <c r="A56" s="7" t="s">
        <v>73</v>
      </c>
      <c r="B56" s="9">
        <v>-840.06999999999994</v>
      </c>
    </row>
    <row r="57" spans="1:2" x14ac:dyDescent="0.25">
      <c r="A57" s="7" t="s">
        <v>74</v>
      </c>
      <c r="B57" s="9">
        <v>1977</v>
      </c>
    </row>
    <row r="58" spans="1:2" x14ac:dyDescent="0.25">
      <c r="A58" s="7" t="s">
        <v>75</v>
      </c>
      <c r="B58" s="9">
        <v>-19669.37</v>
      </c>
    </row>
    <row r="59" spans="1:2" x14ac:dyDescent="0.25">
      <c r="A59" s="7" t="s">
        <v>29</v>
      </c>
      <c r="B59" s="9">
        <v>10.85000000000008</v>
      </c>
    </row>
    <row r="60" spans="1:2" x14ac:dyDescent="0.25">
      <c r="A60" s="7" t="s">
        <v>1626</v>
      </c>
      <c r="B60" s="9">
        <v>466.08000000000004</v>
      </c>
    </row>
    <row r="61" spans="1:2" x14ac:dyDescent="0.25">
      <c r="A61" s="8" t="s">
        <v>1626</v>
      </c>
      <c r="B61" s="9">
        <v>466.08000000000004</v>
      </c>
    </row>
    <row r="62" spans="1:2" x14ac:dyDescent="0.25">
      <c r="A62" s="7" t="s">
        <v>1627</v>
      </c>
      <c r="B62" s="9">
        <v>177616.42000000004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1"/>
  <sheetViews>
    <sheetView workbookViewId="0"/>
  </sheetViews>
  <sheetFormatPr defaultRowHeight="15" x14ac:dyDescent="0.25"/>
  <cols>
    <col min="1" max="1" width="16.42578125" customWidth="1"/>
    <col min="2" max="2" width="14.85546875" customWidth="1"/>
  </cols>
  <sheetData>
    <row r="3" spans="1:2" x14ac:dyDescent="0.25">
      <c r="A3" s="6" t="s">
        <v>1508</v>
      </c>
      <c r="B3" t="s">
        <v>90</v>
      </c>
    </row>
    <row r="5" spans="1:2" x14ac:dyDescent="0.25">
      <c r="A5" s="6" t="s">
        <v>1625</v>
      </c>
      <c r="B5" t="s">
        <v>1644</v>
      </c>
    </row>
    <row r="6" spans="1:2" x14ac:dyDescent="0.25">
      <c r="A6" s="7" t="s">
        <v>1552</v>
      </c>
      <c r="B6" s="9">
        <v>-1359.7</v>
      </c>
    </row>
    <row r="7" spans="1:2" x14ac:dyDescent="0.25">
      <c r="A7" s="7" t="s">
        <v>1594</v>
      </c>
      <c r="B7" s="9">
        <v>-1459.48</v>
      </c>
    </row>
    <row r="8" spans="1:2" x14ac:dyDescent="0.25">
      <c r="A8" s="7" t="s">
        <v>1591</v>
      </c>
      <c r="B8" s="9">
        <v>2.93</v>
      </c>
    </row>
    <row r="9" spans="1:2" x14ac:dyDescent="0.25">
      <c r="A9" s="7" t="s">
        <v>1551</v>
      </c>
      <c r="B9" s="9">
        <v>632.09</v>
      </c>
    </row>
    <row r="10" spans="1:2" x14ac:dyDescent="0.25">
      <c r="A10" s="7" t="s">
        <v>1543</v>
      </c>
      <c r="B10" s="9">
        <v>-6586.95</v>
      </c>
    </row>
    <row r="11" spans="1:2" x14ac:dyDescent="0.25">
      <c r="A11" s="7" t="s">
        <v>1627</v>
      </c>
      <c r="B11" s="9">
        <v>-8771.11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1"/>
  <sheetViews>
    <sheetView workbookViewId="0"/>
  </sheetViews>
  <sheetFormatPr defaultRowHeight="15" x14ac:dyDescent="0.25"/>
  <cols>
    <col min="1" max="1" width="19.140625" customWidth="1"/>
    <col min="2" max="2" width="14.85546875" customWidth="1"/>
  </cols>
  <sheetData>
    <row r="2" spans="1:2" x14ac:dyDescent="0.25">
      <c r="A2" s="6" t="s">
        <v>1510</v>
      </c>
      <c r="B2" t="s">
        <v>1643</v>
      </c>
    </row>
    <row r="3" spans="1:2" x14ac:dyDescent="0.25">
      <c r="A3" s="6" t="s">
        <v>1508</v>
      </c>
      <c r="B3" t="s">
        <v>75</v>
      </c>
    </row>
    <row r="5" spans="1:2" x14ac:dyDescent="0.25">
      <c r="A5" s="6" t="s">
        <v>1625</v>
      </c>
      <c r="B5" t="s">
        <v>1644</v>
      </c>
    </row>
    <row r="6" spans="1:2" x14ac:dyDescent="0.25">
      <c r="A6" s="7" t="s">
        <v>1605</v>
      </c>
      <c r="B6" s="9">
        <v>-47.4</v>
      </c>
    </row>
    <row r="7" spans="1:2" x14ac:dyDescent="0.25">
      <c r="A7" s="7" t="s">
        <v>1617</v>
      </c>
      <c r="B7" s="9">
        <v>-3767.5500000000006</v>
      </c>
    </row>
    <row r="8" spans="1:2" x14ac:dyDescent="0.25">
      <c r="A8" s="7" t="s">
        <v>1609</v>
      </c>
      <c r="B8" s="9">
        <v>-20.95</v>
      </c>
    </row>
    <row r="9" spans="1:2" x14ac:dyDescent="0.25">
      <c r="A9" s="7" t="s">
        <v>1613</v>
      </c>
      <c r="B9" s="9">
        <v>-182.84</v>
      </c>
    </row>
    <row r="10" spans="1:2" x14ac:dyDescent="0.25">
      <c r="A10" s="7" t="s">
        <v>1616</v>
      </c>
      <c r="B10" s="9">
        <v>-9.84</v>
      </c>
    </row>
    <row r="11" spans="1:2" x14ac:dyDescent="0.25">
      <c r="A11" s="7" t="s">
        <v>1610</v>
      </c>
      <c r="B11" s="9">
        <v>-54.5</v>
      </c>
    </row>
    <row r="12" spans="1:2" x14ac:dyDescent="0.25">
      <c r="A12" s="7" t="s">
        <v>1606</v>
      </c>
      <c r="B12" s="9">
        <v>-928.07</v>
      </c>
    </row>
    <row r="13" spans="1:2" x14ac:dyDescent="0.25">
      <c r="A13" s="7" t="s">
        <v>1604</v>
      </c>
      <c r="B13" s="9">
        <v>-83.13</v>
      </c>
    </row>
    <row r="14" spans="1:2" x14ac:dyDescent="0.25">
      <c r="A14" s="7" t="s">
        <v>1615</v>
      </c>
      <c r="B14" s="9">
        <v>-341.54</v>
      </c>
    </row>
    <row r="15" spans="1:2" x14ac:dyDescent="0.25">
      <c r="A15" s="7" t="s">
        <v>1618</v>
      </c>
      <c r="B15" s="9">
        <v>-111.5</v>
      </c>
    </row>
    <row r="16" spans="1:2" x14ac:dyDescent="0.25">
      <c r="A16" s="7" t="s">
        <v>1603</v>
      </c>
      <c r="B16" s="9">
        <v>-1536.79</v>
      </c>
    </row>
    <row r="17" spans="1:2" x14ac:dyDescent="0.25">
      <c r="A17" s="7" t="s">
        <v>1611</v>
      </c>
      <c r="B17" s="9">
        <v>-84.5</v>
      </c>
    </row>
    <row r="18" spans="1:2" x14ac:dyDescent="0.25">
      <c r="A18" s="7" t="s">
        <v>1612</v>
      </c>
      <c r="B18" s="9">
        <v>-1683.4299999999998</v>
      </c>
    </row>
    <row r="19" spans="1:2" x14ac:dyDescent="0.25">
      <c r="A19" s="7" t="s">
        <v>1608</v>
      </c>
      <c r="B19" s="9">
        <v>-208.87</v>
      </c>
    </row>
    <row r="20" spans="1:2" x14ac:dyDescent="0.25">
      <c r="A20" s="7" t="s">
        <v>1620</v>
      </c>
      <c r="B20" s="9">
        <v>-199.46</v>
      </c>
    </row>
    <row r="21" spans="1:2" x14ac:dyDescent="0.25">
      <c r="A21" s="7" t="s">
        <v>1627</v>
      </c>
      <c r="B21" s="9">
        <v>-9260.3700000000008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41"/>
  <sheetViews>
    <sheetView tabSelected="1" topLeftCell="A4" workbookViewId="0">
      <selection activeCell="A8" sqref="A8"/>
    </sheetView>
  </sheetViews>
  <sheetFormatPr defaultRowHeight="15" x14ac:dyDescent="0.25"/>
  <cols>
    <col min="1" max="1" width="28.85546875" customWidth="1"/>
    <col min="2" max="2" width="17.85546875" bestFit="1" customWidth="1"/>
    <col min="3" max="3" width="10.140625" customWidth="1"/>
    <col min="4" max="9" width="10.140625" hidden="1" customWidth="1"/>
    <col min="10" max="12" width="10.140625" bestFit="1" customWidth="1"/>
    <col min="13" max="13" width="9.140625" bestFit="1" customWidth="1"/>
    <col min="14" max="15" width="11.140625" bestFit="1" customWidth="1"/>
    <col min="16" max="16" width="10.140625" bestFit="1" customWidth="1"/>
    <col min="17" max="17" width="12.140625" hidden="1" customWidth="1"/>
    <col min="18" max="18" width="11.28515625" bestFit="1" customWidth="1"/>
  </cols>
  <sheetData>
    <row r="1" spans="1:18" x14ac:dyDescent="0.25">
      <c r="A1" s="6" t="s">
        <v>84</v>
      </c>
      <c r="B1" t="s">
        <v>1643</v>
      </c>
    </row>
    <row r="2" spans="1:18" x14ac:dyDescent="0.25">
      <c r="A2" s="6" t="s">
        <v>83</v>
      </c>
      <c r="B2" t="s">
        <v>1643</v>
      </c>
    </row>
    <row r="3" spans="1:18" x14ac:dyDescent="0.25">
      <c r="A3" s="6" t="s">
        <v>0</v>
      </c>
      <c r="B3" t="s">
        <v>1645</v>
      </c>
    </row>
    <row r="5" spans="1:18" x14ac:dyDescent="0.25">
      <c r="A5" s="6" t="s">
        <v>1644</v>
      </c>
      <c r="B5" s="6" t="s">
        <v>1628</v>
      </c>
    </row>
    <row r="6" spans="1:18" x14ac:dyDescent="0.25">
      <c r="B6">
        <v>2014</v>
      </c>
      <c r="N6" t="s">
        <v>1629</v>
      </c>
      <c r="O6" t="s">
        <v>86</v>
      </c>
      <c r="Q6" t="s">
        <v>1630</v>
      </c>
    </row>
    <row r="7" spans="1:18" x14ac:dyDescent="0.25">
      <c r="A7" s="6" t="s">
        <v>1625</v>
      </c>
      <c r="B7" t="s">
        <v>1631</v>
      </c>
      <c r="C7" t="s">
        <v>1632</v>
      </c>
      <c r="D7" t="s">
        <v>1633</v>
      </c>
      <c r="E7" t="s">
        <v>1634</v>
      </c>
      <c r="F7" t="s">
        <v>1635</v>
      </c>
      <c r="G7" t="s">
        <v>1636</v>
      </c>
      <c r="H7" t="s">
        <v>1637</v>
      </c>
      <c r="I7" t="s">
        <v>1638</v>
      </c>
      <c r="J7" t="s">
        <v>1639</v>
      </c>
      <c r="K7" t="s">
        <v>1640</v>
      </c>
      <c r="L7" t="s">
        <v>1641</v>
      </c>
      <c r="M7" t="s">
        <v>1642</v>
      </c>
      <c r="O7" t="s">
        <v>88</v>
      </c>
      <c r="P7" t="s">
        <v>87</v>
      </c>
    </row>
    <row r="8" spans="1:18" x14ac:dyDescent="0.25">
      <c r="A8" s="7" t="s">
        <v>52</v>
      </c>
      <c r="B8" s="9">
        <v>-391.40000000000003</v>
      </c>
      <c r="C8" s="9">
        <v>-3076.07</v>
      </c>
      <c r="D8" s="9">
        <v>-257.91999999999996</v>
      </c>
      <c r="E8" s="9">
        <v>-630.57999999999993</v>
      </c>
      <c r="F8" s="9">
        <v>-186.85</v>
      </c>
      <c r="G8" s="9">
        <v>-484.6</v>
      </c>
      <c r="H8" s="9">
        <v>-227.79999999999998</v>
      </c>
      <c r="I8" s="9">
        <v>-310.13</v>
      </c>
      <c r="J8" s="9">
        <v>-188.04999999999998</v>
      </c>
      <c r="K8" s="9">
        <v>-285</v>
      </c>
      <c r="L8" s="9">
        <v>-281.92999999999995</v>
      </c>
      <c r="M8" s="9">
        <v>-244.07999999999998</v>
      </c>
      <c r="N8" s="9">
        <v>-6564.4099999999989</v>
      </c>
      <c r="O8" s="9">
        <v>-5844</v>
      </c>
      <c r="P8" s="9">
        <v>-487</v>
      </c>
      <c r="Q8" s="9">
        <v>-6331</v>
      </c>
      <c r="R8" s="11"/>
    </row>
    <row r="9" spans="1:18" x14ac:dyDescent="0.25">
      <c r="A9" s="8" t="s">
        <v>1578</v>
      </c>
      <c r="B9" s="9">
        <v>-90</v>
      </c>
      <c r="C9" s="9">
        <v>-2765</v>
      </c>
      <c r="D9" s="9"/>
      <c r="E9" s="9"/>
      <c r="F9" s="9"/>
      <c r="G9" s="9"/>
      <c r="H9" s="9"/>
      <c r="I9" s="9"/>
      <c r="J9" s="9"/>
      <c r="K9" s="9"/>
      <c r="L9" s="9"/>
      <c r="M9" s="9"/>
      <c r="N9" s="9">
        <v>-2855</v>
      </c>
      <c r="O9" s="9">
        <v>-2400</v>
      </c>
      <c r="P9" s="9">
        <v>-200</v>
      </c>
      <c r="Q9" s="9">
        <v>-2600</v>
      </c>
      <c r="R9" s="11"/>
    </row>
    <row r="10" spans="1:18" x14ac:dyDescent="0.25">
      <c r="A10" s="8" t="s">
        <v>1544</v>
      </c>
      <c r="B10" s="9">
        <v>-183.85</v>
      </c>
      <c r="C10" s="9">
        <v>-183.85</v>
      </c>
      <c r="D10" s="9">
        <v>-183.85</v>
      </c>
      <c r="E10" s="9">
        <v>-183.85</v>
      </c>
      <c r="F10" s="9">
        <v>-183.85</v>
      </c>
      <c r="G10" s="9">
        <v>-183.85</v>
      </c>
      <c r="H10" s="9">
        <v>-183.85</v>
      </c>
      <c r="I10" s="9">
        <v>-183.85</v>
      </c>
      <c r="J10" s="9">
        <v>-183.85</v>
      </c>
      <c r="K10" s="9">
        <v>-183.85</v>
      </c>
      <c r="L10" s="9">
        <v>-183.85</v>
      </c>
      <c r="M10" s="9">
        <v>-183.85</v>
      </c>
      <c r="N10" s="9">
        <v>-2206.1999999999994</v>
      </c>
      <c r="O10" s="9">
        <v>-2220</v>
      </c>
      <c r="P10" s="9">
        <v>-185</v>
      </c>
      <c r="Q10" s="9">
        <v>-2405</v>
      </c>
      <c r="R10" s="11"/>
    </row>
    <row r="11" spans="1:18" x14ac:dyDescent="0.25">
      <c r="A11" s="8" t="s">
        <v>1584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>
        <v>-24</v>
      </c>
      <c r="P11" s="9">
        <v>-2</v>
      </c>
      <c r="Q11" s="9">
        <v>-26</v>
      </c>
      <c r="R11" s="11"/>
    </row>
    <row r="12" spans="1:18" x14ac:dyDescent="0.25">
      <c r="A12" s="8" t="s">
        <v>1568</v>
      </c>
      <c r="B12" s="9">
        <v>-25</v>
      </c>
      <c r="C12" s="9">
        <v>-1</v>
      </c>
      <c r="D12" s="9"/>
      <c r="E12" s="9">
        <v>-48.21</v>
      </c>
      <c r="F12" s="9"/>
      <c r="G12" s="9"/>
      <c r="H12" s="9">
        <v>-3.93</v>
      </c>
      <c r="I12" s="9">
        <v>-109.43</v>
      </c>
      <c r="J12" s="9"/>
      <c r="K12" s="9">
        <v>-66.42</v>
      </c>
      <c r="L12" s="9">
        <v>-43.86</v>
      </c>
      <c r="M12" s="9"/>
      <c r="N12" s="9">
        <v>-297.85000000000002</v>
      </c>
      <c r="O12" s="9">
        <v>-180</v>
      </c>
      <c r="P12" s="9">
        <v>-15</v>
      </c>
      <c r="Q12" s="9">
        <v>-195</v>
      </c>
      <c r="R12" s="11"/>
    </row>
    <row r="13" spans="1:18" x14ac:dyDescent="0.25">
      <c r="A13" s="8" t="s">
        <v>1577</v>
      </c>
      <c r="B13" s="9">
        <v>-42.550000000000004</v>
      </c>
      <c r="C13" s="9">
        <v>-29.15</v>
      </c>
      <c r="D13" s="9">
        <v>-24.07</v>
      </c>
      <c r="E13" s="9">
        <v>-46.37</v>
      </c>
      <c r="F13" s="9">
        <v>-3</v>
      </c>
      <c r="G13" s="9"/>
      <c r="H13" s="9">
        <v>-32.82</v>
      </c>
      <c r="I13" s="9">
        <v>-16.850000000000001</v>
      </c>
      <c r="J13" s="9">
        <v>-4.2</v>
      </c>
      <c r="K13" s="9">
        <v>-34.729999999999997</v>
      </c>
      <c r="L13" s="9">
        <v>-4.22</v>
      </c>
      <c r="M13" s="9">
        <v>-45.23</v>
      </c>
      <c r="N13" s="9">
        <v>-283.19</v>
      </c>
      <c r="O13" s="9">
        <v>-360</v>
      </c>
      <c r="P13" s="9">
        <v>-30</v>
      </c>
      <c r="Q13" s="9">
        <v>-390</v>
      </c>
      <c r="R13" s="11"/>
    </row>
    <row r="14" spans="1:18" x14ac:dyDescent="0.25">
      <c r="A14" s="8" t="s">
        <v>1588</v>
      </c>
      <c r="B14" s="9"/>
      <c r="C14" s="9"/>
      <c r="D14" s="9"/>
      <c r="E14" s="9"/>
      <c r="F14" s="9"/>
      <c r="G14" s="9">
        <v>-250.75</v>
      </c>
      <c r="H14" s="9"/>
      <c r="I14" s="9"/>
      <c r="J14" s="9"/>
      <c r="K14" s="9"/>
      <c r="L14" s="9"/>
      <c r="M14" s="9">
        <v>-15</v>
      </c>
      <c r="N14" s="9">
        <v>-265.75</v>
      </c>
      <c r="O14" s="9">
        <v>-240</v>
      </c>
      <c r="P14" s="9">
        <v>-20</v>
      </c>
      <c r="Q14" s="9">
        <v>-260</v>
      </c>
      <c r="R14" s="11"/>
    </row>
    <row r="15" spans="1:18" x14ac:dyDescent="0.25">
      <c r="A15" s="8" t="s">
        <v>1586</v>
      </c>
      <c r="B15" s="9"/>
      <c r="C15" s="9">
        <v>-47.07</v>
      </c>
      <c r="D15" s="9"/>
      <c r="E15" s="9">
        <v>-352.15</v>
      </c>
      <c r="F15" s="9"/>
      <c r="G15" s="9"/>
      <c r="H15" s="9"/>
      <c r="I15" s="9"/>
      <c r="J15" s="9"/>
      <c r="K15" s="9"/>
      <c r="L15" s="9"/>
      <c r="M15" s="9"/>
      <c r="N15" s="9">
        <v>-399.21999999999997</v>
      </c>
      <c r="O15" s="9">
        <v>-240</v>
      </c>
      <c r="P15" s="9">
        <v>-20</v>
      </c>
      <c r="Q15" s="9">
        <v>-260</v>
      </c>
      <c r="R15" s="11"/>
    </row>
    <row r="16" spans="1:18" x14ac:dyDescent="0.25">
      <c r="A16" s="8" t="s">
        <v>1585</v>
      </c>
      <c r="B16" s="9">
        <v>-50</v>
      </c>
      <c r="C16" s="9">
        <v>-50</v>
      </c>
      <c r="D16" s="9">
        <v>-50</v>
      </c>
      <c r="E16" s="9"/>
      <c r="F16" s="9"/>
      <c r="G16" s="9">
        <v>-50</v>
      </c>
      <c r="H16" s="9">
        <v>-7.2</v>
      </c>
      <c r="I16" s="9"/>
      <c r="J16" s="9"/>
      <c r="K16" s="9"/>
      <c r="L16" s="9">
        <v>-50</v>
      </c>
      <c r="M16" s="9"/>
      <c r="N16" s="9">
        <v>-257.2</v>
      </c>
      <c r="O16" s="9">
        <v>-180</v>
      </c>
      <c r="P16" s="9">
        <v>-15</v>
      </c>
      <c r="Q16" s="9">
        <v>-195</v>
      </c>
      <c r="R16" s="11"/>
    </row>
    <row r="17" spans="1:18" x14ac:dyDescent="0.25">
      <c r="A17" s="7" t="s">
        <v>53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3</v>
      </c>
      <c r="H17" s="9">
        <v>0</v>
      </c>
      <c r="I17" s="9"/>
      <c r="J17" s="9"/>
      <c r="K17" s="9"/>
      <c r="L17" s="9">
        <v>-5.8599999999999994</v>
      </c>
      <c r="M17" s="9">
        <v>8.56</v>
      </c>
      <c r="N17" s="9">
        <v>5.7000000000000011</v>
      </c>
      <c r="O17" s="9"/>
      <c r="P17" s="9"/>
      <c r="Q17" s="9"/>
      <c r="R17" s="11"/>
    </row>
    <row r="18" spans="1:18" x14ac:dyDescent="0.25">
      <c r="A18" s="7" t="s">
        <v>54</v>
      </c>
      <c r="B18" s="9">
        <v>-369.72999999999996</v>
      </c>
      <c r="C18" s="9">
        <v>-772.45</v>
      </c>
      <c r="D18" s="9">
        <v>-390.09999999999997</v>
      </c>
      <c r="E18" s="9">
        <v>-389.72999999999996</v>
      </c>
      <c r="F18" s="9">
        <v>-257.67</v>
      </c>
      <c r="G18" s="9">
        <v>-338.16</v>
      </c>
      <c r="H18" s="9">
        <v>-222.57</v>
      </c>
      <c r="I18" s="9">
        <v>-363.51000000000005</v>
      </c>
      <c r="J18" s="9">
        <v>-195.63</v>
      </c>
      <c r="K18" s="9">
        <v>-297.53999999999996</v>
      </c>
      <c r="L18" s="9">
        <v>-255.6</v>
      </c>
      <c r="M18" s="9">
        <v>-166.02</v>
      </c>
      <c r="N18" s="9">
        <v>-4018.71</v>
      </c>
      <c r="O18" s="9">
        <v>-4164</v>
      </c>
      <c r="P18" s="9">
        <v>-347</v>
      </c>
      <c r="Q18" s="9">
        <v>-4511</v>
      </c>
      <c r="R18" s="11"/>
    </row>
    <row r="19" spans="1:18" x14ac:dyDescent="0.25">
      <c r="A19" s="7" t="s">
        <v>55</v>
      </c>
      <c r="B19" s="9">
        <v>-5816.8399999999992</v>
      </c>
      <c r="C19" s="9">
        <v>-5871.9000000000005</v>
      </c>
      <c r="D19" s="9">
        <v>-5793.3899999999994</v>
      </c>
      <c r="E19" s="9">
        <v>-6666.16</v>
      </c>
      <c r="F19" s="9">
        <v>-6547.09</v>
      </c>
      <c r="G19" s="9">
        <v>-4912.38</v>
      </c>
      <c r="H19" s="9">
        <v>-5811.5300000000007</v>
      </c>
      <c r="I19" s="9">
        <v>-5889.86</v>
      </c>
      <c r="J19" s="9">
        <v>-5809.1799999999994</v>
      </c>
      <c r="K19" s="9">
        <v>-5764</v>
      </c>
      <c r="L19" s="9">
        <v>-6064.67</v>
      </c>
      <c r="M19" s="9">
        <v>-5769.1900000000005</v>
      </c>
      <c r="N19" s="9">
        <v>-70716.189999999988</v>
      </c>
      <c r="O19" s="9">
        <v>-75324</v>
      </c>
      <c r="P19" s="9">
        <v>-6277</v>
      </c>
      <c r="Q19" s="9">
        <v>-81601</v>
      </c>
      <c r="R19" s="11"/>
    </row>
    <row r="20" spans="1:18" x14ac:dyDescent="0.25">
      <c r="A20" s="7" t="s">
        <v>33</v>
      </c>
      <c r="B20" s="9">
        <v>4490</v>
      </c>
      <c r="C20" s="9">
        <v>4490</v>
      </c>
      <c r="D20" s="9">
        <v>4490</v>
      </c>
      <c r="E20" s="9">
        <v>6685</v>
      </c>
      <c r="F20" s="9">
        <v>4490</v>
      </c>
      <c r="G20" s="9">
        <v>4490</v>
      </c>
      <c r="H20" s="9">
        <v>4490</v>
      </c>
      <c r="I20" s="9">
        <v>4490</v>
      </c>
      <c r="J20" s="9">
        <v>2295</v>
      </c>
      <c r="K20" s="9">
        <v>6685</v>
      </c>
      <c r="L20" s="9">
        <v>4490</v>
      </c>
      <c r="M20" s="9">
        <v>2295</v>
      </c>
      <c r="N20" s="9">
        <v>53880</v>
      </c>
      <c r="O20" s="9">
        <v>53880</v>
      </c>
      <c r="P20" s="9">
        <v>4490</v>
      </c>
      <c r="Q20" s="9">
        <v>58370</v>
      </c>
      <c r="R20" s="11"/>
    </row>
    <row r="21" spans="1:18" x14ac:dyDescent="0.25">
      <c r="A21" s="7" t="s">
        <v>56</v>
      </c>
      <c r="B21" s="9"/>
      <c r="C21" s="9">
        <v>-65</v>
      </c>
      <c r="D21" s="9"/>
      <c r="E21" s="9"/>
      <c r="F21" s="9"/>
      <c r="G21" s="9"/>
      <c r="H21" s="9"/>
      <c r="I21" s="9">
        <v>-50</v>
      </c>
      <c r="J21" s="9">
        <v>-90</v>
      </c>
      <c r="K21" s="9">
        <v>-500</v>
      </c>
      <c r="L21" s="9"/>
      <c r="M21" s="9">
        <v>-51.58</v>
      </c>
      <c r="N21" s="9">
        <v>-756.58</v>
      </c>
      <c r="O21" s="9"/>
      <c r="P21" s="9"/>
      <c r="Q21" s="9"/>
      <c r="R21" s="11"/>
    </row>
    <row r="22" spans="1:18" x14ac:dyDescent="0.25">
      <c r="A22" s="7" t="s">
        <v>58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>
        <v>-48</v>
      </c>
      <c r="P22" s="9">
        <v>-4</v>
      </c>
      <c r="Q22" s="9">
        <v>-52</v>
      </c>
      <c r="R22" s="11"/>
    </row>
    <row r="23" spans="1:18" x14ac:dyDescent="0.25">
      <c r="A23" s="7" t="s">
        <v>17</v>
      </c>
      <c r="B23" s="9">
        <v>-33.5</v>
      </c>
      <c r="C23" s="9"/>
      <c r="D23" s="9">
        <v>-12.53</v>
      </c>
      <c r="E23" s="9">
        <v>-344</v>
      </c>
      <c r="F23" s="9">
        <v>-19.130000000000003</v>
      </c>
      <c r="G23" s="9">
        <v>-8.75</v>
      </c>
      <c r="H23" s="9">
        <v>-10.06</v>
      </c>
      <c r="I23" s="9">
        <v>-101.75</v>
      </c>
      <c r="J23" s="9">
        <v>-44.75</v>
      </c>
      <c r="K23" s="9">
        <v>-8.75</v>
      </c>
      <c r="L23" s="9">
        <v>-152.75</v>
      </c>
      <c r="M23" s="9">
        <v>-36.5</v>
      </c>
      <c r="N23" s="9">
        <v>-772.47</v>
      </c>
      <c r="O23" s="9">
        <v>-1200</v>
      </c>
      <c r="P23" s="9">
        <v>-100</v>
      </c>
      <c r="Q23" s="9">
        <v>-1300</v>
      </c>
      <c r="R23" s="11"/>
    </row>
    <row r="24" spans="1:18" x14ac:dyDescent="0.25">
      <c r="A24" s="7" t="s">
        <v>60</v>
      </c>
      <c r="B24" s="9"/>
      <c r="C24" s="9"/>
      <c r="D24" s="9">
        <v>-40</v>
      </c>
      <c r="E24" s="9"/>
      <c r="F24" s="9">
        <v>-15487.26</v>
      </c>
      <c r="G24" s="9"/>
      <c r="H24" s="9"/>
      <c r="I24" s="9"/>
      <c r="J24" s="9"/>
      <c r="K24" s="9"/>
      <c r="L24" s="9"/>
      <c r="M24" s="9"/>
      <c r="N24" s="9">
        <v>-15527.26</v>
      </c>
      <c r="O24" s="9"/>
      <c r="P24" s="9"/>
      <c r="Q24" s="9"/>
      <c r="R24" s="11"/>
    </row>
    <row r="25" spans="1:18" x14ac:dyDescent="0.25">
      <c r="A25" s="7" t="s">
        <v>61</v>
      </c>
      <c r="B25" s="9">
        <v>-1324.4900000000002</v>
      </c>
      <c r="C25" s="9">
        <v>-939.8</v>
      </c>
      <c r="D25" s="9">
        <v>-1250.05</v>
      </c>
      <c r="E25" s="9">
        <v>-1088.8900000000001</v>
      </c>
      <c r="F25" s="9">
        <v>-1645.1300000000003</v>
      </c>
      <c r="G25" s="9">
        <v>-947.49000000000012</v>
      </c>
      <c r="H25" s="9">
        <v>-1210.5899999999999</v>
      </c>
      <c r="I25" s="9">
        <v>-929.41</v>
      </c>
      <c r="J25" s="9">
        <v>-1456.3899999999999</v>
      </c>
      <c r="K25" s="9">
        <v>-1048.2900000000002</v>
      </c>
      <c r="L25" s="9">
        <v>-1576.3099999999997</v>
      </c>
      <c r="M25" s="9">
        <v>-799.22000000000014</v>
      </c>
      <c r="N25" s="9">
        <v>-14216.06</v>
      </c>
      <c r="O25" s="9">
        <v>-14400</v>
      </c>
      <c r="P25" s="9">
        <v>-1200</v>
      </c>
      <c r="Q25" s="9">
        <v>-15600</v>
      </c>
      <c r="R25" s="11"/>
    </row>
    <row r="26" spans="1:18" x14ac:dyDescent="0.25">
      <c r="A26" s="7" t="s">
        <v>20</v>
      </c>
      <c r="B26" s="9">
        <v>-24.03</v>
      </c>
      <c r="C26" s="9">
        <v>-185.19999999999996</v>
      </c>
      <c r="D26" s="9">
        <v>-26.87</v>
      </c>
      <c r="E26" s="9">
        <v>-40.489999999999995</v>
      </c>
      <c r="F26" s="9">
        <v>-66.010000000000005</v>
      </c>
      <c r="G26" s="9">
        <v>-22.37</v>
      </c>
      <c r="H26" s="9"/>
      <c r="I26" s="9">
        <v>-39.200000000000003</v>
      </c>
      <c r="J26" s="9">
        <v>-579.52</v>
      </c>
      <c r="K26" s="9">
        <v>-8.75</v>
      </c>
      <c r="L26" s="9">
        <v>-158.20000000000002</v>
      </c>
      <c r="M26" s="9">
        <v>-676.52999999999986</v>
      </c>
      <c r="N26" s="9">
        <v>-1827.1699999999996</v>
      </c>
      <c r="O26" s="9">
        <v>-1200</v>
      </c>
      <c r="P26" s="9">
        <v>-100</v>
      </c>
      <c r="Q26" s="9">
        <v>-1300</v>
      </c>
      <c r="R26" s="11"/>
    </row>
    <row r="27" spans="1:18" x14ac:dyDescent="0.25">
      <c r="A27" s="7" t="s">
        <v>62</v>
      </c>
      <c r="B27" s="9">
        <v>-919.33</v>
      </c>
      <c r="C27" s="9">
        <v>-982.84</v>
      </c>
      <c r="D27" s="9">
        <v>-289.63</v>
      </c>
      <c r="E27" s="9">
        <v>-57.67</v>
      </c>
      <c r="F27" s="9">
        <v>-310.45999999999998</v>
      </c>
      <c r="G27" s="9">
        <v>32.190000000000012</v>
      </c>
      <c r="H27" s="9">
        <v>-5.4899999999999984</v>
      </c>
      <c r="I27" s="9">
        <v>-25.9</v>
      </c>
      <c r="J27" s="9">
        <v>-229.11</v>
      </c>
      <c r="K27" s="9">
        <v>-98.99</v>
      </c>
      <c r="L27" s="9">
        <v>100.71000000000001</v>
      </c>
      <c r="M27" s="9">
        <v>-223.31</v>
      </c>
      <c r="N27" s="9">
        <v>-3009.83</v>
      </c>
      <c r="O27" s="9">
        <v>-3900</v>
      </c>
      <c r="P27" s="9">
        <v>-325</v>
      </c>
      <c r="Q27" s="9">
        <v>-4225</v>
      </c>
      <c r="R27" s="11"/>
    </row>
    <row r="28" spans="1:18" x14ac:dyDescent="0.25">
      <c r="A28" s="7" t="s">
        <v>63</v>
      </c>
      <c r="B28" s="9">
        <v>-3794.88</v>
      </c>
      <c r="C28" s="9">
        <v>-3889.5</v>
      </c>
      <c r="D28" s="9">
        <v>-3885.46</v>
      </c>
      <c r="E28" s="9">
        <v>-4038.35</v>
      </c>
      <c r="F28" s="9">
        <v>-3927.4</v>
      </c>
      <c r="G28" s="9">
        <v>-3924.23</v>
      </c>
      <c r="H28" s="9">
        <v>-4026.15</v>
      </c>
      <c r="I28" s="9">
        <v>-4119.17</v>
      </c>
      <c r="J28" s="9">
        <v>-4096.1900000000005</v>
      </c>
      <c r="K28" s="9">
        <v>-3981.19</v>
      </c>
      <c r="L28" s="9">
        <v>-3888.2400000000002</v>
      </c>
      <c r="M28" s="9">
        <v>-4228.8599999999997</v>
      </c>
      <c r="N28" s="9">
        <v>-47799.62</v>
      </c>
      <c r="O28" s="9">
        <v>-46020</v>
      </c>
      <c r="P28" s="9">
        <v>-3835</v>
      </c>
      <c r="Q28" s="9">
        <v>-49855</v>
      </c>
      <c r="R28" s="11"/>
    </row>
    <row r="29" spans="1:18" x14ac:dyDescent="0.25">
      <c r="A29" s="7" t="s">
        <v>8</v>
      </c>
      <c r="B29" s="9">
        <v>177.89000000000001</v>
      </c>
      <c r="C29" s="9">
        <v>127.53</v>
      </c>
      <c r="D29" s="9">
        <v>72.679999999999993</v>
      </c>
      <c r="E29" s="9">
        <v>91.18</v>
      </c>
      <c r="F29" s="9">
        <v>74.279999999999987</v>
      </c>
      <c r="G29" s="9">
        <v>71.94</v>
      </c>
      <c r="H29" s="9">
        <v>87.499999999999986</v>
      </c>
      <c r="I29" s="9">
        <v>72.77</v>
      </c>
      <c r="J29" s="9">
        <v>70.459999999999994</v>
      </c>
      <c r="K29" s="9">
        <v>91.389999999999986</v>
      </c>
      <c r="L29" s="9">
        <v>83.43</v>
      </c>
      <c r="M29" s="9"/>
      <c r="N29" s="9">
        <v>1021.05</v>
      </c>
      <c r="O29" s="9">
        <v>1800</v>
      </c>
      <c r="P29" s="9">
        <v>150</v>
      </c>
      <c r="Q29" s="9">
        <v>1950</v>
      </c>
      <c r="R29" s="11"/>
    </row>
    <row r="30" spans="1:18" x14ac:dyDescent="0.25">
      <c r="A30" s="7" t="s">
        <v>66</v>
      </c>
      <c r="B30" s="9">
        <v>-2624.11</v>
      </c>
      <c r="C30" s="9">
        <v>-2879.13</v>
      </c>
      <c r="D30" s="9">
        <v>-3178</v>
      </c>
      <c r="E30" s="9">
        <v>-2733.91</v>
      </c>
      <c r="F30" s="9">
        <v>-2755.0699999999997</v>
      </c>
      <c r="G30" s="9">
        <v>-3000.8599999999997</v>
      </c>
      <c r="H30" s="9">
        <v>-2587.88</v>
      </c>
      <c r="I30" s="9">
        <v>-2828.17</v>
      </c>
      <c r="J30" s="9">
        <v>-2807.71</v>
      </c>
      <c r="K30" s="9">
        <v>-2975.11</v>
      </c>
      <c r="L30" s="9">
        <v>-3482.61</v>
      </c>
      <c r="M30" s="9">
        <v>-3154.35</v>
      </c>
      <c r="N30" s="9">
        <v>-35006.909999999996</v>
      </c>
      <c r="O30" s="9">
        <v>-33372</v>
      </c>
      <c r="P30" s="9">
        <v>-2781</v>
      </c>
      <c r="Q30" s="9">
        <v>-36153</v>
      </c>
      <c r="R30" s="11"/>
    </row>
    <row r="31" spans="1:18" x14ac:dyDescent="0.25">
      <c r="A31" s="7" t="s">
        <v>12</v>
      </c>
      <c r="B31" s="9">
        <v>12413.52</v>
      </c>
      <c r="C31" s="9">
        <v>12525.99</v>
      </c>
      <c r="D31" s="9">
        <v>12525.99</v>
      </c>
      <c r="E31" s="9">
        <v>12525.980000000001</v>
      </c>
      <c r="F31" s="9">
        <v>12390.830000000002</v>
      </c>
      <c r="G31" s="9">
        <v>12388.5</v>
      </c>
      <c r="H31" s="9">
        <v>12382.650000000001</v>
      </c>
      <c r="I31" s="9">
        <v>12929.07</v>
      </c>
      <c r="J31" s="9">
        <v>51628.86</v>
      </c>
      <c r="K31" s="9">
        <v>25456.010000000002</v>
      </c>
      <c r="L31" s="9">
        <v>17062.129999999997</v>
      </c>
      <c r="M31" s="9">
        <v>5548.92</v>
      </c>
      <c r="N31" s="9">
        <v>199778.45000000004</v>
      </c>
      <c r="O31" s="9">
        <v>150000</v>
      </c>
      <c r="P31" s="9">
        <v>12500</v>
      </c>
      <c r="Q31" s="9">
        <v>162500</v>
      </c>
      <c r="R31" s="11"/>
    </row>
    <row r="32" spans="1:18" x14ac:dyDescent="0.25">
      <c r="A32" s="7" t="s">
        <v>26</v>
      </c>
      <c r="B32" s="9"/>
      <c r="C32" s="9">
        <v>-200000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>
        <v>-200000</v>
      </c>
      <c r="O32" s="9"/>
      <c r="P32" s="9"/>
      <c r="Q32" s="9"/>
      <c r="R32" s="11"/>
    </row>
    <row r="33" spans="1:18" x14ac:dyDescent="0.25">
      <c r="A33" s="7" t="s">
        <v>14</v>
      </c>
      <c r="B33" s="9">
        <v>50</v>
      </c>
      <c r="C33" s="9">
        <v>125</v>
      </c>
      <c r="D33" s="9">
        <v>25</v>
      </c>
      <c r="E33" s="9">
        <v>50</v>
      </c>
      <c r="F33" s="9">
        <v>62</v>
      </c>
      <c r="G33" s="9">
        <v>50</v>
      </c>
      <c r="H33" s="9">
        <v>25</v>
      </c>
      <c r="I33" s="9">
        <v>1050</v>
      </c>
      <c r="J33" s="9">
        <v>50</v>
      </c>
      <c r="K33" s="9">
        <v>529.44000000000005</v>
      </c>
      <c r="L33" s="9">
        <v>25</v>
      </c>
      <c r="M33" s="9">
        <v>100</v>
      </c>
      <c r="N33" s="9">
        <v>2141.44</v>
      </c>
      <c r="O33" s="9">
        <v>900</v>
      </c>
      <c r="P33" s="9">
        <v>75</v>
      </c>
      <c r="Q33" s="9">
        <v>975</v>
      </c>
      <c r="R33" s="11"/>
    </row>
    <row r="34" spans="1:18" x14ac:dyDescent="0.25">
      <c r="A34" s="7" t="s">
        <v>69</v>
      </c>
      <c r="B34" s="9">
        <v>-109.5</v>
      </c>
      <c r="C34" s="9">
        <v>-46.53</v>
      </c>
      <c r="D34" s="9">
        <v>-322.77999999999997</v>
      </c>
      <c r="E34" s="9"/>
      <c r="F34" s="9"/>
      <c r="G34" s="9"/>
      <c r="H34" s="9"/>
      <c r="I34" s="9"/>
      <c r="J34" s="9"/>
      <c r="K34" s="9"/>
      <c r="L34" s="9">
        <v>-27.72</v>
      </c>
      <c r="M34" s="9">
        <v>-45</v>
      </c>
      <c r="N34" s="9">
        <v>-551.53</v>
      </c>
      <c r="O34" s="9">
        <v>-600</v>
      </c>
      <c r="P34" s="9">
        <v>-50</v>
      </c>
      <c r="Q34" s="9">
        <v>-650</v>
      </c>
    </row>
    <row r="35" spans="1:18" x14ac:dyDescent="0.25">
      <c r="A35" s="7" t="s">
        <v>70</v>
      </c>
      <c r="B35" s="9">
        <v>-160</v>
      </c>
      <c r="C35" s="9">
        <v>-75.400000000000006</v>
      </c>
      <c r="D35" s="9">
        <v>-34</v>
      </c>
      <c r="E35" s="9">
        <v>-118</v>
      </c>
      <c r="F35" s="9">
        <v>-34</v>
      </c>
      <c r="G35" s="9">
        <v>-99</v>
      </c>
      <c r="H35" s="9">
        <v>-85.47</v>
      </c>
      <c r="I35" s="9">
        <v>-98</v>
      </c>
      <c r="J35" s="9">
        <v>-57</v>
      </c>
      <c r="K35" s="9">
        <v>-123.98</v>
      </c>
      <c r="L35" s="9">
        <v>-34</v>
      </c>
      <c r="M35" s="9">
        <v>-117</v>
      </c>
      <c r="N35" s="9">
        <v>-1035.8499999999999</v>
      </c>
      <c r="O35" s="9">
        <v>-1368</v>
      </c>
      <c r="P35" s="9">
        <v>-114</v>
      </c>
      <c r="Q35" s="9">
        <v>-1482</v>
      </c>
    </row>
    <row r="36" spans="1:18" x14ac:dyDescent="0.25">
      <c r="A36" s="7" t="s">
        <v>90</v>
      </c>
      <c r="B36" s="9"/>
      <c r="C36" s="9">
        <v>-204.82</v>
      </c>
      <c r="D36" s="9"/>
      <c r="E36" s="9"/>
      <c r="F36" s="9">
        <v>-1247.8800000000001</v>
      </c>
      <c r="G36" s="9">
        <v>-1188.3899999999999</v>
      </c>
      <c r="H36" s="9">
        <v>-6.56</v>
      </c>
      <c r="I36" s="9">
        <v>337.89000000000004</v>
      </c>
      <c r="J36" s="9">
        <v>-39.470000000000006</v>
      </c>
      <c r="K36" s="9">
        <v>-5651.04</v>
      </c>
      <c r="L36" s="9">
        <v>-43.71</v>
      </c>
      <c r="M36" s="9">
        <v>-727.13</v>
      </c>
      <c r="N36" s="9">
        <v>-8771.11</v>
      </c>
      <c r="O36" s="9">
        <v>-7500</v>
      </c>
      <c r="P36" s="9">
        <v>-625</v>
      </c>
      <c r="Q36" s="9">
        <v>-8125</v>
      </c>
    </row>
    <row r="37" spans="1:18" x14ac:dyDescent="0.25">
      <c r="A37" s="7" t="s">
        <v>72</v>
      </c>
      <c r="B37" s="9">
        <v>-297.97000000000003</v>
      </c>
      <c r="C37" s="9">
        <v>-7.65</v>
      </c>
      <c r="D37" s="9"/>
      <c r="E37" s="9">
        <v>-37.65</v>
      </c>
      <c r="F37" s="9">
        <v>-365.98</v>
      </c>
      <c r="G37" s="9">
        <v>-180.72000000000003</v>
      </c>
      <c r="H37" s="9">
        <v>-47.4</v>
      </c>
      <c r="I37" s="9">
        <v>-295.52</v>
      </c>
      <c r="J37" s="9">
        <v>-33.760000000000005</v>
      </c>
      <c r="K37" s="9">
        <v>-533.28</v>
      </c>
      <c r="L37" s="9">
        <v>-49.12</v>
      </c>
      <c r="M37" s="9">
        <v>-208.45000000000002</v>
      </c>
      <c r="N37" s="9">
        <v>-2057.4999999999995</v>
      </c>
      <c r="O37" s="9">
        <v>-3600</v>
      </c>
      <c r="P37" s="9">
        <v>-300</v>
      </c>
      <c r="Q37" s="9">
        <v>-3900</v>
      </c>
    </row>
    <row r="38" spans="1:18" x14ac:dyDescent="0.25">
      <c r="A38" s="7" t="s">
        <v>73</v>
      </c>
      <c r="B38" s="9">
        <v>-30</v>
      </c>
      <c r="C38" s="9"/>
      <c r="D38" s="9">
        <v>-110</v>
      </c>
      <c r="E38" s="9">
        <v>-54.95</v>
      </c>
      <c r="F38" s="9">
        <v>-35</v>
      </c>
      <c r="G38" s="9">
        <v>-142</v>
      </c>
      <c r="H38" s="9"/>
      <c r="I38" s="9"/>
      <c r="J38" s="9"/>
      <c r="K38" s="9"/>
      <c r="L38" s="9"/>
      <c r="M38" s="9">
        <v>-13.120000000000001</v>
      </c>
      <c r="N38" s="9">
        <v>-385.07</v>
      </c>
      <c r="O38" s="9">
        <v>-420</v>
      </c>
      <c r="P38" s="9">
        <v>-35</v>
      </c>
      <c r="Q38" s="9">
        <v>-455</v>
      </c>
    </row>
    <row r="39" spans="1:18" x14ac:dyDescent="0.25">
      <c r="A39" s="7" t="s">
        <v>74</v>
      </c>
      <c r="B39" s="9"/>
      <c r="C39" s="9"/>
      <c r="D39" s="9"/>
      <c r="E39" s="9">
        <v>11977</v>
      </c>
      <c r="F39" s="9"/>
      <c r="G39" s="9"/>
      <c r="H39" s="9"/>
      <c r="I39" s="9">
        <v>-10000</v>
      </c>
      <c r="J39" s="9"/>
      <c r="K39" s="9"/>
      <c r="L39" s="9"/>
      <c r="M39" s="9"/>
      <c r="N39" s="9">
        <v>1977</v>
      </c>
      <c r="O39" s="9"/>
      <c r="P39" s="9"/>
      <c r="Q39" s="9"/>
    </row>
    <row r="40" spans="1:18" x14ac:dyDescent="0.25">
      <c r="A40" s="7" t="s">
        <v>75</v>
      </c>
      <c r="B40" s="9"/>
      <c r="C40" s="9">
        <v>-1464.8899999999999</v>
      </c>
      <c r="D40" s="9">
        <v>-113.43</v>
      </c>
      <c r="E40" s="9"/>
      <c r="F40" s="9">
        <v>-149.5</v>
      </c>
      <c r="G40" s="9">
        <v>-306.79000000000002</v>
      </c>
      <c r="H40" s="9">
        <v>-867.41000000000008</v>
      </c>
      <c r="I40" s="9">
        <v>-1055.3399999999999</v>
      </c>
      <c r="J40" s="9">
        <v>-1062.6399999999999</v>
      </c>
      <c r="K40" s="9">
        <v>-1326.16</v>
      </c>
      <c r="L40" s="9">
        <v>-1148.5</v>
      </c>
      <c r="M40" s="9">
        <v>-1774.7099999999998</v>
      </c>
      <c r="N40" s="9">
        <v>-9269.369999999999</v>
      </c>
      <c r="O40" s="9">
        <v>-9600</v>
      </c>
      <c r="P40" s="9">
        <v>-800</v>
      </c>
      <c r="Q40" s="9">
        <v>-10400</v>
      </c>
    </row>
    <row r="41" spans="1:18" x14ac:dyDescent="0.25">
      <c r="A41" s="7" t="s">
        <v>29</v>
      </c>
      <c r="B41" s="9"/>
      <c r="C41" s="9"/>
      <c r="D41" s="9"/>
      <c r="E41" s="9">
        <v>-19.509999999999991</v>
      </c>
      <c r="F41" s="9">
        <v>21.500000000000057</v>
      </c>
      <c r="G41" s="9">
        <v>-903.11</v>
      </c>
      <c r="H41" s="9">
        <v>903.11</v>
      </c>
      <c r="I41" s="9">
        <v>-24.14</v>
      </c>
      <c r="J41" s="9">
        <v>-0.11999999999999998</v>
      </c>
      <c r="K41" s="9">
        <v>-770.42999999999984</v>
      </c>
      <c r="L41" s="9">
        <v>816.65</v>
      </c>
      <c r="M41" s="9">
        <v>-13.099999999999966</v>
      </c>
      <c r="N41" s="9">
        <v>10.850000000000307</v>
      </c>
      <c r="O41" s="9"/>
      <c r="P41" s="9"/>
      <c r="Q41" s="9"/>
    </row>
  </sheetData>
  <pageMargins left="0.7" right="0.7" top="0.75" bottom="0.75" header="0.3" footer="0.3"/>
  <pageSetup scale="84" orientation="landscape" horizontalDpi="1200" verticalDpi="1200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A18" sqref="A18"/>
    </sheetView>
  </sheetViews>
  <sheetFormatPr defaultRowHeight="15" x14ac:dyDescent="0.25"/>
  <cols>
    <col min="1" max="1" width="19.5703125" bestFit="1" customWidth="1"/>
  </cols>
  <sheetData>
    <row r="1" spans="1:2" x14ac:dyDescent="0.25">
      <c r="A1" t="s">
        <v>1</v>
      </c>
      <c r="B1" t="s">
        <v>759</v>
      </c>
    </row>
    <row r="2" spans="1:2" x14ac:dyDescent="0.25">
      <c r="A2" t="s">
        <v>81</v>
      </c>
      <c r="B2" t="s">
        <v>80</v>
      </c>
    </row>
    <row r="3" spans="1:2" x14ac:dyDescent="0.25">
      <c r="A3" t="s">
        <v>82</v>
      </c>
      <c r="B3">
        <v>2014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242"/>
  <sheetViews>
    <sheetView topLeftCell="A196" workbookViewId="0">
      <selection activeCell="B192" sqref="B192"/>
    </sheetView>
  </sheetViews>
  <sheetFormatPr defaultRowHeight="15" x14ac:dyDescent="0.25"/>
  <cols>
    <col min="1" max="1" width="57.7109375" bestFit="1" customWidth="1"/>
    <col min="2" max="2" width="9.7109375" bestFit="1" customWidth="1"/>
  </cols>
  <sheetData>
    <row r="1" spans="1:11" x14ac:dyDescent="0.25">
      <c r="A1" s="1" t="s">
        <v>3</v>
      </c>
      <c r="B1" s="1" t="s">
        <v>0</v>
      </c>
      <c r="C1" s="1" t="s">
        <v>83</v>
      </c>
      <c r="D1" s="1" t="s">
        <v>84</v>
      </c>
      <c r="E1" s="1" t="s">
        <v>85</v>
      </c>
      <c r="F1" s="1" t="s">
        <v>86</v>
      </c>
      <c r="I1" s="1" t="s">
        <v>251</v>
      </c>
      <c r="J1" s="1" t="s">
        <v>35</v>
      </c>
      <c r="K1" s="1" t="s">
        <v>252</v>
      </c>
    </row>
    <row r="2" spans="1:11" x14ac:dyDescent="0.25">
      <c r="A2" t="s">
        <v>15</v>
      </c>
      <c r="B2" t="s">
        <v>2</v>
      </c>
      <c r="C2">
        <v>0</v>
      </c>
      <c r="D2" t="s">
        <v>34</v>
      </c>
      <c r="E2" t="s">
        <v>247</v>
      </c>
      <c r="F2">
        <v>0</v>
      </c>
      <c r="I2">
        <f>SUMIF(F2:F242,"&gt;0")</f>
        <v>17380</v>
      </c>
      <c r="J2">
        <f>SUMIF(F2:F242,"&lt;0")*-1</f>
        <v>17215</v>
      </c>
      <c r="K2">
        <f>J2-I2</f>
        <v>-165</v>
      </c>
    </row>
    <row r="3" spans="1:11" x14ac:dyDescent="0.25">
      <c r="A3" t="s">
        <v>4</v>
      </c>
      <c r="B3" t="s">
        <v>2</v>
      </c>
      <c r="C3">
        <v>0</v>
      </c>
      <c r="D3" t="s">
        <v>34</v>
      </c>
      <c r="E3" t="s">
        <v>247</v>
      </c>
      <c r="F3">
        <v>0</v>
      </c>
    </row>
    <row r="4" spans="1:11" x14ac:dyDescent="0.25">
      <c r="A4" t="s">
        <v>6</v>
      </c>
      <c r="B4" t="s">
        <v>2</v>
      </c>
      <c r="C4">
        <v>0</v>
      </c>
      <c r="D4" t="s">
        <v>34</v>
      </c>
      <c r="E4" t="s">
        <v>247</v>
      </c>
      <c r="F4">
        <v>0</v>
      </c>
    </row>
    <row r="5" spans="1:11" x14ac:dyDescent="0.25">
      <c r="A5" t="s">
        <v>5</v>
      </c>
      <c r="B5" t="s">
        <v>2</v>
      </c>
      <c r="C5">
        <v>0</v>
      </c>
      <c r="D5" t="s">
        <v>34</v>
      </c>
      <c r="E5" t="s">
        <v>247</v>
      </c>
      <c r="F5">
        <v>0</v>
      </c>
    </row>
    <row r="6" spans="1:11" x14ac:dyDescent="0.25">
      <c r="A6" t="s">
        <v>7</v>
      </c>
      <c r="B6" t="s">
        <v>2</v>
      </c>
      <c r="C6">
        <v>0</v>
      </c>
      <c r="D6" t="s">
        <v>34</v>
      </c>
      <c r="E6" t="s">
        <v>247</v>
      </c>
      <c r="F6">
        <v>0</v>
      </c>
    </row>
    <row r="7" spans="1:11" x14ac:dyDescent="0.25">
      <c r="A7" t="s">
        <v>10</v>
      </c>
      <c r="B7" t="s">
        <v>2</v>
      </c>
      <c r="C7">
        <v>0</v>
      </c>
      <c r="D7" t="s">
        <v>34</v>
      </c>
      <c r="E7" t="s">
        <v>247</v>
      </c>
      <c r="F7">
        <v>0</v>
      </c>
    </row>
    <row r="8" spans="1:11" x14ac:dyDescent="0.25">
      <c r="A8" t="s">
        <v>89</v>
      </c>
      <c r="B8" t="s">
        <v>2</v>
      </c>
      <c r="C8">
        <v>0</v>
      </c>
      <c r="D8" t="s">
        <v>34</v>
      </c>
      <c r="E8" t="s">
        <v>247</v>
      </c>
      <c r="F8">
        <v>0</v>
      </c>
    </row>
    <row r="9" spans="1:11" x14ac:dyDescent="0.25">
      <c r="A9" t="s">
        <v>18</v>
      </c>
      <c r="B9" t="s">
        <v>2</v>
      </c>
      <c r="C9">
        <v>0</v>
      </c>
      <c r="D9" t="s">
        <v>34</v>
      </c>
      <c r="E9" t="s">
        <v>247</v>
      </c>
      <c r="F9">
        <v>0</v>
      </c>
    </row>
    <row r="10" spans="1:11" x14ac:dyDescent="0.25">
      <c r="A10" t="s">
        <v>9</v>
      </c>
      <c r="B10" t="s">
        <v>2</v>
      </c>
      <c r="C10">
        <v>0</v>
      </c>
      <c r="D10" t="s">
        <v>34</v>
      </c>
      <c r="E10" t="s">
        <v>247</v>
      </c>
      <c r="F10">
        <v>0</v>
      </c>
    </row>
    <row r="11" spans="1:11" x14ac:dyDescent="0.25">
      <c r="A11" t="s">
        <v>28</v>
      </c>
      <c r="B11" t="s">
        <v>2</v>
      </c>
      <c r="C11">
        <v>0</v>
      </c>
      <c r="D11" t="s">
        <v>34</v>
      </c>
      <c r="E11" t="s">
        <v>247</v>
      </c>
      <c r="F11">
        <v>0</v>
      </c>
    </row>
    <row r="12" spans="1:11" x14ac:dyDescent="0.25">
      <c r="A12" t="s">
        <v>27</v>
      </c>
      <c r="B12" t="s">
        <v>2</v>
      </c>
      <c r="C12">
        <v>0</v>
      </c>
      <c r="D12" t="s">
        <v>34</v>
      </c>
      <c r="E12" t="s">
        <v>247</v>
      </c>
      <c r="F12">
        <v>0</v>
      </c>
    </row>
    <row r="13" spans="1:11" x14ac:dyDescent="0.25">
      <c r="A13" t="s">
        <v>30</v>
      </c>
      <c r="B13" t="s">
        <v>2</v>
      </c>
      <c r="C13">
        <v>0</v>
      </c>
      <c r="D13" t="s">
        <v>34</v>
      </c>
      <c r="E13" t="s">
        <v>247</v>
      </c>
      <c r="F13">
        <v>0</v>
      </c>
    </row>
    <row r="14" spans="1:11" x14ac:dyDescent="0.25">
      <c r="A14" t="s">
        <v>248</v>
      </c>
      <c r="B14" t="s">
        <v>2</v>
      </c>
      <c r="C14">
        <v>0</v>
      </c>
      <c r="D14" t="s">
        <v>34</v>
      </c>
      <c r="E14" t="s">
        <v>247</v>
      </c>
      <c r="F14">
        <v>0</v>
      </c>
    </row>
    <row r="15" spans="1:11" x14ac:dyDescent="0.25">
      <c r="A15" t="s">
        <v>24</v>
      </c>
      <c r="B15" t="s">
        <v>2</v>
      </c>
      <c r="C15">
        <v>0</v>
      </c>
      <c r="D15" t="s">
        <v>34</v>
      </c>
      <c r="E15" t="s">
        <v>247</v>
      </c>
      <c r="F15">
        <v>0</v>
      </c>
    </row>
    <row r="16" spans="1:11" x14ac:dyDescent="0.25">
      <c r="A16" t="s">
        <v>25</v>
      </c>
      <c r="B16" t="s">
        <v>2</v>
      </c>
      <c r="C16">
        <v>0</v>
      </c>
      <c r="D16" t="s">
        <v>34</v>
      </c>
      <c r="E16" t="s">
        <v>247</v>
      </c>
      <c r="F16">
        <v>0</v>
      </c>
    </row>
    <row r="17" spans="1:6" x14ac:dyDescent="0.25">
      <c r="A17" t="s">
        <v>31</v>
      </c>
      <c r="B17" t="s">
        <v>2</v>
      </c>
      <c r="C17">
        <v>0</v>
      </c>
      <c r="D17" t="s">
        <v>34</v>
      </c>
      <c r="E17" t="s">
        <v>247</v>
      </c>
      <c r="F17">
        <v>0</v>
      </c>
    </row>
    <row r="18" spans="1:6" x14ac:dyDescent="0.25">
      <c r="A18" t="s">
        <v>16</v>
      </c>
      <c r="B18" t="s">
        <v>2</v>
      </c>
      <c r="C18">
        <v>0</v>
      </c>
      <c r="D18" t="s">
        <v>34</v>
      </c>
      <c r="E18" t="s">
        <v>247</v>
      </c>
      <c r="F18">
        <v>0</v>
      </c>
    </row>
    <row r="19" spans="1:6" x14ac:dyDescent="0.25">
      <c r="A19" t="s">
        <v>13</v>
      </c>
      <c r="B19" t="s">
        <v>2</v>
      </c>
      <c r="C19">
        <v>0</v>
      </c>
      <c r="D19" t="s">
        <v>34</v>
      </c>
      <c r="E19" t="s">
        <v>247</v>
      </c>
      <c r="F19">
        <v>0</v>
      </c>
    </row>
    <row r="20" spans="1:6" x14ac:dyDescent="0.25">
      <c r="A20" t="s">
        <v>19</v>
      </c>
      <c r="B20" t="s">
        <v>2</v>
      </c>
      <c r="C20">
        <v>0</v>
      </c>
      <c r="D20" t="s">
        <v>34</v>
      </c>
      <c r="E20" t="s">
        <v>247</v>
      </c>
      <c r="F20">
        <v>0</v>
      </c>
    </row>
    <row r="21" spans="1:6" x14ac:dyDescent="0.25">
      <c r="A21" t="s">
        <v>79</v>
      </c>
      <c r="B21" t="s">
        <v>2</v>
      </c>
      <c r="C21">
        <v>0</v>
      </c>
      <c r="D21" t="s">
        <v>34</v>
      </c>
      <c r="E21" t="s">
        <v>247</v>
      </c>
      <c r="F21">
        <v>0</v>
      </c>
    </row>
    <row r="22" spans="1:6" x14ac:dyDescent="0.25">
      <c r="A22" t="s">
        <v>22</v>
      </c>
      <c r="B22" t="s">
        <v>2</v>
      </c>
      <c r="C22">
        <v>0</v>
      </c>
      <c r="D22" t="s">
        <v>34</v>
      </c>
      <c r="E22" t="s">
        <v>247</v>
      </c>
      <c r="F22">
        <v>0</v>
      </c>
    </row>
    <row r="23" spans="1:6" x14ac:dyDescent="0.25">
      <c r="A23" t="s">
        <v>21</v>
      </c>
      <c r="B23" t="s">
        <v>2</v>
      </c>
      <c r="C23">
        <v>0</v>
      </c>
      <c r="D23" t="s">
        <v>34</v>
      </c>
      <c r="E23" t="s">
        <v>247</v>
      </c>
      <c r="F23">
        <v>0</v>
      </c>
    </row>
    <row r="24" spans="1:6" x14ac:dyDescent="0.25">
      <c r="A24" t="s">
        <v>11</v>
      </c>
      <c r="B24" t="s">
        <v>2</v>
      </c>
      <c r="C24">
        <v>0</v>
      </c>
      <c r="D24" t="s">
        <v>34</v>
      </c>
      <c r="E24" t="s">
        <v>247</v>
      </c>
      <c r="F24">
        <v>0</v>
      </c>
    </row>
    <row r="25" spans="1:6" x14ac:dyDescent="0.25">
      <c r="A25" t="s">
        <v>23</v>
      </c>
      <c r="B25" t="s">
        <v>2</v>
      </c>
      <c r="C25">
        <v>0</v>
      </c>
      <c r="D25" t="s">
        <v>34</v>
      </c>
      <c r="E25" t="s">
        <v>247</v>
      </c>
      <c r="F25">
        <v>0</v>
      </c>
    </row>
    <row r="26" spans="1:6" x14ac:dyDescent="0.25">
      <c r="A26" t="s">
        <v>249</v>
      </c>
      <c r="B26" t="s">
        <v>2</v>
      </c>
      <c r="C26">
        <v>0</v>
      </c>
      <c r="D26" t="s">
        <v>34</v>
      </c>
      <c r="E26" t="s">
        <v>247</v>
      </c>
      <c r="F26">
        <v>0</v>
      </c>
    </row>
    <row r="27" spans="1:6" x14ac:dyDescent="0.25">
      <c r="A27" t="s">
        <v>76</v>
      </c>
      <c r="B27" t="s">
        <v>244</v>
      </c>
      <c r="C27">
        <v>0</v>
      </c>
      <c r="D27" t="s">
        <v>34</v>
      </c>
      <c r="E27" t="s">
        <v>247</v>
      </c>
      <c r="F27">
        <v>0</v>
      </c>
    </row>
    <row r="28" spans="1:6" x14ac:dyDescent="0.25">
      <c r="A28" t="s">
        <v>77</v>
      </c>
      <c r="B28" t="s">
        <v>244</v>
      </c>
      <c r="C28">
        <v>0</v>
      </c>
      <c r="D28" t="s">
        <v>34</v>
      </c>
      <c r="E28" t="s">
        <v>247</v>
      </c>
      <c r="F28">
        <v>0</v>
      </c>
    </row>
    <row r="29" spans="1:6" x14ac:dyDescent="0.25">
      <c r="A29" t="s">
        <v>39</v>
      </c>
      <c r="B29" t="s">
        <v>244</v>
      </c>
      <c r="C29">
        <v>0</v>
      </c>
      <c r="D29" t="s">
        <v>34</v>
      </c>
      <c r="E29" t="s">
        <v>247</v>
      </c>
      <c r="F29">
        <v>0</v>
      </c>
    </row>
    <row r="30" spans="1:6" x14ac:dyDescent="0.25">
      <c r="A30" t="s">
        <v>40</v>
      </c>
      <c r="B30" t="s">
        <v>244</v>
      </c>
      <c r="C30">
        <v>0</v>
      </c>
      <c r="D30" t="s">
        <v>34</v>
      </c>
      <c r="E30" t="s">
        <v>247</v>
      </c>
      <c r="F30">
        <v>0</v>
      </c>
    </row>
    <row r="31" spans="1:6" x14ac:dyDescent="0.25">
      <c r="A31" t="s">
        <v>41</v>
      </c>
      <c r="B31" t="s">
        <v>244</v>
      </c>
      <c r="C31">
        <v>0</v>
      </c>
      <c r="D31" t="s">
        <v>34</v>
      </c>
      <c r="E31" t="s">
        <v>247</v>
      </c>
      <c r="F31">
        <v>0</v>
      </c>
    </row>
    <row r="32" spans="1:6" x14ac:dyDescent="0.25">
      <c r="A32" t="s">
        <v>42</v>
      </c>
      <c r="B32" t="s">
        <v>244</v>
      </c>
      <c r="C32">
        <v>0</v>
      </c>
      <c r="D32" t="s">
        <v>34</v>
      </c>
      <c r="E32" t="s">
        <v>247</v>
      </c>
      <c r="F32">
        <v>0</v>
      </c>
    </row>
    <row r="33" spans="1:6" x14ac:dyDescent="0.25">
      <c r="A33" t="s">
        <v>43</v>
      </c>
      <c r="B33" t="s">
        <v>244</v>
      </c>
      <c r="C33">
        <v>0</v>
      </c>
      <c r="D33" t="s">
        <v>34</v>
      </c>
      <c r="E33" t="s">
        <v>247</v>
      </c>
      <c r="F33">
        <v>0</v>
      </c>
    </row>
    <row r="34" spans="1:6" x14ac:dyDescent="0.25">
      <c r="A34" t="s">
        <v>44</v>
      </c>
      <c r="B34" t="s">
        <v>244</v>
      </c>
      <c r="C34">
        <v>0</v>
      </c>
      <c r="D34" t="s">
        <v>34</v>
      </c>
      <c r="E34" t="s">
        <v>247</v>
      </c>
      <c r="F34">
        <v>0</v>
      </c>
    </row>
    <row r="35" spans="1:6" x14ac:dyDescent="0.25">
      <c r="A35" t="s">
        <v>78</v>
      </c>
      <c r="B35" t="s">
        <v>244</v>
      </c>
      <c r="C35">
        <v>0</v>
      </c>
      <c r="D35" t="s">
        <v>34</v>
      </c>
      <c r="E35" t="s">
        <v>247</v>
      </c>
      <c r="F35">
        <v>0</v>
      </c>
    </row>
    <row r="36" spans="1:6" x14ac:dyDescent="0.25">
      <c r="A36" t="s">
        <v>45</v>
      </c>
      <c r="B36" t="s">
        <v>244</v>
      </c>
      <c r="C36">
        <v>0</v>
      </c>
      <c r="D36" t="s">
        <v>34</v>
      </c>
      <c r="E36" t="s">
        <v>247</v>
      </c>
      <c r="F36">
        <v>0</v>
      </c>
    </row>
    <row r="37" spans="1:6" x14ac:dyDescent="0.25">
      <c r="A37" t="s">
        <v>46</v>
      </c>
      <c r="B37" t="s">
        <v>244</v>
      </c>
      <c r="C37">
        <v>0</v>
      </c>
      <c r="D37" t="s">
        <v>34</v>
      </c>
      <c r="E37" t="s">
        <v>247</v>
      </c>
      <c r="F37">
        <v>0</v>
      </c>
    </row>
    <row r="38" spans="1:6" x14ac:dyDescent="0.25">
      <c r="A38" t="s">
        <v>47</v>
      </c>
      <c r="B38" t="s">
        <v>244</v>
      </c>
      <c r="C38">
        <v>0</v>
      </c>
      <c r="D38" t="s">
        <v>34</v>
      </c>
      <c r="E38" t="s">
        <v>247</v>
      </c>
      <c r="F38">
        <v>0</v>
      </c>
    </row>
    <row r="39" spans="1:6" x14ac:dyDescent="0.25">
      <c r="A39" t="s">
        <v>48</v>
      </c>
      <c r="B39" t="s">
        <v>244</v>
      </c>
      <c r="C39">
        <v>0</v>
      </c>
      <c r="D39" t="s">
        <v>34</v>
      </c>
      <c r="E39" t="s">
        <v>247</v>
      </c>
      <c r="F39">
        <v>0</v>
      </c>
    </row>
    <row r="40" spans="1:6" x14ac:dyDescent="0.25">
      <c r="A40" t="s">
        <v>49</v>
      </c>
      <c r="B40" t="s">
        <v>244</v>
      </c>
      <c r="C40">
        <v>0</v>
      </c>
      <c r="D40" t="s">
        <v>34</v>
      </c>
      <c r="E40" t="s">
        <v>247</v>
      </c>
      <c r="F40">
        <v>0</v>
      </c>
    </row>
    <row r="41" spans="1:6" x14ac:dyDescent="0.25">
      <c r="A41" t="s">
        <v>50</v>
      </c>
      <c r="B41" t="s">
        <v>244</v>
      </c>
      <c r="C41">
        <v>0</v>
      </c>
      <c r="D41" t="s">
        <v>34</v>
      </c>
      <c r="E41" t="s">
        <v>247</v>
      </c>
      <c r="F41">
        <v>0</v>
      </c>
    </row>
    <row r="42" spans="1:6" x14ac:dyDescent="0.25">
      <c r="A42" t="s">
        <v>51</v>
      </c>
      <c r="B42" t="s">
        <v>244</v>
      </c>
      <c r="C42">
        <v>0</v>
      </c>
      <c r="D42" t="s">
        <v>34</v>
      </c>
      <c r="E42" t="s">
        <v>247</v>
      </c>
      <c r="F42">
        <v>0</v>
      </c>
    </row>
    <row r="43" spans="1:6" x14ac:dyDescent="0.25">
      <c r="A43" t="s">
        <v>52</v>
      </c>
      <c r="B43" t="s">
        <v>244</v>
      </c>
      <c r="C43">
        <v>0</v>
      </c>
      <c r="D43" t="s">
        <v>34</v>
      </c>
      <c r="E43" t="s">
        <v>247</v>
      </c>
      <c r="F43">
        <v>0</v>
      </c>
    </row>
    <row r="44" spans="1:6" x14ac:dyDescent="0.25">
      <c r="A44" t="s">
        <v>98</v>
      </c>
      <c r="B44" t="s">
        <v>88</v>
      </c>
      <c r="C44">
        <v>0</v>
      </c>
      <c r="D44" t="s">
        <v>34</v>
      </c>
      <c r="E44" t="s">
        <v>247</v>
      </c>
      <c r="F44">
        <v>200</v>
      </c>
    </row>
    <row r="45" spans="1:6" x14ac:dyDescent="0.25">
      <c r="A45" t="s">
        <v>99</v>
      </c>
      <c r="B45" t="s">
        <v>87</v>
      </c>
      <c r="C45">
        <v>0</v>
      </c>
      <c r="D45" t="s">
        <v>34</v>
      </c>
      <c r="E45" t="s">
        <v>247</v>
      </c>
      <c r="F45">
        <v>185</v>
      </c>
    </row>
    <row r="46" spans="1:6" x14ac:dyDescent="0.25">
      <c r="A46" t="s">
        <v>100</v>
      </c>
      <c r="B46" t="s">
        <v>244</v>
      </c>
      <c r="C46">
        <v>0</v>
      </c>
      <c r="D46" t="s">
        <v>34</v>
      </c>
      <c r="E46" t="s">
        <v>247</v>
      </c>
      <c r="F46">
        <v>0</v>
      </c>
    </row>
    <row r="47" spans="1:6" x14ac:dyDescent="0.25">
      <c r="A47" t="s">
        <v>101</v>
      </c>
      <c r="B47" t="s">
        <v>244</v>
      </c>
      <c r="C47">
        <v>0</v>
      </c>
      <c r="D47" t="s">
        <v>34</v>
      </c>
      <c r="E47" t="s">
        <v>247</v>
      </c>
      <c r="F47">
        <v>0</v>
      </c>
    </row>
    <row r="48" spans="1:6" x14ac:dyDescent="0.25">
      <c r="A48" t="s">
        <v>102</v>
      </c>
      <c r="B48" t="s">
        <v>88</v>
      </c>
      <c r="C48">
        <v>0</v>
      </c>
      <c r="D48" t="s">
        <v>34</v>
      </c>
      <c r="E48" t="s">
        <v>247</v>
      </c>
      <c r="F48">
        <v>2</v>
      </c>
    </row>
    <row r="49" spans="1:6" x14ac:dyDescent="0.25">
      <c r="A49" t="s">
        <v>103</v>
      </c>
      <c r="B49" t="s">
        <v>87</v>
      </c>
      <c r="C49">
        <v>0</v>
      </c>
      <c r="D49" t="s">
        <v>34</v>
      </c>
      <c r="E49" t="s">
        <v>247</v>
      </c>
      <c r="F49">
        <v>15</v>
      </c>
    </row>
    <row r="50" spans="1:6" x14ac:dyDescent="0.25">
      <c r="A50" t="s">
        <v>104</v>
      </c>
      <c r="B50" t="s">
        <v>87</v>
      </c>
      <c r="C50">
        <v>0</v>
      </c>
      <c r="D50" t="s">
        <v>34</v>
      </c>
      <c r="E50" t="s">
        <v>247</v>
      </c>
      <c r="F50">
        <v>30</v>
      </c>
    </row>
    <row r="51" spans="1:6" x14ac:dyDescent="0.25">
      <c r="A51" t="s">
        <v>105</v>
      </c>
      <c r="B51" t="s">
        <v>244</v>
      </c>
      <c r="C51">
        <v>0</v>
      </c>
      <c r="D51" t="s">
        <v>34</v>
      </c>
      <c r="E51" t="s">
        <v>247</v>
      </c>
      <c r="F51">
        <v>0</v>
      </c>
    </row>
    <row r="52" spans="1:6" x14ac:dyDescent="0.25">
      <c r="A52" t="s">
        <v>106</v>
      </c>
      <c r="B52" t="s">
        <v>88</v>
      </c>
      <c r="C52">
        <v>0</v>
      </c>
      <c r="D52" t="s">
        <v>34</v>
      </c>
      <c r="E52" t="s">
        <v>247</v>
      </c>
      <c r="F52">
        <v>20</v>
      </c>
    </row>
    <row r="53" spans="1:6" x14ac:dyDescent="0.25">
      <c r="A53" t="s">
        <v>107</v>
      </c>
      <c r="B53" t="s">
        <v>246</v>
      </c>
      <c r="C53">
        <v>0</v>
      </c>
      <c r="D53" t="s">
        <v>34</v>
      </c>
      <c r="E53" t="s">
        <v>247</v>
      </c>
      <c r="F53">
        <v>20</v>
      </c>
    </row>
    <row r="54" spans="1:6" x14ac:dyDescent="0.25">
      <c r="A54" t="s">
        <v>108</v>
      </c>
      <c r="B54" t="s">
        <v>245</v>
      </c>
      <c r="C54">
        <v>0</v>
      </c>
      <c r="D54" t="s">
        <v>34</v>
      </c>
      <c r="E54" t="s">
        <v>247</v>
      </c>
      <c r="F54">
        <v>15</v>
      </c>
    </row>
    <row r="55" spans="1:6" x14ac:dyDescent="0.25">
      <c r="A55" t="s">
        <v>109</v>
      </c>
      <c r="B55" t="s">
        <v>244</v>
      </c>
      <c r="C55">
        <v>0</v>
      </c>
      <c r="D55" t="s">
        <v>34</v>
      </c>
      <c r="E55" t="s">
        <v>247</v>
      </c>
      <c r="F55">
        <v>0</v>
      </c>
    </row>
    <row r="56" spans="1:6" x14ac:dyDescent="0.25">
      <c r="A56" t="s">
        <v>53</v>
      </c>
      <c r="B56" t="s">
        <v>244</v>
      </c>
      <c r="C56">
        <v>0</v>
      </c>
      <c r="D56" t="s">
        <v>34</v>
      </c>
      <c r="E56" t="s">
        <v>247</v>
      </c>
      <c r="F56">
        <v>0</v>
      </c>
    </row>
    <row r="57" spans="1:6" x14ac:dyDescent="0.25">
      <c r="A57" t="s">
        <v>110</v>
      </c>
      <c r="B57" t="s">
        <v>87</v>
      </c>
      <c r="C57">
        <v>0</v>
      </c>
      <c r="D57" t="s">
        <v>34</v>
      </c>
      <c r="E57" t="s">
        <v>247</v>
      </c>
      <c r="F57">
        <v>0</v>
      </c>
    </row>
    <row r="58" spans="1:6" x14ac:dyDescent="0.25">
      <c r="A58" t="s">
        <v>111</v>
      </c>
      <c r="B58" t="s">
        <v>245</v>
      </c>
      <c r="C58">
        <v>0</v>
      </c>
      <c r="D58" t="s">
        <v>34</v>
      </c>
      <c r="E58" t="s">
        <v>247</v>
      </c>
      <c r="F58">
        <v>0</v>
      </c>
    </row>
    <row r="59" spans="1:6" x14ac:dyDescent="0.25">
      <c r="A59" t="s">
        <v>112</v>
      </c>
      <c r="B59" t="s">
        <v>244</v>
      </c>
      <c r="C59">
        <v>0</v>
      </c>
      <c r="D59" t="s">
        <v>34</v>
      </c>
      <c r="E59" t="s">
        <v>247</v>
      </c>
      <c r="F59">
        <v>0</v>
      </c>
    </row>
    <row r="60" spans="1:6" x14ac:dyDescent="0.25">
      <c r="A60" t="s">
        <v>113</v>
      </c>
      <c r="B60" t="s">
        <v>244</v>
      </c>
      <c r="C60">
        <v>0</v>
      </c>
      <c r="D60" t="s">
        <v>34</v>
      </c>
      <c r="E60" t="s">
        <v>247</v>
      </c>
      <c r="F60">
        <v>0</v>
      </c>
    </row>
    <row r="61" spans="1:6" x14ac:dyDescent="0.25">
      <c r="A61" t="s">
        <v>114</v>
      </c>
      <c r="B61" t="s">
        <v>244</v>
      </c>
      <c r="C61">
        <v>0</v>
      </c>
      <c r="D61" t="s">
        <v>34</v>
      </c>
      <c r="E61" t="s">
        <v>247</v>
      </c>
      <c r="F61">
        <v>0</v>
      </c>
    </row>
    <row r="62" spans="1:6" x14ac:dyDescent="0.25">
      <c r="A62" t="s">
        <v>115</v>
      </c>
      <c r="B62" t="s">
        <v>244</v>
      </c>
      <c r="C62">
        <v>0</v>
      </c>
      <c r="D62" t="s">
        <v>34</v>
      </c>
      <c r="E62" t="s">
        <v>247</v>
      </c>
      <c r="F62">
        <v>0</v>
      </c>
    </row>
    <row r="63" spans="1:6" x14ac:dyDescent="0.25">
      <c r="A63" t="s">
        <v>54</v>
      </c>
      <c r="B63" t="s">
        <v>244</v>
      </c>
      <c r="C63">
        <v>0</v>
      </c>
      <c r="D63" t="s">
        <v>34</v>
      </c>
      <c r="E63" t="s">
        <v>247</v>
      </c>
      <c r="F63">
        <v>0</v>
      </c>
    </row>
    <row r="64" spans="1:6" x14ac:dyDescent="0.25">
      <c r="A64" t="s">
        <v>116</v>
      </c>
      <c r="B64" t="s">
        <v>244</v>
      </c>
      <c r="C64">
        <v>0</v>
      </c>
      <c r="D64" t="s">
        <v>34</v>
      </c>
      <c r="E64" t="s">
        <v>247</v>
      </c>
      <c r="F64">
        <v>0</v>
      </c>
    </row>
    <row r="65" spans="1:6" x14ac:dyDescent="0.25">
      <c r="A65" t="s">
        <v>117</v>
      </c>
      <c r="B65" t="s">
        <v>87</v>
      </c>
      <c r="C65">
        <v>0</v>
      </c>
      <c r="D65" t="s">
        <v>34</v>
      </c>
      <c r="E65" t="s">
        <v>247</v>
      </c>
      <c r="F65">
        <v>48</v>
      </c>
    </row>
    <row r="66" spans="1:6" x14ac:dyDescent="0.25">
      <c r="A66" t="s">
        <v>118</v>
      </c>
      <c r="B66" t="s">
        <v>87</v>
      </c>
      <c r="C66">
        <v>0</v>
      </c>
      <c r="D66" t="s">
        <v>34</v>
      </c>
      <c r="E66" t="s">
        <v>247</v>
      </c>
      <c r="F66">
        <v>28</v>
      </c>
    </row>
    <row r="67" spans="1:6" x14ac:dyDescent="0.25">
      <c r="A67" t="s">
        <v>119</v>
      </c>
      <c r="B67" t="s">
        <v>244</v>
      </c>
      <c r="C67">
        <v>0</v>
      </c>
      <c r="D67" t="s">
        <v>34</v>
      </c>
      <c r="E67" t="s">
        <v>247</v>
      </c>
      <c r="F67">
        <v>0</v>
      </c>
    </row>
    <row r="68" spans="1:6" x14ac:dyDescent="0.25">
      <c r="A68" t="s">
        <v>120</v>
      </c>
      <c r="B68" t="s">
        <v>244</v>
      </c>
      <c r="C68">
        <v>0</v>
      </c>
      <c r="D68" t="s">
        <v>34</v>
      </c>
      <c r="E68" t="s">
        <v>247</v>
      </c>
      <c r="F68">
        <v>0</v>
      </c>
    </row>
    <row r="69" spans="1:6" x14ac:dyDescent="0.25">
      <c r="A69" t="s">
        <v>121</v>
      </c>
      <c r="B69" t="s">
        <v>87</v>
      </c>
      <c r="C69">
        <v>0</v>
      </c>
      <c r="D69" t="s">
        <v>34</v>
      </c>
      <c r="E69" t="s">
        <v>247</v>
      </c>
      <c r="F69">
        <v>21</v>
      </c>
    </row>
    <row r="70" spans="1:6" x14ac:dyDescent="0.25">
      <c r="A70" t="s">
        <v>122</v>
      </c>
      <c r="B70" t="s">
        <v>87</v>
      </c>
      <c r="C70">
        <v>0</v>
      </c>
      <c r="D70" t="s">
        <v>34</v>
      </c>
      <c r="E70" t="s">
        <v>247</v>
      </c>
      <c r="F70">
        <v>250</v>
      </c>
    </row>
    <row r="71" spans="1:6" x14ac:dyDescent="0.25">
      <c r="A71" t="s">
        <v>123</v>
      </c>
      <c r="B71" t="s">
        <v>244</v>
      </c>
      <c r="C71">
        <v>0</v>
      </c>
      <c r="D71" t="s">
        <v>34</v>
      </c>
      <c r="E71" t="s">
        <v>247</v>
      </c>
      <c r="F71">
        <v>0</v>
      </c>
    </row>
    <row r="72" spans="1:6" x14ac:dyDescent="0.25">
      <c r="A72" t="s">
        <v>55</v>
      </c>
      <c r="B72" t="s">
        <v>244</v>
      </c>
      <c r="C72">
        <v>0</v>
      </c>
      <c r="D72" t="s">
        <v>34</v>
      </c>
      <c r="E72" t="s">
        <v>247</v>
      </c>
      <c r="F72">
        <v>0</v>
      </c>
    </row>
    <row r="73" spans="1:6" x14ac:dyDescent="0.25">
      <c r="A73" t="s">
        <v>124</v>
      </c>
      <c r="B73" t="s">
        <v>244</v>
      </c>
      <c r="C73">
        <v>0</v>
      </c>
      <c r="D73" t="s">
        <v>34</v>
      </c>
      <c r="E73" t="s">
        <v>247</v>
      </c>
      <c r="F73">
        <v>0</v>
      </c>
    </row>
    <row r="74" spans="1:6" x14ac:dyDescent="0.25">
      <c r="A74" t="s">
        <v>125</v>
      </c>
      <c r="B74" t="s">
        <v>244</v>
      </c>
      <c r="C74">
        <v>0</v>
      </c>
      <c r="D74" t="s">
        <v>34</v>
      </c>
      <c r="E74" t="s">
        <v>247</v>
      </c>
      <c r="F74">
        <v>0</v>
      </c>
    </row>
    <row r="75" spans="1:6" x14ac:dyDescent="0.25">
      <c r="A75" t="s">
        <v>262</v>
      </c>
      <c r="B75" t="s">
        <v>87</v>
      </c>
      <c r="C75">
        <v>0</v>
      </c>
      <c r="D75" t="s">
        <v>34</v>
      </c>
      <c r="E75" t="s">
        <v>247</v>
      </c>
      <c r="F75">
        <v>147</v>
      </c>
    </row>
    <row r="76" spans="1:6" x14ac:dyDescent="0.25">
      <c r="A76" t="s">
        <v>126</v>
      </c>
      <c r="B76" t="s">
        <v>244</v>
      </c>
      <c r="C76">
        <v>0</v>
      </c>
      <c r="D76" t="s">
        <v>34</v>
      </c>
      <c r="E76" t="s">
        <v>247</v>
      </c>
      <c r="F76">
        <v>0</v>
      </c>
    </row>
    <row r="77" spans="1:6" x14ac:dyDescent="0.25">
      <c r="A77" t="s">
        <v>127</v>
      </c>
      <c r="B77" t="s">
        <v>244</v>
      </c>
      <c r="C77">
        <v>0</v>
      </c>
      <c r="D77" t="s">
        <v>34</v>
      </c>
      <c r="E77" t="s">
        <v>247</v>
      </c>
      <c r="F77">
        <v>0</v>
      </c>
    </row>
    <row r="78" spans="1:6" x14ac:dyDescent="0.25">
      <c r="A78" t="s">
        <v>263</v>
      </c>
      <c r="B78" t="s">
        <v>87</v>
      </c>
      <c r="C78">
        <v>0</v>
      </c>
      <c r="D78" t="s">
        <v>34</v>
      </c>
      <c r="E78" t="s">
        <v>247</v>
      </c>
      <c r="F78">
        <v>62</v>
      </c>
    </row>
    <row r="79" spans="1:6" x14ac:dyDescent="0.25">
      <c r="A79" t="s">
        <v>128</v>
      </c>
      <c r="B79" t="s">
        <v>246</v>
      </c>
      <c r="C79">
        <v>0</v>
      </c>
      <c r="D79" t="s">
        <v>34</v>
      </c>
      <c r="E79" t="s">
        <v>247</v>
      </c>
      <c r="F79">
        <v>0</v>
      </c>
    </row>
    <row r="80" spans="1:6" x14ac:dyDescent="0.25">
      <c r="A80" t="s">
        <v>129</v>
      </c>
      <c r="B80" t="s">
        <v>244</v>
      </c>
      <c r="C80">
        <v>0</v>
      </c>
      <c r="D80" t="s">
        <v>34</v>
      </c>
      <c r="E80" t="s">
        <v>247</v>
      </c>
      <c r="F80">
        <v>0</v>
      </c>
    </row>
    <row r="81" spans="1:6" x14ac:dyDescent="0.25">
      <c r="A81" t="s">
        <v>130</v>
      </c>
      <c r="B81" t="s">
        <v>244</v>
      </c>
      <c r="C81">
        <v>0</v>
      </c>
      <c r="D81" t="s">
        <v>34</v>
      </c>
      <c r="E81" t="s">
        <v>247</v>
      </c>
      <c r="F81">
        <v>0</v>
      </c>
    </row>
    <row r="82" spans="1:6" x14ac:dyDescent="0.25">
      <c r="A82" t="s">
        <v>131</v>
      </c>
      <c r="B82" t="s">
        <v>87</v>
      </c>
      <c r="C82">
        <v>0</v>
      </c>
      <c r="D82" t="s">
        <v>34</v>
      </c>
      <c r="E82" t="s">
        <v>247</v>
      </c>
      <c r="F82">
        <v>5600</v>
      </c>
    </row>
    <row r="83" spans="1:6" x14ac:dyDescent="0.25">
      <c r="A83" t="s">
        <v>132</v>
      </c>
      <c r="B83" t="s">
        <v>87</v>
      </c>
      <c r="C83">
        <v>0</v>
      </c>
      <c r="D83" t="s">
        <v>34</v>
      </c>
      <c r="E83" t="s">
        <v>247</v>
      </c>
      <c r="F83">
        <v>40</v>
      </c>
    </row>
    <row r="84" spans="1:6" x14ac:dyDescent="0.25">
      <c r="A84" t="s">
        <v>133</v>
      </c>
      <c r="B84" t="s">
        <v>88</v>
      </c>
      <c r="C84">
        <v>0</v>
      </c>
      <c r="D84" t="s">
        <v>34</v>
      </c>
      <c r="E84" t="s">
        <v>247</v>
      </c>
      <c r="F84">
        <v>2</v>
      </c>
    </row>
    <row r="85" spans="1:6" x14ac:dyDescent="0.25">
      <c r="A85" t="s">
        <v>134</v>
      </c>
      <c r="B85" t="s">
        <v>244</v>
      </c>
      <c r="C85">
        <v>0</v>
      </c>
      <c r="D85" t="s">
        <v>34</v>
      </c>
      <c r="E85" t="s">
        <v>247</v>
      </c>
      <c r="F85">
        <v>0</v>
      </c>
    </row>
    <row r="86" spans="1:6" x14ac:dyDescent="0.25">
      <c r="A86" t="s">
        <v>135</v>
      </c>
      <c r="B86" t="s">
        <v>88</v>
      </c>
      <c r="C86">
        <v>0</v>
      </c>
      <c r="D86" t="s">
        <v>34</v>
      </c>
      <c r="E86" t="s">
        <v>247</v>
      </c>
      <c r="F86">
        <v>50</v>
      </c>
    </row>
    <row r="87" spans="1:6" x14ac:dyDescent="0.25">
      <c r="A87" t="s">
        <v>136</v>
      </c>
      <c r="B87" t="s">
        <v>245</v>
      </c>
      <c r="C87">
        <v>0</v>
      </c>
      <c r="D87" t="s">
        <v>34</v>
      </c>
      <c r="E87" t="s">
        <v>247</v>
      </c>
      <c r="F87">
        <v>250</v>
      </c>
    </row>
    <row r="88" spans="1:6" x14ac:dyDescent="0.25">
      <c r="A88" t="s">
        <v>137</v>
      </c>
      <c r="B88" t="s">
        <v>244</v>
      </c>
      <c r="C88">
        <v>0</v>
      </c>
      <c r="D88" t="s">
        <v>34</v>
      </c>
      <c r="E88" t="s">
        <v>247</v>
      </c>
      <c r="F88">
        <v>0</v>
      </c>
    </row>
    <row r="89" spans="1:6" x14ac:dyDescent="0.25">
      <c r="A89" t="s">
        <v>138</v>
      </c>
      <c r="B89" t="s">
        <v>245</v>
      </c>
      <c r="C89">
        <v>0</v>
      </c>
      <c r="D89" t="s">
        <v>34</v>
      </c>
      <c r="E89" t="s">
        <v>247</v>
      </c>
      <c r="F89">
        <v>100</v>
      </c>
    </row>
    <row r="90" spans="1:6" x14ac:dyDescent="0.25">
      <c r="A90" t="s">
        <v>139</v>
      </c>
      <c r="B90" t="s">
        <v>245</v>
      </c>
      <c r="C90">
        <v>0</v>
      </c>
      <c r="D90" t="s">
        <v>34</v>
      </c>
      <c r="E90" t="s">
        <v>247</v>
      </c>
      <c r="F90">
        <v>0</v>
      </c>
    </row>
    <row r="91" spans="1:6" x14ac:dyDescent="0.25">
      <c r="A91" t="s">
        <v>140</v>
      </c>
      <c r="B91" t="s">
        <v>245</v>
      </c>
      <c r="C91">
        <v>0</v>
      </c>
      <c r="D91" t="s">
        <v>34</v>
      </c>
      <c r="E91" t="s">
        <v>247</v>
      </c>
      <c r="F91">
        <v>10</v>
      </c>
    </row>
    <row r="92" spans="1:6" x14ac:dyDescent="0.25">
      <c r="A92" t="s">
        <v>141</v>
      </c>
      <c r="B92" t="s">
        <v>88</v>
      </c>
      <c r="C92">
        <v>0</v>
      </c>
      <c r="D92" t="s">
        <v>34</v>
      </c>
      <c r="E92" t="s">
        <v>247</v>
      </c>
      <c r="F92">
        <v>0</v>
      </c>
    </row>
    <row r="93" spans="1:6" x14ac:dyDescent="0.25">
      <c r="A93" t="s">
        <v>142</v>
      </c>
      <c r="B93" t="s">
        <v>88</v>
      </c>
      <c r="C93">
        <v>0</v>
      </c>
      <c r="D93" t="s">
        <v>34</v>
      </c>
      <c r="E93" t="s">
        <v>247</v>
      </c>
      <c r="F93">
        <v>6</v>
      </c>
    </row>
    <row r="94" spans="1:6" x14ac:dyDescent="0.25">
      <c r="A94" t="s">
        <v>143</v>
      </c>
      <c r="B94" t="s">
        <v>244</v>
      </c>
      <c r="C94">
        <v>0</v>
      </c>
      <c r="D94" t="s">
        <v>34</v>
      </c>
      <c r="E94" t="s">
        <v>247</v>
      </c>
      <c r="F94">
        <v>0</v>
      </c>
    </row>
    <row r="95" spans="1:6" x14ac:dyDescent="0.25">
      <c r="A95" t="s">
        <v>144</v>
      </c>
      <c r="B95" t="s">
        <v>244</v>
      </c>
      <c r="C95">
        <v>0</v>
      </c>
      <c r="D95" t="s">
        <v>34</v>
      </c>
      <c r="E95" t="s">
        <v>247</v>
      </c>
      <c r="F95">
        <v>0</v>
      </c>
    </row>
    <row r="96" spans="1:6" x14ac:dyDescent="0.25">
      <c r="A96" t="s">
        <v>145</v>
      </c>
      <c r="B96" t="s">
        <v>245</v>
      </c>
      <c r="C96">
        <v>0</v>
      </c>
      <c r="D96" t="s">
        <v>34</v>
      </c>
      <c r="E96" t="s">
        <v>247</v>
      </c>
      <c r="F96">
        <v>10</v>
      </c>
    </row>
    <row r="97" spans="1:6" x14ac:dyDescent="0.25">
      <c r="A97" t="s">
        <v>146</v>
      </c>
      <c r="B97" t="s">
        <v>246</v>
      </c>
      <c r="C97">
        <v>0</v>
      </c>
      <c r="D97" t="s">
        <v>34</v>
      </c>
      <c r="E97" t="s">
        <v>247</v>
      </c>
      <c r="F97">
        <v>0</v>
      </c>
    </row>
    <row r="98" spans="1:6" x14ac:dyDescent="0.25">
      <c r="A98" t="s">
        <v>147</v>
      </c>
      <c r="B98" t="s">
        <v>87</v>
      </c>
      <c r="C98">
        <v>0</v>
      </c>
      <c r="D98" t="s">
        <v>34</v>
      </c>
      <c r="E98" t="s">
        <v>247</v>
      </c>
      <c r="F98">
        <v>0</v>
      </c>
    </row>
    <row r="99" spans="1:6" x14ac:dyDescent="0.25">
      <c r="A99" t="s">
        <v>148</v>
      </c>
      <c r="B99" t="s">
        <v>244</v>
      </c>
      <c r="C99">
        <v>0</v>
      </c>
      <c r="D99" t="s">
        <v>34</v>
      </c>
      <c r="E99" t="s">
        <v>247</v>
      </c>
      <c r="F99">
        <v>0</v>
      </c>
    </row>
    <row r="100" spans="1:6" x14ac:dyDescent="0.25">
      <c r="A100" t="s">
        <v>149</v>
      </c>
      <c r="B100" t="s">
        <v>244</v>
      </c>
      <c r="C100">
        <v>0</v>
      </c>
      <c r="D100" t="s">
        <v>34</v>
      </c>
      <c r="E100" t="s">
        <v>247</v>
      </c>
      <c r="F100">
        <v>0</v>
      </c>
    </row>
    <row r="101" spans="1:6" x14ac:dyDescent="0.25">
      <c r="A101" t="s">
        <v>33</v>
      </c>
      <c r="B101" t="s">
        <v>244</v>
      </c>
      <c r="C101">
        <v>0</v>
      </c>
      <c r="D101" t="s">
        <v>34</v>
      </c>
      <c r="E101" t="s">
        <v>247</v>
      </c>
      <c r="F101">
        <v>0</v>
      </c>
    </row>
    <row r="102" spans="1:6" x14ac:dyDescent="0.25">
      <c r="A102" t="s">
        <v>92</v>
      </c>
      <c r="B102" t="s">
        <v>244</v>
      </c>
      <c r="C102">
        <v>0</v>
      </c>
      <c r="D102" t="s">
        <v>34</v>
      </c>
      <c r="E102" t="s">
        <v>247</v>
      </c>
      <c r="F102">
        <v>0</v>
      </c>
    </row>
    <row r="103" spans="1:6" x14ac:dyDescent="0.25">
      <c r="A103" t="s">
        <v>93</v>
      </c>
      <c r="B103" t="s">
        <v>244</v>
      </c>
      <c r="C103">
        <v>0</v>
      </c>
      <c r="D103" t="s">
        <v>34</v>
      </c>
      <c r="E103" t="s">
        <v>247</v>
      </c>
      <c r="F103">
        <v>0</v>
      </c>
    </row>
    <row r="104" spans="1:6" x14ac:dyDescent="0.25">
      <c r="A104" t="s">
        <v>94</v>
      </c>
      <c r="B104" t="s">
        <v>245</v>
      </c>
      <c r="C104">
        <v>0</v>
      </c>
      <c r="D104" t="s">
        <v>34</v>
      </c>
      <c r="E104" t="s">
        <v>247</v>
      </c>
      <c r="F104">
        <v>0</v>
      </c>
    </row>
    <row r="105" spans="1:6" x14ac:dyDescent="0.25">
      <c r="A105" t="s">
        <v>95</v>
      </c>
      <c r="B105" t="s">
        <v>87</v>
      </c>
      <c r="C105">
        <v>0</v>
      </c>
      <c r="D105" t="s">
        <v>34</v>
      </c>
      <c r="E105" t="s">
        <v>247</v>
      </c>
      <c r="F105">
        <v>-4490</v>
      </c>
    </row>
    <row r="106" spans="1:6" x14ac:dyDescent="0.25">
      <c r="A106" t="s">
        <v>96</v>
      </c>
      <c r="B106" t="s">
        <v>244</v>
      </c>
      <c r="C106">
        <v>0</v>
      </c>
      <c r="D106" t="s">
        <v>34</v>
      </c>
      <c r="E106" t="s">
        <v>247</v>
      </c>
      <c r="F106">
        <v>0</v>
      </c>
    </row>
    <row r="107" spans="1:6" x14ac:dyDescent="0.25">
      <c r="A107" t="s">
        <v>97</v>
      </c>
      <c r="B107" t="s">
        <v>244</v>
      </c>
      <c r="C107">
        <v>0</v>
      </c>
      <c r="D107" t="s">
        <v>34</v>
      </c>
      <c r="E107" t="s">
        <v>247</v>
      </c>
      <c r="F107">
        <v>0</v>
      </c>
    </row>
    <row r="108" spans="1:6" x14ac:dyDescent="0.25">
      <c r="A108" t="s">
        <v>32</v>
      </c>
      <c r="B108" t="s">
        <v>87</v>
      </c>
      <c r="C108">
        <v>0</v>
      </c>
      <c r="D108" t="s">
        <v>34</v>
      </c>
      <c r="E108" t="s">
        <v>247</v>
      </c>
      <c r="F108">
        <v>0</v>
      </c>
    </row>
    <row r="109" spans="1:6" x14ac:dyDescent="0.25">
      <c r="A109" t="s">
        <v>56</v>
      </c>
      <c r="B109" t="s">
        <v>244</v>
      </c>
      <c r="C109">
        <v>0</v>
      </c>
      <c r="D109" t="s">
        <v>34</v>
      </c>
      <c r="E109" t="s">
        <v>247</v>
      </c>
      <c r="F109">
        <v>0</v>
      </c>
    </row>
    <row r="110" spans="1:6" x14ac:dyDescent="0.25">
      <c r="A110" t="s">
        <v>150</v>
      </c>
      <c r="B110" t="s">
        <v>88</v>
      </c>
      <c r="C110">
        <v>0</v>
      </c>
      <c r="D110" t="s">
        <v>34</v>
      </c>
      <c r="E110" t="s">
        <v>247</v>
      </c>
      <c r="F110">
        <v>0</v>
      </c>
    </row>
    <row r="111" spans="1:6" x14ac:dyDescent="0.25">
      <c r="A111" t="s">
        <v>151</v>
      </c>
      <c r="B111" t="s">
        <v>246</v>
      </c>
      <c r="C111">
        <v>0</v>
      </c>
      <c r="D111" t="s">
        <v>34</v>
      </c>
      <c r="E111" t="s">
        <v>247</v>
      </c>
      <c r="F111">
        <v>0</v>
      </c>
    </row>
    <row r="112" spans="1:6" x14ac:dyDescent="0.25">
      <c r="A112" t="s">
        <v>152</v>
      </c>
      <c r="B112" t="s">
        <v>244</v>
      </c>
      <c r="C112">
        <v>0</v>
      </c>
      <c r="D112" t="s">
        <v>34</v>
      </c>
      <c r="E112" t="s">
        <v>247</v>
      </c>
      <c r="F112">
        <v>0</v>
      </c>
    </row>
    <row r="113" spans="1:6" x14ac:dyDescent="0.25">
      <c r="A113" t="s">
        <v>153</v>
      </c>
      <c r="B113" t="s">
        <v>244</v>
      </c>
      <c r="C113">
        <v>0</v>
      </c>
      <c r="D113" t="s">
        <v>34</v>
      </c>
      <c r="E113" t="s">
        <v>247</v>
      </c>
      <c r="F113">
        <v>0</v>
      </c>
    </row>
    <row r="114" spans="1:6" x14ac:dyDescent="0.25">
      <c r="A114" t="s">
        <v>57</v>
      </c>
      <c r="B114" t="s">
        <v>244</v>
      </c>
      <c r="C114">
        <v>0</v>
      </c>
      <c r="D114" t="s">
        <v>34</v>
      </c>
      <c r="E114" t="s">
        <v>247</v>
      </c>
      <c r="F114">
        <v>0</v>
      </c>
    </row>
    <row r="115" spans="1:6" x14ac:dyDescent="0.25">
      <c r="A115" t="s">
        <v>36</v>
      </c>
      <c r="B115" t="s">
        <v>246</v>
      </c>
      <c r="C115">
        <v>0</v>
      </c>
      <c r="D115" t="s">
        <v>34</v>
      </c>
      <c r="E115" t="s">
        <v>247</v>
      </c>
      <c r="F115">
        <v>0</v>
      </c>
    </row>
    <row r="116" spans="1:6" x14ac:dyDescent="0.25">
      <c r="A116" t="s">
        <v>58</v>
      </c>
      <c r="B116" t="s">
        <v>244</v>
      </c>
      <c r="C116">
        <v>0</v>
      </c>
      <c r="D116" t="s">
        <v>34</v>
      </c>
      <c r="E116" t="s">
        <v>247</v>
      </c>
      <c r="F116">
        <v>0</v>
      </c>
    </row>
    <row r="117" spans="1:6" x14ac:dyDescent="0.25">
      <c r="A117" t="s">
        <v>154</v>
      </c>
      <c r="B117" t="s">
        <v>245</v>
      </c>
      <c r="C117">
        <v>0</v>
      </c>
      <c r="D117" t="s">
        <v>34</v>
      </c>
      <c r="E117" t="s">
        <v>247</v>
      </c>
      <c r="F117">
        <v>2</v>
      </c>
    </row>
    <row r="118" spans="1:6" x14ac:dyDescent="0.25">
      <c r="A118" t="s">
        <v>155</v>
      </c>
      <c r="B118" t="s">
        <v>245</v>
      </c>
      <c r="C118">
        <v>0</v>
      </c>
      <c r="D118" t="s">
        <v>34</v>
      </c>
      <c r="E118" t="s">
        <v>247</v>
      </c>
      <c r="F118">
        <v>2</v>
      </c>
    </row>
    <row r="119" spans="1:6" x14ac:dyDescent="0.25">
      <c r="A119" t="s">
        <v>156</v>
      </c>
      <c r="B119" t="s">
        <v>244</v>
      </c>
      <c r="C119">
        <v>0</v>
      </c>
      <c r="D119" t="s">
        <v>34</v>
      </c>
      <c r="E119" t="s">
        <v>247</v>
      </c>
      <c r="F119">
        <v>0</v>
      </c>
    </row>
    <row r="120" spans="1:6" x14ac:dyDescent="0.25">
      <c r="A120" t="s">
        <v>157</v>
      </c>
      <c r="B120" t="s">
        <v>244</v>
      </c>
      <c r="C120">
        <v>0</v>
      </c>
      <c r="D120" t="s">
        <v>34</v>
      </c>
      <c r="E120" t="s">
        <v>247</v>
      </c>
      <c r="F120">
        <v>0</v>
      </c>
    </row>
    <row r="121" spans="1:6" x14ac:dyDescent="0.25">
      <c r="A121" t="s">
        <v>158</v>
      </c>
      <c r="B121" t="s">
        <v>244</v>
      </c>
      <c r="C121">
        <v>0</v>
      </c>
      <c r="D121" t="s">
        <v>34</v>
      </c>
      <c r="E121" t="s">
        <v>247</v>
      </c>
      <c r="F121">
        <v>0</v>
      </c>
    </row>
    <row r="122" spans="1:6" x14ac:dyDescent="0.25">
      <c r="A122" t="s">
        <v>59</v>
      </c>
      <c r="B122" t="s">
        <v>88</v>
      </c>
      <c r="C122">
        <v>0</v>
      </c>
      <c r="D122" t="s">
        <v>34</v>
      </c>
      <c r="E122" t="s">
        <v>247</v>
      </c>
      <c r="F122">
        <v>0</v>
      </c>
    </row>
    <row r="123" spans="1:6" x14ac:dyDescent="0.25">
      <c r="A123" t="s">
        <v>17</v>
      </c>
      <c r="B123" t="s">
        <v>87</v>
      </c>
      <c r="C123">
        <v>0</v>
      </c>
      <c r="D123" t="s">
        <v>34</v>
      </c>
      <c r="E123" t="s">
        <v>247</v>
      </c>
      <c r="F123">
        <v>100</v>
      </c>
    </row>
    <row r="124" spans="1:6" x14ac:dyDescent="0.25">
      <c r="A124" t="s">
        <v>159</v>
      </c>
      <c r="B124" t="s">
        <v>246</v>
      </c>
      <c r="C124">
        <v>0</v>
      </c>
      <c r="D124" t="s">
        <v>34</v>
      </c>
      <c r="E124" t="s">
        <v>247</v>
      </c>
      <c r="F124">
        <v>0</v>
      </c>
    </row>
    <row r="125" spans="1:6" x14ac:dyDescent="0.25">
      <c r="A125" t="s">
        <v>160</v>
      </c>
      <c r="B125" t="s">
        <v>246</v>
      </c>
      <c r="C125">
        <v>0</v>
      </c>
      <c r="D125" t="s">
        <v>34</v>
      </c>
      <c r="E125" t="s">
        <v>247</v>
      </c>
      <c r="F125">
        <v>0</v>
      </c>
    </row>
    <row r="126" spans="1:6" x14ac:dyDescent="0.25">
      <c r="A126" t="s">
        <v>161</v>
      </c>
      <c r="B126" t="s">
        <v>246</v>
      </c>
      <c r="C126">
        <v>0</v>
      </c>
      <c r="D126" t="s">
        <v>34</v>
      </c>
      <c r="E126" t="s">
        <v>247</v>
      </c>
      <c r="F126">
        <v>0</v>
      </c>
    </row>
    <row r="127" spans="1:6" x14ac:dyDescent="0.25">
      <c r="A127" t="s">
        <v>162</v>
      </c>
      <c r="B127" t="s">
        <v>246</v>
      </c>
      <c r="C127">
        <v>0</v>
      </c>
      <c r="D127" t="s">
        <v>34</v>
      </c>
      <c r="E127" t="s">
        <v>247</v>
      </c>
      <c r="F127">
        <v>0</v>
      </c>
    </row>
    <row r="128" spans="1:6" x14ac:dyDescent="0.25">
      <c r="A128" t="s">
        <v>163</v>
      </c>
      <c r="B128" t="s">
        <v>246</v>
      </c>
      <c r="C128">
        <v>0</v>
      </c>
      <c r="D128" t="s">
        <v>34</v>
      </c>
      <c r="E128" t="s">
        <v>247</v>
      </c>
      <c r="F128">
        <v>0</v>
      </c>
    </row>
    <row r="129" spans="1:6" x14ac:dyDescent="0.25">
      <c r="A129" t="s">
        <v>164</v>
      </c>
      <c r="B129" t="s">
        <v>244</v>
      </c>
      <c r="C129">
        <v>0</v>
      </c>
      <c r="D129" t="s">
        <v>34</v>
      </c>
      <c r="E129" t="s">
        <v>247</v>
      </c>
      <c r="F129">
        <v>0</v>
      </c>
    </row>
    <row r="130" spans="1:6" x14ac:dyDescent="0.25">
      <c r="A130" t="s">
        <v>60</v>
      </c>
      <c r="B130" t="s">
        <v>246</v>
      </c>
      <c r="C130">
        <v>0</v>
      </c>
      <c r="D130" t="s">
        <v>34</v>
      </c>
      <c r="E130" t="s">
        <v>247</v>
      </c>
      <c r="F130">
        <v>0</v>
      </c>
    </row>
    <row r="131" spans="1:6" x14ac:dyDescent="0.25">
      <c r="A131" t="s">
        <v>165</v>
      </c>
      <c r="B131" t="s">
        <v>245</v>
      </c>
      <c r="C131">
        <v>0</v>
      </c>
      <c r="D131" t="s">
        <v>34</v>
      </c>
      <c r="E131" t="s">
        <v>247</v>
      </c>
      <c r="F131">
        <v>0</v>
      </c>
    </row>
    <row r="132" spans="1:6" x14ac:dyDescent="0.25">
      <c r="A132" t="s">
        <v>166</v>
      </c>
      <c r="B132" t="s">
        <v>87</v>
      </c>
      <c r="C132">
        <v>0</v>
      </c>
      <c r="D132" t="s">
        <v>34</v>
      </c>
      <c r="E132" t="s">
        <v>247</v>
      </c>
      <c r="F132">
        <v>0</v>
      </c>
    </row>
    <row r="133" spans="1:6" x14ac:dyDescent="0.25">
      <c r="A133" t="s">
        <v>167</v>
      </c>
      <c r="B133" t="s">
        <v>244</v>
      </c>
      <c r="C133">
        <v>0</v>
      </c>
      <c r="D133" t="s">
        <v>34</v>
      </c>
      <c r="E133" t="s">
        <v>247</v>
      </c>
      <c r="F133">
        <v>0</v>
      </c>
    </row>
    <row r="134" spans="1:6" x14ac:dyDescent="0.25">
      <c r="A134" t="s">
        <v>61</v>
      </c>
      <c r="B134" t="s">
        <v>244</v>
      </c>
      <c r="C134">
        <v>0</v>
      </c>
      <c r="D134" t="s">
        <v>34</v>
      </c>
      <c r="E134" t="s">
        <v>247</v>
      </c>
      <c r="F134">
        <v>0</v>
      </c>
    </row>
    <row r="135" spans="1:6" x14ac:dyDescent="0.25">
      <c r="A135" t="s">
        <v>168</v>
      </c>
      <c r="B135" t="s">
        <v>244</v>
      </c>
      <c r="C135">
        <v>0</v>
      </c>
      <c r="D135" t="s">
        <v>34</v>
      </c>
      <c r="E135" t="s">
        <v>247</v>
      </c>
      <c r="F135">
        <v>0</v>
      </c>
    </row>
    <row r="136" spans="1:6" x14ac:dyDescent="0.25">
      <c r="A136" t="s">
        <v>169</v>
      </c>
      <c r="B136" t="s">
        <v>244</v>
      </c>
      <c r="C136">
        <v>0</v>
      </c>
      <c r="D136" t="s">
        <v>34</v>
      </c>
      <c r="E136" t="s">
        <v>247</v>
      </c>
      <c r="F136">
        <v>0</v>
      </c>
    </row>
    <row r="137" spans="1:6" x14ac:dyDescent="0.25">
      <c r="A137" t="s">
        <v>170</v>
      </c>
      <c r="B137" t="s">
        <v>244</v>
      </c>
      <c r="C137">
        <v>0</v>
      </c>
      <c r="D137" t="s">
        <v>34</v>
      </c>
      <c r="E137" t="s">
        <v>247</v>
      </c>
      <c r="F137">
        <v>0</v>
      </c>
    </row>
    <row r="138" spans="1:6" x14ac:dyDescent="0.25">
      <c r="A138" t="s">
        <v>171</v>
      </c>
      <c r="B138" t="s">
        <v>87</v>
      </c>
      <c r="C138">
        <v>0</v>
      </c>
      <c r="D138" t="s">
        <v>34</v>
      </c>
      <c r="E138" t="s">
        <v>247</v>
      </c>
      <c r="F138">
        <v>700</v>
      </c>
    </row>
    <row r="139" spans="1:6" x14ac:dyDescent="0.25">
      <c r="A139" t="s">
        <v>172</v>
      </c>
      <c r="B139" t="s">
        <v>87</v>
      </c>
      <c r="C139">
        <v>0</v>
      </c>
      <c r="D139" t="s">
        <v>34</v>
      </c>
      <c r="E139" t="s">
        <v>247</v>
      </c>
      <c r="F139">
        <v>500</v>
      </c>
    </row>
    <row r="140" spans="1:6" x14ac:dyDescent="0.25">
      <c r="A140" t="s">
        <v>173</v>
      </c>
      <c r="B140" t="s">
        <v>244</v>
      </c>
      <c r="C140">
        <v>0</v>
      </c>
      <c r="D140" t="s">
        <v>34</v>
      </c>
      <c r="E140" t="s">
        <v>247</v>
      </c>
      <c r="F140">
        <v>0</v>
      </c>
    </row>
    <row r="141" spans="1:6" x14ac:dyDescent="0.25">
      <c r="A141" t="s">
        <v>20</v>
      </c>
      <c r="B141" t="s">
        <v>87</v>
      </c>
      <c r="C141">
        <v>0</v>
      </c>
      <c r="D141" t="s">
        <v>34</v>
      </c>
      <c r="E141" t="s">
        <v>247</v>
      </c>
      <c r="F141">
        <v>100</v>
      </c>
    </row>
    <row r="142" spans="1:6" x14ac:dyDescent="0.25">
      <c r="A142" t="s">
        <v>62</v>
      </c>
      <c r="B142" t="s">
        <v>244</v>
      </c>
      <c r="C142">
        <v>0</v>
      </c>
      <c r="D142" t="s">
        <v>34</v>
      </c>
      <c r="E142" t="s">
        <v>247</v>
      </c>
      <c r="F142">
        <v>0</v>
      </c>
    </row>
    <row r="143" spans="1:6" x14ac:dyDescent="0.25">
      <c r="A143" t="s">
        <v>174</v>
      </c>
      <c r="B143" t="s">
        <v>245</v>
      </c>
      <c r="C143">
        <v>0</v>
      </c>
      <c r="D143" t="s">
        <v>34</v>
      </c>
      <c r="E143" t="s">
        <v>247</v>
      </c>
      <c r="F143">
        <v>0</v>
      </c>
    </row>
    <row r="144" spans="1:6" x14ac:dyDescent="0.25">
      <c r="A144" t="s">
        <v>175</v>
      </c>
      <c r="B144" t="s">
        <v>245</v>
      </c>
      <c r="C144">
        <v>0</v>
      </c>
      <c r="D144" t="s">
        <v>34</v>
      </c>
      <c r="E144" t="s">
        <v>247</v>
      </c>
      <c r="F144">
        <v>325</v>
      </c>
    </row>
    <row r="145" spans="1:6" x14ac:dyDescent="0.25">
      <c r="A145" t="s">
        <v>176</v>
      </c>
      <c r="B145" t="s">
        <v>245</v>
      </c>
      <c r="C145">
        <v>0</v>
      </c>
      <c r="D145" t="s">
        <v>34</v>
      </c>
      <c r="E145" t="s">
        <v>247</v>
      </c>
      <c r="F145">
        <v>0</v>
      </c>
    </row>
    <row r="146" spans="1:6" x14ac:dyDescent="0.25">
      <c r="A146" t="s">
        <v>177</v>
      </c>
      <c r="B146" t="s">
        <v>244</v>
      </c>
      <c r="C146">
        <v>0</v>
      </c>
      <c r="D146" t="s">
        <v>34</v>
      </c>
      <c r="E146" t="s">
        <v>247</v>
      </c>
      <c r="F146">
        <v>0</v>
      </c>
    </row>
    <row r="147" spans="1:6" x14ac:dyDescent="0.25">
      <c r="A147" t="s">
        <v>178</v>
      </c>
      <c r="B147" t="s">
        <v>244</v>
      </c>
      <c r="C147">
        <v>0</v>
      </c>
      <c r="D147" t="s">
        <v>34</v>
      </c>
      <c r="E147" t="s">
        <v>247</v>
      </c>
      <c r="F147">
        <v>0</v>
      </c>
    </row>
    <row r="148" spans="1:6" x14ac:dyDescent="0.25">
      <c r="A148" t="s">
        <v>179</v>
      </c>
      <c r="B148" t="s">
        <v>245</v>
      </c>
      <c r="C148">
        <v>0</v>
      </c>
      <c r="D148" t="s">
        <v>34</v>
      </c>
      <c r="E148" t="s">
        <v>247</v>
      </c>
      <c r="F148">
        <v>0</v>
      </c>
    </row>
    <row r="149" spans="1:6" x14ac:dyDescent="0.25">
      <c r="A149" t="s">
        <v>180</v>
      </c>
      <c r="B149" t="s">
        <v>245</v>
      </c>
      <c r="C149">
        <v>0</v>
      </c>
      <c r="D149" t="s">
        <v>34</v>
      </c>
      <c r="E149" t="s">
        <v>247</v>
      </c>
      <c r="F149">
        <v>0</v>
      </c>
    </row>
    <row r="150" spans="1:6" x14ac:dyDescent="0.25">
      <c r="A150" t="s">
        <v>181</v>
      </c>
      <c r="B150" t="s">
        <v>244</v>
      </c>
      <c r="C150">
        <v>0</v>
      </c>
      <c r="D150" t="s">
        <v>34</v>
      </c>
      <c r="E150" t="s">
        <v>247</v>
      </c>
      <c r="F150">
        <v>0</v>
      </c>
    </row>
    <row r="151" spans="1:6" x14ac:dyDescent="0.25">
      <c r="A151" t="s">
        <v>63</v>
      </c>
      <c r="B151" t="s">
        <v>244</v>
      </c>
      <c r="C151">
        <v>0</v>
      </c>
      <c r="D151" t="s">
        <v>34</v>
      </c>
      <c r="E151" t="s">
        <v>247</v>
      </c>
      <c r="F151">
        <v>0</v>
      </c>
    </row>
    <row r="152" spans="1:6" x14ac:dyDescent="0.25">
      <c r="A152" t="s">
        <v>182</v>
      </c>
      <c r="B152" t="s">
        <v>87</v>
      </c>
      <c r="C152">
        <v>0</v>
      </c>
      <c r="D152" t="s">
        <v>34</v>
      </c>
      <c r="E152" t="s">
        <v>247</v>
      </c>
      <c r="F152">
        <v>50</v>
      </c>
    </row>
    <row r="153" spans="1:6" x14ac:dyDescent="0.25">
      <c r="A153" t="s">
        <v>183</v>
      </c>
      <c r="B153" t="s">
        <v>244</v>
      </c>
      <c r="C153">
        <v>0</v>
      </c>
      <c r="D153" t="s">
        <v>34</v>
      </c>
      <c r="E153" t="s">
        <v>247</v>
      </c>
      <c r="F153">
        <v>0</v>
      </c>
    </row>
    <row r="154" spans="1:6" x14ac:dyDescent="0.25">
      <c r="A154" t="s">
        <v>184</v>
      </c>
      <c r="B154" t="s">
        <v>245</v>
      </c>
      <c r="C154">
        <v>0</v>
      </c>
      <c r="D154" t="s">
        <v>34</v>
      </c>
      <c r="E154" t="s">
        <v>247</v>
      </c>
      <c r="F154">
        <v>0</v>
      </c>
    </row>
    <row r="155" spans="1:6" x14ac:dyDescent="0.25">
      <c r="A155" t="s">
        <v>185</v>
      </c>
      <c r="B155" t="s">
        <v>244</v>
      </c>
      <c r="C155">
        <v>0</v>
      </c>
      <c r="D155" t="s">
        <v>34</v>
      </c>
      <c r="E155" t="s">
        <v>247</v>
      </c>
      <c r="F155">
        <v>0</v>
      </c>
    </row>
    <row r="156" spans="1:6" x14ac:dyDescent="0.25">
      <c r="A156" t="s">
        <v>186</v>
      </c>
      <c r="B156" t="s">
        <v>87</v>
      </c>
      <c r="C156">
        <v>0</v>
      </c>
      <c r="D156" t="s">
        <v>34</v>
      </c>
      <c r="E156" t="s">
        <v>247</v>
      </c>
      <c r="F156">
        <v>210</v>
      </c>
    </row>
    <row r="157" spans="1:6" x14ac:dyDescent="0.25">
      <c r="A157" t="s">
        <v>187</v>
      </c>
      <c r="B157" t="s">
        <v>245</v>
      </c>
      <c r="C157">
        <v>0</v>
      </c>
      <c r="D157" t="s">
        <v>34</v>
      </c>
      <c r="E157" t="s">
        <v>247</v>
      </c>
      <c r="F157">
        <v>0</v>
      </c>
    </row>
    <row r="158" spans="1:6" x14ac:dyDescent="0.25">
      <c r="A158" t="s">
        <v>188</v>
      </c>
      <c r="B158" t="s">
        <v>245</v>
      </c>
      <c r="C158">
        <v>0</v>
      </c>
      <c r="D158" t="s">
        <v>34</v>
      </c>
      <c r="E158" t="s">
        <v>247</v>
      </c>
      <c r="F158">
        <v>0</v>
      </c>
    </row>
    <row r="159" spans="1:6" x14ac:dyDescent="0.25">
      <c r="A159" t="s">
        <v>189</v>
      </c>
      <c r="B159" t="s">
        <v>87</v>
      </c>
      <c r="C159">
        <v>0</v>
      </c>
      <c r="D159" t="s">
        <v>34</v>
      </c>
      <c r="E159" t="s">
        <v>247</v>
      </c>
      <c r="F159">
        <v>3575</v>
      </c>
    </row>
    <row r="160" spans="1:6" x14ac:dyDescent="0.25">
      <c r="A160" t="s">
        <v>190</v>
      </c>
      <c r="B160" t="s">
        <v>244</v>
      </c>
      <c r="C160">
        <v>0</v>
      </c>
      <c r="D160" t="s">
        <v>34</v>
      </c>
      <c r="E160" t="s">
        <v>247</v>
      </c>
      <c r="F160">
        <v>0</v>
      </c>
    </row>
    <row r="161" spans="1:8" x14ac:dyDescent="0.25">
      <c r="A161" t="s">
        <v>191</v>
      </c>
      <c r="B161" t="s">
        <v>244</v>
      </c>
      <c r="C161">
        <v>0</v>
      </c>
      <c r="D161" t="s">
        <v>34</v>
      </c>
      <c r="E161" t="s">
        <v>247</v>
      </c>
      <c r="F161">
        <v>0</v>
      </c>
    </row>
    <row r="162" spans="1:8" x14ac:dyDescent="0.25">
      <c r="A162" t="s">
        <v>64</v>
      </c>
      <c r="B162" t="s">
        <v>244</v>
      </c>
      <c r="C162">
        <v>0</v>
      </c>
      <c r="D162" t="s">
        <v>34</v>
      </c>
      <c r="E162" t="s">
        <v>247</v>
      </c>
      <c r="F162">
        <v>0</v>
      </c>
    </row>
    <row r="163" spans="1:8" x14ac:dyDescent="0.25">
      <c r="A163" t="s">
        <v>8</v>
      </c>
      <c r="B163" t="s">
        <v>87</v>
      </c>
      <c r="C163">
        <v>0</v>
      </c>
      <c r="D163" t="s">
        <v>34</v>
      </c>
      <c r="E163" t="s">
        <v>247</v>
      </c>
      <c r="F163">
        <v>-150</v>
      </c>
    </row>
    <row r="164" spans="1:8" x14ac:dyDescent="0.25">
      <c r="A164" t="s">
        <v>91</v>
      </c>
      <c r="B164" t="s">
        <v>246</v>
      </c>
      <c r="C164">
        <v>0</v>
      </c>
      <c r="D164" t="s">
        <v>34</v>
      </c>
      <c r="E164" t="s">
        <v>247</v>
      </c>
      <c r="F164">
        <v>0</v>
      </c>
    </row>
    <row r="165" spans="1:8" x14ac:dyDescent="0.25">
      <c r="A165" t="s">
        <v>65</v>
      </c>
      <c r="B165" t="s">
        <v>246</v>
      </c>
      <c r="C165">
        <v>0</v>
      </c>
      <c r="D165" t="s">
        <v>34</v>
      </c>
      <c r="E165" t="s">
        <v>247</v>
      </c>
      <c r="F165">
        <v>0</v>
      </c>
    </row>
    <row r="166" spans="1:8" x14ac:dyDescent="0.25">
      <c r="A166" t="s">
        <v>66</v>
      </c>
      <c r="B166" t="s">
        <v>244</v>
      </c>
      <c r="C166">
        <v>0</v>
      </c>
      <c r="D166" t="s">
        <v>34</v>
      </c>
      <c r="E166" t="s">
        <v>247</v>
      </c>
      <c r="F166">
        <v>0</v>
      </c>
    </row>
    <row r="167" spans="1:8" x14ac:dyDescent="0.25">
      <c r="A167" t="s">
        <v>192</v>
      </c>
      <c r="B167" t="s">
        <v>244</v>
      </c>
      <c r="C167">
        <v>0</v>
      </c>
      <c r="D167" t="s">
        <v>34</v>
      </c>
      <c r="E167" t="s">
        <v>247</v>
      </c>
      <c r="F167">
        <v>0</v>
      </c>
    </row>
    <row r="168" spans="1:8" x14ac:dyDescent="0.25">
      <c r="A168" t="s">
        <v>193</v>
      </c>
      <c r="B168" t="s">
        <v>87</v>
      </c>
      <c r="C168">
        <v>0</v>
      </c>
      <c r="D168" t="s">
        <v>34</v>
      </c>
      <c r="E168" t="s">
        <v>247</v>
      </c>
      <c r="F168">
        <v>500</v>
      </c>
    </row>
    <row r="169" spans="1:8" x14ac:dyDescent="0.25">
      <c r="A169" t="s">
        <v>194</v>
      </c>
      <c r="B169" t="s">
        <v>244</v>
      </c>
      <c r="C169">
        <v>0</v>
      </c>
      <c r="D169" t="s">
        <v>34</v>
      </c>
      <c r="E169" t="s">
        <v>247</v>
      </c>
      <c r="F169">
        <v>0</v>
      </c>
    </row>
    <row r="170" spans="1:8" x14ac:dyDescent="0.25">
      <c r="A170" t="s">
        <v>195</v>
      </c>
      <c r="B170" t="s">
        <v>87</v>
      </c>
      <c r="C170">
        <v>0</v>
      </c>
      <c r="D170" t="s">
        <v>34</v>
      </c>
      <c r="E170" t="s">
        <v>247</v>
      </c>
      <c r="F170">
        <v>125</v>
      </c>
    </row>
    <row r="171" spans="1:8" x14ac:dyDescent="0.25">
      <c r="A171" t="s">
        <v>196</v>
      </c>
      <c r="B171" t="s">
        <v>244</v>
      </c>
      <c r="C171">
        <v>0</v>
      </c>
      <c r="D171" t="s">
        <v>34</v>
      </c>
      <c r="E171" t="s">
        <v>247</v>
      </c>
      <c r="F171">
        <v>0</v>
      </c>
    </row>
    <row r="172" spans="1:8" x14ac:dyDescent="0.25">
      <c r="A172" t="s">
        <v>197</v>
      </c>
      <c r="B172" t="s">
        <v>87</v>
      </c>
      <c r="C172">
        <v>0</v>
      </c>
      <c r="D172" t="s">
        <v>34</v>
      </c>
      <c r="E172" t="s">
        <v>247</v>
      </c>
      <c r="F172">
        <v>40</v>
      </c>
    </row>
    <row r="173" spans="1:8" x14ac:dyDescent="0.25">
      <c r="A173" t="s">
        <v>198</v>
      </c>
      <c r="B173" t="s">
        <v>87</v>
      </c>
      <c r="C173">
        <v>0</v>
      </c>
      <c r="D173" t="s">
        <v>34</v>
      </c>
      <c r="E173" t="s">
        <v>247</v>
      </c>
      <c r="F173">
        <v>1976</v>
      </c>
    </row>
    <row r="174" spans="1:8" x14ac:dyDescent="0.25">
      <c r="A174" t="s">
        <v>199</v>
      </c>
      <c r="B174" t="s">
        <v>87</v>
      </c>
      <c r="C174">
        <v>0</v>
      </c>
      <c r="D174" t="s">
        <v>34</v>
      </c>
      <c r="E174" t="s">
        <v>247</v>
      </c>
      <c r="F174">
        <v>65</v>
      </c>
    </row>
    <row r="175" spans="1:8" x14ac:dyDescent="0.25">
      <c r="A175" t="s">
        <v>1673</v>
      </c>
      <c r="B175" t="s">
        <v>87</v>
      </c>
      <c r="C175">
        <v>0</v>
      </c>
      <c r="D175" t="s">
        <v>34</v>
      </c>
      <c r="E175" t="s">
        <v>247</v>
      </c>
      <c r="F175">
        <v>0</v>
      </c>
      <c r="H175" t="s">
        <v>1674</v>
      </c>
    </row>
    <row r="176" spans="1:8" x14ac:dyDescent="0.25">
      <c r="A176" t="s">
        <v>200</v>
      </c>
      <c r="B176" t="s">
        <v>87</v>
      </c>
      <c r="C176">
        <v>0</v>
      </c>
      <c r="D176" t="s">
        <v>34</v>
      </c>
      <c r="E176" t="s">
        <v>247</v>
      </c>
      <c r="F176">
        <v>75</v>
      </c>
    </row>
    <row r="177" spans="1:6" x14ac:dyDescent="0.25">
      <c r="A177" t="s">
        <v>201</v>
      </c>
      <c r="B177" t="s">
        <v>244</v>
      </c>
      <c r="C177">
        <v>0</v>
      </c>
      <c r="D177" t="s">
        <v>34</v>
      </c>
      <c r="E177" t="s">
        <v>247</v>
      </c>
      <c r="F177">
        <v>0</v>
      </c>
    </row>
    <row r="178" spans="1:6" x14ac:dyDescent="0.25">
      <c r="A178" t="s">
        <v>67</v>
      </c>
      <c r="B178" t="s">
        <v>244</v>
      </c>
      <c r="C178">
        <v>0</v>
      </c>
      <c r="D178" t="s">
        <v>34</v>
      </c>
      <c r="E178" t="s">
        <v>247</v>
      </c>
      <c r="F178">
        <v>0</v>
      </c>
    </row>
    <row r="179" spans="1:6" x14ac:dyDescent="0.25">
      <c r="A179" t="s">
        <v>12</v>
      </c>
      <c r="B179" t="s">
        <v>87</v>
      </c>
      <c r="C179">
        <v>0</v>
      </c>
      <c r="D179" t="s">
        <v>34</v>
      </c>
      <c r="E179" t="s">
        <v>247</v>
      </c>
      <c r="F179">
        <v>-12500</v>
      </c>
    </row>
    <row r="180" spans="1:6" x14ac:dyDescent="0.25">
      <c r="A180" t="s">
        <v>37</v>
      </c>
      <c r="B180" t="s">
        <v>244</v>
      </c>
      <c r="C180">
        <v>0</v>
      </c>
      <c r="D180" t="s">
        <v>34</v>
      </c>
      <c r="E180" t="s">
        <v>247</v>
      </c>
      <c r="F180">
        <v>0</v>
      </c>
    </row>
    <row r="181" spans="1:6" x14ac:dyDescent="0.25">
      <c r="A181" t="s">
        <v>26</v>
      </c>
      <c r="B181" t="s">
        <v>246</v>
      </c>
      <c r="C181">
        <v>0</v>
      </c>
      <c r="D181" t="s">
        <v>34</v>
      </c>
      <c r="E181" t="s">
        <v>247</v>
      </c>
      <c r="F181">
        <v>0</v>
      </c>
    </row>
    <row r="182" spans="1:6" x14ac:dyDescent="0.25">
      <c r="A182" t="s">
        <v>68</v>
      </c>
      <c r="B182" t="s">
        <v>244</v>
      </c>
      <c r="C182">
        <v>0</v>
      </c>
      <c r="D182" t="s">
        <v>34</v>
      </c>
      <c r="E182" t="s">
        <v>247</v>
      </c>
      <c r="F182">
        <v>0</v>
      </c>
    </row>
    <row r="183" spans="1:6" x14ac:dyDescent="0.25">
      <c r="A183" t="s">
        <v>14</v>
      </c>
      <c r="B183" t="s">
        <v>87</v>
      </c>
      <c r="C183">
        <v>0</v>
      </c>
      <c r="D183" t="s">
        <v>34</v>
      </c>
      <c r="E183" t="s">
        <v>247</v>
      </c>
      <c r="F183">
        <v>-75</v>
      </c>
    </row>
    <row r="184" spans="1:6" x14ac:dyDescent="0.25">
      <c r="A184" t="s">
        <v>38</v>
      </c>
      <c r="B184" t="s">
        <v>246</v>
      </c>
      <c r="C184">
        <v>0</v>
      </c>
      <c r="D184" t="s">
        <v>34</v>
      </c>
      <c r="E184" t="s">
        <v>247</v>
      </c>
      <c r="F184">
        <v>0</v>
      </c>
    </row>
    <row r="185" spans="1:6" x14ac:dyDescent="0.25">
      <c r="A185" t="s">
        <v>69</v>
      </c>
      <c r="B185" t="s">
        <v>88</v>
      </c>
      <c r="C185">
        <v>0</v>
      </c>
      <c r="D185" t="s">
        <v>34</v>
      </c>
      <c r="E185" t="s">
        <v>247</v>
      </c>
      <c r="F185">
        <v>50</v>
      </c>
    </row>
    <row r="186" spans="1:6" x14ac:dyDescent="0.25">
      <c r="A186" t="s">
        <v>70</v>
      </c>
      <c r="B186" t="s">
        <v>245</v>
      </c>
      <c r="C186">
        <v>0</v>
      </c>
      <c r="D186" t="s">
        <v>34</v>
      </c>
      <c r="E186" t="s">
        <v>247</v>
      </c>
      <c r="F186">
        <v>0</v>
      </c>
    </row>
    <row r="187" spans="1:6" x14ac:dyDescent="0.25">
      <c r="A187" t="s">
        <v>202</v>
      </c>
      <c r="B187" t="s">
        <v>87</v>
      </c>
      <c r="C187">
        <v>0</v>
      </c>
      <c r="D187" t="s">
        <v>34</v>
      </c>
      <c r="E187" t="s">
        <v>247</v>
      </c>
      <c r="F187">
        <v>10</v>
      </c>
    </row>
    <row r="188" spans="1:6" x14ac:dyDescent="0.25">
      <c r="A188" t="s">
        <v>203</v>
      </c>
      <c r="B188" t="s">
        <v>87</v>
      </c>
      <c r="C188">
        <v>0</v>
      </c>
      <c r="D188" t="s">
        <v>34</v>
      </c>
      <c r="E188" t="s">
        <v>247</v>
      </c>
      <c r="F188">
        <v>100</v>
      </c>
    </row>
    <row r="189" spans="1:6" x14ac:dyDescent="0.25">
      <c r="A189" t="s">
        <v>204</v>
      </c>
      <c r="B189" t="s">
        <v>246</v>
      </c>
      <c r="C189">
        <v>0</v>
      </c>
      <c r="D189" t="s">
        <v>34</v>
      </c>
      <c r="E189" t="s">
        <v>247</v>
      </c>
      <c r="F189">
        <v>2</v>
      </c>
    </row>
    <row r="190" spans="1:6" x14ac:dyDescent="0.25">
      <c r="A190" t="s">
        <v>250</v>
      </c>
      <c r="B190" t="s">
        <v>245</v>
      </c>
      <c r="C190">
        <v>0</v>
      </c>
      <c r="D190" t="s">
        <v>34</v>
      </c>
      <c r="E190" t="s">
        <v>247</v>
      </c>
      <c r="F190">
        <v>2</v>
      </c>
    </row>
    <row r="191" spans="1:6" x14ac:dyDescent="0.25">
      <c r="A191" t="s">
        <v>205</v>
      </c>
      <c r="B191" t="s">
        <v>245</v>
      </c>
      <c r="C191">
        <v>0</v>
      </c>
      <c r="D191" t="s">
        <v>34</v>
      </c>
      <c r="E191" t="s">
        <v>247</v>
      </c>
      <c r="F191">
        <v>0</v>
      </c>
    </row>
    <row r="192" spans="1:6" x14ac:dyDescent="0.25">
      <c r="A192" t="s">
        <v>206</v>
      </c>
      <c r="B192" t="s">
        <v>244</v>
      </c>
      <c r="C192">
        <v>0</v>
      </c>
      <c r="D192" t="s">
        <v>34</v>
      </c>
      <c r="E192" t="s">
        <v>247</v>
      </c>
      <c r="F192">
        <v>0</v>
      </c>
    </row>
    <row r="193" spans="1:6" x14ac:dyDescent="0.25">
      <c r="A193" t="s">
        <v>71</v>
      </c>
      <c r="B193" t="s">
        <v>244</v>
      </c>
      <c r="C193">
        <v>0</v>
      </c>
      <c r="D193" t="s">
        <v>34</v>
      </c>
      <c r="E193" t="s">
        <v>247</v>
      </c>
      <c r="F193">
        <v>0</v>
      </c>
    </row>
    <row r="194" spans="1:6" x14ac:dyDescent="0.25">
      <c r="A194" t="s">
        <v>207</v>
      </c>
      <c r="B194" t="s">
        <v>244</v>
      </c>
      <c r="C194">
        <v>0</v>
      </c>
      <c r="D194" t="s">
        <v>34</v>
      </c>
      <c r="E194" t="s">
        <v>247</v>
      </c>
      <c r="F194">
        <v>0</v>
      </c>
    </row>
    <row r="195" spans="1:6" x14ac:dyDescent="0.25">
      <c r="A195" t="s">
        <v>208</v>
      </c>
      <c r="B195" t="s">
        <v>244</v>
      </c>
      <c r="C195">
        <v>0</v>
      </c>
      <c r="D195" t="s">
        <v>34</v>
      </c>
      <c r="E195" t="s">
        <v>247</v>
      </c>
      <c r="F195">
        <v>0</v>
      </c>
    </row>
    <row r="196" spans="1:6" x14ac:dyDescent="0.25">
      <c r="A196" t="s">
        <v>209</v>
      </c>
      <c r="B196" t="s">
        <v>244</v>
      </c>
      <c r="C196">
        <v>0</v>
      </c>
      <c r="D196" t="s">
        <v>34</v>
      </c>
      <c r="E196" t="s">
        <v>247</v>
      </c>
      <c r="F196">
        <v>0</v>
      </c>
    </row>
    <row r="197" spans="1:6" x14ac:dyDescent="0.25">
      <c r="A197" t="s">
        <v>210</v>
      </c>
      <c r="B197" t="s">
        <v>244</v>
      </c>
      <c r="C197">
        <v>0</v>
      </c>
      <c r="D197" t="s">
        <v>34</v>
      </c>
      <c r="E197" t="s">
        <v>247</v>
      </c>
      <c r="F197">
        <v>0</v>
      </c>
    </row>
    <row r="198" spans="1:6" x14ac:dyDescent="0.25">
      <c r="A198" t="s">
        <v>90</v>
      </c>
      <c r="B198" t="s">
        <v>246</v>
      </c>
      <c r="C198">
        <v>0</v>
      </c>
      <c r="D198" t="s">
        <v>34</v>
      </c>
      <c r="E198" t="s">
        <v>247</v>
      </c>
      <c r="F198">
        <v>625</v>
      </c>
    </row>
    <row r="199" spans="1:6" x14ac:dyDescent="0.25">
      <c r="A199" t="s">
        <v>211</v>
      </c>
      <c r="B199" t="s">
        <v>246</v>
      </c>
      <c r="C199">
        <v>0</v>
      </c>
      <c r="D199" t="s">
        <v>34</v>
      </c>
      <c r="E199" t="s">
        <v>247</v>
      </c>
      <c r="F199">
        <v>0</v>
      </c>
    </row>
    <row r="200" spans="1:6" x14ac:dyDescent="0.25">
      <c r="A200" t="s">
        <v>212</v>
      </c>
      <c r="B200" t="s">
        <v>246</v>
      </c>
      <c r="C200">
        <v>0</v>
      </c>
      <c r="D200" t="s">
        <v>34</v>
      </c>
      <c r="E200" t="s">
        <v>247</v>
      </c>
      <c r="F200">
        <v>0</v>
      </c>
    </row>
    <row r="201" spans="1:6" x14ac:dyDescent="0.25">
      <c r="A201" s="7" t="s">
        <v>1664</v>
      </c>
      <c r="B201" t="s">
        <v>246</v>
      </c>
      <c r="C201">
        <v>0</v>
      </c>
      <c r="D201" t="s">
        <v>34</v>
      </c>
      <c r="E201" t="s">
        <v>247</v>
      </c>
      <c r="F201">
        <v>0</v>
      </c>
    </row>
    <row r="202" spans="1:6" x14ac:dyDescent="0.25">
      <c r="A202" s="7" t="s">
        <v>1665</v>
      </c>
      <c r="B202" t="s">
        <v>246</v>
      </c>
      <c r="C202">
        <v>0</v>
      </c>
      <c r="D202" t="s">
        <v>34</v>
      </c>
      <c r="E202" t="s">
        <v>247</v>
      </c>
      <c r="F202">
        <v>0</v>
      </c>
    </row>
    <row r="203" spans="1:6" x14ac:dyDescent="0.25">
      <c r="A203" s="7" t="s">
        <v>211</v>
      </c>
      <c r="B203" t="s">
        <v>246</v>
      </c>
      <c r="C203">
        <v>0</v>
      </c>
      <c r="D203" t="s">
        <v>34</v>
      </c>
      <c r="E203" t="s">
        <v>247</v>
      </c>
      <c r="F203">
        <v>0</v>
      </c>
    </row>
    <row r="204" spans="1:6" x14ac:dyDescent="0.25">
      <c r="A204" s="7" t="s">
        <v>1666</v>
      </c>
      <c r="B204" t="s">
        <v>246</v>
      </c>
      <c r="C204">
        <v>0</v>
      </c>
      <c r="D204" t="s">
        <v>34</v>
      </c>
      <c r="E204" t="s">
        <v>247</v>
      </c>
      <c r="F204">
        <v>0</v>
      </c>
    </row>
    <row r="205" spans="1:6" x14ac:dyDescent="0.25">
      <c r="A205" s="7" t="s">
        <v>212</v>
      </c>
      <c r="B205" t="s">
        <v>246</v>
      </c>
      <c r="C205">
        <v>0</v>
      </c>
      <c r="D205" t="s">
        <v>34</v>
      </c>
      <c r="E205" t="s">
        <v>247</v>
      </c>
      <c r="F205">
        <v>0</v>
      </c>
    </row>
    <row r="206" spans="1:6" x14ac:dyDescent="0.25">
      <c r="A206" t="s">
        <v>213</v>
      </c>
      <c r="B206" t="s">
        <v>244</v>
      </c>
      <c r="C206">
        <v>0</v>
      </c>
      <c r="D206" t="s">
        <v>34</v>
      </c>
      <c r="E206" t="s">
        <v>247</v>
      </c>
      <c r="F206">
        <v>0</v>
      </c>
    </row>
    <row r="207" spans="1:6" x14ac:dyDescent="0.25">
      <c r="A207" t="s">
        <v>72</v>
      </c>
      <c r="B207" t="s">
        <v>244</v>
      </c>
      <c r="C207">
        <v>0</v>
      </c>
      <c r="D207" t="s">
        <v>34</v>
      </c>
      <c r="E207" t="s">
        <v>247</v>
      </c>
      <c r="F207">
        <v>0</v>
      </c>
    </row>
    <row r="208" spans="1:6" x14ac:dyDescent="0.25">
      <c r="A208" t="s">
        <v>214</v>
      </c>
      <c r="B208" t="s">
        <v>246</v>
      </c>
      <c r="C208">
        <v>0</v>
      </c>
      <c r="D208" t="s">
        <v>34</v>
      </c>
      <c r="E208" t="s">
        <v>247</v>
      </c>
      <c r="F208">
        <v>5</v>
      </c>
    </row>
    <row r="209" spans="1:6" x14ac:dyDescent="0.25">
      <c r="A209" t="s">
        <v>215</v>
      </c>
      <c r="B209" t="s">
        <v>88</v>
      </c>
      <c r="C209">
        <v>0</v>
      </c>
      <c r="D209" t="s">
        <v>34</v>
      </c>
      <c r="E209" t="s">
        <v>247</v>
      </c>
      <c r="F209">
        <v>150</v>
      </c>
    </row>
    <row r="210" spans="1:6" x14ac:dyDescent="0.25">
      <c r="A210" t="s">
        <v>216</v>
      </c>
      <c r="B210" t="s">
        <v>88</v>
      </c>
      <c r="C210">
        <v>0</v>
      </c>
      <c r="D210" t="s">
        <v>34</v>
      </c>
      <c r="E210" t="s">
        <v>247</v>
      </c>
      <c r="F210">
        <v>0</v>
      </c>
    </row>
    <row r="211" spans="1:6" x14ac:dyDescent="0.25">
      <c r="A211" t="s">
        <v>217</v>
      </c>
      <c r="B211" t="s">
        <v>244</v>
      </c>
      <c r="C211">
        <v>0</v>
      </c>
      <c r="D211" t="s">
        <v>34</v>
      </c>
      <c r="E211" t="s">
        <v>247</v>
      </c>
      <c r="F211">
        <v>0</v>
      </c>
    </row>
    <row r="212" spans="1:6" x14ac:dyDescent="0.25">
      <c r="A212" t="s">
        <v>218</v>
      </c>
      <c r="B212" t="s">
        <v>88</v>
      </c>
      <c r="C212">
        <v>0</v>
      </c>
      <c r="D212" t="s">
        <v>34</v>
      </c>
      <c r="E212" t="s">
        <v>247</v>
      </c>
      <c r="F212">
        <v>100</v>
      </c>
    </row>
    <row r="213" spans="1:6" x14ac:dyDescent="0.25">
      <c r="A213" t="s">
        <v>219</v>
      </c>
      <c r="B213" t="s">
        <v>88</v>
      </c>
      <c r="C213">
        <v>0</v>
      </c>
      <c r="D213" t="s">
        <v>34</v>
      </c>
      <c r="E213" t="s">
        <v>247</v>
      </c>
      <c r="F213">
        <v>0</v>
      </c>
    </row>
    <row r="214" spans="1:6" x14ac:dyDescent="0.25">
      <c r="A214" t="s">
        <v>220</v>
      </c>
      <c r="B214" t="s">
        <v>88</v>
      </c>
      <c r="C214">
        <v>0</v>
      </c>
      <c r="D214" t="s">
        <v>34</v>
      </c>
      <c r="E214" t="s">
        <v>247</v>
      </c>
      <c r="F214">
        <v>25</v>
      </c>
    </row>
    <row r="215" spans="1:6" x14ac:dyDescent="0.25">
      <c r="A215" t="s">
        <v>221</v>
      </c>
      <c r="B215" t="s">
        <v>244</v>
      </c>
      <c r="C215">
        <v>0</v>
      </c>
      <c r="D215" t="s">
        <v>34</v>
      </c>
      <c r="E215" t="s">
        <v>247</v>
      </c>
      <c r="F215">
        <v>0</v>
      </c>
    </row>
    <row r="216" spans="1:6" x14ac:dyDescent="0.25">
      <c r="A216" t="s">
        <v>222</v>
      </c>
      <c r="B216" t="s">
        <v>88</v>
      </c>
      <c r="C216">
        <v>0</v>
      </c>
      <c r="D216" t="s">
        <v>34</v>
      </c>
      <c r="E216" t="s">
        <v>247</v>
      </c>
      <c r="F216">
        <v>20</v>
      </c>
    </row>
    <row r="217" spans="1:6" x14ac:dyDescent="0.25">
      <c r="A217" t="s">
        <v>223</v>
      </c>
      <c r="B217" t="s">
        <v>244</v>
      </c>
      <c r="C217">
        <v>0</v>
      </c>
      <c r="D217" t="s">
        <v>34</v>
      </c>
      <c r="E217" t="s">
        <v>247</v>
      </c>
      <c r="F217">
        <v>0</v>
      </c>
    </row>
    <row r="218" spans="1:6" x14ac:dyDescent="0.25">
      <c r="A218" t="s">
        <v>73</v>
      </c>
      <c r="B218" t="s">
        <v>88</v>
      </c>
      <c r="C218">
        <v>0</v>
      </c>
      <c r="D218" t="s">
        <v>34</v>
      </c>
      <c r="E218" t="s">
        <v>247</v>
      </c>
      <c r="F218">
        <v>35</v>
      </c>
    </row>
    <row r="219" spans="1:6" x14ac:dyDescent="0.25">
      <c r="A219" t="s">
        <v>74</v>
      </c>
      <c r="B219" t="s">
        <v>244</v>
      </c>
      <c r="C219">
        <v>0</v>
      </c>
      <c r="D219" t="s">
        <v>34</v>
      </c>
      <c r="E219" t="s">
        <v>247</v>
      </c>
      <c r="F219">
        <v>0</v>
      </c>
    </row>
    <row r="220" spans="1:6" x14ac:dyDescent="0.25">
      <c r="A220" t="s">
        <v>224</v>
      </c>
      <c r="B220" t="s">
        <v>246</v>
      </c>
      <c r="C220">
        <v>0</v>
      </c>
      <c r="D220" t="s">
        <v>34</v>
      </c>
      <c r="E220" t="s">
        <v>247</v>
      </c>
      <c r="F220">
        <v>0</v>
      </c>
    </row>
    <row r="221" spans="1:6" x14ac:dyDescent="0.25">
      <c r="A221" t="s">
        <v>225</v>
      </c>
      <c r="B221" t="s">
        <v>246</v>
      </c>
      <c r="C221">
        <v>0</v>
      </c>
      <c r="D221" t="s">
        <v>34</v>
      </c>
      <c r="E221" t="s">
        <v>247</v>
      </c>
      <c r="F221">
        <v>0</v>
      </c>
    </row>
    <row r="222" spans="1:6" x14ac:dyDescent="0.25">
      <c r="A222" t="s">
        <v>226</v>
      </c>
      <c r="B222" t="s">
        <v>244</v>
      </c>
      <c r="C222">
        <v>0</v>
      </c>
      <c r="D222" t="s">
        <v>34</v>
      </c>
      <c r="E222" t="s">
        <v>247</v>
      </c>
      <c r="F222">
        <v>0</v>
      </c>
    </row>
    <row r="223" spans="1:6" x14ac:dyDescent="0.25">
      <c r="A223" t="s">
        <v>227</v>
      </c>
      <c r="B223" t="s">
        <v>244</v>
      </c>
      <c r="C223">
        <v>0</v>
      </c>
      <c r="D223" t="s">
        <v>34</v>
      </c>
      <c r="E223" t="s">
        <v>247</v>
      </c>
      <c r="F223">
        <v>0</v>
      </c>
    </row>
    <row r="224" spans="1:6" x14ac:dyDescent="0.25">
      <c r="A224" t="s">
        <v>75</v>
      </c>
      <c r="B224" t="s">
        <v>244</v>
      </c>
      <c r="C224">
        <v>0</v>
      </c>
      <c r="D224" t="s">
        <v>34</v>
      </c>
      <c r="E224" t="s">
        <v>247</v>
      </c>
      <c r="F224">
        <v>0</v>
      </c>
    </row>
    <row r="225" spans="1:6" x14ac:dyDescent="0.25">
      <c r="A225" t="s">
        <v>228</v>
      </c>
      <c r="B225" t="s">
        <v>245</v>
      </c>
      <c r="C225">
        <v>0</v>
      </c>
      <c r="D225" t="s">
        <v>34</v>
      </c>
      <c r="E225" t="s">
        <v>247</v>
      </c>
      <c r="F225">
        <v>0</v>
      </c>
    </row>
    <row r="226" spans="1:6" x14ac:dyDescent="0.25">
      <c r="A226" t="s">
        <v>229</v>
      </c>
      <c r="B226" t="s">
        <v>245</v>
      </c>
      <c r="C226">
        <v>0</v>
      </c>
      <c r="D226" t="s">
        <v>34</v>
      </c>
      <c r="E226" t="s">
        <v>247</v>
      </c>
      <c r="F226">
        <v>0</v>
      </c>
    </row>
    <row r="227" spans="1:6" x14ac:dyDescent="0.25">
      <c r="A227" t="s">
        <v>230</v>
      </c>
      <c r="B227" t="s">
        <v>245</v>
      </c>
      <c r="C227">
        <v>0</v>
      </c>
      <c r="D227" t="s">
        <v>34</v>
      </c>
      <c r="E227" t="s">
        <v>247</v>
      </c>
      <c r="F227">
        <v>0</v>
      </c>
    </row>
    <row r="228" spans="1:6" x14ac:dyDescent="0.25">
      <c r="A228" t="s">
        <v>231</v>
      </c>
      <c r="B228" t="s">
        <v>245</v>
      </c>
      <c r="C228">
        <v>0</v>
      </c>
      <c r="D228" t="s">
        <v>34</v>
      </c>
      <c r="E228" t="s">
        <v>247</v>
      </c>
      <c r="F228">
        <v>800</v>
      </c>
    </row>
    <row r="229" spans="1:6" x14ac:dyDescent="0.25">
      <c r="A229" t="s">
        <v>232</v>
      </c>
      <c r="B229" t="s">
        <v>245</v>
      </c>
      <c r="C229">
        <v>0</v>
      </c>
      <c r="D229" t="s">
        <v>34</v>
      </c>
      <c r="E229" t="s">
        <v>247</v>
      </c>
      <c r="F229">
        <v>0</v>
      </c>
    </row>
    <row r="230" spans="1:6" x14ac:dyDescent="0.25">
      <c r="A230" t="s">
        <v>233</v>
      </c>
      <c r="B230" t="s">
        <v>245</v>
      </c>
      <c r="C230">
        <v>0</v>
      </c>
      <c r="D230" t="s">
        <v>34</v>
      </c>
      <c r="E230" t="s">
        <v>247</v>
      </c>
      <c r="F230">
        <v>0</v>
      </c>
    </row>
    <row r="231" spans="1:6" x14ac:dyDescent="0.25">
      <c r="A231" t="s">
        <v>234</v>
      </c>
      <c r="B231" t="s">
        <v>245</v>
      </c>
      <c r="C231">
        <v>0</v>
      </c>
      <c r="D231" t="s">
        <v>34</v>
      </c>
      <c r="E231" t="s">
        <v>247</v>
      </c>
      <c r="F231">
        <v>0</v>
      </c>
    </row>
    <row r="232" spans="1:6" x14ac:dyDescent="0.25">
      <c r="A232" t="s">
        <v>235</v>
      </c>
      <c r="B232" t="s">
        <v>244</v>
      </c>
      <c r="C232">
        <v>0</v>
      </c>
      <c r="D232" t="s">
        <v>34</v>
      </c>
      <c r="E232" t="s">
        <v>247</v>
      </c>
      <c r="F232">
        <v>0</v>
      </c>
    </row>
    <row r="233" spans="1:6" x14ac:dyDescent="0.25">
      <c r="A233" t="s">
        <v>29</v>
      </c>
      <c r="B233" t="s">
        <v>245</v>
      </c>
      <c r="C233">
        <v>0</v>
      </c>
      <c r="D233" t="s">
        <v>34</v>
      </c>
      <c r="E233" t="s">
        <v>247</v>
      </c>
      <c r="F233">
        <v>0</v>
      </c>
    </row>
    <row r="234" spans="1:6" x14ac:dyDescent="0.25">
      <c r="A234" t="s">
        <v>236</v>
      </c>
      <c r="B234" t="s">
        <v>245</v>
      </c>
      <c r="C234">
        <v>0</v>
      </c>
      <c r="D234" t="s">
        <v>34</v>
      </c>
      <c r="E234" t="s">
        <v>247</v>
      </c>
      <c r="F234">
        <v>0</v>
      </c>
    </row>
    <row r="235" spans="1:6" x14ac:dyDescent="0.25">
      <c r="A235" t="s">
        <v>237</v>
      </c>
      <c r="B235" t="s">
        <v>245</v>
      </c>
      <c r="C235">
        <v>0</v>
      </c>
      <c r="D235" t="s">
        <v>34</v>
      </c>
      <c r="E235" t="s">
        <v>247</v>
      </c>
      <c r="F235">
        <v>0</v>
      </c>
    </row>
    <row r="236" spans="1:6" x14ac:dyDescent="0.25">
      <c r="A236" t="s">
        <v>238</v>
      </c>
      <c r="B236" t="s">
        <v>245</v>
      </c>
      <c r="C236">
        <v>0</v>
      </c>
      <c r="D236" t="s">
        <v>34</v>
      </c>
      <c r="E236" t="s">
        <v>247</v>
      </c>
      <c r="F236">
        <v>0</v>
      </c>
    </row>
    <row r="237" spans="1:6" x14ac:dyDescent="0.25">
      <c r="A237" t="s">
        <v>239</v>
      </c>
      <c r="B237" t="s">
        <v>245</v>
      </c>
      <c r="C237">
        <v>0</v>
      </c>
      <c r="D237" t="s">
        <v>34</v>
      </c>
      <c r="E237" t="s">
        <v>247</v>
      </c>
      <c r="F237">
        <v>0</v>
      </c>
    </row>
    <row r="238" spans="1:6" x14ac:dyDescent="0.25">
      <c r="A238" t="s">
        <v>240</v>
      </c>
      <c r="B238" t="s">
        <v>245</v>
      </c>
      <c r="C238">
        <v>0</v>
      </c>
      <c r="D238" t="s">
        <v>34</v>
      </c>
      <c r="E238" t="s">
        <v>247</v>
      </c>
      <c r="F238">
        <v>0</v>
      </c>
    </row>
    <row r="239" spans="1:6" x14ac:dyDescent="0.25">
      <c r="A239" t="s">
        <v>241</v>
      </c>
      <c r="B239" t="s">
        <v>245</v>
      </c>
      <c r="C239">
        <v>0</v>
      </c>
      <c r="D239" t="s">
        <v>34</v>
      </c>
      <c r="E239" t="s">
        <v>247</v>
      </c>
      <c r="F239">
        <v>0</v>
      </c>
    </row>
    <row r="240" spans="1:6" x14ac:dyDescent="0.25">
      <c r="A240" t="s">
        <v>1667</v>
      </c>
      <c r="B240" t="s">
        <v>245</v>
      </c>
      <c r="C240">
        <v>0</v>
      </c>
      <c r="D240" t="s">
        <v>34</v>
      </c>
      <c r="E240" t="s">
        <v>247</v>
      </c>
      <c r="F240">
        <v>0</v>
      </c>
    </row>
    <row r="241" spans="1:6" x14ac:dyDescent="0.25">
      <c r="A241" t="s">
        <v>242</v>
      </c>
      <c r="B241" t="s">
        <v>245</v>
      </c>
      <c r="C241">
        <v>0</v>
      </c>
      <c r="D241" t="s">
        <v>34</v>
      </c>
      <c r="E241" t="s">
        <v>247</v>
      </c>
      <c r="F241">
        <v>0</v>
      </c>
    </row>
    <row r="242" spans="1:6" x14ac:dyDescent="0.25">
      <c r="A242" t="s">
        <v>243</v>
      </c>
      <c r="B242" t="s">
        <v>244</v>
      </c>
      <c r="C242">
        <v>0</v>
      </c>
      <c r="D242" t="s">
        <v>34</v>
      </c>
      <c r="E242" t="s">
        <v>247</v>
      </c>
      <c r="F242">
        <v>0</v>
      </c>
    </row>
  </sheetData>
  <sortState ref="A2:F235">
    <sortCondition ref="A2:A235"/>
  </sortState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N6"/>
  <sheetViews>
    <sheetView workbookViewId="0">
      <selection activeCell="A20" sqref="A20"/>
    </sheetView>
  </sheetViews>
  <sheetFormatPr defaultRowHeight="15" x14ac:dyDescent="0.25"/>
  <cols>
    <col min="7" max="7" width="21" customWidth="1"/>
    <col min="9" max="9" width="11.5703125" bestFit="1" customWidth="1"/>
    <col min="13" max="13" width="17.28515625" bestFit="1" customWidth="1"/>
  </cols>
  <sheetData>
    <row r="1" spans="1:14" x14ac:dyDescent="0.25">
      <c r="B1" t="s">
        <v>256</v>
      </c>
      <c r="C1" t="s">
        <v>253</v>
      </c>
      <c r="D1" t="s">
        <v>257</v>
      </c>
      <c r="E1" t="s">
        <v>254</v>
      </c>
      <c r="H1" t="s">
        <v>260</v>
      </c>
      <c r="I1" t="s">
        <v>255</v>
      </c>
      <c r="M1" t="s">
        <v>261</v>
      </c>
      <c r="N1" s="3">
        <v>38.85</v>
      </c>
    </row>
    <row r="2" spans="1:14" x14ac:dyDescent="0.25">
      <c r="A2">
        <v>2009</v>
      </c>
      <c r="B2">
        <v>4351</v>
      </c>
      <c r="C2">
        <v>3480</v>
      </c>
      <c r="D2">
        <f>B2-C2</f>
        <v>871</v>
      </c>
      <c r="E2" s="2">
        <f>B2/5</f>
        <v>870.2</v>
      </c>
      <c r="G2" t="s">
        <v>258</v>
      </c>
      <c r="H2">
        <f>SUM(D:D)</f>
        <v>8979</v>
      </c>
      <c r="I2" s="3">
        <f>H2*$N$1</f>
        <v>348834.15</v>
      </c>
    </row>
    <row r="3" spans="1:14" x14ac:dyDescent="0.25">
      <c r="A3">
        <v>2010</v>
      </c>
      <c r="B3">
        <v>3868</v>
      </c>
      <c r="C3">
        <v>2320</v>
      </c>
      <c r="D3">
        <f t="shared" ref="D3:D6" si="0">B3-C3</f>
        <v>1548</v>
      </c>
      <c r="E3" s="2">
        <f t="shared" ref="E3:E6" si="1">B3/5</f>
        <v>773.6</v>
      </c>
      <c r="G3" t="s">
        <v>259</v>
      </c>
      <c r="H3" s="2">
        <f>SUM(E2:E6)</f>
        <v>3278.6000000000004</v>
      </c>
      <c r="I3" s="3">
        <f>H3*$N$1</f>
        <v>127373.61000000002</v>
      </c>
    </row>
    <row r="4" spans="1:14" x14ac:dyDescent="0.25">
      <c r="A4">
        <v>2011</v>
      </c>
      <c r="B4">
        <v>2820</v>
      </c>
      <c r="C4">
        <v>1128</v>
      </c>
      <c r="D4">
        <f t="shared" si="0"/>
        <v>1692</v>
      </c>
      <c r="E4" s="2">
        <f t="shared" si="1"/>
        <v>564</v>
      </c>
    </row>
    <row r="5" spans="1:14" x14ac:dyDescent="0.25">
      <c r="A5">
        <v>2012</v>
      </c>
      <c r="B5">
        <v>2434</v>
      </c>
      <c r="C5">
        <v>486</v>
      </c>
      <c r="D5">
        <f t="shared" si="0"/>
        <v>1948</v>
      </c>
      <c r="E5" s="2">
        <f t="shared" si="1"/>
        <v>486.8</v>
      </c>
    </row>
    <row r="6" spans="1:14" x14ac:dyDescent="0.25">
      <c r="A6">
        <v>2013</v>
      </c>
      <c r="B6">
        <v>2920</v>
      </c>
      <c r="C6">
        <v>0</v>
      </c>
      <c r="D6">
        <f t="shared" si="0"/>
        <v>2920</v>
      </c>
      <c r="E6" s="2">
        <f t="shared" si="1"/>
        <v>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Accounts</vt:lpstr>
      <vt:lpstr>Balanced</vt:lpstr>
      <vt:lpstr>Categorized</vt:lpstr>
      <vt:lpstr>Transactions</vt:lpstr>
      <vt:lpstr>Categories</vt:lpstr>
      <vt:lpstr>Tags</vt:lpstr>
      <vt:lpstr>Security</vt:lpstr>
      <vt:lpstr>Memorized</vt:lpstr>
      <vt:lpstr>Experiment</vt:lpstr>
      <vt:lpstr>Projects</vt:lpstr>
      <vt:lpstr>Vacation</vt:lpstr>
      <vt:lpstr>Combined (Pivot)</vt:lpstr>
      <vt:lpstr>_Config</vt:lpstr>
      <vt:lpstr>_Categories (Master)</vt:lpstr>
      <vt:lpstr>Stock</vt:lpstr>
      <vt:lpstr>CFG_BudgetYear</vt:lpstr>
      <vt:lpstr>CFG_DataSheetName</vt:lpstr>
      <vt:lpstr>cfg_PremeraClaimsDest</vt:lpstr>
      <vt:lpstr>cfg_PremeraClaimsSrc</vt:lpstr>
      <vt:lpstr>CFG_SourceQIF</vt:lpstr>
      <vt:lpstr>TBL_Balanced</vt:lpstr>
      <vt:lpstr>TBL_Categories</vt:lpstr>
      <vt:lpstr>TBL_Categorized</vt:lpstr>
      <vt:lpstr>TBL_Data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 (WSC)</dc:creator>
  <cp:lastModifiedBy>Dave Smith</cp:lastModifiedBy>
  <cp:lastPrinted>2014-12-29T17:16:12Z</cp:lastPrinted>
  <dcterms:created xsi:type="dcterms:W3CDTF">2013-11-19T02:14:36Z</dcterms:created>
  <dcterms:modified xsi:type="dcterms:W3CDTF">2015-01-06T05:30:44Z</dcterms:modified>
</cp:coreProperties>
</file>