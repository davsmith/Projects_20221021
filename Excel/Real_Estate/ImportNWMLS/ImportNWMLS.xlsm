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15" windowWidth="18975" windowHeight="11955"/>
  </bookViews>
  <sheets>
    <sheet name="Tracking" sheetId="28" r:id="rId1"/>
    <sheet name="Configuration" sheetId="4" r:id="rId2"/>
    <sheet name="Ratings" sheetId="10" r:id="rId3"/>
    <sheet name="Houses" sheetId="22" r:id="rId4"/>
    <sheet name="Backup 12_1_07" sheetId="27" r:id="rId5"/>
    <sheet name="Backup" sheetId="26" r:id="rId6"/>
  </sheets>
  <functionGroups/>
  <externalReferences>
    <externalReference r:id="rId7"/>
  </externalReferences>
  <definedNames>
    <definedName name="_xlnm._FilterDatabase" localSheetId="5" hidden="1">Backup!$A$1:$AY$106</definedName>
    <definedName name="_xlnm._FilterDatabase" localSheetId="4" hidden="1">'Backup 12_1_07'!$A$1:$AZ$113</definedName>
    <definedName name="_xlnm._FilterDatabase" localSheetId="0" hidden="1">Tracking!$A$1:$AZ$113</definedName>
    <definedName name="backup">Backup!$A$1:$AY$106</definedName>
    <definedName name="cfgFilePath">Configuration!$B$1</definedName>
    <definedName name="cfgFileSpec">Configuration!$B$2</definedName>
    <definedName name="cfgQueryList">Configuration!$F$2</definedName>
    <definedName name="cfgWindermereQueries">Configuration!$F$26</definedName>
    <definedName name="tmpHouseResults" localSheetId="5">[1]Houses!#REF!</definedName>
    <definedName name="tmpHouseResults">Houses!$A$1:$AS$8</definedName>
    <definedName name="tmpTrackingResults" localSheetId="0">Tracking!$A$1:$AZ$113</definedName>
  </definedNames>
  <calcPr calcId="124519"/>
</workbook>
</file>

<file path=xl/calcChain.xml><?xml version="1.0" encoding="utf-8"?>
<calcChain xmlns="http://schemas.openxmlformats.org/spreadsheetml/2006/main">
  <c r="O112" i="28"/>
  <c r="B112"/>
  <c r="O113"/>
  <c r="O111"/>
  <c r="O109"/>
  <c r="O110"/>
  <c r="O105"/>
  <c r="O108"/>
  <c r="O8" i="22"/>
  <c r="N8"/>
  <c r="M8"/>
  <c r="B8"/>
  <c r="O7"/>
  <c r="N7"/>
  <c r="M7"/>
  <c r="B7"/>
  <c r="O6"/>
  <c r="N6"/>
  <c r="M6"/>
  <c r="B6"/>
  <c r="O5"/>
  <c r="N5"/>
  <c r="M5"/>
  <c r="B5"/>
  <c r="O4"/>
  <c r="N4"/>
  <c r="M4"/>
  <c r="B4"/>
  <c r="O3"/>
  <c r="N3"/>
  <c r="M3"/>
  <c r="B3"/>
  <c r="O2"/>
  <c r="N2"/>
  <c r="M2"/>
  <c r="B2"/>
  <c r="O107" i="28"/>
  <c r="O104"/>
  <c r="O106"/>
  <c r="O103"/>
  <c r="O4"/>
  <c r="O95"/>
  <c r="O77"/>
  <c r="O47"/>
  <c r="O73"/>
  <c r="O99"/>
  <c r="O93"/>
  <c r="O58"/>
  <c r="O49"/>
  <c r="O65"/>
  <c r="O17"/>
  <c r="O51"/>
  <c r="B51"/>
  <c r="O66"/>
  <c r="O79"/>
  <c r="B79"/>
  <c r="O37"/>
  <c r="O11"/>
  <c r="O42"/>
  <c r="O6"/>
  <c r="O81"/>
  <c r="O53"/>
  <c r="O5"/>
  <c r="O16"/>
  <c r="O15"/>
  <c r="N25"/>
  <c r="B25"/>
  <c r="O43"/>
  <c r="O96"/>
  <c r="O90"/>
  <c r="O32"/>
  <c r="O64"/>
  <c r="O19"/>
  <c r="O10"/>
  <c r="O21"/>
  <c r="M21"/>
  <c r="O85"/>
  <c r="O92"/>
  <c r="O76"/>
  <c r="O34"/>
  <c r="O36"/>
  <c r="O23"/>
  <c r="O75"/>
  <c r="O63"/>
  <c r="O88"/>
  <c r="O70"/>
  <c r="O74"/>
  <c r="O31"/>
  <c r="O29"/>
  <c r="O30"/>
  <c r="O71"/>
  <c r="O7"/>
  <c r="O61"/>
  <c r="O50"/>
  <c r="O39"/>
  <c r="O22"/>
  <c r="O46"/>
  <c r="O33"/>
  <c r="O102"/>
  <c r="O68"/>
  <c r="O62"/>
  <c r="O60"/>
  <c r="O8"/>
  <c r="O57"/>
  <c r="O72"/>
  <c r="O89"/>
  <c r="O48"/>
  <c r="O94"/>
  <c r="O78"/>
  <c r="O26"/>
  <c r="O2"/>
  <c r="O40"/>
  <c r="B40"/>
  <c r="O91"/>
  <c r="O69"/>
  <c r="O3"/>
  <c r="B3"/>
  <c r="O27"/>
  <c r="B27"/>
  <c r="O98"/>
  <c r="B98"/>
  <c r="O18"/>
  <c r="O14"/>
  <c r="O59"/>
  <c r="B59"/>
  <c r="O87"/>
  <c r="O82"/>
  <c r="O20"/>
  <c r="O38"/>
  <c r="B38"/>
  <c r="O54"/>
  <c r="O100"/>
  <c r="O41"/>
  <c r="O83"/>
  <c r="O24"/>
  <c r="O56"/>
  <c r="O9"/>
  <c r="O97"/>
  <c r="O101"/>
  <c r="O86"/>
  <c r="O44"/>
  <c r="N44"/>
  <c r="B44"/>
  <c r="O67"/>
  <c r="O45"/>
  <c r="O28"/>
  <c r="O80"/>
  <c r="O52"/>
  <c r="O13"/>
  <c r="O12"/>
  <c r="N112"/>
  <c r="B95"/>
  <c r="B58"/>
  <c r="B6"/>
  <c r="M32"/>
  <c r="M63"/>
  <c r="M22"/>
  <c r="B26"/>
  <c r="B69"/>
  <c r="B82"/>
  <c r="B20"/>
  <c r="M45"/>
  <c r="AX113"/>
  <c r="AX112"/>
  <c r="AX110"/>
  <c r="AX109"/>
  <c r="AX105"/>
  <c r="N113"/>
  <c r="M113"/>
  <c r="B113"/>
  <c r="M112"/>
  <c r="N111"/>
  <c r="M111"/>
  <c r="B111"/>
  <c r="N110"/>
  <c r="M110"/>
  <c r="B110"/>
  <c r="N109"/>
  <c r="M109"/>
  <c r="B109"/>
  <c r="N108"/>
  <c r="M108"/>
  <c r="B108"/>
  <c r="N107"/>
  <c r="M107"/>
  <c r="B107"/>
  <c r="AX106"/>
  <c r="N106"/>
  <c r="M106"/>
  <c r="B106"/>
  <c r="N105"/>
  <c r="M105"/>
  <c r="B105"/>
  <c r="AX104"/>
  <c r="N104"/>
  <c r="M104"/>
  <c r="B104"/>
  <c r="AX103"/>
  <c r="N103"/>
  <c r="M103"/>
  <c r="B103"/>
  <c r="AX102"/>
  <c r="N102"/>
  <c r="M102"/>
  <c r="B102"/>
  <c r="AX101"/>
  <c r="N101"/>
  <c r="M101"/>
  <c r="B101"/>
  <c r="AX100"/>
  <c r="N100"/>
  <c r="M100"/>
  <c r="B100"/>
  <c r="N99"/>
  <c r="M99"/>
  <c r="B99"/>
  <c r="AX98"/>
  <c r="N98"/>
  <c r="M98"/>
  <c r="AX97"/>
  <c r="N97"/>
  <c r="M97"/>
  <c r="B97"/>
  <c r="AX96"/>
  <c r="N96"/>
  <c r="M96"/>
  <c r="B96"/>
  <c r="AX95"/>
  <c r="N95"/>
  <c r="M95"/>
  <c r="AX94"/>
  <c r="N94"/>
  <c r="M94"/>
  <c r="B94"/>
  <c r="AX93"/>
  <c r="N93"/>
  <c r="M93"/>
  <c r="B93"/>
  <c r="AX92"/>
  <c r="N92"/>
  <c r="M92"/>
  <c r="B92"/>
  <c r="AX91"/>
  <c r="N91"/>
  <c r="M91"/>
  <c r="B91"/>
  <c r="AX90"/>
  <c r="N90"/>
  <c r="M90"/>
  <c r="B90"/>
  <c r="AX89"/>
  <c r="N89"/>
  <c r="M89"/>
  <c r="B89"/>
  <c r="AX88"/>
  <c r="N88"/>
  <c r="M88"/>
  <c r="B88"/>
  <c r="AX87"/>
  <c r="N87"/>
  <c r="M87"/>
  <c r="B87"/>
  <c r="AX86"/>
  <c r="N86"/>
  <c r="M86"/>
  <c r="B86"/>
  <c r="AX85"/>
  <c r="N85"/>
  <c r="M85"/>
  <c r="B85"/>
  <c r="AX84"/>
  <c r="N84"/>
  <c r="M84"/>
  <c r="B84"/>
  <c r="AX83"/>
  <c r="N83"/>
  <c r="B83"/>
  <c r="AX82"/>
  <c r="N82"/>
  <c r="M82"/>
  <c r="N81"/>
  <c r="M81"/>
  <c r="B81"/>
  <c r="AX80"/>
  <c r="N80"/>
  <c r="M80"/>
  <c r="B80"/>
  <c r="AX79"/>
  <c r="N79"/>
  <c r="M79"/>
  <c r="AX78"/>
  <c r="N78"/>
  <c r="M78"/>
  <c r="B78"/>
  <c r="AX77"/>
  <c r="N77"/>
  <c r="M77"/>
  <c r="B77"/>
  <c r="AX76"/>
  <c r="N76"/>
  <c r="M76"/>
  <c r="B76"/>
  <c r="AX75"/>
  <c r="N75"/>
  <c r="M75"/>
  <c r="B75"/>
  <c r="AX74"/>
  <c r="N74"/>
  <c r="M74"/>
  <c r="B74"/>
  <c r="AX73"/>
  <c r="N73"/>
  <c r="M73"/>
  <c r="B73"/>
  <c r="AX72"/>
  <c r="N72"/>
  <c r="M72"/>
  <c r="B72"/>
  <c r="AX71"/>
  <c r="N71"/>
  <c r="M71"/>
  <c r="B71"/>
  <c r="AX70"/>
  <c r="N70"/>
  <c r="M70"/>
  <c r="B70"/>
  <c r="AX69"/>
  <c r="N69"/>
  <c r="M69"/>
  <c r="AX68"/>
  <c r="N68"/>
  <c r="M68"/>
  <c r="B68"/>
  <c r="AX67"/>
  <c r="N67"/>
  <c r="M67"/>
  <c r="B67"/>
  <c r="AX66"/>
  <c r="N66"/>
  <c r="M66"/>
  <c r="B66"/>
  <c r="AX65"/>
  <c r="N65"/>
  <c r="M65"/>
  <c r="B65"/>
  <c r="AX64"/>
  <c r="N64"/>
  <c r="M64"/>
  <c r="B64"/>
  <c r="AX63"/>
  <c r="N63"/>
  <c r="B63"/>
  <c r="AX62"/>
  <c r="N62"/>
  <c r="M62"/>
  <c r="B62"/>
  <c r="AX61"/>
  <c r="N61"/>
  <c r="M61"/>
  <c r="B61"/>
  <c r="AX60"/>
  <c r="N60"/>
  <c r="M60"/>
  <c r="B60"/>
  <c r="AX59"/>
  <c r="N59"/>
  <c r="M59"/>
  <c r="AX58"/>
  <c r="N58"/>
  <c r="M58"/>
  <c r="AX57"/>
  <c r="N57"/>
  <c r="M57"/>
  <c r="B57"/>
  <c r="AX56"/>
  <c r="N56"/>
  <c r="M56"/>
  <c r="B56"/>
  <c r="AX55"/>
  <c r="N55"/>
  <c r="M55"/>
  <c r="B55"/>
  <c r="N54"/>
  <c r="M54"/>
  <c r="B54"/>
  <c r="AX53"/>
  <c r="N53"/>
  <c r="M53"/>
  <c r="B53"/>
  <c r="AX52"/>
  <c r="N52"/>
  <c r="M52"/>
  <c r="B52"/>
  <c r="AX51"/>
  <c r="N51"/>
  <c r="M51"/>
  <c r="AX50"/>
  <c r="N50"/>
  <c r="M50"/>
  <c r="B50"/>
  <c r="AX49"/>
  <c r="N49"/>
  <c r="M49"/>
  <c r="B49"/>
  <c r="AX48"/>
  <c r="N48"/>
  <c r="M48"/>
  <c r="B48"/>
  <c r="AX47"/>
  <c r="N47"/>
  <c r="M47"/>
  <c r="B47"/>
  <c r="AX46"/>
  <c r="N46"/>
  <c r="M46"/>
  <c r="B46"/>
  <c r="AX45"/>
  <c r="N45"/>
  <c r="B45"/>
  <c r="AX44"/>
  <c r="M44"/>
  <c r="AX43"/>
  <c r="N43"/>
  <c r="M43"/>
  <c r="B43"/>
  <c r="AX42"/>
  <c r="N42"/>
  <c r="M42"/>
  <c r="B42"/>
  <c r="AX41"/>
  <c r="N41"/>
  <c r="M41"/>
  <c r="B41"/>
  <c r="AX40"/>
  <c r="N40"/>
  <c r="M40"/>
  <c r="AX39"/>
  <c r="N39"/>
  <c r="M39"/>
  <c r="B39"/>
  <c r="AX38"/>
  <c r="N38"/>
  <c r="M38"/>
  <c r="AX37"/>
  <c r="N37"/>
  <c r="M37"/>
  <c r="B37"/>
  <c r="AX36"/>
  <c r="N36"/>
  <c r="M36"/>
  <c r="B36"/>
  <c r="AX35"/>
  <c r="N35"/>
  <c r="B35"/>
  <c r="AX34"/>
  <c r="N34"/>
  <c r="M34"/>
  <c r="B34"/>
  <c r="AX33"/>
  <c r="N33"/>
  <c r="M33"/>
  <c r="B33"/>
  <c r="AX32"/>
  <c r="N32"/>
  <c r="B32"/>
  <c r="AX31"/>
  <c r="N31"/>
  <c r="M31"/>
  <c r="B31"/>
  <c r="AX30"/>
  <c r="N30"/>
  <c r="M30"/>
  <c r="B30"/>
  <c r="AX29"/>
  <c r="N29"/>
  <c r="M29"/>
  <c r="B29"/>
  <c r="AX28"/>
  <c r="N28"/>
  <c r="M28"/>
  <c r="B28"/>
  <c r="AX27"/>
  <c r="N27"/>
  <c r="M27"/>
  <c r="AX26"/>
  <c r="N26"/>
  <c r="M26"/>
  <c r="AX25"/>
  <c r="AX24"/>
  <c r="N24"/>
  <c r="M24"/>
  <c r="B24"/>
  <c r="AX23"/>
  <c r="N23"/>
  <c r="M23"/>
  <c r="B23"/>
  <c r="AX22"/>
  <c r="N22"/>
  <c r="B22"/>
  <c r="AX21"/>
  <c r="N21"/>
  <c r="B21"/>
  <c r="AX20"/>
  <c r="N20"/>
  <c r="M20"/>
  <c r="AX19"/>
  <c r="N19"/>
  <c r="M19"/>
  <c r="B19"/>
  <c r="AX18"/>
  <c r="N18"/>
  <c r="M18"/>
  <c r="B18"/>
  <c r="AX17"/>
  <c r="N17"/>
  <c r="M17"/>
  <c r="B17"/>
  <c r="AX16"/>
  <c r="N16"/>
  <c r="M16"/>
  <c r="B16"/>
  <c r="AX15"/>
  <c r="N15"/>
  <c r="M15"/>
  <c r="B15"/>
  <c r="AX14"/>
  <c r="N14"/>
  <c r="M14"/>
  <c r="B14"/>
  <c r="AX13"/>
  <c r="N13"/>
  <c r="M13"/>
  <c r="B13"/>
  <c r="AX12"/>
  <c r="N12"/>
  <c r="M12"/>
  <c r="B12"/>
  <c r="AX11"/>
  <c r="N11"/>
  <c r="M11"/>
  <c r="B11"/>
  <c r="AX10"/>
  <c r="N10"/>
  <c r="M10"/>
  <c r="B10"/>
  <c r="AX9"/>
  <c r="N9"/>
  <c r="M9"/>
  <c r="B9"/>
  <c r="AX8"/>
  <c r="N8"/>
  <c r="M8"/>
  <c r="B8"/>
  <c r="AX7"/>
  <c r="N7"/>
  <c r="M7"/>
  <c r="B7"/>
  <c r="AX6"/>
  <c r="N6"/>
  <c r="M6"/>
  <c r="AX5"/>
  <c r="N5"/>
  <c r="M5"/>
  <c r="B5"/>
  <c r="AX4"/>
  <c r="N4"/>
  <c r="M4"/>
  <c r="B4"/>
  <c r="AX3"/>
  <c r="N3"/>
  <c r="M3"/>
  <c r="AX2"/>
  <c r="N2"/>
  <c r="M2"/>
  <c r="B2"/>
  <c r="O113" i="27"/>
  <c r="N113"/>
  <c r="M113"/>
  <c r="B113"/>
  <c r="O112"/>
  <c r="N112"/>
  <c r="M112"/>
  <c r="B112"/>
  <c r="O111"/>
  <c r="N111"/>
  <c r="M111"/>
  <c r="B111"/>
  <c r="O110"/>
  <c r="N110"/>
  <c r="M110"/>
  <c r="B110"/>
  <c r="O109"/>
  <c r="N109"/>
  <c r="M109"/>
  <c r="B109"/>
  <c r="O108"/>
  <c r="N108"/>
  <c r="M108"/>
  <c r="B108"/>
  <c r="O107"/>
  <c r="N107"/>
  <c r="M107"/>
  <c r="B107"/>
  <c r="AX106"/>
  <c r="O106"/>
  <c r="N106"/>
  <c r="M106"/>
  <c r="B106"/>
  <c r="O105"/>
  <c r="N105"/>
  <c r="M105"/>
  <c r="B105"/>
  <c r="AX104"/>
  <c r="O104"/>
  <c r="N104"/>
  <c r="M104"/>
  <c r="B104"/>
  <c r="AX103"/>
  <c r="O103"/>
  <c r="N103"/>
  <c r="M103"/>
  <c r="B103"/>
  <c r="AX102"/>
  <c r="O102"/>
  <c r="N102"/>
  <c r="M102"/>
  <c r="B102"/>
  <c r="AX101"/>
  <c r="O101"/>
  <c r="N101"/>
  <c r="M101"/>
  <c r="B101"/>
  <c r="AX100"/>
  <c r="O100"/>
  <c r="N100"/>
  <c r="M100"/>
  <c r="B100"/>
  <c r="O99"/>
  <c r="N99"/>
  <c r="M99"/>
  <c r="B99"/>
  <c r="AX98"/>
  <c r="O98"/>
  <c r="N98"/>
  <c r="M98"/>
  <c r="B98"/>
  <c r="AX97"/>
  <c r="O97"/>
  <c r="N97"/>
  <c r="M97"/>
  <c r="B97"/>
  <c r="AX96"/>
  <c r="O96"/>
  <c r="N96"/>
  <c r="M96"/>
  <c r="B96"/>
  <c r="AX95"/>
  <c r="O95"/>
  <c r="N95"/>
  <c r="M95"/>
  <c r="B95"/>
  <c r="AX94"/>
  <c r="O94"/>
  <c r="N94"/>
  <c r="M94"/>
  <c r="B94"/>
  <c r="AX93"/>
  <c r="O93"/>
  <c r="N93"/>
  <c r="M93"/>
  <c r="B93"/>
  <c r="AX92"/>
  <c r="O92"/>
  <c r="N92"/>
  <c r="M92"/>
  <c r="B92"/>
  <c r="AX91"/>
  <c r="O91"/>
  <c r="N91"/>
  <c r="M91"/>
  <c r="B91"/>
  <c r="AX90"/>
  <c r="O90"/>
  <c r="N90"/>
  <c r="M90"/>
  <c r="B90"/>
  <c r="AX89"/>
  <c r="O89"/>
  <c r="N89"/>
  <c r="M89"/>
  <c r="B89"/>
  <c r="AX88"/>
  <c r="O88"/>
  <c r="N88"/>
  <c r="M88"/>
  <c r="B88"/>
  <c r="AX87"/>
  <c r="O87"/>
  <c r="N87"/>
  <c r="M87"/>
  <c r="B87"/>
  <c r="AX86"/>
  <c r="O86"/>
  <c r="N86"/>
  <c r="M86"/>
  <c r="B86"/>
  <c r="AX85"/>
  <c r="O85"/>
  <c r="N85"/>
  <c r="M85"/>
  <c r="B85"/>
  <c r="AX84"/>
  <c r="N84"/>
  <c r="M84"/>
  <c r="B84"/>
  <c r="AX83"/>
  <c r="O83"/>
  <c r="N83"/>
  <c r="B83"/>
  <c r="AX82"/>
  <c r="O82"/>
  <c r="N82"/>
  <c r="M82"/>
  <c r="B82"/>
  <c r="O81"/>
  <c r="N81"/>
  <c r="M81"/>
  <c r="B81"/>
  <c r="AX80"/>
  <c r="O80"/>
  <c r="N80"/>
  <c r="M80"/>
  <c r="B80"/>
  <c r="AX79"/>
  <c r="O79"/>
  <c r="N79"/>
  <c r="M79"/>
  <c r="B79"/>
  <c r="AX78"/>
  <c r="O78"/>
  <c r="N78"/>
  <c r="M78"/>
  <c r="B78"/>
  <c r="AX77"/>
  <c r="O77"/>
  <c r="N77"/>
  <c r="M77"/>
  <c r="B77"/>
  <c r="AX76"/>
  <c r="O76"/>
  <c r="N76"/>
  <c r="M76"/>
  <c r="B76"/>
  <c r="AX75"/>
  <c r="O75"/>
  <c r="N75"/>
  <c r="M75"/>
  <c r="B75"/>
  <c r="AX74"/>
  <c r="O74"/>
  <c r="N74"/>
  <c r="M74"/>
  <c r="B74"/>
  <c r="AX73"/>
  <c r="O73"/>
  <c r="N73"/>
  <c r="M73"/>
  <c r="B73"/>
  <c r="AX72"/>
  <c r="O72"/>
  <c r="N72"/>
  <c r="M72"/>
  <c r="B72"/>
  <c r="AX71"/>
  <c r="O71"/>
  <c r="N71"/>
  <c r="M71"/>
  <c r="B71"/>
  <c r="AX70"/>
  <c r="O70"/>
  <c r="N70"/>
  <c r="M70"/>
  <c r="B70"/>
  <c r="AX69"/>
  <c r="O69"/>
  <c r="N69"/>
  <c r="M69"/>
  <c r="B69"/>
  <c r="AX68"/>
  <c r="O68"/>
  <c r="N68"/>
  <c r="M68"/>
  <c r="B68"/>
  <c r="AX67"/>
  <c r="O67"/>
  <c r="N67"/>
  <c r="M67"/>
  <c r="B67"/>
  <c r="AX66"/>
  <c r="O66"/>
  <c r="N66"/>
  <c r="M66"/>
  <c r="B66"/>
  <c r="AX65"/>
  <c r="O65"/>
  <c r="N65"/>
  <c r="M65"/>
  <c r="B65"/>
  <c r="AX64"/>
  <c r="O64"/>
  <c r="N64"/>
  <c r="M64"/>
  <c r="B64"/>
  <c r="AX63"/>
  <c r="O63"/>
  <c r="N63"/>
  <c r="M63"/>
  <c r="B63"/>
  <c r="AX62"/>
  <c r="O62"/>
  <c r="N62"/>
  <c r="M62"/>
  <c r="B62"/>
  <c r="AX61"/>
  <c r="O61"/>
  <c r="N61"/>
  <c r="M61"/>
  <c r="B61"/>
  <c r="AX60"/>
  <c r="O60"/>
  <c r="N60"/>
  <c r="M60"/>
  <c r="B60"/>
  <c r="AX59"/>
  <c r="O59"/>
  <c r="N59"/>
  <c r="M59"/>
  <c r="B59"/>
  <c r="AX58"/>
  <c r="O58"/>
  <c r="N58"/>
  <c r="M58"/>
  <c r="B58"/>
  <c r="AX57"/>
  <c r="O57"/>
  <c r="N57"/>
  <c r="M57"/>
  <c r="B57"/>
  <c r="AX56"/>
  <c r="O56"/>
  <c r="N56"/>
  <c r="M56"/>
  <c r="B56"/>
  <c r="AX55"/>
  <c r="N55"/>
  <c r="M55"/>
  <c r="B55"/>
  <c r="O54"/>
  <c r="N54"/>
  <c r="M54"/>
  <c r="B54"/>
  <c r="AX53"/>
  <c r="O53"/>
  <c r="N53"/>
  <c r="M53"/>
  <c r="B53"/>
  <c r="AX52"/>
  <c r="O52"/>
  <c r="N52"/>
  <c r="M52"/>
  <c r="B52"/>
  <c r="AX51"/>
  <c r="O51"/>
  <c r="N51"/>
  <c r="M51"/>
  <c r="B51"/>
  <c r="AX50"/>
  <c r="O50"/>
  <c r="N50"/>
  <c r="M50"/>
  <c r="B50"/>
  <c r="AX49"/>
  <c r="O49"/>
  <c r="N49"/>
  <c r="M49"/>
  <c r="B49"/>
  <c r="AX48"/>
  <c r="O48"/>
  <c r="N48"/>
  <c r="M48"/>
  <c r="B48"/>
  <c r="AX47"/>
  <c r="O47"/>
  <c r="N47"/>
  <c r="M47"/>
  <c r="B47"/>
  <c r="AX46"/>
  <c r="O46"/>
  <c r="N46"/>
  <c r="M46"/>
  <c r="B46"/>
  <c r="AX45"/>
  <c r="O45"/>
  <c r="N45"/>
  <c r="M45"/>
  <c r="B45"/>
  <c r="AX44"/>
  <c r="O44"/>
  <c r="N44"/>
  <c r="M44"/>
  <c r="B44"/>
  <c r="AX43"/>
  <c r="O43"/>
  <c r="N43"/>
  <c r="M43"/>
  <c r="B43"/>
  <c r="AX42"/>
  <c r="O42"/>
  <c r="N42"/>
  <c r="M42"/>
  <c r="B42"/>
  <c r="AX41"/>
  <c r="O41"/>
  <c r="N41"/>
  <c r="M41"/>
  <c r="B41"/>
  <c r="AX40"/>
  <c r="O40"/>
  <c r="N40"/>
  <c r="M40"/>
  <c r="B40"/>
  <c r="AX39"/>
  <c r="O39"/>
  <c r="N39"/>
  <c r="M39"/>
  <c r="B39"/>
  <c r="AX38"/>
  <c r="O38"/>
  <c r="N38"/>
  <c r="M38"/>
  <c r="B38"/>
  <c r="AX37"/>
  <c r="O37"/>
  <c r="N37"/>
  <c r="M37"/>
  <c r="B37"/>
  <c r="AX36"/>
  <c r="O36"/>
  <c r="N36"/>
  <c r="M36"/>
  <c r="B36"/>
  <c r="AX35"/>
  <c r="N35"/>
  <c r="B35"/>
  <c r="AX34"/>
  <c r="O34"/>
  <c r="N34"/>
  <c r="M34"/>
  <c r="B34"/>
  <c r="AX33"/>
  <c r="O33"/>
  <c r="N33"/>
  <c r="M33"/>
  <c r="B33"/>
  <c r="AX32"/>
  <c r="O32"/>
  <c r="N32"/>
  <c r="M32"/>
  <c r="B32"/>
  <c r="AX31"/>
  <c r="O31"/>
  <c r="N31"/>
  <c r="M31"/>
  <c r="B31"/>
  <c r="AX30"/>
  <c r="O30"/>
  <c r="N30"/>
  <c r="M30"/>
  <c r="B30"/>
  <c r="AX29"/>
  <c r="O29"/>
  <c r="N29"/>
  <c r="M29"/>
  <c r="B29"/>
  <c r="AX28"/>
  <c r="O28"/>
  <c r="N28"/>
  <c r="M28"/>
  <c r="B28"/>
  <c r="AX27"/>
  <c r="O27"/>
  <c r="N27"/>
  <c r="M27"/>
  <c r="B27"/>
  <c r="AX26"/>
  <c r="O26"/>
  <c r="N26"/>
  <c r="M26"/>
  <c r="B26"/>
  <c r="AX25"/>
  <c r="O25"/>
  <c r="N25"/>
  <c r="B25"/>
  <c r="AX24"/>
  <c r="O24"/>
  <c r="N24"/>
  <c r="M24"/>
  <c r="B24"/>
  <c r="AX23"/>
  <c r="O23"/>
  <c r="N23"/>
  <c r="M23"/>
  <c r="B23"/>
  <c r="AX22"/>
  <c r="O22"/>
  <c r="N22"/>
  <c r="M22"/>
  <c r="B22"/>
  <c r="AX21"/>
  <c r="O21"/>
  <c r="N21"/>
  <c r="M21"/>
  <c r="B21"/>
  <c r="AX20"/>
  <c r="O20"/>
  <c r="N20"/>
  <c r="M20"/>
  <c r="B20"/>
  <c r="AX19"/>
  <c r="O19"/>
  <c r="N19"/>
  <c r="M19"/>
  <c r="B19"/>
  <c r="AX18"/>
  <c r="O18"/>
  <c r="N18"/>
  <c r="M18"/>
  <c r="B18"/>
  <c r="AX17"/>
  <c r="O17"/>
  <c r="N17"/>
  <c r="M17"/>
  <c r="B17"/>
  <c r="AX16"/>
  <c r="O16"/>
  <c r="N16"/>
  <c r="M16"/>
  <c r="B16"/>
  <c r="AX15"/>
  <c r="O15"/>
  <c r="N15"/>
  <c r="M15"/>
  <c r="B15"/>
  <c r="AX14"/>
  <c r="O14"/>
  <c r="N14"/>
  <c r="M14"/>
  <c r="B14"/>
  <c r="AX13"/>
  <c r="O13"/>
  <c r="N13"/>
  <c r="M13"/>
  <c r="B13"/>
  <c r="AX12"/>
  <c r="O12"/>
  <c r="N12"/>
  <c r="M12"/>
  <c r="B12"/>
  <c r="AX11"/>
  <c r="O11"/>
  <c r="N11"/>
  <c r="M11"/>
  <c r="B11"/>
  <c r="AX10"/>
  <c r="O10"/>
  <c r="N10"/>
  <c r="M10"/>
  <c r="B10"/>
  <c r="AX9"/>
  <c r="O9"/>
  <c r="N9"/>
  <c r="M9"/>
  <c r="B9"/>
  <c r="AX8"/>
  <c r="O8"/>
  <c r="N8"/>
  <c r="M8"/>
  <c r="B8"/>
  <c r="AX7"/>
  <c r="O7"/>
  <c r="N7"/>
  <c r="M7"/>
  <c r="B7"/>
  <c r="AX6"/>
  <c r="O6"/>
  <c r="N6"/>
  <c r="M6"/>
  <c r="B6"/>
  <c r="AX5"/>
  <c r="O5"/>
  <c r="N5"/>
  <c r="M5"/>
  <c r="B5"/>
  <c r="AX4"/>
  <c r="O4"/>
  <c r="N4"/>
  <c r="M4"/>
  <c r="B4"/>
  <c r="AX3"/>
  <c r="O3"/>
  <c r="N3"/>
  <c r="M3"/>
  <c r="B3"/>
  <c r="AX2"/>
  <c r="O2"/>
  <c r="N2"/>
  <c r="M2"/>
  <c r="B2"/>
  <c r="AX69" i="26"/>
  <c r="O69"/>
  <c r="N69"/>
  <c r="M69"/>
  <c r="B69"/>
  <c r="AX49"/>
  <c r="O49"/>
  <c r="N49"/>
  <c r="M49"/>
  <c r="B49"/>
  <c r="AX19"/>
  <c r="O19"/>
  <c r="N19"/>
  <c r="M19"/>
  <c r="B19"/>
  <c r="AX83"/>
  <c r="O83"/>
  <c r="N83"/>
  <c r="B83"/>
  <c r="AX92"/>
  <c r="O92"/>
  <c r="N92"/>
  <c r="M92"/>
  <c r="B92"/>
  <c r="AX51"/>
  <c r="O51"/>
  <c r="N51"/>
  <c r="M51"/>
  <c r="B51"/>
  <c r="AX79"/>
  <c r="O79"/>
  <c r="N79"/>
  <c r="M79"/>
  <c r="B79"/>
  <c r="AX84"/>
  <c r="N84"/>
  <c r="M84"/>
  <c r="B84"/>
  <c r="AX56"/>
  <c r="O56"/>
  <c r="N56"/>
  <c r="M56"/>
  <c r="B56"/>
  <c r="AX18"/>
  <c r="O18"/>
  <c r="N18"/>
  <c r="M18"/>
  <c r="B18"/>
  <c r="AX38"/>
  <c r="O38"/>
  <c r="N38"/>
  <c r="M38"/>
  <c r="B38"/>
  <c r="AX97"/>
  <c r="O97"/>
  <c r="N97"/>
  <c r="M97"/>
  <c r="B97"/>
  <c r="AX55"/>
  <c r="N55"/>
  <c r="M55"/>
  <c r="B55"/>
  <c r="AX37"/>
  <c r="O37"/>
  <c r="N37"/>
  <c r="M37"/>
  <c r="B37"/>
  <c r="AX11"/>
  <c r="O11"/>
  <c r="N11"/>
  <c r="M11"/>
  <c r="B11"/>
  <c r="AX77"/>
  <c r="O77"/>
  <c r="N77"/>
  <c r="M77"/>
  <c r="B77"/>
  <c r="AX23"/>
  <c r="O23"/>
  <c r="N23"/>
  <c r="M23"/>
  <c r="B23"/>
  <c r="AX42"/>
  <c r="O42"/>
  <c r="N42"/>
  <c r="M42"/>
  <c r="B42"/>
  <c r="AX63"/>
  <c r="O63"/>
  <c r="N63"/>
  <c r="M63"/>
  <c r="B63"/>
  <c r="AX44"/>
  <c r="O44"/>
  <c r="N44"/>
  <c r="M44"/>
  <c r="B44"/>
  <c r="AX71"/>
  <c r="O71"/>
  <c r="N71"/>
  <c r="M71"/>
  <c r="B71"/>
  <c r="AX74"/>
  <c r="O74"/>
  <c r="N74"/>
  <c r="M74"/>
  <c r="B74"/>
  <c r="AX6"/>
  <c r="O6"/>
  <c r="N6"/>
  <c r="M6"/>
  <c r="B6"/>
  <c r="AX7"/>
  <c r="O7"/>
  <c r="N7"/>
  <c r="M7"/>
  <c r="B7"/>
  <c r="AX40"/>
  <c r="O40"/>
  <c r="N40"/>
  <c r="M40"/>
  <c r="B40"/>
  <c r="AX15"/>
  <c r="O15"/>
  <c r="N15"/>
  <c r="M15"/>
  <c r="B15"/>
  <c r="AX93"/>
  <c r="O93"/>
  <c r="N93"/>
  <c r="M93"/>
  <c r="B93"/>
  <c r="AX25"/>
  <c r="O25"/>
  <c r="N25"/>
  <c r="B25"/>
  <c r="AX80"/>
  <c r="O80"/>
  <c r="N80"/>
  <c r="M80"/>
  <c r="B80"/>
  <c r="AX61"/>
  <c r="O61"/>
  <c r="N61"/>
  <c r="M61"/>
  <c r="B61"/>
  <c r="AX81"/>
  <c r="O81"/>
  <c r="N81"/>
  <c r="M81"/>
  <c r="B81"/>
  <c r="AX50"/>
  <c r="O50"/>
  <c r="N50"/>
  <c r="M50"/>
  <c r="B50"/>
  <c r="AX33"/>
  <c r="O33"/>
  <c r="N33"/>
  <c r="M33"/>
  <c r="B33"/>
  <c r="AX68"/>
  <c r="O68"/>
  <c r="N68"/>
  <c r="M68"/>
  <c r="B68"/>
  <c r="AX62"/>
  <c r="O62"/>
  <c r="N62"/>
  <c r="M62"/>
  <c r="B62"/>
  <c r="AX102"/>
  <c r="O102"/>
  <c r="N102"/>
  <c r="M102"/>
  <c r="B102"/>
  <c r="AX89"/>
  <c r="O89"/>
  <c r="N89"/>
  <c r="M89"/>
  <c r="B89"/>
  <c r="AX57"/>
  <c r="O57"/>
  <c r="N57"/>
  <c r="M57"/>
  <c r="B57"/>
  <c r="AX72"/>
  <c r="O72"/>
  <c r="N72"/>
  <c r="M72"/>
  <c r="B72"/>
  <c r="AX48"/>
  <c r="O48"/>
  <c r="N48"/>
  <c r="M48"/>
  <c r="B48"/>
  <c r="AX96"/>
  <c r="O96"/>
  <c r="N96"/>
  <c r="M96"/>
  <c r="B96"/>
  <c r="AX64"/>
  <c r="O64"/>
  <c r="N64"/>
  <c r="M64"/>
  <c r="B64"/>
  <c r="AX10"/>
  <c r="O10"/>
  <c r="N10"/>
  <c r="M10"/>
  <c r="B10"/>
  <c r="AX17"/>
  <c r="O17"/>
  <c r="N17"/>
  <c r="M17"/>
  <c r="B17"/>
  <c r="AX4"/>
  <c r="O4"/>
  <c r="N4"/>
  <c r="M4"/>
  <c r="B4"/>
  <c r="AX2"/>
  <c r="O2"/>
  <c r="N2"/>
  <c r="M2"/>
  <c r="B2"/>
  <c r="AX104"/>
  <c r="O104"/>
  <c r="N104"/>
  <c r="M104"/>
  <c r="B104"/>
  <c r="AX14"/>
  <c r="O14"/>
  <c r="N14"/>
  <c r="M14"/>
  <c r="B14"/>
  <c r="AX87"/>
  <c r="O87"/>
  <c r="N87"/>
  <c r="M87"/>
  <c r="B87"/>
  <c r="AX105"/>
  <c r="O105"/>
  <c r="N105"/>
  <c r="M105"/>
  <c r="B105"/>
  <c r="AX16"/>
  <c r="O16"/>
  <c r="N16"/>
  <c r="M16"/>
  <c r="B16"/>
  <c r="AX45"/>
  <c r="O45"/>
  <c r="N45"/>
  <c r="M45"/>
  <c r="B45"/>
  <c r="AX28"/>
  <c r="O28"/>
  <c r="N28"/>
  <c r="M28"/>
  <c r="B28"/>
  <c r="AX43"/>
  <c r="O43"/>
  <c r="N43"/>
  <c r="M43"/>
  <c r="B43"/>
  <c r="AX32"/>
  <c r="O32"/>
  <c r="N32"/>
  <c r="M32"/>
  <c r="B32"/>
  <c r="AX3"/>
  <c r="O3"/>
  <c r="N3"/>
  <c r="M3"/>
  <c r="B3"/>
  <c r="AX60"/>
  <c r="O60"/>
  <c r="N60"/>
  <c r="M60"/>
  <c r="B60"/>
  <c r="AX13"/>
  <c r="O13"/>
  <c r="N13"/>
  <c r="M13"/>
  <c r="B13"/>
  <c r="AX12"/>
  <c r="O12"/>
  <c r="N12"/>
  <c r="M12"/>
  <c r="B12"/>
  <c r="AX100"/>
  <c r="O100"/>
  <c r="N100"/>
  <c r="M100"/>
  <c r="B100"/>
  <c r="AX65"/>
  <c r="O65"/>
  <c r="N65"/>
  <c r="M65"/>
  <c r="B65"/>
  <c r="AX41"/>
  <c r="O41"/>
  <c r="N41"/>
  <c r="M41"/>
  <c r="B41"/>
  <c r="AX95"/>
  <c r="O95"/>
  <c r="N95"/>
  <c r="M95"/>
  <c r="B95"/>
  <c r="AX66"/>
  <c r="O66"/>
  <c r="N66"/>
  <c r="M66"/>
  <c r="B66"/>
  <c r="AX98"/>
  <c r="O98"/>
  <c r="N98"/>
  <c r="M98"/>
  <c r="B98"/>
  <c r="AX82"/>
  <c r="O82"/>
  <c r="N82"/>
  <c r="M82"/>
  <c r="B82"/>
  <c r="AX9"/>
  <c r="O9"/>
  <c r="N9"/>
  <c r="M9"/>
  <c r="B9"/>
  <c r="AX35"/>
  <c r="N35"/>
  <c r="B35"/>
  <c r="AX86"/>
  <c r="O86"/>
  <c r="N86"/>
  <c r="M86"/>
  <c r="B86"/>
  <c r="AX75"/>
  <c r="O75"/>
  <c r="N75"/>
  <c r="M75"/>
  <c r="B75"/>
  <c r="AX90"/>
  <c r="O90"/>
  <c r="N90"/>
  <c r="M90"/>
  <c r="B90"/>
  <c r="AX59"/>
  <c r="O59"/>
  <c r="N59"/>
  <c r="M59"/>
  <c r="B59"/>
  <c r="AX70"/>
  <c r="O70"/>
  <c r="N70"/>
  <c r="M70"/>
  <c r="B70"/>
  <c r="AX88"/>
  <c r="O88"/>
  <c r="N88"/>
  <c r="M88"/>
  <c r="B88"/>
  <c r="AX47"/>
  <c r="O47"/>
  <c r="N47"/>
  <c r="M47"/>
  <c r="B47"/>
  <c r="AX54"/>
  <c r="O54"/>
  <c r="N54"/>
  <c r="M54"/>
  <c r="B54"/>
  <c r="AX31"/>
  <c r="O31"/>
  <c r="N31"/>
  <c r="M31"/>
  <c r="B31"/>
  <c r="AX29"/>
  <c r="O29"/>
  <c r="N29"/>
  <c r="M29"/>
  <c r="B29"/>
  <c r="AX99"/>
  <c r="O99"/>
  <c r="N99"/>
  <c r="M99"/>
  <c r="B99"/>
  <c r="AX67"/>
  <c r="O67"/>
  <c r="N67"/>
  <c r="M67"/>
  <c r="B67"/>
  <c r="AX30"/>
  <c r="O30"/>
  <c r="N30"/>
  <c r="M30"/>
  <c r="B30"/>
  <c r="AX52"/>
  <c r="O52"/>
  <c r="N52"/>
  <c r="M52"/>
  <c r="B52"/>
  <c r="AX91"/>
  <c r="O91"/>
  <c r="N91"/>
  <c r="M91"/>
  <c r="B91"/>
  <c r="AX58"/>
  <c r="O58"/>
  <c r="N58"/>
  <c r="M58"/>
  <c r="B58"/>
  <c r="AX39"/>
  <c r="O39"/>
  <c r="N39"/>
  <c r="M39"/>
  <c r="B39"/>
  <c r="AX22"/>
  <c r="O22"/>
  <c r="N22"/>
  <c r="M22"/>
  <c r="B22"/>
  <c r="AX46"/>
  <c r="O46"/>
  <c r="N46"/>
  <c r="M46"/>
  <c r="B46"/>
  <c r="AX8"/>
  <c r="O8"/>
  <c r="N8"/>
  <c r="M8"/>
  <c r="B8"/>
  <c r="AX94"/>
  <c r="O94"/>
  <c r="N94"/>
  <c r="M94"/>
  <c r="B94"/>
  <c r="AX78"/>
  <c r="O78"/>
  <c r="N78"/>
  <c r="M78"/>
  <c r="B78"/>
  <c r="AX53"/>
  <c r="O53"/>
  <c r="N53"/>
  <c r="M53"/>
  <c r="B53"/>
  <c r="AX27"/>
  <c r="O27"/>
  <c r="N27"/>
  <c r="M27"/>
  <c r="B27"/>
  <c r="AX24"/>
  <c r="O24"/>
  <c r="N24"/>
  <c r="M24"/>
  <c r="B24"/>
  <c r="AX36"/>
  <c r="O36"/>
  <c r="N36"/>
  <c r="M36"/>
  <c r="B36"/>
  <c r="AX21"/>
  <c r="O21"/>
  <c r="N21"/>
  <c r="M21"/>
  <c r="B21"/>
  <c r="AX26"/>
  <c r="O26"/>
  <c r="N26"/>
  <c r="M26"/>
  <c r="B26"/>
  <c r="AX85"/>
  <c r="O85"/>
  <c r="N85"/>
  <c r="M85"/>
  <c r="B85"/>
  <c r="AX76"/>
  <c r="O76"/>
  <c r="N76"/>
  <c r="M76"/>
  <c r="B76"/>
  <c r="AX34"/>
  <c r="O34"/>
  <c r="N34"/>
  <c r="M34"/>
  <c r="B34"/>
  <c r="AX101"/>
  <c r="O101"/>
  <c r="N101"/>
  <c r="M101"/>
  <c r="B101"/>
  <c r="AX73"/>
  <c r="O73"/>
  <c r="N73"/>
  <c r="M73"/>
  <c r="B73"/>
  <c r="AX5"/>
  <c r="O5"/>
  <c r="N5"/>
  <c r="M5"/>
  <c r="B5"/>
  <c r="AX20"/>
  <c r="O20"/>
  <c r="N20"/>
  <c r="M20"/>
  <c r="B20"/>
  <c r="AX103"/>
  <c r="O103"/>
  <c r="N103"/>
  <c r="M103"/>
  <c r="B103"/>
  <c r="AX106"/>
  <c r="O106"/>
  <c r="N106"/>
  <c r="M106"/>
  <c r="B106"/>
</calcChain>
</file>

<file path=xl/comments1.xml><?xml version="1.0" encoding="utf-8"?>
<comments xmlns="http://schemas.openxmlformats.org/spreadsheetml/2006/main">
  <authors>
    <author>DavSmith</author>
    <author>Dave Smith</author>
  </authors>
  <commentList>
    <comment ref="E2" authorId="0">
      <text>
        <r>
          <rPr>
            <sz val="9"/>
            <color indexed="81"/>
            <rFont val="Tahoma"/>
            <family val="2"/>
          </rPr>
          <t>Spacious 4 bedroom, 3 bath home. Vaulted wood ceilings, dramatic stone fireplace. French doors from dining room to deck. Kitchen has imported tile counters, gas range, pantry &amp;amp; breakfast space. Master bedroom with 3/4 bath. Jacuzzi tub. Lower: Huge family room, large bedroom &amp;amp; 3/4 bath. New exterior siding &amp;amp; paint July 2007. 16K roof installed in 2003. Doublepane windows. Gas heat/hot water. Two car garage. Fully fenced, very private, EZ care, backyard w/deck. Apple, pear, silk &amp;amp; magnolia trees.</t>
        </r>
      </text>
    </comment>
    <comment ref="B3" authorId="1">
      <text>
        <r>
          <rPr>
            <sz val="8"/>
            <color indexed="81"/>
            <rFont val="Tahoma"/>
            <charset val="1"/>
          </rPr>
          <t xml:space="preserve">12/06/2007
Active - STI --&gt; Pending/BU
12/03/2007
Active --&gt; Active - STI
</t>
        </r>
      </text>
    </comment>
    <comment ref="E3" authorId="0">
      <text>
        <r>
          <rPr>
            <sz val="9"/>
            <color indexed="81"/>
            <rFont val="Tahoma"/>
            <family val="2"/>
          </rPr>
          <t>The best price on a 1920's built craftsman this close to Green Lake, the U.W and Roosevelt district. Pefect for walking, biking lifestyle but close to I 5. Comfortable ,well loved home with formal entry, dining room,hardwood floors &amp;amp; built ins but priced to allow for kitchen redo, adding 3rd bedroom or? New tear off roof just completed, new gutters and some electrical work as well. On a street of like homes.</t>
        </r>
      </text>
    </comment>
    <comment ref="AP3" authorId="1">
      <text>
        <r>
          <rPr>
            <sz val="8"/>
            <color indexed="81"/>
            <rFont val="Tahoma"/>
            <family val="2"/>
          </rPr>
          <t xml:space="preserve">11/26/2007
The best price on a 1920's built craftsman this close to Green Lake, the U.W and Roosevelt district. Pefect for walking, biking lifestyle but close to I 5. Comfortable ,well loved home with formal entry, dining room,hardwood floors &amp;amp; built ins but priced to allow for kitchen redo, adding 3rd bedroom or? New tear off roof just completed, new gutters and some electrical work as well. On a street of like homes. --&gt; The best price on a 1920's built Craftsman this close to Green Lake, the U.W. and Roosevelt district. Perfect for walking/biking lifestyle but close to I-5. Comfortable, well loved home with formal entry, dining room, hardwood floors &amp;amp; built-ins but priced to allow for kitchen remodel, adding 3rd bedroom or ??? New tear-off roof just completed, new gutters and some electrical work as well. Located on a street of like homes.
</t>
        </r>
      </text>
    </comment>
    <comment ref="AS3" authorId="1">
      <text>
        <r>
          <rPr>
            <sz val="8"/>
            <color indexed="81"/>
            <rFont val="Tahoma"/>
            <family val="2"/>
          </rPr>
          <t xml:space="preserve">11/26/2007
http://locmedia.nwmls.com/DO_NOT_LINK/bigphoto/974/27085974.jpg?tsp=20070608143008 --&gt; http://locmedia.nwmls.com/DO_NOT_LINK/bigphoto/974/27085974.jpg?tsp=20071126135937
</t>
        </r>
      </text>
    </comment>
    <comment ref="B4" authorId="0">
      <text>
        <r>
          <rPr>
            <sz val="9"/>
            <color indexed="81"/>
            <rFont val="Tahoma"/>
            <family val="2"/>
          </rPr>
          <t xml:space="preserve">11/23/2007
Contingent --&gt; Sold
</t>
        </r>
      </text>
    </comment>
    <comment ref="E4" authorId="0">
      <text>
        <r>
          <rPr>
            <sz val="9"/>
            <color indexed="81"/>
            <rFont val="Tahoma"/>
            <family val="2"/>
          </rPr>
          <t>TOTAL REMODEL! Very safe home.Best house at this price!Updated furnace(no oil heat)updated plumbing &amp;amp; electrical.New ss applns &amp;amp; new cabinets, granite slab counters.Newer double-paned windows makes for a very quiet home.New paint in every room, new carpet &amp;amp; a cozy fireplace.Recently refinished hardwood floors.Brand new professionally remodeled basement!1car garage w/new door &amp;amp; alley access.15 mins to downtown &amp;amp;5 mins to Greenlake &amp;amp;5 min to great Ballard shopping.</t>
        </r>
      </text>
    </comment>
    <comment ref="AN4" authorId="0">
      <text>
        <r>
          <rPr>
            <sz val="9"/>
            <color indexed="81"/>
            <rFont val="Tahoma"/>
            <family val="2"/>
          </rPr>
          <t xml:space="preserve">11/23/2007
 --&gt; 485000
</t>
        </r>
      </text>
    </comment>
    <comment ref="B5" authorId="1">
      <text>
        <r>
          <rPr>
            <sz val="8"/>
            <color indexed="81"/>
            <rFont val="Tahoma"/>
            <charset val="1"/>
          </rPr>
          <t xml:space="preserve">12/01/2007
Active --&gt; Expired
</t>
        </r>
      </text>
    </comment>
    <comment ref="E5" authorId="0">
      <text>
        <r>
          <rPr>
            <sz val="9"/>
            <color indexed="81"/>
            <rFont val="Tahoma"/>
            <family val="2"/>
          </rPr>
          <t>Lovely Ballard 3 bedroom, 2 bath Cape Cod, Freshly painted and remodeled...gleaming wood floors, spacious living room with brick fireplace, large kitchen with tile and granite, thermo windows, finished basement + private, fenced yard...Vacant and ready to go!</t>
        </r>
      </text>
    </comment>
    <comment ref="B6" authorId="1">
      <text>
        <r>
          <rPr>
            <sz val="8"/>
            <color indexed="81"/>
            <rFont val="Tahoma"/>
            <charset val="1"/>
          </rPr>
          <t xml:space="preserve">12/03/2007
Active --&gt; Temp. Off Mrkt.
</t>
        </r>
      </text>
    </comment>
    <comment ref="E6" authorId="0">
      <text>
        <r>
          <rPr>
            <sz val="9"/>
            <color indexed="81"/>
            <rFont val="Tahoma"/>
            <family val="2"/>
          </rPr>
          <t>Much bigger than it looks from the street! All copper plumbing, new 200 amp electric panel. New oak floor and paint. Good size formal dining room and living room with classic fireplace. Great floor plan w 2 bedrooms and a bath on main and 3 bedrooms and 3/4 bath on lower level. Beautiful mature landscaping on large level lot. Detached garage with shop area. Large deck for summer entertaining and your BBQ. Only 15 minutes to downtown and still a quiet oasis where you can hear the birds.</t>
        </r>
      </text>
    </comment>
    <comment ref="E7" authorId="0">
      <text>
        <r>
          <rPr>
            <sz val="9"/>
            <color indexed="81"/>
            <rFont val="Tahoma"/>
            <family val="2"/>
          </rPr>
          <t>Short walk to new Ballard Library and park!! Purchase early &amp;amp; select from a long list of options - Thousands of countertop, flooring, appliance and other options to personalize your new home. Large open main floor that opens up to your private deck make this a great floorplan! Oversized attached garage for extra storage. Master suite offers a walk in closet. Level 4 built green!</t>
        </r>
      </text>
    </comment>
    <comment ref="F7" authorId="1">
      <text>
        <r>
          <rPr>
            <sz val="8"/>
            <color indexed="81"/>
            <rFont val="Tahoma"/>
            <family val="2"/>
          </rPr>
          <t xml:space="preserve">11/28/2007
449990 --&gt; 439990
</t>
        </r>
      </text>
    </comment>
    <comment ref="AG7" authorId="0">
      <text>
        <r>
          <rPr>
            <sz val="9"/>
            <color indexed="81"/>
            <rFont val="Tahoma"/>
            <family val="2"/>
          </rPr>
          <t xml:space="preserve">11/23/2007
47.6717 --&gt; 47.671653
</t>
        </r>
      </text>
    </comment>
    <comment ref="AH7" authorId="0">
      <text>
        <r>
          <rPr>
            <sz val="9"/>
            <color indexed="81"/>
            <rFont val="Tahoma"/>
            <family val="2"/>
          </rPr>
          <t xml:space="preserve">11/23/2007
-122.382509 --&gt; -122.382535
</t>
        </r>
      </text>
    </comment>
    <comment ref="AP7" authorId="1">
      <text>
        <r>
          <rPr>
            <sz val="8"/>
            <color indexed="81"/>
            <rFont val="Tahoma"/>
            <charset val="1"/>
          </rPr>
          <t xml:space="preserve">12/01/2007
Short walk to new Ballard Library and park!! Purchase early &amp;amp; select from a long list of options - Thousands of countertop, flooring, appliance and other options to personalize your new home. Large open main floor that opens up to your private deck make this a great floorplan! Oversized attached garage for extra storage. Master suite offers a walk in closet. Level 4 built green! --&gt; Short walk to new Ballard Library and park!! Purchase early &amp;amp; select from a long list of options - Thousands of countertop, flooring, appliance and other options to personalize your new home. Large open main floor that opens up to your private deck make this a great floorplan! Oversized attached garage for extra storage. Master suite offers a walk in closet. Level 4 built green! Cork floors and stainless countertops included, but you can select from hundred of other personal choices!
</t>
        </r>
      </text>
    </comment>
    <comment ref="AS7" authorId="0">
      <text>
        <r>
          <rPr>
            <sz val="9"/>
            <color indexed="81"/>
            <rFont val="Tahoma"/>
            <family val="2"/>
          </rPr>
          <t xml:space="preserve">11/23/2007
http://locmedia.nwmls.com/DO_NOT_LINK/bigphoto/757/27096757.jpg?tsp=20070911121921 --&gt; http://locmedia.nwmls.com/DO_NOT_LINK/bigphoto/757/27096757.jpg?tsp=20071119165750
</t>
        </r>
      </text>
    </comment>
    <comment ref="E8" authorId="0">
      <text>
        <r>
          <rPr>
            <sz val="9"/>
            <color indexed="81"/>
            <rFont val="Tahoma"/>
            <family val="2"/>
          </rPr>
          <t>Better than new fully renovated in desirable Haller Lake. From the Maple, stainless and granite kitchen to the master suite with full bath featuring heated travertine floor and jetted tub, this home screams style, quality and value. Lots of natural light and gleaming hardwood floors make this living space both bright and warm. Tear up your handyman's card and enjoy the many years of trouble free living. The backyard is fully fenced and has a patio that is perfect for summer gatherings.</t>
        </r>
      </text>
    </comment>
    <comment ref="F8" authorId="1">
      <text>
        <r>
          <rPr>
            <sz val="8"/>
            <color indexed="81"/>
            <rFont val="Tahoma"/>
            <charset val="1"/>
          </rPr>
          <t xml:space="preserve">12/01/2007
399900 --&gt; 389900
</t>
        </r>
      </text>
    </comment>
    <comment ref="AG8" authorId="1">
      <text>
        <r>
          <rPr>
            <sz val="8"/>
            <color indexed="81"/>
            <rFont val="Tahoma"/>
            <charset val="1"/>
          </rPr>
          <t xml:space="preserve">12/01/2007
47.732891 --&gt; 47.732896
</t>
        </r>
      </text>
    </comment>
    <comment ref="AH8" authorId="1">
      <text>
        <r>
          <rPr>
            <sz val="8"/>
            <color indexed="81"/>
            <rFont val="Tahoma"/>
            <charset val="1"/>
          </rPr>
          <t xml:space="preserve">12/01/2007
-122.334301 --&gt; -122.33427
</t>
        </r>
      </text>
    </comment>
    <comment ref="E9" authorId="0">
      <text>
        <r>
          <rPr>
            <sz val="9"/>
            <color indexed="81"/>
            <rFont val="Tahoma"/>
            <family val="2"/>
          </rPr>
          <t>Home is much bigger that it appears. Charming &amp;amp; very spacious updated 5 bedroom property in great Wedgwood location. Beautiful gleaming hardwood floors on main level, new carpet on lower level, freshly painted with decorator's colors. 2 spacious bedrooms on main level. Lower level features 3 bedrooms, bonus room, wet bar with refrigerator separate entrance. Enjoy entertaining on the spacious deck. Ideal location, close to schools, parks, UW, bus, Northgate, U Village and downtown.</t>
        </r>
      </text>
    </comment>
    <comment ref="E10" authorId="0">
      <text>
        <r>
          <rPr>
            <sz val="9"/>
            <color indexed="81"/>
            <rFont val="Tahoma"/>
            <family val="2"/>
          </rPr>
          <t>Spacious, solid brick home in Maple Leaf. 4 BD/1.75 BA. Large, bright rooms. Fireplace. Formal dining. Newly finished hardwoods. New carpet in bedrooms. New paint, roof, kitchen countertops. Tiled bathrooms. Family room, utility, &amp;amp; lots of storage in basement. Attached garage &amp;amp; lots of off-street parking. Terraced yard with garden, fruit trees, &amp;amp; greenhouse. Have fun BBQs on the patio. Walk to Greenlake. Close to NGate transit center for easy commute. 1 year home warranty included for buyer!</t>
        </r>
      </text>
    </comment>
    <comment ref="B11" authorId="1">
      <text>
        <r>
          <rPr>
            <sz val="8"/>
            <color indexed="81"/>
            <rFont val="Tahoma"/>
            <charset val="1"/>
          </rPr>
          <t xml:space="preserve">12/01/2007
Active --&gt; Cancelled
</t>
        </r>
      </text>
    </comment>
    <comment ref="E11" authorId="0">
      <text>
        <r>
          <rPr>
            <sz val="9"/>
            <color indexed="81"/>
            <rFont val="Tahoma"/>
            <family val="2"/>
          </rPr>
          <t>Recently updated CHARMER! A must see for in city living, tiled baths and kitchen. Lots of detail work, off street parking for one car, close to shops and amenities. This will make a great investment property or a ready to move in home! Home comes with a one year warranty paid for by sellers. Sellers willing to carry-back some of downpayment to help you credit worthy clients!! Be creative!</t>
        </r>
      </text>
    </comment>
    <comment ref="AG11" authorId="1">
      <text>
        <r>
          <rPr>
            <sz val="8"/>
            <color indexed="81"/>
            <rFont val="Tahoma"/>
            <charset val="1"/>
          </rPr>
          <t xml:space="preserve">12/01/2007
47.6887 --&gt; 47.68874
</t>
        </r>
      </text>
    </comment>
    <comment ref="AS11" authorId="1">
      <text>
        <r>
          <rPr>
            <sz val="8"/>
            <color indexed="81"/>
            <rFont val="Tahoma"/>
            <charset val="1"/>
          </rPr>
          <t xml:space="preserve">12/01/2007
http://locmedia.nwmls.com/DO_NOT_LINK/bigphoto/889/27131889.jpg?tsp=20070723122814 --&gt; http://locmedia.nwmls.com/DO_NOT_LINK/bigphoto/889/27131889.jpg?tsp=20071020134308
</t>
        </r>
      </text>
    </comment>
    <comment ref="E12" authorId="0">
      <text>
        <r>
          <rPr>
            <sz val="9"/>
            <color indexed="81"/>
            <rFont val="Tahoma"/>
            <family val="2"/>
          </rPr>
          <t>Very convenient location. 1939 home has 3 bedrooms and 1 bath. Features include new roof &amp;amp; furnace, large yard w/storage shed, new hardwood floors, fireplace, garage, &amp;amp; large carport. Great neighborhood w/many services &amp;amp; amenities. On major bus lines. Excellent condo alternative. Ample trees including pear tree.</t>
        </r>
      </text>
    </comment>
    <comment ref="E13" authorId="0">
      <text>
        <r>
          <rPr>
            <sz val="9"/>
            <color indexed="81"/>
            <rFont val="Tahoma"/>
            <family val="2"/>
          </rPr>
          <t>Spacious &amp;amp; charming 1926 era Craftsman home on large level lot with covered front porch located close to schools, bus, swimming pool, &amp;amp; sports facility.Its features include the traditionals- fireplace, hard/softwood floors, &amp;amp; formal dining room with built-ins, as well as more recent upgrades- Large,remodeled bathroom &amp;amp; master bedroom with walk-in-closet. A full basement, a BIG fenced yard with mature landscaping,&amp;amp; a long driveway with a two-car garage/storage loft offers much potential.</t>
        </r>
      </text>
    </comment>
    <comment ref="B14" authorId="1">
      <text>
        <r>
          <rPr>
            <sz val="8"/>
            <color indexed="81"/>
            <rFont val="Tahoma"/>
            <charset val="1"/>
          </rPr>
          <t xml:space="preserve">12/01/2007
Active --&gt; Cancelled
</t>
        </r>
      </text>
    </comment>
    <comment ref="E14" authorId="0">
      <text>
        <r>
          <rPr>
            <sz val="9"/>
            <color indexed="81"/>
            <rFont val="Tahoma"/>
            <family val="2"/>
          </rPr>
          <t>Comfortable, much-loved home, 1st time on the market in 50+ years. The main floor has a circular floor plan, large living room with coved ceilings and a wood-burning fireplace, dining room and spacious kitchen w/loads of storage. Main floor bedroom has adjoining full bathroom. Laundry, storage, 3/4 bath and rec room in lower level. Attached 2 car tandem garage with work benches. Private corner lot with nice yard and mature landscaping.Brand new electrical panel, new roof installed by end Nov.</t>
        </r>
      </text>
    </comment>
    <comment ref="B15" authorId="1">
      <text>
        <r>
          <rPr>
            <sz val="8"/>
            <color indexed="81"/>
            <rFont val="Tahoma"/>
            <charset val="1"/>
          </rPr>
          <t xml:space="preserve">12/01/2007
Active --&gt; Expired
</t>
        </r>
      </text>
    </comment>
    <comment ref="E15" authorId="0">
      <text>
        <r>
          <rPr>
            <sz val="9"/>
            <color indexed="81"/>
            <rFont val="Tahoma"/>
            <family val="2"/>
          </rPr>
          <t>Exciting mountain views from deck and remodeled kitchen. Charming period features in well-maintained condition. Extra storage space in basement. Close to Phinney Center and plenty of shopping.</t>
        </r>
      </text>
    </comment>
    <comment ref="B16" authorId="1">
      <text>
        <r>
          <rPr>
            <sz val="8"/>
            <color indexed="81"/>
            <rFont val="Tahoma"/>
            <family val="2"/>
          </rPr>
          <t xml:space="preserve">11/28/2007
Active --&gt; Expired
</t>
        </r>
      </text>
    </comment>
    <comment ref="E16" authorId="0">
      <text>
        <r>
          <rPr>
            <sz val="9"/>
            <color indexed="81"/>
            <rFont val="Tahoma"/>
            <family val="2"/>
          </rPr>
          <t>This home is in better than new condition as it has been recently updated with ADDED SQ. FOOTAGE. It features a cozy living room, huge dining room w/fpl, modern kitchen, 2 bedrooms and 13/4 baths on the main level, gleemimh wood floors,and seperate laundry area. The newly completed upper level has an extra room (appx 250 sq ft.) with skylight and private 1/2 bath. The yard is fully fenced with detached garage,a gazebo,super garden area and very very private.</t>
        </r>
      </text>
    </comment>
    <comment ref="E17" authorId="0">
      <text>
        <r>
          <rPr>
            <sz val="9"/>
            <color indexed="81"/>
            <rFont val="Tahoma"/>
            <family val="2"/>
          </rPr>
          <t>Beautiful Broadview Classic! Light, open &amp;amp; spacious floor plan - Formal Living Rm &amp;amp; Dining Rm perfect for entertaining with adjoining Family Rm/Sun Rm. Sunny breadfast nook to greet the morning! Beautiful, sumptuous bath. Updated country kitchen. Lower level for expansion or perfect for the hobbyist(great shop). Verdant greenery surrounds the home. Convenient alley access to a detached garage. Prime convenient Broadview location. You will fall in love with this quality home!</t>
        </r>
      </text>
    </comment>
    <comment ref="B18" authorId="1">
      <text>
        <r>
          <rPr>
            <sz val="8"/>
            <color indexed="81"/>
            <rFont val="Tahoma"/>
            <charset val="1"/>
          </rPr>
          <t xml:space="preserve">12/01/2007
Active --&gt; Cancelled
</t>
        </r>
      </text>
    </comment>
    <comment ref="E18" authorId="0">
      <text>
        <r>
          <rPr>
            <sz val="9"/>
            <color indexed="81"/>
            <rFont val="Tahoma"/>
            <family val="2"/>
          </rPr>
          <t>Sitting privately above the street this fabulous home features views of the Olympic Mountains &amp;amp; downtown. Gleaming hrdwds welcome you into the dining/living area. Beautifully remodeled kitchen w/SS appl's, cherry cabinets &amp;amp; quaint breakfast nook.Main flr master,second rm great for office space, completely updated baths, fully finished basmnt w/ 2 add'l bdrms &amp;amp; laundry facilities. Don't miss the spacious bonus room upstairs, perfect playroom! Rear yard offers a serene oasis w/ mature landscaping</t>
        </r>
      </text>
    </comment>
    <comment ref="E19" authorId="0">
      <text>
        <r>
          <rPr>
            <sz val="9"/>
            <color indexed="81"/>
            <rFont val="Tahoma"/>
            <family val="2"/>
          </rPr>
          <t>Tastefully updated quaint home with lots of charm! Great kitchen w/stainless steel appliances, tile counters tops &amp;amp; more. Updated electrical. Hardwood floors throughout main bring elegance. 3 bedrooms, 1.75 bath, &amp;amp; unfinished basement w/lots of potential. The backyard is a Zen-like retreat featuring 2 decks off the back of the house. Great access to downtown, UW , 520, I-5, &amp;amp; Greenlake. Although this hm appears to be close to the freeway. The noise is minimal and not noticeable. Don't miss out!</t>
        </r>
      </text>
    </comment>
    <comment ref="B20" authorId="1">
      <text>
        <r>
          <rPr>
            <sz val="8"/>
            <color indexed="81"/>
            <rFont val="Tahoma"/>
            <charset val="1"/>
          </rPr>
          <t xml:space="preserve">12/03/2007
Active --&gt; Expired
</t>
        </r>
      </text>
    </comment>
    <comment ref="E20" authorId="0">
      <text>
        <r>
          <rPr>
            <sz val="9"/>
            <color indexed="81"/>
            <rFont val="Tahoma"/>
            <family val="2"/>
          </rPr>
          <t>This 3bd 2bth has been completely remodeled in and out.Kitchen features:granite slab counters,custom cabinetry,matching stainless appliances.Bath includes jetted tub and modern fixtures. Home also has all new carpet,paint,E.ef.windows,E.ef.wash/dry,gas furnace,H20 heater and restored oak flooring. New roof w/warranty.Private backyard is perfect for entertaining and features a new wood deck.Located in the ever popular Wedgwood neigborhood, this home is a must see.Please visit us today!</t>
        </r>
      </text>
    </comment>
    <comment ref="E21" authorId="0">
      <text>
        <r>
          <rPr>
            <sz val="9"/>
            <color indexed="81"/>
            <rFont val="Tahoma"/>
            <family val="2"/>
          </rPr>
          <t>$15k price drop on this mint condition, level entry just 1 blk from Blue Ridge. Beautiful hdwd flrs, frpl w/new surround &amp;amp; mantle, sunny kit w/eat space &amp;amp; all new appls, remodeled bath w/marble tile flrs &amp;amp; deep soaking tub, new light fixtures, spacious bdrms &amp;amp; large conveniently located utility rm. Room to expand w/attached gar + shop w/elec, lg windows &amp;amp; sep entrance that could be converted into artist's sudio or home office. Xtra deep lot w/alley access + 620 sf deck. 2 blks to beach trail.</t>
        </r>
      </text>
    </comment>
    <comment ref="AG21" authorId="1">
      <text>
        <r>
          <rPr>
            <sz val="8"/>
            <color indexed="81"/>
            <rFont val="Tahoma"/>
            <charset val="1"/>
          </rPr>
          <t xml:space="preserve">12/06/2007
47.704268 --&gt; 47.70427
</t>
        </r>
      </text>
    </comment>
    <comment ref="AH21" authorId="1">
      <text>
        <r>
          <rPr>
            <sz val="8"/>
            <color indexed="81"/>
            <rFont val="Tahoma"/>
            <charset val="1"/>
          </rPr>
          <t xml:space="preserve">12/06/2007
-122.3728 --&gt; -122.37277
</t>
        </r>
      </text>
    </comment>
    <comment ref="E22" authorId="0">
      <text>
        <r>
          <rPr>
            <sz val="9"/>
            <color indexed="81"/>
            <rFont val="Tahoma"/>
            <family val="2"/>
          </rPr>
          <t>Remodeled 1902 Ballard Bungalow! Light and bright with warm colors throughout. Spacious living room and formal dining room. Brazilian cherry hardwoods and ceramic tile flooring. Large kitchen with island, stainless steel appliances and attached eating/sitting area. Beautifully updated bathroom. Charming deck that overlooks private backyard with mature landscaping and arbor. Detached 1 car garage. Excellent location in desirable Ballard neighborhood, close to everything.</t>
        </r>
      </text>
    </comment>
    <comment ref="AG22" authorId="1">
      <text>
        <r>
          <rPr>
            <sz val="8"/>
            <color indexed="81"/>
            <rFont val="Tahoma"/>
            <charset val="1"/>
          </rPr>
          <t xml:space="preserve">12/03/2007
47.676862 --&gt; 47.676857
</t>
        </r>
      </text>
    </comment>
    <comment ref="AH22" authorId="1">
      <text>
        <r>
          <rPr>
            <sz val="8"/>
            <color indexed="81"/>
            <rFont val="Tahoma"/>
            <charset val="1"/>
          </rPr>
          <t xml:space="preserve">12/03/2007
-122.388652 --&gt; -122.388637
</t>
        </r>
      </text>
    </comment>
    <comment ref="E23" authorId="0">
      <text>
        <r>
          <rPr>
            <sz val="9"/>
            <color indexed="81"/>
            <rFont val="Tahoma"/>
            <family val="2"/>
          </rPr>
          <t>Quiet street. Must see this darling interior to judge this one. Sweet master-suite with private bath and balcony. Updated kitchen with granite counters and gorgeous cabinets with glass fronts. Lovely spacious living room/dining room with unique fireplace, period windows and hardwood floors. 2 additional bedrooms with private bath. Hardwood &amp;amp; fir floors through most of house. 1 car garage and basement for storage. Small yard.</t>
        </r>
      </text>
    </comment>
    <comment ref="E24" authorId="0">
      <text>
        <r>
          <rPr>
            <sz val="9"/>
            <color indexed="81"/>
            <rFont val="Tahoma"/>
            <family val="2"/>
          </rPr>
          <t>A charming craftsman with updated systems and special features. Who could ask for more? Bathed in soothing colors with hardwood and fir floors, lovely moldings, bookshelves that bank the fireplace and French doors.The roomy updated kitchen has window seats and the tile bath keeps the character intact. An expanded master looks out to lovely rear yard. Basement hs tall cielings. Located on a street to street lot, this home is only blocks from the park. Off street parking for 2 cars in the rear.</t>
        </r>
      </text>
    </comment>
    <comment ref="B25" authorId="1">
      <text>
        <r>
          <rPr>
            <sz val="8"/>
            <color indexed="81"/>
            <rFont val="Tahoma"/>
            <charset val="1"/>
          </rPr>
          <t xml:space="preserve">12/06/2007
Active --&gt; Expired
</t>
        </r>
      </text>
    </comment>
    <comment ref="E25" authorId="0">
      <text>
        <r>
          <rPr>
            <sz val="9"/>
            <color indexed="81"/>
            <rFont val="Tahoma"/>
            <family val="2"/>
          </rPr>
          <t>Enjoy this lovely split-entry home in Greenwood. Upper level offers gorgeous living room w/ vault ceilings, firepl &amp;amp; bay window. Large kitchen w/ cut-outs to dining area allow for easy entertaining. Master suite w/ lg walk-in closet &amp;amp; master bath w/ double vanity and skylight. On the lower level second master suite w/ full bath,open kitch &amp;amp; living rm. Would make a perfect mother-in-law apartment. The large 2 car garage&amp;amp;room for an RV! Fully fenced yard and beautiful landscaping.</t>
        </r>
      </text>
    </comment>
    <comment ref="O25" authorId="1">
      <text>
        <r>
          <rPr>
            <sz val="8"/>
            <color indexed="81"/>
            <rFont val="Tahoma"/>
            <charset val="1"/>
          </rPr>
          <t xml:space="preserve">12/06/2007
More --&gt; No photos
</t>
        </r>
      </text>
    </comment>
    <comment ref="AS25" authorId="1">
      <text>
        <r>
          <rPr>
            <sz val="8"/>
            <color indexed="81"/>
            <rFont val="Tahoma"/>
            <charset val="1"/>
          </rPr>
          <t xml:space="preserve">12/06/2007
http://locmedia.nwmls.com/DO_NOT_LINK/bigphoto/040/27163040.jpg?tsp=20071019133237 --&gt; http://locmedia.nwmls.com/DO_NOT_LINK/bigphoto/040/p_nophoto.jpg?tsp=18000101000001
</t>
        </r>
      </text>
    </comment>
    <comment ref="B26" authorId="1">
      <text>
        <r>
          <rPr>
            <sz val="8"/>
            <color indexed="81"/>
            <rFont val="Tahoma"/>
            <charset val="1"/>
          </rPr>
          <t xml:space="preserve">12/03/2007
Active --&gt; Rented
</t>
        </r>
      </text>
    </comment>
    <comment ref="E26" authorId="0">
      <text>
        <r>
          <rPr>
            <sz val="9"/>
            <color indexed="81"/>
            <rFont val="Tahoma"/>
            <family val="2"/>
          </rPr>
          <t>Cute as a button Tudor in Maple Leaf. Lovely views of Cascades from the enchanting master bedroom. There's even a view from the closet dressing area! Wonderful gardens in both front &amp;amp; back yards. Precious breakfast nook has heated floors for the chill of Fall. Living room has beamed ceilings, a bay window &amp;amp; built in benches w/storage by the fireplace. French doors on two sides of the dining room, light floods in. Lots of expansion potential in the basement &amp;amp; a two car garage off the alley!</t>
        </r>
      </text>
    </comment>
    <comment ref="B27" authorId="1">
      <text>
        <r>
          <rPr>
            <sz val="8"/>
            <color indexed="81"/>
            <rFont val="Tahoma"/>
            <charset val="1"/>
          </rPr>
          <t xml:space="preserve">12/06/2007
Active --&gt; Cancelled
</t>
        </r>
      </text>
    </comment>
    <comment ref="E27" authorId="0">
      <text>
        <r>
          <rPr>
            <sz val="9"/>
            <color indexed="81"/>
            <rFont val="Tahoma"/>
            <family val="2"/>
          </rPr>
          <t>Classic Seattle Brick Tudor with an open floor plan and lots of natural light. Features hardwood floors, art tiled fireplace, coved and coffered ceilings and original mahogany trim and picture rails. Great space for entertaining with formal living &amp;amp; dining rooms. View of Mt. Rainier on a clear day. Remodeled kitchen with sunlit breakfast nook and lots of cabinet space. High ceilings in basement w/separate entrance - could increase sq. footage to 1930. Large fenced private backyard and patio.</t>
        </r>
      </text>
    </comment>
    <comment ref="E28" authorId="0">
      <text>
        <r>
          <rPr>
            <sz val="9"/>
            <color indexed="81"/>
            <rFont val="Tahoma"/>
            <family val="2"/>
          </rPr>
          <t>An In-City oasis! Huge property-mature garden w/fruit trees (figs, apples) grapes and berries, gentle stream, makes this story-book home a place to enjoy w/your family and friends. It features 3bd,1.75ba and a family rm/office w/french doors out to the patio. Hrdwd floors in most of the home. Newly painted in/out. Newer kitchen and appliances. Some double pane windows. Lrg garage w/shop. New construction on the street. Close to UW, Children's &amp;amp; UW hosp, UVillage. Easy access to freeways.</t>
        </r>
      </text>
    </comment>
    <comment ref="AG28" authorId="1">
      <text>
        <r>
          <rPr>
            <sz val="8"/>
            <color indexed="81"/>
            <rFont val="Tahoma"/>
            <charset val="1"/>
          </rPr>
          <t xml:space="preserve">12/01/2007
47.6993 --&gt; 47.699283
</t>
        </r>
      </text>
    </comment>
    <comment ref="AH28" authorId="1">
      <text>
        <r>
          <rPr>
            <sz val="8"/>
            <color indexed="81"/>
            <rFont val="Tahoma"/>
            <charset val="1"/>
          </rPr>
          <t xml:space="preserve">12/01/2007
-122.291086 --&gt; -122.291081
</t>
        </r>
      </text>
    </comment>
    <comment ref="E29" authorId="0">
      <text>
        <r>
          <rPr>
            <sz val="9"/>
            <color indexed="81"/>
            <rFont val="Tahoma"/>
            <family val="2"/>
          </rPr>
          <t>Charming and full of character, this adorable home is just blocks from Green Lake with all the fine dining, shopping and amenities this area offers. Situated on a quiet street this 2 bedroom 1 bath home features newly finished hardwood floors, coved ceilings, formal dining room and attractive tiled fireplace. Level yard with deck. Unfinished basement with expansion potential and a single car garage.</t>
        </r>
      </text>
    </comment>
    <comment ref="E30" authorId="0">
      <text>
        <r>
          <rPr>
            <sz val="9"/>
            <color indexed="81"/>
            <rFont val="Tahoma"/>
            <family val="2"/>
          </rPr>
          <t>Don't miss this charming Craftsman! Bright and airy second floor addition features vaulted ceilings and views of Puget Sound, Mt. Rainier, and the Cascades. Beautiful mature trees create a private in-city oasis in a friendly neighborhood. Short distance to nearby grocery stores and eateries. Easy bus access to downtown. Garage off alley with level entry to home. Ready to enjoy now with great potential to customize or expand! New electrical and plumbing. All appliances 6 y.o. or less.</t>
        </r>
      </text>
    </comment>
    <comment ref="E31" authorId="0">
      <text>
        <r>
          <rPr>
            <sz val="9"/>
            <color indexed="81"/>
            <rFont val="Tahoma"/>
            <family val="2"/>
          </rPr>
          <t>1928 Phinney Ridge bungalow with many period details.2Br-1Bth, living room with mantled fireplace and crown molding. Kitchen with southern exposure has new stainless refrigerator and range. Front and back porch. Unfinished basement with good ceiling height, Nice backyard with mature plantings and Detached garage. Upgrades include 200amp service, high-tech cabling,security system and copper plumbing. A short walk to the best Phinney Ridge shops and restaurants.</t>
        </r>
      </text>
    </comment>
    <comment ref="B32" authorId="0">
      <text>
        <r>
          <rPr>
            <sz val="9"/>
            <color indexed="81"/>
            <rFont val="Tahoma"/>
            <family val="2"/>
          </rPr>
          <t xml:space="preserve">11/23/2007
Active --&gt; Contingent
</t>
        </r>
      </text>
    </comment>
    <comment ref="E32" authorId="0">
      <text>
        <r>
          <rPr>
            <sz val="9"/>
            <color indexed="81"/>
            <rFont val="Tahoma"/>
            <family val="2"/>
          </rPr>
          <t>Tucked away on a quiet street just minutes from REDUCED! Haller Lake this classic brick Cape Cod home has been lovingly maintained. Pride of ownership shows in the gleaming oak hardwood floors &amp;amp; woodwork, updated kitchen &amp;amp; bath. You'll see attention to detail throughout. The kitchen is updated w/newer appliances &amp;amp; plenty of storage. Check out the new windows, updated electrical &amp;amp; copper plumbing. Conveniently located near major shopping, restaurants and I-5 this is truly a place to call home!</t>
        </r>
      </text>
    </comment>
    <comment ref="AG32" authorId="1">
      <text>
        <r>
          <rPr>
            <sz val="8"/>
            <color indexed="81"/>
            <rFont val="Tahoma"/>
            <charset val="1"/>
          </rPr>
          <t xml:space="preserve">12/03/2007
47.716447 --&gt; 47.716449
</t>
        </r>
      </text>
    </comment>
    <comment ref="AH32" authorId="1">
      <text>
        <r>
          <rPr>
            <sz val="8"/>
            <color indexed="81"/>
            <rFont val="Tahoma"/>
            <charset val="1"/>
          </rPr>
          <t xml:space="preserve">12/03/2007
-122.335501 --&gt; -122.335535
</t>
        </r>
      </text>
    </comment>
    <comment ref="E33" authorId="0">
      <text>
        <r>
          <rPr>
            <sz val="9"/>
            <color indexed="81"/>
            <rFont val="Tahoma"/>
            <family val="2"/>
          </rPr>
          <t>Beautifully maintained park-like setting surrounds this pristine townhome community. Stendall Place is centrally located to NW Hospital, Northgate Mall, and downtown Seattle. This 3 bedroom oasis in the city features a large, attached 2 car garage, a private courtyard entry, a serene patio overlooking lush lawns, a community sport court, central A/C, ample storage and closets, a large laundry room, skylights with natural light, and a lofted 3rd bedroom.</t>
        </r>
      </text>
    </comment>
    <comment ref="AG33" authorId="0">
      <text>
        <r>
          <rPr>
            <sz val="9"/>
            <color indexed="81"/>
            <rFont val="Tahoma"/>
            <family val="2"/>
          </rPr>
          <t xml:space="preserve">11/23/2007
47.714536 --&gt; 47.714545
</t>
        </r>
      </text>
    </comment>
    <comment ref="AH33" authorId="0">
      <text>
        <r>
          <rPr>
            <sz val="9"/>
            <color indexed="81"/>
            <rFont val="Tahoma"/>
            <family val="2"/>
          </rPr>
          <t xml:space="preserve">11/23/2007
-122.340327 --&gt; -122.340266
</t>
        </r>
      </text>
    </comment>
    <comment ref="E34" authorId="0">
      <text>
        <r>
          <rPr>
            <sz val="9"/>
            <color indexed="81"/>
            <rFont val="Tahoma"/>
            <family val="2"/>
          </rPr>
          <t>North Beach Remodeled Cottage on large Street to Street parklike lot. Less than 1 mile to Golden Gardens beach; dogpark. Lot has large tees &amp;amp; a quiet setting. Great lot for addition or building new in the future. Plenty of off St. parking for 4+ cars, boat trailers or RV. New paint, carpet, bath and light fixtures. Cozy Fireplace, available now!</t>
        </r>
      </text>
    </comment>
    <comment ref="E35" authorId="0">
      <text>
        <r>
          <rPr>
            <sz val="9"/>
            <color indexed="81"/>
            <rFont val="Tahoma"/>
            <family val="2"/>
          </rPr>
          <t>Like a brand new house,with character!With this house you will see new roof,gas furnace,windows new kitchen with granite counter tops and stainless appl.The basement has a great playroom or a theater room!The yard gives you lots of parking for whatever,and garden space,with a covered patio to enjoy.Great location next to elementary and shopping,freeway.wow</t>
        </r>
      </text>
    </comment>
    <comment ref="E36" authorId="0">
      <text>
        <r>
          <rPr>
            <sz val="9"/>
            <color indexed="81"/>
            <rFont val="Tahoma"/>
            <family val="2"/>
          </rPr>
          <t>Delightful Cape Cod Mench! Beautifully detailed original woodwork, gorgeous hardwood floors, &amp;amp; formal dining rm overlooking mature pretty plantings.Classic brick faced fireplace, spacious family rm., covered patio, large level lot, double pane windows, &amp;amp; alley access to detached gar. High ceilinged basement has potential for more finished space or 3rd bed. All this in fabulous Loyal Heights location near parks, Golden Gardens Beach, restaurants, &amp;amp; shopping. Adorable &amp;amp; updated! Open 10/28/07</t>
        </r>
      </text>
    </comment>
    <comment ref="F36" authorId="1">
      <text>
        <r>
          <rPr>
            <sz val="8"/>
            <color indexed="81"/>
            <rFont val="Tahoma"/>
            <family val="2"/>
          </rPr>
          <t xml:space="preserve">11/28/2007
489500 --&gt; 475000
</t>
        </r>
      </text>
    </comment>
    <comment ref="AH36" authorId="0">
      <text>
        <r>
          <rPr>
            <sz val="9"/>
            <color indexed="81"/>
            <rFont val="Tahoma"/>
            <family val="2"/>
          </rPr>
          <t xml:space="preserve">11/23/2007
-122.3854 --&gt; -122.38542
</t>
        </r>
      </text>
    </comment>
    <comment ref="AP36" authorId="0">
      <text>
        <r>
          <rPr>
            <sz val="9"/>
            <color indexed="81"/>
            <rFont val="Tahoma"/>
            <family val="2"/>
          </rPr>
          <t xml:space="preserve">11/23/2007
Delightful Cape Cod Mench! Beautifully detailed original woodwork, gorgeous hardwood floors, &amp;amp; formal dining rm overlooking mature pretty plantings.Classic brick faced fireplace, spacious family rm., covered patio, large level lot, double pane windows, &amp;amp; alley access to detached gar. High ceilinged basement has potential for more finished space or 3rd bed. All this in fabulous Loyal Heights location near parks, Golden Gardens Beach, restaurants, &amp;amp; shopping. Adorable &amp;amp; updated! Open 10/28/07 --&gt; Delightful Cape Cod Mench! Beautifully detailed original woodwork, gorgeous hardwood floors, &amp;amp; formal dining rm overlooking mature pretty plantings.Classic brick faced fireplace, spacious family rm., covered patio, large level lot, double pane windows, &amp;amp; alley access to detached gar. High ceilinged basement has potential for more finished space or 3rd bed. All this in fabulous Loyal Heights location near parks, Golden Gardens Beach, restaurants, &amp;amp; shopping. Adorable &amp;amp; updated!
</t>
        </r>
      </text>
    </comment>
    <comment ref="E37" authorId="0">
      <text>
        <r>
          <rPr>
            <sz val="9"/>
            <color indexed="81"/>
            <rFont val="Tahoma"/>
            <family val="2"/>
          </rPr>
          <t>Location! Only a couple of blocks to downtown Fremont shops and restaurants. Directly across from B.F. Day park. Enjoy 3 bedroom, 1 bath with lots of room to finish basement for added space. Electrical and bathroom has been updated. New front porch made Sof trex composite and backyard wood deck built recently. Front yard has been professionally landscaped along w/private gated backyard. Existing hardwoods throughout that just need some TLC.</t>
        </r>
      </text>
    </comment>
    <comment ref="B38" authorId="1">
      <text>
        <r>
          <rPr>
            <sz val="8"/>
            <color indexed="81"/>
            <rFont val="Tahoma"/>
            <charset val="1"/>
          </rPr>
          <t xml:space="preserve">12/06/2007
Active --&gt; Active - STI
</t>
        </r>
      </text>
    </comment>
    <comment ref="E38" authorId="0">
      <text>
        <r>
          <rPr>
            <sz val="9"/>
            <color indexed="81"/>
            <rFont val="Tahoma"/>
            <family val="2"/>
          </rPr>
          <t>20K Price Drop! Newly Remodeled Bryant Craftsman! Enjoy a beautiful view of Mt Rainier from your brand new kitchen. Completely redone with new flooring, maple cabinets, granite counters, top-end stainless appl. designer paint. From the kitchen savor your morning coffee from the cozy covered deck!! Both bathrooms are new, upstairs was remodeled and downstairs is brand new!!Room to grow in the high ceiling basement, it is partially finished with a new bath, and sink and cabinets for a 2nd kitchen.</t>
        </r>
      </text>
    </comment>
    <comment ref="E39" authorId="0">
      <text>
        <r>
          <rPr>
            <sz val="9"/>
            <color indexed="81"/>
            <rFont val="Tahoma"/>
            <family val="2"/>
          </rPr>
          <t>Lovely remodeled Ballard Bungalow! 2 bed/1bath charmer on quiet street across from park/school yard. Updates throughout. Large Master Suite with wood burning fireplace. French doors from Master to New Trex deck. Great kitchen with cute nook that opens to deck. Private yard with shop, garage and alley access. Loyal Heights amentities just out the door. Move in ready - Don't miss!</t>
        </r>
      </text>
    </comment>
    <comment ref="B40" authorId="1">
      <text>
        <r>
          <rPr>
            <sz val="8"/>
            <color indexed="81"/>
            <rFont val="Tahoma"/>
            <family val="2"/>
          </rPr>
          <t xml:space="preserve">12/06/2007
Active - STI --&gt; Pending
11/28/2007
Active --&gt; Active - STI
</t>
        </r>
      </text>
    </comment>
    <comment ref="E40" authorId="0">
      <text>
        <r>
          <rPr>
            <sz val="9"/>
            <color indexed="81"/>
            <rFont val="Tahoma"/>
            <family val="2"/>
          </rPr>
          <t>Sunny western exposure mid-century home with welcoming floor plan. Built in 1959 and immaculately maintained. 3 bedrooms, 1.5 bathrooms and hardwoods on the main floor. Much sought after finished rec room &amp;amp; project areas on lower level. Oversized 2-car garage with workshop &amp;amp; bathroom. Dining room opens onto lovely entertainment sized yard for gardener's paradise and active play. Friendly neighborhood for walking with easy access to Lake City Farmer's Market, Library, shops and restaurants.</t>
        </r>
      </text>
    </comment>
    <comment ref="E41" authorId="0">
      <text>
        <r>
          <rPr>
            <sz val="9"/>
            <color indexed="81"/>
            <rFont val="Tahoma"/>
            <family val="2"/>
          </rPr>
          <t>Searching for an income N/C ADU, (extra house on property) plus a perfect get away on a large lot. See this! 2 homes on nearly 8,000+ sq ft. Well maintained, new full bth, some updated plumbing, wiring! 3 bdrms; 2 on main plus 1 up. Second house has 1 bdrm, 3/4 bth, loft, kitchenette; guest qtrs, studio, private office or rental. Main house is open; light filled areas, skylight, gas free-standing frpl. SW orientation nice features throughout! Decks for entertaining; mature plantings.</t>
        </r>
      </text>
    </comment>
    <comment ref="B42" authorId="1">
      <text>
        <r>
          <rPr>
            <sz val="8"/>
            <color indexed="81"/>
            <rFont val="Tahoma"/>
            <charset val="1"/>
          </rPr>
          <t xml:space="preserve">12/01/2007
Active --&gt; Cancelled
</t>
        </r>
      </text>
    </comment>
    <comment ref="E42" authorId="0">
      <text>
        <r>
          <rPr>
            <sz val="9"/>
            <color indexed="81"/>
            <rFont val="Tahoma"/>
            <family val="2"/>
          </rPr>
          <t>Location, location, location: Lovely home on great street! Living &amp;amp; dining spaces are flooded with natural daylight. Entry w/coat closet, formal Dining, living rm w/FP. Large Kitchen w/room for breakfast table. Finished bsmt w/ 3rd bedrm, spacious family rm, 3/4 bath, laundry &amp;amp; storage. Newly refinished Hardwood floors. New 30yr roof &amp;amp; fresh interior paint. Move in ready for you to spend the holidays! Detached garage/alley. Just Steps to Loyal Heights Elementary, community center, bus &amp;amp; park</t>
        </r>
      </text>
    </comment>
    <comment ref="AG42" authorId="1">
      <text>
        <r>
          <rPr>
            <sz val="8"/>
            <color indexed="81"/>
            <rFont val="Tahoma"/>
            <charset val="1"/>
          </rPr>
          <t xml:space="preserve">12/01/2007
47.68449 --&gt; 47.684485
</t>
        </r>
      </text>
    </comment>
    <comment ref="AH42" authorId="1">
      <text>
        <r>
          <rPr>
            <sz val="8"/>
            <color indexed="81"/>
            <rFont val="Tahoma"/>
            <charset val="1"/>
          </rPr>
          <t xml:space="preserve">12/01/2007
-122.388774 --&gt; -122.388746
</t>
        </r>
      </text>
    </comment>
    <comment ref="E43" authorId="0">
      <text>
        <r>
          <rPr>
            <sz val="9"/>
            <color indexed="81"/>
            <rFont val="Tahoma"/>
            <family val="2"/>
          </rPr>
          <t>Charming 1900 farmhouse in Ballard features many updates with plenty of elbow room inside and out. Spacious upper floor with two light filled bedrooms. Completely fenced with level yard and productive fruit trees.</t>
        </r>
      </text>
    </comment>
    <comment ref="E44" authorId="0">
      <text>
        <r>
          <rPr>
            <sz val="9"/>
            <color indexed="81"/>
            <rFont val="Tahoma"/>
            <family val="2"/>
          </rPr>
          <t>New price + $5,000 BUYER BONUS...Immaculate move-in ready cond w/daylight bsmnt features 4 bdrms + den/offc + rec area,2 baths,2 kitchens. Cmpltd updted w/new paint, marble and hardwood flrs. Daylight bsmnt w/own frpl, 2nd kitchen, full bath &amp;amp; separate entry. Updated kitchen w/marble countertops. Stunning landscaping w/ water fountain in the front yard &amp;amp; fish pond in the bckyrd. Easy access to I-5, only minutes to schls, parks, lakes, golf course &amp;amp; Northgate shopping mall. ALL APPLIANCES STAY!</t>
        </r>
      </text>
    </comment>
    <comment ref="F44" authorId="1">
      <text>
        <r>
          <rPr>
            <sz val="8"/>
            <color indexed="81"/>
            <rFont val="Tahoma"/>
            <charset val="1"/>
          </rPr>
          <t xml:space="preserve">12/06/2007
463000 --&gt; 453000
</t>
        </r>
      </text>
    </comment>
    <comment ref="AP44" authorId="1">
      <text>
        <r>
          <rPr>
            <sz val="8"/>
            <color indexed="81"/>
            <rFont val="Tahoma"/>
            <charset val="1"/>
          </rPr>
          <t xml:space="preserve">12/06/2007
New price + $5,000 BUYER BONUS...Immaculate move-in ready cond w/daylight bsmnt features 4 bdrms + den/offc + rec area,2 baths,2 kitchens. Cmpltd updted w/new paint, marble and hardwood flrs. Daylight bsmnt w/own frpl, 2nd kitchen, full bath &amp;amp; separate entry. Updated kitchen w/marble countertops. Stunning landscaping w/ water fountain in the front yard &amp;amp; fish pond in the bckyrd. Easy access to I-5, only minutes to schls, parks, lakes, golf course &amp;amp; Northgate shopping mall. ALL APPLIANCES STAY! --&gt; Reduced Price + $5K BUYER BONUS...Immaculate move-in ready cond w/daylight bsmnt features 4 bdrms + den/offc + rec area,2 baths,2 kitchens. Cmpltd updted w/new paint, marble and hardwood flrs. Daylight bsmnt w/own frpl, 2nd kitchen, full bath &amp;amp; separate entry. Updated kitchen w/marble countertops. Stunning landscaping w/ water fountain in the front yard &amp;amp; fish pond in the bckyrd. Easy access to I-5, only minutes to schls, parks, lakes, golf course &amp;amp; Northgate shopping mall. ALL APPLIANCES STAY!
</t>
        </r>
      </text>
    </comment>
    <comment ref="AS44" authorId="1">
      <text>
        <r>
          <rPr>
            <sz val="8"/>
            <color indexed="81"/>
            <rFont val="Tahoma"/>
            <charset val="1"/>
          </rPr>
          <t xml:space="preserve">12/06/2007
http://locmedia.nwmls.com/DO_NOT_LINK/bigphoto/210/27180210.jpg?tsp=20071006202240 --&gt; http://locmedia.nwmls.com/DO_NOT_LINK/bigphoto/210/27180210.jpg?tsp=20071205103455
</t>
        </r>
      </text>
    </comment>
    <comment ref="E45" authorId="0">
      <text>
        <r>
          <rPr>
            <sz val="9"/>
            <color indexed="81"/>
            <rFont val="Tahoma"/>
            <family val="2"/>
          </rPr>
          <t>This wonderfully remodeled home that has been brought back to life in style! From the remodeled kitchen to the landscaping, the owner has left no stone unturned in reviving this beautiful home on a corner lot. The moment you enter, you'll notice the shine from the hardwood floors that look new. Upstairs boasts a huge master bedroom w/new carpet &amp;amp; fresh paint. The basement also has new carpet &amp;amp; paint &amp;amp; is perfect for your new rec room with a gorgeous 3/4 bath.</t>
        </r>
      </text>
    </comment>
    <comment ref="AG45" authorId="1">
      <text>
        <r>
          <rPr>
            <sz val="8"/>
            <color indexed="81"/>
            <rFont val="Tahoma"/>
            <charset val="1"/>
          </rPr>
          <t xml:space="preserve">12/03/2007
47.693958 --&gt; 47.693957
</t>
        </r>
      </text>
    </comment>
    <comment ref="AH45" authorId="1">
      <text>
        <r>
          <rPr>
            <sz val="8"/>
            <color indexed="81"/>
            <rFont val="Tahoma"/>
            <charset val="1"/>
          </rPr>
          <t xml:space="preserve">12/03/2007
-122.3284 --&gt; -122.328409
</t>
        </r>
      </text>
    </comment>
    <comment ref="E46" authorId="0">
      <text>
        <r>
          <rPr>
            <sz val="9"/>
            <color indexed="81"/>
            <rFont val="Tahoma"/>
            <family val="2"/>
          </rPr>
          <t>Beautifully updated 2bdrm Craftsman in sought after Ballard/Greenwood reflects quality workmanship! Home features remodeled kitchen w/stainless appliances, dining room, living room w/cozy wood stove. Updated bath w/granite shower &amp;amp; heated tile floor. Finished bsmt w/bonus room and laundry room. Cedar sauna opens onto fenced backyard w/dog kennel, fenced garden, patio &amp;amp; fruit trees. Handyman's dream includes spacious detached 650 sq ft garage. Freshly painted inside/out! 30yr roof w/warranty.</t>
        </r>
      </text>
    </comment>
    <comment ref="F46" authorId="0">
      <text>
        <r>
          <rPr>
            <sz val="9"/>
            <color indexed="81"/>
            <rFont val="Tahoma"/>
            <family val="2"/>
          </rPr>
          <t xml:space="preserve">11/23/2007
419000 --&gt; 409500
</t>
        </r>
      </text>
    </comment>
    <comment ref="AH46" authorId="0">
      <text>
        <r>
          <rPr>
            <sz val="9"/>
            <color indexed="81"/>
            <rFont val="Tahoma"/>
            <family val="2"/>
          </rPr>
          <t xml:space="preserve">11/25/2007
-122.3581 --&gt; -122.35808
</t>
        </r>
      </text>
    </comment>
    <comment ref="AP46" authorId="0">
      <text>
        <r>
          <rPr>
            <sz val="9"/>
            <color indexed="81"/>
            <rFont val="Tahoma"/>
            <family val="2"/>
          </rPr>
          <t xml:space="preserve">11/28/2007
Beautifully updated 2bdrm Craftsman in sought after Ballard/Greenwood reflects quality workmanship! Home features remodeled kitchen w/stainless appliances, DR, LR w/cozy wood stove. Updated bath w/granite shower &amp;amp; heated tile floor. Finished bsmt w/bonus room and laundry room. Cedar sauna opens onto fenced backyard w/dog kennel, fenced garden. Handyman's dream with detached 650 sq ft garage. 30yr roof. If Buyer's agent not present at all showings/insp &amp;amp; appt, commission will be 1% --&gt; Beautifully updated 2bdrm Craftsman in sought after Ballard/Greenwood reflects quality workmanship! Home features remodeled kitchen w/stainless appliances, Dining Room, LR w/cozy wood stove. Updated bath w/granite shower &amp;amp; heated tile floor. Finished bsmt w/bonus room and laundry room. Cedar sauna opens onto fenced backyard w/dog kennel, fenced yard and full-sun garden area. Huge 650 sqft detached garage with storage/workbench on 3 walls. 30-yr roof w/transferable warranty.
11/25/2007
Beautifully updated 2bdrm Craftsman in sought after Ballard/Greenwood reflects quality workmanship! Home features remodeled kitchen w/stainless appliances, dining room, living room w/cozy wood stove. Updated bath w/granite shower &amp;amp; heated tile floor. Finished bsmt w/bonus room and laundry room. Cedar sauna opens onto fenced backyard w/dog kennel, fenced garden, patio &amp;amp; fruit trees. Handyman's dream includes spacious detached 650 sq ft garage. Freshly painted inside/out! 30yr roof w/warranty. --&gt; Beautifully updated 2bdrm Craftsman in sought after Ballard/Greenwood reflects quality workmanship! Home features remodeled kitchen w/stainless appliances, DR, LR w/cozy wood stove. Updated bath w/granite shower &amp;amp; heated tile floor. Finished bsmt w/bonus room and laundry room. Cedar sauna opens onto fenced backyard w/dog kennel, fenced garden. Handyman's dream with detached 650 sq ft garage. 30yr roof. If Buyer's agent not present at all showings/insp &amp;amp; appt, commission will be 1%
</t>
        </r>
      </text>
    </comment>
    <comment ref="AS46" authorId="1">
      <text>
        <r>
          <rPr>
            <sz val="8"/>
            <color indexed="81"/>
            <rFont val="Tahoma"/>
            <family val="2"/>
          </rPr>
          <t xml:space="preserve">11/28/2007
http://locmedia.nwmls.com/DO_NOT_LINK/bigphoto/376/27180376.jpg?tsp=20071011121819 --&gt; http://locmedia.nwmls.com/DO_NOT_LINK/bigphoto/376/27180376.jpg?tsp=20071127223300
</t>
        </r>
      </text>
    </comment>
    <comment ref="B47" authorId="0">
      <text>
        <r>
          <rPr>
            <sz val="9"/>
            <color indexed="81"/>
            <rFont val="Tahoma"/>
            <family val="2"/>
          </rPr>
          <t xml:space="preserve">11/28/2007
Active - STI --&gt; Pending
11/25/2007
Active --&gt; Active - STI
</t>
        </r>
      </text>
    </comment>
    <comment ref="E47" authorId="0">
      <text>
        <r>
          <rPr>
            <sz val="9"/>
            <color indexed="81"/>
            <rFont val="Tahoma"/>
            <family val="2"/>
          </rPr>
          <t>HOME SWEET HOME!This is a bright,cozy home,move-in ready. 2 bedrooms(plus)1.75 baths,hardwood floors w/new maple floors in kitchen. Coved ceilings, fireplace, dining room w/garden window. Finished basement w/new carpeting. 2006 oil furnace, plenty of storage. Deck off kitchen and garden/patio area in fenced back yard. Single car garage with alley access. Home Warranty provided. BUYER BONUS $5000.00 in closing costs paid by seller w/agreed upon offer!</t>
        </r>
      </text>
    </comment>
    <comment ref="E48" authorId="0">
      <text>
        <r>
          <rPr>
            <sz val="9"/>
            <color indexed="81"/>
            <rFont val="Tahoma"/>
            <family val="2"/>
          </rPr>
          <t>Bright, happy Craftsman. An artist's home &amp;amp; it shows. Precious yard w/ Zen meditation area &amp;amp; covered back patio. Sunny, open living area w/ a drop-dead gorgeous slate fireplace &amp;amp; amber colored fir floors. Cute eat-in kitchen is perfect for hanging out. Big bathroom easily divided into another .5 or full bath. Too many artistically crafted details to list. This well done home will make you smile &amp;amp; still has opportunities for big equity growth from your touches. Off st. prkg in front &amp;amp; off alley.</t>
        </r>
      </text>
    </comment>
    <comment ref="B49" authorId="0">
      <text>
        <r>
          <rPr>
            <sz val="9"/>
            <color indexed="81"/>
            <rFont val="Tahoma"/>
            <family val="2"/>
          </rPr>
          <t xml:space="preserve">11/23/2007
Active --&gt; Pending
</t>
        </r>
      </text>
    </comment>
    <comment ref="E49" authorId="0">
      <text>
        <r>
          <rPr>
            <sz val="9"/>
            <color indexed="81"/>
            <rFont val="Tahoma"/>
            <family val="2"/>
          </rPr>
          <t>Smart, sophisticated and meticulous! Sparkling hardwoods. Spacious 3 bedroom, 2 bath, which includes the master suite, is all on one floor! Beautiful new kitchen with slab granite and stainless appliances. Generous kitchen eating area opens to the huge rear yard and back deck. Ally access to the rear yard. Large attached garage has an open stairway to a nice size loft, perfect for possible expansion.</t>
        </r>
      </text>
    </comment>
    <comment ref="E50" authorId="0">
      <text>
        <r>
          <rPr>
            <sz val="9"/>
            <color indexed="81"/>
            <rFont val="Tahoma"/>
            <family val="2"/>
          </rPr>
          <t>Exceptional 2story on corner lot w/ great curb appeal &amp;amp;move-in condition. Huge 625 sq ft garage / shop. Walk to restaurants, coffee shops, the Interlake Trail and bus stop.Quick access to I-5,downtown &amp;amp;Ballard.Expansive deck is perfect for barbequing and entertaining year round.Heat efficient home with double pane windows&amp;amp;efficient gas furnace.Gourmet kitchen &amp;amp; large living room.Master bedrm 16ft by 16 ft has a warm and open feel with vaulted ceilings, French doors that open to private balcony.</t>
        </r>
      </text>
    </comment>
    <comment ref="B51" authorId="1">
      <text>
        <r>
          <rPr>
            <sz val="8"/>
            <color indexed="81"/>
            <rFont val="Tahoma"/>
            <charset val="1"/>
          </rPr>
          <t xml:space="preserve">12/06/2007
Active --&gt; Cancelled
</t>
        </r>
      </text>
    </comment>
    <comment ref="E51" authorId="0">
      <text>
        <r>
          <rPr>
            <sz val="9"/>
            <color indexed="81"/>
            <rFont val="Tahoma"/>
            <family val="2"/>
          </rPr>
          <t>Classic Seattle Brick Tudor with an open floor plan and lots of natural light. Features hardwood floors, art tiled fireplace, coved and coffered ceilings and original mahogany trim and picture rails. Great space for entertaining with formal living &amp;amp; dining rooms. View of Mt. Rainier on a clear day. Remodeled kitchen with sunlit breakfast nook and lots of cabinet space. High ceilings in basement w/separate entrance - could increase sq. footage to 1930. Large fenced private backyard and patio.</t>
        </r>
      </text>
    </comment>
    <comment ref="E52" authorId="0">
      <text>
        <r>
          <rPr>
            <sz val="9"/>
            <color indexed="81"/>
            <rFont val="Tahoma"/>
            <family val="2"/>
          </rPr>
          <t>Come and see this charming mid-century rambler located on a wonderful street, this is not on a busy street! This tastefully renovated home offers an open floor plan, radiant heat, new kitchen w/ stainless appliances, hardwood floors and a large secluded fenced back yard - all on a 6,500+ sq ft lot. Separate laundry/mud room off the 1 car attached garage. This lovely home is move in ready!</t>
        </r>
      </text>
    </comment>
    <comment ref="F52" authorId="1">
      <text>
        <r>
          <rPr>
            <sz val="8"/>
            <color indexed="81"/>
            <rFont val="Tahoma"/>
            <charset val="1"/>
          </rPr>
          <t xml:space="preserve">12/06/2007
439000 --&gt; 419000
</t>
        </r>
      </text>
    </comment>
    <comment ref="B53" authorId="1">
      <text>
        <r>
          <rPr>
            <sz val="8"/>
            <color indexed="81"/>
            <rFont val="Tahoma"/>
            <charset val="1"/>
          </rPr>
          <t xml:space="preserve">12/01/2007
Active --&gt; Expired
</t>
        </r>
      </text>
    </comment>
    <comment ref="E53" authorId="0">
      <text>
        <r>
          <rPr>
            <sz val="9"/>
            <color indexed="81"/>
            <rFont val="Tahoma"/>
            <family val="2"/>
          </rPr>
          <t>Beautiful updated Cape Cod on a fabulous lot in prime location! Great floor plan with large spacious rooms. Charm &amp;amp; pizazz with refinished oak floors, radius corners, art-deco fireplace etc. Updated kitchen with lots of cabinet space. Light &amp;amp; open with southern exposure &amp;amp; big picture windows. Huge family room downstairs with fireplace. Most systems updated. Wonderful private large fenced backyard. Located next to a park! Polished &amp;amp; absolutely gorgeous. This is the one you have been waiting for!!</t>
        </r>
      </text>
    </comment>
    <comment ref="B54" authorId="0">
      <text>
        <r>
          <rPr>
            <sz val="9"/>
            <color indexed="81"/>
            <rFont val="Tahoma"/>
            <family val="2"/>
          </rPr>
          <t xml:space="preserve">11/23/2007
Active --&gt; Active - STI
</t>
        </r>
      </text>
    </comment>
    <comment ref="E54" authorId="0">
      <text>
        <r>
          <rPr>
            <sz val="9"/>
            <color indexed="81"/>
            <rFont val="Tahoma"/>
            <family val="2"/>
          </rPr>
          <t>Solid, Well-Built, Nearly Impeccable!, Located on a Lovely Street w/other well-maintained homes, Craftsman brick, daylight Rambler, 2 bedrooms, 2 baths, 2 rec rooms w/2nd bath. Two Fireplaces, 1 up/1 down, Gourmet Kitchen with French doors to backyard, Sparkling hardwoods recently updated thru-out. Designer colors. One of the lower rec rooms w/bath was used as Master Bedoom (window not to code for egress), Applnces included, shop/storage on lower level, Buyer to verify bldg. square footage.</t>
        </r>
      </text>
    </comment>
    <comment ref="E55" authorId="0">
      <text>
        <r>
          <rPr>
            <sz val="9"/>
            <color indexed="81"/>
            <rFont val="Tahoma"/>
            <family val="2"/>
          </rPr>
          <t>Almost completely remodeled. Some minor work left to be done. Wood floors. All copper plumbing. Electrical mostly updated. Gas heat. Legal mother-in-law in bsmt with separate entrance. Most appliances less than 4 years old. Corner lot. Garage and 2 space carport. Gas stoves. Exterior professionally restored and painted. Lots of finished attic storage with stair access.</t>
        </r>
      </text>
    </comment>
    <comment ref="E56" authorId="0">
      <text>
        <r>
          <rPr>
            <sz val="9"/>
            <color indexed="81"/>
            <rFont val="Tahoma"/>
            <family val="2"/>
          </rPr>
          <t>Updated contemporary home in sought-after Ravenna neighborhood. 1st floor features spacious great room with fireplace, modernized kitchen &amp;amp; full bath plus large master bedroom with tons of closet space. Downstairs offers another ample bdrm, full bath and laundry room. Low maintenance backyard offers charming patio area. Located minutes from U Village, walking distance to coffee shops, restaurants and parks. Zoned for duplex (buyer to verify), downstairs wired for kitchen.</t>
        </r>
      </text>
    </comment>
    <comment ref="E57" authorId="0">
      <text>
        <r>
          <rPr>
            <sz val="9"/>
            <color indexed="81"/>
            <rFont val="Tahoma"/>
            <family val="2"/>
          </rPr>
          <t>North Seattle. 2 bedroom rambler style, 1080 SF home (KCR), 8380 SF lot (KCR). Hardwood flooring under carpet. Tile flooring in kitchen and family area. Fully fenced rear yard with patio &amp;amp; RV parking pad. Attached garage. On flat corner lot.</t>
        </r>
      </text>
    </comment>
    <comment ref="B58" authorId="1">
      <text>
        <r>
          <rPr>
            <sz val="8"/>
            <color indexed="81"/>
            <rFont val="Tahoma"/>
            <family val="2"/>
          </rPr>
          <t xml:space="preserve">12/03/2007
Active - STI --&gt; Pending
11/28/2007
Active --&gt; Active - STI
</t>
        </r>
      </text>
    </comment>
    <comment ref="E58" authorId="0">
      <text>
        <r>
          <rPr>
            <sz val="9"/>
            <color indexed="81"/>
            <rFont val="Tahoma"/>
            <family val="2"/>
          </rPr>
          <t>Charming one level home on quiet cul de sac. Great floor plan! 3 bdrm 1.75 bths. Spacious living rm has hardwood floors &amp;amp; frplc. Nice dining rm overlooks private bckyrd. Good sized kitchen w/new appliances, gas cooktop, &amp;amp; cozy eating area. Spacious family rm w/2nd frplc. Fully fenced &amp;amp; Re-landscaped yard. Large patio, brick walkway, play area, &amp;amp; garden space. Updates: New Windows/ Gas Heat/ Newer Roof. Great location close to schools, shops, &amp;amp; bus-line. A short walk to Carkeek Park &amp;amp; Beach!</t>
        </r>
      </text>
    </comment>
    <comment ref="B59" authorId="1">
      <text>
        <r>
          <rPr>
            <sz val="8"/>
            <color indexed="81"/>
            <rFont val="Tahoma"/>
            <charset val="1"/>
          </rPr>
          <t xml:space="preserve">12/06/2007
Active --&gt; Cancelled
</t>
        </r>
      </text>
    </comment>
    <comment ref="E59" authorId="0">
      <text>
        <r>
          <rPr>
            <sz val="9"/>
            <color indexed="81"/>
            <rFont val="Tahoma"/>
            <family val="2"/>
          </rPr>
          <t>Bright and irresistibly charming home in Bryant! Excellent location near Metro Market, PCC, UW, Burke Gilman Trail, and Children's Hospital. Front and back yard are fully fenced with impressive custom fencing. Enjoy the lovely landscaping, garden space and back deck. The Basement is fully finished and can be converted into an extra bedroom. The main bath has been renovated an all appliances are only 2 years old. Don't miss this opportunity!</t>
        </r>
      </text>
    </comment>
    <comment ref="E60" authorId="0">
      <text>
        <r>
          <rPr>
            <sz val="9"/>
            <color indexed="81"/>
            <rFont val="Tahoma"/>
            <family val="2"/>
          </rPr>
          <t>Beautifully maintained charming rambler in pristine condition. This one level home has a paneled family room adjoining the kitchen and a newer trex deck. Large windows provide light, bright living and dining rooms. Second bath easily added off family room. Lovely quiet street.</t>
        </r>
      </text>
    </comment>
    <comment ref="E61" authorId="0">
      <text>
        <r>
          <rPr>
            <sz val="9"/>
            <color indexed="81"/>
            <rFont val="Tahoma"/>
            <family val="2"/>
          </rPr>
          <t>New on market! Charming 1913 Bungalow in a great location. Cosmetic fixer,nice home to live in and fix along the way. Large living room, formal dining room, &amp;amp; a period kitchen with wood floors (under carpet.) High ceilings &amp;amp; good spaces. Two bedrooms &amp;amp; one bath on the main floor, partially finished basement with ample storage. Nice sunny yard &amp;amp; large lot and one car garage. A little time and effort will make this home shine!</t>
        </r>
      </text>
    </comment>
    <comment ref="AG61" authorId="1">
      <text>
        <r>
          <rPr>
            <sz val="8"/>
            <color indexed="81"/>
            <rFont val="Tahoma"/>
            <family val="2"/>
          </rPr>
          <t xml:space="preserve">11/28/2007
47.679181 --&gt; 47.679183
</t>
        </r>
      </text>
    </comment>
    <comment ref="AH61" authorId="1">
      <text>
        <r>
          <rPr>
            <sz val="8"/>
            <color indexed="81"/>
            <rFont val="Tahoma"/>
            <family val="2"/>
          </rPr>
          <t xml:space="preserve">11/28/2007
-122.390801 --&gt; -122.390826
</t>
        </r>
      </text>
    </comment>
    <comment ref="E62" authorId="0">
      <text>
        <r>
          <rPr>
            <sz val="9"/>
            <color indexed="81"/>
            <rFont val="Tahoma"/>
            <family val="2"/>
          </rPr>
          <t>Absolutely charming Loyal Heights bungalow. Gorgeous hardwood floors, open floor plan, new interior paint, newly remodeled bath &amp;amp; new furnace. The newly built fireplace mantle is a classy addition to the original architecture. The kitchen has a butcher-block eating bar, newer appliances and original counter tiles. Light and bright corner lot with fenced yard, tons of seasonal flowers, custom stone patio and beautiful landscaping. This home is super cute and move in ready.</t>
        </r>
      </text>
    </comment>
    <comment ref="E63" authorId="0">
      <text>
        <r>
          <rPr>
            <sz val="9"/>
            <color indexed="81"/>
            <rFont val="Tahoma"/>
            <family val="2"/>
          </rPr>
          <t>Move-in ready craftsman bungalow with light-filled rooms, high ceilings with picture moldings, updated above and beyond. Terrific private second story hot tub deck with broad views of Mount Rainier, Elliott Bay and the Seattle skyline. Convenient main floor office or dressing room. Uniquely beautiful gardens with stone and water features. Big south-facing side yard. Multi-use outdoor parking, storage, and work area. Wide residential street in a quiet, stable neighborhood. A must-see home.</t>
        </r>
      </text>
    </comment>
    <comment ref="AH63" authorId="1">
      <text>
        <r>
          <rPr>
            <sz val="8"/>
            <color indexed="81"/>
            <rFont val="Tahoma"/>
            <charset val="1"/>
          </rPr>
          <t xml:space="preserve">12/03/2007
-122.393 --&gt; -122.39302
</t>
        </r>
      </text>
    </comment>
    <comment ref="E64" authorId="0">
      <text>
        <r>
          <rPr>
            <sz val="9"/>
            <color indexed="81"/>
            <rFont val="Tahoma"/>
            <family val="2"/>
          </rPr>
          <t>Great location for resident or fabulous opportunity for commercial mixed zoning. Usage such as office, multifamily, retail with apartments on top and restaurants too many possibilities. Buyer to verify. A must see!</t>
        </r>
      </text>
    </comment>
    <comment ref="B65" authorId="0">
      <text>
        <r>
          <rPr>
            <sz val="9"/>
            <color indexed="81"/>
            <rFont val="Tahoma"/>
            <family val="2"/>
          </rPr>
          <t xml:space="preserve">11/23/2007
Active --&gt; Cancelled
</t>
        </r>
      </text>
    </comment>
    <comment ref="E65" authorId="0">
      <text>
        <r>
          <rPr>
            <sz val="9"/>
            <color indexed="81"/>
            <rFont val="Tahoma"/>
            <family val="2"/>
          </rPr>
          <t>Fantastic Phinney Ridge home! Open floor plan with a new custom kitchen, hardwood floors, fireplace, sun room/office area. Private backyard with a huge deck. Walk to shops, restaurants and the zoo. This home simply stands out!!</t>
        </r>
      </text>
    </comment>
    <comment ref="AG65" authorId="0">
      <text>
        <r>
          <rPr>
            <sz val="9"/>
            <color indexed="81"/>
            <rFont val="Tahoma"/>
            <family val="2"/>
          </rPr>
          <t xml:space="preserve">11/23/2007
47.668701 --&gt; 47.668675
</t>
        </r>
      </text>
    </comment>
    <comment ref="AH65" authorId="0">
      <text>
        <r>
          <rPr>
            <sz val="9"/>
            <color indexed="81"/>
            <rFont val="Tahoma"/>
            <family val="2"/>
          </rPr>
          <t xml:space="preserve">11/23/2007
-122.35833 --&gt; -122.358328
</t>
        </r>
      </text>
    </comment>
    <comment ref="B66" authorId="1">
      <text>
        <r>
          <rPr>
            <sz val="8"/>
            <color indexed="81"/>
            <rFont val="Tahoma"/>
            <family val="2"/>
          </rPr>
          <t xml:space="preserve">11/28/2007
Active --&gt; Cancelled
</t>
        </r>
      </text>
    </comment>
    <comment ref="E66" authorId="0">
      <text>
        <r>
          <rPr>
            <sz val="9"/>
            <color indexed="81"/>
            <rFont val="Tahoma"/>
            <family val="2"/>
          </rPr>
          <t>Welcome to your in-city oasis. Perched high above the street with east and south mountain views this house offers serenity. The built-in wine alcove, arched doorways and a rocking chair front porch add to the charm of this historic Greenlake farmhouse originally built in 1906. Newer appliances (all stay),gas furnace makes utility bills low and maintenance easy. A large professionally landscaped 6000+ lot, with gardens and brick patio to enjoy your days and nights in total seclusion. Cedar shed.</t>
        </r>
      </text>
    </comment>
    <comment ref="E67" authorId="0">
      <text>
        <r>
          <rPr>
            <sz val="9"/>
            <color indexed="81"/>
            <rFont val="Tahoma"/>
            <family val="2"/>
          </rPr>
          <t>Picture perfect charm. Mid century bungalow. Better than new. Pvt, quiet, 1/5 acre, strict attention to detail. New roof, new furnace, new craftsman shingle siding, new gutter &amp;amp; drain system, new windows, refin. cherry hdwd flrs, new travertine bthrm flrs, new granite entry &amp;amp; frplc surround, gas log frplc, stylish period mantle, crown molding, decorator colors, all appls stay, lovely level property, detached 2 car gar. w/ shop area. Classic, solid home for the holidays. Let's talk! This is HOME!</t>
        </r>
      </text>
    </comment>
    <comment ref="E68" authorId="0">
      <text>
        <r>
          <rPr>
            <sz val="9"/>
            <color indexed="81"/>
            <rFont val="Tahoma"/>
            <family val="2"/>
          </rPr>
          <t>This 1926 Ballard cottage offers plenty of original charm with modern updates designed for a fun &amp;amp; functional living space. Two bedrooms plus office &amp;amp; two full baths split between floors make this home guest-friendly. Recycled sliding doors are a sylish touch on both levels. The living room has hardwood floors &amp;amp; lots of natural light. The remodeled kitchen features slate flooring, new cabinets, butcher-block counters and stainless appliances. Copper plumbing, new water htr &amp;amp; great storage.</t>
        </r>
      </text>
    </comment>
    <comment ref="B69" authorId="1">
      <text>
        <r>
          <rPr>
            <sz val="8"/>
            <color indexed="81"/>
            <rFont val="Tahoma"/>
            <charset val="1"/>
          </rPr>
          <t xml:space="preserve">12/03/2007
Active - STI --&gt; Pending
</t>
        </r>
      </text>
    </comment>
    <comment ref="E69" authorId="0">
      <text>
        <r>
          <rPr>
            <sz val="9"/>
            <color indexed="81"/>
            <rFont val="Tahoma"/>
            <family val="2"/>
          </rPr>
          <t>This beautiful loving home loaded with old world charm was built in 1928 and inspires with vintage touches full of grace and character. This thoughtful remake of a classic craftsman includes newly refinished softwood floors, a tiled bath, and a modern gourmet kitchen complete with professional restaurant style gas range and all stainless steel appliances for todays lifestyle. A truly sublime property located in a serene setting on gently sloping grounds with old mature trees and Western sunsets.</t>
        </r>
      </text>
    </comment>
    <comment ref="E70" authorId="0">
      <text>
        <r>
          <rPr>
            <sz val="9"/>
            <color indexed="81"/>
            <rFont val="Tahoma"/>
            <family val="2"/>
          </rPr>
          <t>Lovely brick home located on a corner lot. Features include hardwood floors, glass block accents, large windows for bright and sunny dayrooms, dining room, original birch cabinets in the kitchen and a jetted tub. One of the three bedrooms have slider to deck. Basement could be MIL apartment. Real parquet wood floors, lots of storage room, 2nd kitchen, wet bar and wine cellar. Kitchen and basement have doors to large fenced backyard w/ garden space and storage shed. New composition roof.</t>
        </r>
      </text>
    </comment>
    <comment ref="E71" authorId="0">
      <text>
        <r>
          <rPr>
            <sz val="9"/>
            <color indexed="81"/>
            <rFont val="Tahoma"/>
            <family val="2"/>
          </rPr>
          <t>1,906 ASF-MOVE IN READY! 2 bed/2 bath w/9' ceilings.Vinyl Windows &amp;amp; Gas Heat. Mstr ste w/ sauna shower,dbl sinks &amp;amp; walk-in clst. Wood &amp;amp; Tile flrs. Bsmnt w/storage,Rec room or guest area &amp;amp; 1/2 bath. Patio for BBQ's. Fenced Back Yard. Private, Gated, Off-Street Prkg 3+ cars or RV &amp;amp; finished 1 car Garage(308 SF). Home has been pre-inspected-ready for a buyer! EZ to downtown, schools and Parks. Much bigger than it looks. Schedule a showing today.</t>
        </r>
      </text>
    </comment>
    <comment ref="F71" authorId="1">
      <text>
        <r>
          <rPr>
            <sz val="8"/>
            <color indexed="81"/>
            <rFont val="Tahoma"/>
            <charset val="1"/>
          </rPr>
          <t xml:space="preserve">12/01/2007
459950 --&gt; 439992
</t>
        </r>
      </text>
    </comment>
    <comment ref="AG71" authorId="1">
      <text>
        <r>
          <rPr>
            <sz val="8"/>
            <color indexed="81"/>
            <rFont val="Tahoma"/>
            <charset val="1"/>
          </rPr>
          <t xml:space="preserve">12/01/2007
47.682158 --&gt; 47.682159
</t>
        </r>
      </text>
    </comment>
    <comment ref="AH71" authorId="1">
      <text>
        <r>
          <rPr>
            <sz val="8"/>
            <color indexed="81"/>
            <rFont val="Tahoma"/>
            <charset val="1"/>
          </rPr>
          <t xml:space="preserve">12/01/2007
-122.3843 --&gt; -122.384316
</t>
        </r>
      </text>
    </comment>
    <comment ref="AP71" authorId="1">
      <text>
        <r>
          <rPr>
            <sz val="8"/>
            <color indexed="81"/>
            <rFont val="Tahoma"/>
            <charset val="1"/>
          </rPr>
          <t xml:space="preserve">12/01/2007
1,906 ASF-MOVE IN READY! 2 bed/2 bath w/9' ceilings.Vinyl Windows &amp;amp; Gas Heat. Mstr ste w/ sauna shower,dbl sinks &amp;amp; walk-in clst. Wood &amp;amp; Tile flrs. Bsmnt w/storage,Rec room or guest area &amp;amp; 1/2 bath. Patio for BBQ's. Fenced Back Yard. Private, Gated, Off-Street Prkg 3+ cars or RV &amp;amp; finished 1 car Garage(308 SF). Home has been pre-inspected-ready for a buyer! EZ to downtown, schools and Parks. Much bigger than it looks. Schedule a showing today. --&gt; 1,906 ASF-MOVE IN READY! 2 bed/2 bath w/9' ceilings.Vinyl Windows &amp;amp; Gas Heat. Mstr ste w/ sauna shower,dbl sinks &amp;amp; walk-in clst. Wood &amp;amp; Tile flrs. Bsmnt w/storage,Rec room or guest area &amp;amp; 1/2 bath. Patio for BBQ's. Fenced Back Yard. Private, Gated, Off-Street Prkg 3+ cars or RV &amp;amp; finished 1 car Garage(308 SF). Home has been pre-inspected-ready for a buyer! EZ to downtown, schools and Parks. Make your purchase before this years end!
</t>
        </r>
      </text>
    </comment>
    <comment ref="E72" authorId="0">
      <text>
        <r>
          <rPr>
            <sz val="9"/>
            <color indexed="81"/>
            <rFont val="Tahoma"/>
            <family val="2"/>
          </rPr>
          <t>Stand alone 2 year old home on a corner lot. 2 bedroom suites with private baths &amp;amp; 1/2 bath, soaring ceilings, gorgeous cherry hardwood &amp;amp; slate flooring, ample use of granite &amp;amp; tile. 36 inch custom cabinets, bonus room, fenced yard. Partial city views.</t>
        </r>
      </text>
    </comment>
    <comment ref="B73" authorId="1">
      <text>
        <r>
          <rPr>
            <sz val="8"/>
            <color indexed="81"/>
            <rFont val="Tahoma"/>
            <charset val="1"/>
          </rPr>
          <t xml:space="preserve">12/01/2007
Active - STI --&gt; Pending
</t>
        </r>
      </text>
    </comment>
    <comment ref="E73" authorId="0">
      <text>
        <r>
          <rPr>
            <sz val="9"/>
            <color indexed="81"/>
            <rFont val="Tahoma"/>
            <family val="2"/>
          </rPr>
          <t>3 Bedroom Ballard Charmer. Come home to your own retreat. Hardwood floors and wood trim throughout. Heated bathroom and kitchen floors for chilly mornings. Impeccably maintained, open floor plan. Professionally landscaped yard. Newly remodeled upstairs bath. Private den. All appliances stay. Too many extras to mention.</t>
        </r>
      </text>
    </comment>
    <comment ref="E74" authorId="0">
      <text>
        <r>
          <rPr>
            <sz val="9"/>
            <color indexed="81"/>
            <rFont val="Tahoma"/>
            <family val="2"/>
          </rPr>
          <t>Great Street Appeal. Home is awaiting your touches. All Appliances stay plus the Freezer. A Ton of Storage Space. Double Pane or Storm Windows on Main Floor. Plum, Apple, &amp;amp; Pear Trees. Shop in Basement. Room for your RV.</t>
        </r>
      </text>
    </comment>
    <comment ref="E75" authorId="0">
      <text>
        <r>
          <rPr>
            <sz val="9"/>
            <color indexed="81"/>
            <rFont val="Tahoma"/>
            <family val="2"/>
          </rPr>
          <t>Charming, Ballard craftsman with original period details throughout. 3 bed/1 bath with bonus room. Home has been recently updated new int. and ext. paint, wood floors, kitchen counters, s/s appliances and double-paned windows. Enjoy the original fireplace and warm paint colors. Large, newly fenced backyard, perfect for entertaining. Separate garage can be used for 3rd car parking, workshop or storage shed. Easy access to bus, Ballard, Phinney and Hwy. 99. Call this historic beauty your own!!!</t>
        </r>
      </text>
    </comment>
    <comment ref="E76" authorId="0">
      <text>
        <r>
          <rPr>
            <sz val="9"/>
            <color indexed="81"/>
            <rFont val="Tahoma"/>
            <family val="2"/>
          </rPr>
          <t>Beautiful renovated home in desirable Greenlake neighborhood.3 bedrm, 1 bath, light open kitchen w/breakfast nook.Granite tile counters over Hickory cabinets w/stainless steel appliances.Bathroom features granite tile shower w/new fixtures.Refinished original wood floors throughout.Travertine floors in kitchen.New vinyl windows,roof &amp;amp; exterior doors.Fully reconstructed front porch &amp;amp; landscaped.Full basement w/laundry facilities (included).Wonderful views of both the city skyline &amp;amp; Mount Rainier.</t>
        </r>
      </text>
    </comment>
    <comment ref="O76" authorId="0">
      <text>
        <r>
          <rPr>
            <sz val="9"/>
            <color indexed="81"/>
            <rFont val="Tahoma"/>
            <family val="2"/>
          </rPr>
          <t xml:space="preserve">11/23/2007
No photos --&gt; More
</t>
        </r>
      </text>
    </comment>
    <comment ref="B77" authorId="1">
      <text>
        <r>
          <rPr>
            <sz val="8"/>
            <color indexed="81"/>
            <rFont val="Tahoma"/>
            <charset val="1"/>
          </rPr>
          <t xml:space="preserve">12/01/2007
Active --&gt; Pending
</t>
        </r>
      </text>
    </comment>
    <comment ref="E77" authorId="0">
      <text>
        <r>
          <rPr>
            <sz val="9"/>
            <color indexed="81"/>
            <rFont val="Tahoma"/>
            <family val="2"/>
          </rPr>
          <t>Brick Tudor fixer on Dibble Avenue NW, just south of 80th. One of 7 side-by-side brick Tudors built in the late 20's. Much of the OWC still intact. Lots of mahogany, hardwoods and crown mouldings. Room for expansion in basement and attic areas. Spacious living room with fireplace, &amp;amp; separate formal dining room. Two additional roughed-in bedrooms on the second level. Quiet Ballard street with excellent access to downtown Seattle. Opportunity to make this the home you've always dreamed of owning.</t>
        </r>
      </text>
    </comment>
    <comment ref="E78" authorId="0">
      <text>
        <r>
          <rPr>
            <sz val="9"/>
            <color indexed="81"/>
            <rFont val="Tahoma"/>
            <family val="2"/>
          </rPr>
          <t>Cute and Clean!Open Sunday 1-4 Fantastic remodeled home,upcoming neighborhood w/new homes. New features include,New sheetrock,new insulation,new interior/exterior paint, new molding,some doors, brand new tiled bath.The kitchen is completely new-loads of maple cabinets,granite slab counters, full height tile back splash, tiled floor and eating nook, newer appls.Better then a condo!newly redone yard,new elec panel/wiring,new plumbing and detached garage. Very private/quiet blk.easy access to shops</t>
        </r>
      </text>
    </comment>
    <comment ref="F78" authorId="1">
      <text>
        <r>
          <rPr>
            <sz val="8"/>
            <color indexed="81"/>
            <rFont val="Tahoma"/>
            <charset val="1"/>
          </rPr>
          <t xml:space="preserve">12/06/2007
359500 --&gt; 349500
</t>
        </r>
      </text>
    </comment>
    <comment ref="AG78" authorId="1">
      <text>
        <r>
          <rPr>
            <sz val="8"/>
            <color indexed="81"/>
            <rFont val="Tahoma"/>
            <family val="2"/>
          </rPr>
          <t xml:space="preserve">11/28/2007
47.717001 --&gt; 47.716991
</t>
        </r>
      </text>
    </comment>
    <comment ref="AH78" authorId="1">
      <text>
        <r>
          <rPr>
            <sz val="8"/>
            <color indexed="81"/>
            <rFont val="Tahoma"/>
            <family val="2"/>
          </rPr>
          <t xml:space="preserve">11/28/2007
-122.340601 --&gt; -122.340631
</t>
        </r>
      </text>
    </comment>
    <comment ref="B79" authorId="1">
      <text>
        <r>
          <rPr>
            <sz val="8"/>
            <color indexed="81"/>
            <rFont val="Tahoma"/>
            <charset val="1"/>
          </rPr>
          <t xml:space="preserve">12/06/2007
Active --&gt; Cancelled
</t>
        </r>
      </text>
    </comment>
    <comment ref="E79" authorId="0">
      <text>
        <r>
          <rPr>
            <sz val="9"/>
            <color indexed="81"/>
            <rFont val="Tahoma"/>
            <family val="2"/>
          </rPr>
          <t>Come home to this great bungalow in desirable Fremont - remodeled by owner/architect with stylish finish work. LR w/ pine Hdwd flrs and wood burning FP, French doors open to second BR/Den w/inset carpet tiles &amp;amp; cork panel walls &amp;amp; bookshelves. Enjoy the custom kitch w/resin front cabinets &amp;amp; River rock backsplash, Charming BA w/clawfoot tub,bowl sink &amp;amp; slate flrs. Great storage in BSM w/one car garage &amp;amp; potential for expansion. Perfect location for sustainable living. L 3 zoning.</t>
        </r>
      </text>
    </comment>
    <comment ref="E80" authorId="0">
      <text>
        <r>
          <rPr>
            <sz val="9"/>
            <color indexed="81"/>
            <rFont val="Tahoma"/>
            <family val="2"/>
          </rPr>
          <t>Wonderful Craftsman home in quiet Maple Leaf neighborhood. Needs just a touch of TLC to make it yours.</t>
        </r>
      </text>
    </comment>
    <comment ref="AS80" authorId="0">
      <text>
        <r>
          <rPr>
            <sz val="9"/>
            <color indexed="81"/>
            <rFont val="Tahoma"/>
            <family val="2"/>
          </rPr>
          <t xml:space="preserve">11/23/2007
http://locmedia.nwmls.com/DO_NOT_LINK/bigphoto/790/27193790.jpg?tsp=20071105132804 --&gt; http://locmedia.nwmls.com/DO_NOT_LINK/bigphoto/790/27193790.jpg?tsp=20071123141640
</t>
        </r>
      </text>
    </comment>
    <comment ref="B81" authorId="1">
      <text>
        <r>
          <rPr>
            <sz val="8"/>
            <color indexed="81"/>
            <rFont val="Tahoma"/>
            <family val="2"/>
          </rPr>
          <t xml:space="preserve">11/28/2007
Active --&gt; Temp. Off Mrkt.
</t>
        </r>
      </text>
    </comment>
    <comment ref="E81" authorId="0">
      <text>
        <r>
          <rPr>
            <sz val="9"/>
            <color indexed="81"/>
            <rFont val="Tahoma"/>
            <family val="2"/>
          </rPr>
          <t>1905 Phinney Ridge Craftsman just steps to Greenlake. Enjoy the peacefulness of a quiet neighborhood in a great location. This 2 br charmer has a remodeled kitchen w/stainless appliances &amp;amp; designer tile flr. It`s updated bath has an electronic skylight that closes by itself when it rains! Cozy livingroom has wood burning fp w/picture windows looking out towards the lake. Very low maintenance yd &amp;amp; 2 offstreet parking places. Just move in &amp;amp; enjoy. Perfect townhome or condo alternative.</t>
        </r>
      </text>
    </comment>
    <comment ref="AG81" authorId="0">
      <text>
        <r>
          <rPr>
            <sz val="9"/>
            <color indexed="81"/>
            <rFont val="Tahoma"/>
            <family val="2"/>
          </rPr>
          <t xml:space="preserve">11/25/2007
47.674269 --&gt; 47.674301
</t>
        </r>
      </text>
    </comment>
    <comment ref="AH81" authorId="0">
      <text>
        <r>
          <rPr>
            <sz val="9"/>
            <color indexed="81"/>
            <rFont val="Tahoma"/>
            <family val="2"/>
          </rPr>
          <t xml:space="preserve">11/25/2007
-122.349909 --&gt; -122.349922
</t>
        </r>
      </text>
    </comment>
    <comment ref="B82" authorId="1">
      <text>
        <r>
          <rPr>
            <sz val="8"/>
            <color indexed="81"/>
            <rFont val="Tahoma"/>
            <charset val="1"/>
          </rPr>
          <t xml:space="preserve">12/03/2007
Active --&gt; Expired
</t>
        </r>
      </text>
    </comment>
    <comment ref="E82" authorId="0">
      <text>
        <r>
          <rPr>
            <sz val="9"/>
            <color indexed="81"/>
            <rFont val="Tahoma"/>
            <family val="2"/>
          </rPr>
          <t>Must Come In to See All this 2-Story Brick Charmer has to Offer! Almost 2,400 SqFt!4Bd,2Bth, Hardwood Floors,Updated Kitchen &amp;amp; Baths.New:Roof,Paint,Fixtures,Hot Water Heater. Newer Furnace,Plumbing&amp;amp;Electrical. Transferrable Lifetime Warranty Storm Windows. Large,Level,Fully-Fenced Lot w/Beautiful Landscape+Dramatic Water Feature.Enjoy Sunsets from your Entertainment-sized Covered Porch w/Wrap-Around Flower Beds.Bonus Rm Plus+Family Rm or Fabulous Master Suite w/2nd Gas Fireplace! Priced to Sell!</t>
        </r>
      </text>
    </comment>
    <comment ref="AG82" authorId="0">
      <text>
        <r>
          <rPr>
            <sz val="9"/>
            <color indexed="81"/>
            <rFont val="Tahoma"/>
            <family val="2"/>
          </rPr>
          <t xml:space="preserve">11/23/2007
47.708375 --&gt; 47.708361
</t>
        </r>
      </text>
    </comment>
    <comment ref="AH82" authorId="0">
      <text>
        <r>
          <rPr>
            <sz val="9"/>
            <color indexed="81"/>
            <rFont val="Tahoma"/>
            <family val="2"/>
          </rPr>
          <t xml:space="preserve">11/23/2007
-122.28778 --&gt; -122.287807
</t>
        </r>
      </text>
    </comment>
    <comment ref="AP82" authorId="0">
      <text>
        <r>
          <rPr>
            <sz val="9"/>
            <color indexed="81"/>
            <rFont val="Tahoma"/>
            <family val="2"/>
          </rPr>
          <t xml:space="preserve">11/28/2007
You Won't Find a Better Home for This Price! Must Come In to See All this 2-Story Brick Charmer has to Offer! Almost 2,400 SqFt!4Bd,2Bth, Hardwood Floors,Updated Kitchen&amp;amp;Baths.New:Roof,Paint,Fixtures,Hot Water Heater.Newer Furnace,Plumbing&amp;amp;Electrical. Lifetime Warranty Storm Windows. Large,Level &amp;amp; Fenced Lot w/Beautiful Landscape+Dramatic Water Feature.Enjoy Sunsets from your Entertainment-sized Covered Porch.Bonus Rm Plus+Family Rm or Fabulous Master Suite w/2nd Gas Fireplace! Bring All Offers! --&gt; $4,000 Buyer Bonus!! Must Come Inside to See All this 2-Story Brick Charmer has to Offer! Best Price on Market. Appx.2,400 SqFt!4Bd,2Bth, Hardwood Floors,Updated Kitchen&amp;amp;Baths.New:Roof,Paint,Fixtures,Hot Water Heater.Newer Furnace,Plumbing&amp;amp;Electrical. Lifetime Warranty Storm Windows. Large,Level &amp;amp; Fenced Lot w/Beautiful Landscape+Dramatic Water Feature.Enjoy Sunsets from your Entertainment-sized Covered Porch.Bonus Rm Plus+Family Rm or Fabulous Master Suite w/2nd Gas Fireplace! Bring All Offers!
11/23/2007
Must Come In to See All this 2-Story Brick Charmer has to Offer! Almost 2,400 SqFt!4Bd,2Bth, Hardwood Floors,Updated Kitchen &amp;amp; Baths.New:Roof,Paint,Fixtures,Hot Water Heater. Newer Furnace,Plumbing&amp;amp;Electrical. Transferrable Lifetime Warranty Storm Windows. Large,Level,Fully-Fenced Lot w/Beautiful Landscape+Dramatic Water Feature.Enjoy Sunsets from your Entertainment-sized Covered Porch w/Wrap-Around Flower Beds.Bonus Rm Plus+Family Rm or Fabulous Master Suite w/2nd Gas Fireplace! Priced to Sell! --&gt; You Won't Find a Better Home for This Price! Must Come In to See All this 2-Story Brick Charmer has to Offer! Almost 2,400 SqFt!4Bd,2Bth, Hardwood Floors,Updated Kitchen&amp;amp;Baths.New:Roof,Paint,Fixtures,Hot Water Heater.Newer Furnace,Plumbing&amp;amp;Electrical. Lifetime Warranty Storm Windows. Large,Level &amp;amp; Fenced Lot w/Beautiful Landscape+Dramatic Water Feature.Enjoy Sunsets from your Entertainment-sized Covered Porch.Bonus Rm Plus+Family Rm or Fabulous Master Suite w/2nd Gas Fireplace! Bring All Offers!
</t>
        </r>
      </text>
    </comment>
    <comment ref="AS82" authorId="0">
      <text>
        <r>
          <rPr>
            <sz val="9"/>
            <color indexed="81"/>
            <rFont val="Tahoma"/>
            <family val="2"/>
          </rPr>
          <t xml:space="preserve">11/23/2007
http://locmedia.nwmls.com/DO_NOT_LINK/bigphoto/590/27194590.jpg?tsp=20071114124349 --&gt; http://locmedia.nwmls.com/DO_NOT_LINK/bigphoto/590/27194590.jpg?tsp=20071123100517
</t>
        </r>
      </text>
    </comment>
    <comment ref="E83" authorId="0">
      <text>
        <r>
          <rPr>
            <sz val="9"/>
            <color indexed="81"/>
            <rFont val="Tahoma"/>
            <family val="2"/>
          </rPr>
          <t>Owner DOES NOT care what sale price is,as long as he owes no money after closing, AND as long as lender approves shortsale, with no additional funds due.Jimi Hendrix's Brother's House. 4 Bedrooms, 1 3/4 Baths, Finished Rec Room, 2 Fireplaces, On Greenbelt, with Babbling Brook, Vaulted Beamed Ceilings W/Clear Story Windows. Solid House. House is Full of Trash, No Water or Power, and Needs Repairs,but Good Home. PreForeclosure. Sale Subject to Short Sale Approval by Lender.</t>
        </r>
      </text>
    </comment>
    <comment ref="E84" authorId="0">
      <text>
        <r>
          <rPr>
            <sz val="9"/>
            <color indexed="81"/>
            <rFont val="Tahoma"/>
            <family val="2"/>
          </rPr>
          <t>Ballard Fixer! This 1907 4bed/1bath 2060 sq ft house is located on 2 lots. Tons of potential! If you are an investor or just looking for a fixer then this house is it! Home is an Estate Sale and is sold AS-IS. Seller to do no work orders. Hurry...this one won't last!</t>
        </r>
      </text>
    </comment>
    <comment ref="E85" authorId="0">
      <text>
        <r>
          <rPr>
            <sz val="9"/>
            <color indexed="81"/>
            <rFont val="Tahoma"/>
            <family val="2"/>
          </rPr>
          <t>$10,000 towards buyer's closing costs with acceptable offer by 11/30/07! Motivated seller says bring all offers NOW! Recently remodeled home retaining its original old-world charm! Kitchen/baths have been nicely updated w/new cabinets, counters, fixtures, appliances. This is a very charming home! Convenient to all amenities that Greenwood has to offer! Sq ft is estimate (tax records do not appear to include recent upstairs addition). Sold as-is without warranty of any kind. Thanks for looking!</t>
        </r>
      </text>
    </comment>
    <comment ref="E86" authorId="0">
      <text>
        <r>
          <rPr>
            <sz val="9"/>
            <color indexed="81"/>
            <rFont val="Tahoma"/>
            <family val="2"/>
          </rPr>
          <t>Charming, well maintained 2 bedroom home with gorgeous hardwood floors and lots of character. Apx 1610 sq ft including a lg basement, rec room, den, laundry room &amp;amp; storage. Lg yard with plenty of room for entertaining. Bright kitchen w/large window. Close to restaurants, U Village &amp;amp; easy bus access.</t>
        </r>
      </text>
    </comment>
    <comment ref="B87" authorId="1">
      <text>
        <r>
          <rPr>
            <sz val="8"/>
            <color indexed="81"/>
            <rFont val="Tahoma"/>
            <family val="2"/>
          </rPr>
          <t xml:space="preserve">11/26/2007
Active --&gt; Cancelled
</t>
        </r>
      </text>
    </comment>
    <comment ref="E87" authorId="0">
      <text>
        <r>
          <rPr>
            <sz val="9"/>
            <color indexed="81"/>
            <rFont val="Tahoma"/>
            <family val="2"/>
          </rPr>
          <t>One of a kind home features lush landscaping w/ pond, mature trees, entertainment deck and fenced yard. Lg living room w/ soaring ceilings, wood floors, wood stove and built in aquarium. Huge dining room features garden window. Completely updated gourmet kitchen w/ SS appliances. Lower level includes den, 3rd bedroom, 3/4 bath and lots of storage space.</t>
        </r>
      </text>
    </comment>
    <comment ref="E88" authorId="0">
      <text>
        <r>
          <rPr>
            <sz val="9"/>
            <color indexed="81"/>
            <rFont val="Tahoma"/>
            <family val="2"/>
          </rPr>
          <t>Beautiful, meticulously maintained 1950's classic brick home. Large &amp;amp; level fenced back yard with a greenhouse and fruit trees. Original charm, hardwood floors, updated kitchen, custom mural in child's bedroom, custom colors, family room and living room each with a fireplace. Attached garage access plus ample space for guest parking. Great location in the city. Turn-key &amp;amp; move in ready! Discounted escrow fees .</t>
        </r>
      </text>
    </comment>
    <comment ref="E89" authorId="0">
      <text>
        <r>
          <rPr>
            <sz val="9"/>
            <color indexed="81"/>
            <rFont val="Tahoma"/>
            <family val="2"/>
          </rPr>
          <t>Clean and tidy 1925 Craftsman on a quiet Ballard residential street. Great starter home: move in as-is and expand over time. Lots of upgrade and improvement possibilities. Roofing on both the house and the 2-car detached garage is just 3 years old. Durable laminate flooring in living room and both bedrooms makes clean-up a cinch. Fully fenced yard with a rolling gate to the alley. All exterior windows have been replaced with thermal-paned vinyl. Upgraded electrical panel. Doorbell even works!</t>
        </r>
      </text>
    </comment>
    <comment ref="F89" authorId="1">
      <text>
        <r>
          <rPr>
            <sz val="8"/>
            <color indexed="81"/>
            <rFont val="Tahoma"/>
            <charset val="1"/>
          </rPr>
          <t xml:space="preserve">12/06/2007
385000 --&gt; 370000
</t>
        </r>
      </text>
    </comment>
    <comment ref="B90" authorId="1">
      <text>
        <r>
          <rPr>
            <sz val="8"/>
            <color indexed="81"/>
            <rFont val="Tahoma"/>
            <family val="2"/>
          </rPr>
          <t xml:space="preserve">11/28/2007
Active --&gt; Active - STI
</t>
        </r>
      </text>
    </comment>
    <comment ref="E90" authorId="0">
      <text>
        <r>
          <rPr>
            <sz val="9"/>
            <color indexed="81"/>
            <rFont val="Tahoma"/>
            <family val="2"/>
          </rPr>
          <t>Perfect mix of old world charm and modern updates! Hardwood floors, cove ceilings and picture rail throughout this home along with updated plumbing (all the way to the street), new roof, electric garage door opener! Quiet, close in location with easy access to Green Lake, Downtown, I-5 &amp;amp; more! Attached garage, alley access to RV parking in Green Lake Area!! Please don't let the dog out of the yard!</t>
        </r>
      </text>
    </comment>
    <comment ref="AS90" authorId="0">
      <text>
        <r>
          <rPr>
            <sz val="9"/>
            <color indexed="81"/>
            <rFont val="Tahoma"/>
            <family val="2"/>
          </rPr>
          <t xml:space="preserve">11/23/2007
http://locmedia.nwmls.com/DO_NOT_LINK/bigphoto/834/27195834.jpg?tsp=20071107112816 --&gt; http://locmedia.nwmls.com/DO_NOT_LINK/bigphoto/834/27195834.jpg?tsp=20071121105115
</t>
        </r>
      </text>
    </comment>
    <comment ref="B91" authorId="1">
      <text>
        <r>
          <rPr>
            <sz val="8"/>
            <color indexed="81"/>
            <rFont val="Tahoma"/>
            <family val="2"/>
          </rPr>
          <t xml:space="preserve">11/28/2007
Active - STI --&gt; Pending
</t>
        </r>
      </text>
    </comment>
    <comment ref="E91" authorId="0">
      <text>
        <r>
          <rPr>
            <sz val="9"/>
            <color indexed="81"/>
            <rFont val="Tahoma"/>
            <family val="2"/>
          </rPr>
          <t>Solid craftsman home with great bones on a sunny corner with a detached garage. Formal Dining room, hardwood floors and original craftsman detailing throughout. Full unfinished basement has great potential(2 more beds, rec rm and a bath?) for your improvement. Great access to UW, Green Lake and downtown. This is a wise investment!</t>
        </r>
      </text>
    </comment>
    <comment ref="E92" authorId="0">
      <text>
        <r>
          <rPr>
            <sz val="9"/>
            <color indexed="81"/>
            <rFont val="Tahoma"/>
            <family val="2"/>
          </rPr>
          <t>Don't be fooled, home is much larger than it appears. Living room w/fireplace, new finish on hardwood floors. 3 bedrooms,full bath on main. Lower level has light finished room, rec room w/ fireplace, full bath, kitchenette. Separate entry makes this a potential MIL. Freshly painted interior. Deck. Attached garage+off street parking(alley access). EZ maintenance yard. New 200amp electrical panel in 07. New roof 2004. New furnace 2001. Close to Phinney Ridge Market, zoo, Greenlake &amp;amp; Fremont.</t>
        </r>
      </text>
    </comment>
    <comment ref="F92" authorId="0">
      <text>
        <r>
          <rPr>
            <sz val="9"/>
            <color indexed="81"/>
            <rFont val="Tahoma"/>
            <family val="2"/>
          </rPr>
          <t xml:space="preserve">11/25/2007
499000 --&gt; 475000
</t>
        </r>
      </text>
    </comment>
    <comment ref="B93" authorId="0">
      <text>
        <r>
          <rPr>
            <sz val="9"/>
            <color indexed="81"/>
            <rFont val="Tahoma"/>
            <family val="2"/>
          </rPr>
          <t xml:space="preserve">11/23/2007
Active - STI --&gt; Pending
</t>
        </r>
      </text>
    </comment>
    <comment ref="E93" authorId="0">
      <text>
        <r>
          <rPr>
            <sz val="9"/>
            <color indexed="81"/>
            <rFont val="Tahoma"/>
            <family val="2"/>
          </rPr>
          <t>This elegant, beautifully maintained bungalow boasts original fir floors throughout, high ceilings, crown molding, wood fireplace w/mantle, updated kitchen w/tile counter tops, breakfast bar,french doors from the family room lead to a spacious deck and professionally landscaped garden. The baths are updated and the basement is partially finished and is used for an office. It has all the right updates and just enough vintage charm &amp;amp; details to make for a perfect combination.Walk 2 cafes &amp;amp; shops.</t>
        </r>
      </text>
    </comment>
    <comment ref="D94" authorId="1">
      <text>
        <r>
          <rPr>
            <sz val="8"/>
            <color indexed="81"/>
            <rFont val="Tahoma"/>
            <charset val="1"/>
          </rPr>
          <t xml:space="preserve">12/06/2007
Haller Lake --&gt; Seattle
</t>
        </r>
      </text>
    </comment>
    <comment ref="E94" authorId="0">
      <text>
        <r>
          <rPr>
            <sz val="9"/>
            <color indexed="81"/>
            <rFont val="Tahoma"/>
            <family val="2"/>
          </rPr>
          <t>Don't miss this Darling 1940's Cape Cod home with legal M-I-L on the lower level. Set on a quiet sreet it features a great backyard including deck &amp;amp; outbuilding. You'll enjoy the classic 40's features, nice finishes, oak floors &amp;amp; corner windows. Kitchen updates include Bamboo flooring &amp;amp; new counters, creating a wonderful space. Unique to this home is a seperate entrance to the lower level. Enjoy the rent, use it as a shop/studio, or restore this home back with an interior staircase. See it soon!</t>
        </r>
      </text>
    </comment>
    <comment ref="H94" authorId="1">
      <text>
        <r>
          <rPr>
            <sz val="8"/>
            <color indexed="81"/>
            <rFont val="Tahoma"/>
            <charset val="1"/>
          </rPr>
          <t xml:space="preserve">12/06/2007
1580 --&gt; 0
</t>
        </r>
      </text>
    </comment>
    <comment ref="AD94" authorId="1">
      <text>
        <r>
          <rPr>
            <sz val="8"/>
            <color indexed="81"/>
            <rFont val="Tahoma"/>
            <charset val="1"/>
          </rPr>
          <t xml:space="preserve">12/06/2007
Going North on Aurora, turn right at 143rd (going east) and go 2 blocks. Make another right onto Lenora Place &amp;amp; Home will be on your left about 2 homes down. There is off street parking. --&gt; Going North on Aurora, turn right at 143rd (going east) and go 2 blocks. Make another right onto Lenora Place &amp;amp; Home will be on your left about 2 homes down. There is off street parking in front.
12/01/2007
From 145th drive 2 blocks east of Aurora, turn right (south) and go 2 blocks. Home will be on your left past new const. site. --&gt; Going North on Aurora, turn right at 143rd (going east) and go 2 blocks. Make another right onto Lenora Place &amp;amp; Home will be on your left about 2 homes down. There is off street parking.
</t>
        </r>
      </text>
    </comment>
    <comment ref="AP94" authorId="1">
      <text>
        <r>
          <rPr>
            <sz val="8"/>
            <color indexed="81"/>
            <rFont val="Tahoma"/>
            <family val="2"/>
          </rPr>
          <t xml:space="preserve">12/06/2007
Don't miss this Darling 1940's Cape Cod home with newly carpeted M-I-L downstairs. Boasting classic 1940's features, good interior colors, oak hardwood floors &amp;amp; corner windows. The Kitchen updates include Bamboo flooring &amp;amp; new counters, with laundry off the kitchen. Unique to this home is a seperate entrance to the lower level. Enjoy the rent, use it as a shop/studio, or restore this home back with an interior staircase. Set on a quiet lane w/nice yard this is move-in ready &amp;amp; very well priced! --&gt; A great buy for in-city living and in great condition! This comfortable 1940's Cape Cod home has it all. Live on the main floor &amp;amp; enjoy home ownership while you rent out the lower level, a legal mother-in-law, newly carpeted &amp;amp; spacious. This classic home boasts oak &amp;amp; bamboo floors, two nice kitchens &amp;amp; four bedrooms. Located on a quiet lane with good features including big yard, handsome outbuilding &amp;amp; offstreet parking &amp;amp; an easy metro commute to downtown. It's well priced &amp;amp; move-in ready!
12/01/2007
Don't miss this Darling 1940's Cape Cod home with M-I-L on the lower level. You'll enjoy the classic 1940's features, good interior colors, oak hardwood floors &amp;amp; corner windows. The Kitchen updates include Bamboo flooring &amp;amp; new counters, with laundry off the kitchen. Unique to this home is a seperate entrance to the lower level. Enjoy the rent, use it as a shop/studio, or restore this home back with an interior staircase. Set on a quiet street this home is move-in ready and very well priced! --&gt; Don't miss this Darling 1940's Cape Cod home with newly carpeted M-I-L downstairs. Boasting classic 1940's features, good interior colors, oak hardwood floors &amp;amp; corner windows. The Kitchen updates include Bamboo flooring &amp;amp; new counters, with laundry off the kitchen. Unique to this home is a seperate entrance to the lower level. Enjoy the rent, use it as a shop/studio, or restore this home back with an interior staircase. Set on a quiet lane w/nice yard this is move-in ready &amp;amp; very well priced!
11/28/2007
Don't miss this Darling 1940's Cape Cod home with legal M-I-L on the lower level. Set on a quiet sreet it features a great backyard including deck &amp;amp; outbuilding. You'll enjoy the classic 40's features, nice finishes, oak floors &amp;amp; corner windows. Kitchen updates include Bamboo flooring &amp;amp; new counters, creating a wonderful space. Unique to this home is a seperate entrance to the lower level. Enjoy the rent, use it as a shop/studio, or restore this home back with an interior staircase. See it soon! --&gt; Don't miss this Darling 1940's Cape Cod home with M-I-L on the lower level. You'll enjoy the classic 1940's features, good interior colors, oak hardwood floors &amp;amp; corner windows. The Kitchen updates include Bamboo flooring &amp;amp; new counters, with laundry off the kitchen. Unique to this home is a seperate entrance to the lower level. Enjoy the rent, use it as a shop/studio, or restore this home back with an interior staircase. Set on a quiet street this home is move-in ready and very well priced!
</t>
        </r>
      </text>
    </comment>
    <comment ref="B95" authorId="0">
      <text>
        <r>
          <rPr>
            <sz val="9"/>
            <color indexed="81"/>
            <rFont val="Tahoma"/>
            <family val="2"/>
          </rPr>
          <t xml:space="preserve">12/03/2007
Active - STI --&gt; Pending
11/23/2007
Active --&gt; Active - STI
</t>
        </r>
      </text>
    </comment>
    <comment ref="E95" authorId="0">
      <text>
        <r>
          <rPr>
            <sz val="9"/>
            <color indexed="81"/>
            <rFont val="Tahoma"/>
            <family val="2"/>
          </rPr>
          <t>Modern style meets vintage chic in this fabulous Loyal Heights home on a great street. Light-filled living room w/fireplace, adjoining dining room &amp;amp; Mt Rainier view. Updated kitchen has stainless appliances, plenty of storage &amp;amp; ceramic tile. Cool sun room adds additional living space and amazing SW exposure. Large 3rd bedroom or media room w/built-ins and wine storage. Sip vino or cocoa by the covered outdoor fireplace any time of the year. Landscaped by noted designer. Welcome home!</t>
        </r>
      </text>
    </comment>
    <comment ref="B96" authorId="1">
      <text>
        <r>
          <rPr>
            <sz val="8"/>
            <color indexed="81"/>
            <rFont val="Tahoma"/>
            <charset val="1"/>
          </rPr>
          <t xml:space="preserve">12/01/2007
Active --&gt; Active - STI
</t>
        </r>
      </text>
    </comment>
    <comment ref="E96" authorId="0">
      <text>
        <r>
          <rPr>
            <sz val="9"/>
            <color indexed="81"/>
            <rFont val="Tahoma"/>
            <family val="2"/>
          </rPr>
          <t>OWC Ballard Craftsman w/ lovely original fir floors in generously proportioned living room &amp;amp; dining room, and nice size bedrooms. Big windows, great light, *2 full* baths on main plus one full bath in bsmt. Spacious kitchen, fenced back yard with climbing tree and handicapped ramp. Private driveway to detached garage. Replumbed to street, some new wiring. Potential to double living sq ft by finishing bsmt. Close but not too close to bus on 8th NW.</t>
        </r>
      </text>
    </comment>
    <comment ref="AG96" authorId="0">
      <text>
        <r>
          <rPr>
            <sz val="9"/>
            <color indexed="81"/>
            <rFont val="Tahoma"/>
            <family val="2"/>
          </rPr>
          <t xml:space="preserve">11/23/2007
47.67905 --&gt; 47.679049
</t>
        </r>
      </text>
    </comment>
    <comment ref="AH96" authorId="0">
      <text>
        <r>
          <rPr>
            <sz val="9"/>
            <color indexed="81"/>
            <rFont val="Tahoma"/>
            <family val="2"/>
          </rPr>
          <t xml:space="preserve">11/23/2007
-122.3677 --&gt; -122.367671
</t>
        </r>
      </text>
    </comment>
    <comment ref="AP96" authorId="0">
      <text>
        <r>
          <rPr>
            <sz val="9"/>
            <color indexed="81"/>
            <rFont val="Tahoma"/>
            <family val="2"/>
          </rPr>
          <t xml:space="preserve">11/23/2007
OWC Ballard Craftsman w/ lovely original fir floors in generously proportioned living room &amp;amp; dining room, and nice size bedrooms. Big windows, great light, *2 full* baths on main plus one full bath in bsmt. Spacious kitchen, fenced back yard with climbing tree and handicapped ramp. Private driveway to detached garage. Replumbed to street, some new wiring. Potential to double living sq ft by finishing bsmt. Close but not too close to bus on 8th NW. --&gt; OWC Ballard Craftsman w/ lovely original fir floors in generously proportioned living room &amp;amp; dining room, and nice size bedrooms. Big windows, great light, *3 full* baths! 2 on main plus one bath in bsmt. Spacious kitchen, fenced back yard with climbing tree and handicapped ramp. Private driveway to detached garage. Replumbed to street, some new wiring. Potential to double living sq ft by finishing bsmt. Close but not too close to bus on 8th NW.
</t>
        </r>
      </text>
    </comment>
    <comment ref="E97" authorId="0">
      <text>
        <r>
          <rPr>
            <sz val="9"/>
            <color indexed="81"/>
            <rFont val="Tahoma"/>
            <family val="2"/>
          </rPr>
          <t>Conveniently located in the Matthews Beach/Cedar Park area. NW Contemporary Design. Entry offers fam rm or home office &amp;amp; 2 car gar. Main floor features dining, updated kitc, spac liv rm w/fp, west facing deck, 2 bedrooms, laundry &amp;amp; full bath. Upper level offers master suite w/bath featuring soaking tub + separate shower &amp;amp; W. facing deck gives private outdoor space. Freshly painted in/out, all new carpet. Short walk or bike to Burke Gilman Trail &amp;amp; U of W. Close to Wedgwood &amp;amp; U Village shopping.</t>
        </r>
      </text>
    </comment>
    <comment ref="B98" authorId="1">
      <text>
        <r>
          <rPr>
            <sz val="8"/>
            <color indexed="81"/>
            <rFont val="Tahoma"/>
            <charset val="1"/>
          </rPr>
          <t xml:space="preserve">12/06/2007
Active --&gt; Cancelled
</t>
        </r>
      </text>
    </comment>
    <comment ref="E98" authorId="0">
      <text>
        <r>
          <rPr>
            <sz val="9"/>
            <color indexed="81"/>
            <rFont val="Tahoma"/>
            <family val="2"/>
          </rPr>
          <t>Terrific mid-century home! A complete remodel that lives much larger than it appears from the street. Original charm perfectly blended w/ today: new appliances &amp;amp; slab granite in kitchen, new bathrooms, carpet, roof, deck, privacy fence, lighting, updated wiring, refinished hardwoods. Master suite addition on back of house w/ huge walk-in closet, full bath, sliders to deck &amp;amp; private backyard. Large shop in basement w/ MIL potential. 1/2 block to park, busline, &amp;amp; easy walk to restaurants &amp;amp; shops.</t>
        </r>
      </text>
    </comment>
    <comment ref="E99" authorId="0">
      <text>
        <r>
          <rPr>
            <sz val="9"/>
            <color indexed="81"/>
            <rFont val="Tahoma"/>
            <family val="2"/>
          </rPr>
          <t>This 1918 Craftsman may be the one! This 3br/2 bath home is one of the best values in Ballard- walk to shopping, dining, drinks &amp;amp; coffee. The new Library, Ballard Farmer's Market, the Locks, Golden Gardens- these are just some of your new neighbors! The main floor retains the charm of the era, and the lower level is an ADU- rent it, or live there. If you need shop space, here it is! Most systems are new or updated: roof, furnace &amp;amp; ducting, H2O heater, tuckpointing, &amp;amp; some electrical. Come see!</t>
        </r>
      </text>
    </comment>
    <comment ref="E100" authorId="0">
      <text>
        <r>
          <rPr>
            <sz val="9"/>
            <color indexed="81"/>
            <rFont val="Tahoma"/>
            <family val="2"/>
          </rPr>
          <t>Wedgwood rambler located near excellent schools and convenient shopping. Enjoy an arboreal setting with mature terraced landscaping, stone fountain and an updated easy care in-ground pool. Master bedroom features attached 3 piece bath and walk-in closet, with glass doors opening to private backyard. Real brick fireplace in front room with tile accent. Granite counter tops and stainless steel appliances in kitchen, accented by glass-front cabinets.</t>
        </r>
      </text>
    </comment>
    <comment ref="E101" authorId="0">
      <text>
        <r>
          <rPr>
            <sz val="9"/>
            <color indexed="81"/>
            <rFont val="Tahoma"/>
            <family val="2"/>
          </rPr>
          <t>On the other side of the wht picket fence is the hm for you! From the fp and built-ins of the spacious living rm, to the Mstr Suite w/jetted tub, dble vanity &amp;amp; huge WIC. The lght &amp;amp; brght islnd kit has a stovetop/grill, dble ovens, lg desk/prep area &amp;amp; a ton of counter &amp;amp; cabinet space! Open the french drs &amp;amp; you are greeted by the fully fenced yd. Your storage needs will be met w/easy access to attic space, bsmnt &amp;amp; strg shd. Alley access at the rear, &amp;amp; parking pad at front, provide ample prkng.</t>
        </r>
      </text>
    </comment>
    <comment ref="E102" authorId="0">
      <text>
        <r>
          <rPr>
            <sz val="9"/>
            <color indexed="81"/>
            <rFont val="Tahoma"/>
            <family val="2"/>
          </rPr>
          <t>This cute charmer has been well loved and is looking for new owners to care for it and take it on to the next level in its life. It has 4 cozy bedrooms, 1.75 baths and real country charm even if it is in the city. The exterior and interior have been freshly painted, the hardwoods redone and the furnace and water heater replaced with new generation gas appliances. The neighborhood is quiet and has a pocket park just a block away. Carkeek Park just west. Public open house Sunday 1-4 PM.</t>
        </r>
      </text>
    </comment>
    <comment ref="E103" authorId="0">
      <text>
        <r>
          <rPr>
            <sz val="9"/>
            <color indexed="81"/>
            <rFont val="Tahoma"/>
            <family val="2"/>
          </rPr>
          <t>Lovely Craftsman w/lots of old world charm as well as updates! You'll find wonderful living &amp;amp; dining room spaces, enhanced by 9 1/2 foot ceilings, a window bench &amp;amp; lots of daylight. Beautiful hardwood floors. Craftsman style lighting fixtures. Very spacious kitchen w/ fir floors, new countertops &amp;amp; lots of cabinet/counter space. Large updated bath w/newer plumbing. Full bsmt w/ office space. Detached garage-shop. Southwestfacing yard w/fruit trees. New roof before closing. Close to shops/park</t>
        </r>
      </text>
    </comment>
    <comment ref="F103" authorId="1">
      <text>
        <r>
          <rPr>
            <sz val="8"/>
            <color indexed="81"/>
            <rFont val="Tahoma"/>
            <charset val="1"/>
          </rPr>
          <t xml:space="preserve">12/06/2007
425000 --&gt; 417500
</t>
        </r>
      </text>
    </comment>
    <comment ref="AP103" authorId="1">
      <text>
        <r>
          <rPr>
            <sz val="8"/>
            <color indexed="81"/>
            <rFont val="Tahoma"/>
            <charset val="1"/>
          </rPr>
          <t xml:space="preserve">12/06/2007
Lovely Craftsman w/lots of old world charm as well as updates! You'll find wonderful living &amp;amp; dining room spaces, enhanced by 9 1/2 foot ceilings, a window bench &amp;amp; lots of daylight. Beautiful hardwood floors. Craftsman style lighting fixtures. Very spacious kitchen w/ fir floors, new countertops &amp;amp; lots of cabinet/counter space. Large updated bath w/newer plumbing. Full bsmt w/ office space. Detached garage-shop. Southwestfacing yard w/fruit trees. New roof before closing. Close to shops/park --&gt; Fun Craftsman in heart of Ballard! Old world charm along with updates. Wonderful living &amp;amp; dining room spaces are enhanced by 9 1/2 foot ceilings. Cozy window bench in Dining rm. Lots of daylight. Beautiful hardwood floors. Craftsman style ligh fixtures. Large kitchen w/ fir floors, new countertops &amp;amp; lots of cabinet/counter space. Updated bath w/newer plumbing. Full bsmt w/ office space. Detached garage-shop. Southwestfacing yard w/fruit trees. New roof. Close to shops/park/bus &amp;amp; school.
</t>
        </r>
      </text>
    </comment>
    <comment ref="E104" authorId="0">
      <text>
        <r>
          <rPr>
            <sz val="9"/>
            <color indexed="81"/>
            <rFont val="Tahoma"/>
            <family val="2"/>
          </rPr>
          <t>Rare opportunity to find 200 sf in the terrific location, great street and one block from Sand Point Golf Club. Charming 3 bedroom home waiting for a little TLC. Detached garage and beautiful 6000 sf lot for gardens and games. Minutes to U of Washington, Greenlake, shops, parks and services.</t>
        </r>
      </text>
    </comment>
    <comment ref="H104" authorId="1">
      <text>
        <r>
          <rPr>
            <sz val="8"/>
            <color indexed="81"/>
            <rFont val="Tahoma"/>
            <charset val="1"/>
          </rPr>
          <t xml:space="preserve">12/06/2007
0 --&gt; 2000
</t>
        </r>
      </text>
    </comment>
    <comment ref="AP104" authorId="1">
      <text>
        <r>
          <rPr>
            <sz val="8"/>
            <color indexed="81"/>
            <rFont val="Tahoma"/>
            <family val="2"/>
          </rPr>
          <t xml:space="preserve">12/06/2007
Fabulour location !!!Rare opportunity to find 2000 sf on this great street, one block from Sand Point Golf Club. Charming 3 bedroom home waiting for a little TLC. Detached garage and beautiful 6000 sf lot for gardens and games.Xtra parking. Minutes to U of Washington, Greenlake, shops, parks and services. --&gt; Fabulour location! Darling home,Rare opportunity to find 2000 sf on this great street,one block from Sand Point Golf Club.Charming 3 bedroom home waiting for a little TLC.Basement w/sep. entrance. Detached garage and beautiful 6000 sf lot for gardens and games.Xtra parking. Minutes to U of WA, Greenlake, shops, parks and services.Come see for yourself!
12/03/2007
Rare opportunity to find 2000 sf in the terrific location, great street and one block from Sand Point Golf Club. Charming 3 bedroom home waiting for a little TLC. Detached garage and beautiful 6000 sf lot for gardens and games. Minutes to U of Washington, Greenlake, shops, parks and services. --&gt; Fabulour location !!!Rare opportunity to find 2000 sf on this great street, one block from Sand Point Golf Club. Charming 3 bedroom home waiting for a little TLC. Detached garage and beautiful 6000 sf lot for gardens and games.Xtra parking. Minutes to U of Washington, Greenlake, shops, parks and services.
11/28/2007
Rare opportunity to find 200 sf in the terrific location, great street and one block from Sand Point Golf Club. Charming 3 bedroom home waiting for a little TLC. Detached garage and beautiful 6000 sf lot for gardens and games. Minutes to U of Washington, Greenlake, shops, parks and services. --&gt; Rare opportunity to find 2000 sf in the terrific location, great street and one block from Sand Point Golf Club. Charming 3 bedroom home waiting for a little TLC. Detached garage and beautiful 6000 sf lot for gardens and games. Minutes to U of Washington, Greenlake, shops, parks and services.
</t>
        </r>
      </text>
    </comment>
    <comment ref="E105" authorId="1">
      <text>
        <r>
          <rPr>
            <sz val="8"/>
            <color indexed="81"/>
            <rFont val="Tahoma"/>
            <charset val="1"/>
          </rPr>
          <t>This superb 1950's brick home sits on a great corner lot. Interior features include an updated kitchen with cherry cabinets, granite countertops and hardwood floors, spacious living room with cozy wood-burning fireplace and a formal dining room with door onto the large deck. The basement offers a semi-finished rec room and 2nd full bath. With the oversized garage/shop and carport, there's plenty of room for parking. And in the fenced backyard, there's a patio perfect for entertaining.</t>
        </r>
      </text>
    </comment>
    <comment ref="E106" authorId="0">
      <text>
        <r>
          <rPr>
            <sz val="9"/>
            <color indexed="81"/>
            <rFont val="Tahoma"/>
            <family val="2"/>
          </rPr>
          <t>Home for now and room for the future! Main floor has 3 Bedrooms and 1 bath. Unfinished daylight basement has wood framed floors, 1/2 bath, utility room and fireplace. Basement could easily be turned into family room, home theater or office, and 3 more bedrooms. Main floor features built in planting box in entry and china case in dining room. Hardwood floors in the bedrooms and under carpet in the living room and dining room. Mountain views. minutes from Northgate Mall and I5</t>
        </r>
      </text>
    </comment>
    <comment ref="AP106" authorId="1">
      <text>
        <r>
          <rPr>
            <sz val="8"/>
            <color indexed="81"/>
            <rFont val="Tahoma"/>
            <family val="2"/>
          </rPr>
          <t xml:space="preserve">11/28/2007
Home for now and room for the future! Main floor has 3 Bedrooms and 1 bath. Unfinished daylight basement has wood framed floors, 1/2 bath, utility room and fireplace. Basement could easily be turned into family room, home theater or office, and 3 more bedrooms. Main floor features built in planting box in entry and china case in dining room. Hardwood floors in the bedrooms and under carpet in the living room and dining room. Mountain views. minutes from Northgate Mall and I5 --&gt; Home for now and room for the future! 3 Bedrooms,1 bath on main floor. Unfinished daylight basement has wood framed floors, 1/2 bath, utility room and fireplace. Basement could easily be turned into family room, home theater or office, and 3 more bedrooms. Home features built in planting box in entry and china case in dining room. Hardwood floors in the bedrooms and under carpet in the living and dining room. Mountain views. Minutes from Northgate Mall and I5. Home Warranty for Buyers
</t>
        </r>
      </text>
    </comment>
    <comment ref="B107" authorId="0">
      <text>
        <r>
          <rPr>
            <sz val="9"/>
            <color indexed="81"/>
            <rFont val="Tahoma"/>
            <family val="2"/>
          </rPr>
          <t xml:space="preserve">11/25/2007
Active --&gt; Pending
</t>
        </r>
      </text>
    </comment>
    <comment ref="E107" authorId="0">
      <text>
        <r>
          <rPr>
            <sz val="9"/>
            <color indexed="81"/>
            <rFont val="Tahoma"/>
            <family val="2"/>
          </rPr>
          <t>One livel living at its best in this 3 bdr, 1 3/4 bath home. Updated kitchen looks out to private fenced back yard with huge entertainment deck. Living room has fireplac, separate dining room, hardwoods, new paint inside and out, airconditioned bedrooms and separate laundry/storage room. Heated shop in back yard.</t>
        </r>
      </text>
    </comment>
    <comment ref="E108" authorId="1">
      <text>
        <r>
          <rPr>
            <sz val="8"/>
            <color indexed="81"/>
            <rFont val="Tahoma"/>
            <charset val="1"/>
          </rPr>
          <t>Wonderfull in city oasis.House w/ remodeled bath w/ Slate floors, shower and wainscotting, plus 2 shower heads and granite counters.New plumbing and elect.Also a huge detached 2 car garage with shop,loft space, a seperate office w/ half bath, and artist studio w/ skylights and sliders to deck.Great yard, 8x14 greenhouse has power,water,&amp;amp; solar controled venting roof.A truly wonderfull garden space in the city.The private courtyard has a deck for your BBQ's,and koi pond for your enjoyment.</t>
        </r>
      </text>
    </comment>
    <comment ref="E109" authorId="1">
      <text>
        <r>
          <rPr>
            <sz val="8"/>
            <color indexed="81"/>
            <rFont val="Tahoma"/>
            <charset val="1"/>
          </rPr>
          <t>Come home to the inviting warmth of an open floor plan that encourages intimacy and sharing between family and friends. The remodeled kitchen sits at the heart of the home. A huge family room w/vaulted ceiling and walls of windows overlooks a parklike backyard. The kitchen offers everything that a chef needs - gas stove, double sinks, lots of counter and cabinet space and a cozy breakfast bar. 3 nice sized bedrooms and 2 remodeled bths. Elegant formal living room w/hdwds and gracious fireplace.</t>
        </r>
      </text>
    </comment>
    <comment ref="E110" authorId="1">
      <text>
        <r>
          <rPr>
            <sz val="8"/>
            <color indexed="81"/>
            <rFont val="Tahoma"/>
            <charset val="1"/>
          </rPr>
          <t>Massive amount of instant equity! Investors and homebuyers view today! This home located minutes from seattle in Lake City is mostly finished with a full remodel. It features 4 bedrooms, 2 bathrooms, large kitchen with new cabinets and hardwood. Will need finishing touches but is well worth it. Finished it would make a great rental or cozy family home! Excellent deal investor couldn't finish needs to sell immediately. Call for additional information!</t>
        </r>
      </text>
    </comment>
    <comment ref="E111" authorId="1">
      <text>
        <r>
          <rPr>
            <sz val="8"/>
            <color indexed="81"/>
            <rFont val="Tahoma"/>
            <charset val="1"/>
          </rPr>
          <t>Bryant - Well maintained hm with a territorial view. Looks toward the Cascades &amp;amp; Bellevue. On main flr there are 2 bdrms &amp;amp; a full bath that has been tastefully updated, beautifully refin dark hrdwd flrs, a kitchen, living rm &amp;amp; dining rm. Downstairs there is a family rm, storage &amp;amp; craft area, 3/4 bath &amp;amp; laundry rm. A captivating large private, tiered backyard, fenced w/lovely patio &amp;amp; a plum tree. Walk to the library &amp;amp; loads of shopping on 35th. Public trans close &amp;amp; Burke Gilman Trail. A must see!</t>
        </r>
      </text>
    </comment>
    <comment ref="B112" authorId="1">
      <text>
        <r>
          <rPr>
            <sz val="8"/>
            <color indexed="81"/>
            <rFont val="Tahoma"/>
            <charset val="1"/>
          </rPr>
          <t xml:space="preserve">12/06/2007
Active --&gt; Active - STI
</t>
        </r>
      </text>
    </comment>
    <comment ref="E112" authorId="1">
      <text>
        <r>
          <rPr>
            <sz val="8"/>
            <color indexed="81"/>
            <rFont val="Tahoma"/>
            <charset val="1"/>
          </rPr>
          <t>This sweet 1911 bungalow is located on a quiet street. The large eucalyptus in the front echoes the huge maple in the back. The living and dining rooms have boxed beamed ceilings, picture rail and built-in cabinetry. One bedroom has French doors opening to the large back deck which catches plenty of afternoon sun. The unfinished basement offers options and the attached garage is always a nice feature.</t>
        </r>
      </text>
    </comment>
    <comment ref="AS112" authorId="1">
      <text>
        <r>
          <rPr>
            <sz val="8"/>
            <color indexed="81"/>
            <rFont val="Tahoma"/>
            <charset val="1"/>
          </rPr>
          <t xml:space="preserve">12/03/2007
http://locmedia.nwmls.com/DO_NOT_LINK/bigphoto/377/27207377.jpg?tsp=20071130090459 --&gt; http://locmedia.nwmls.com/DO_NOT_LINK/bigphoto/377/27207377.jpg?tsp=20071203095826
</t>
        </r>
      </text>
    </comment>
    <comment ref="E113" authorId="1">
      <text>
        <r>
          <rPr>
            <sz val="8"/>
            <color indexed="81"/>
            <rFont val="Tahoma"/>
            <charset val="1"/>
          </rPr>
          <t>Charming 2 bedroom, 1 bathroom home in Wedgwood! Beautifully landscaped with a private, fenced-in backyard complete with deck &amp;amp; patio. Perfect for summer entertaining. Immaculate, updated inside with hardwoods throughout. Large, bright kitchen with vaulted ceiling opens up to backyard deck. Crown molding in living &amp;amp; dining rooms. Large living area off kitchen. Outdoor shed in backyard for storage &amp;amp; an attached workshop on side of house with electricity, fully lit &amp;amp; powered. Great location!</t>
        </r>
      </text>
    </comment>
  </commentList>
</comments>
</file>

<file path=xl/comments2.xml><?xml version="1.0" encoding="utf-8"?>
<comments xmlns="http://schemas.openxmlformats.org/spreadsheetml/2006/main">
  <authors>
    <author>Dave Smith</author>
  </authors>
  <commentList>
    <comment ref="E2" authorId="0">
      <text>
        <r>
          <rPr>
            <sz val="8"/>
            <color indexed="81"/>
            <rFont val="Tahoma"/>
            <charset val="1"/>
          </rPr>
          <t>Wonderfull in city oasis.House w/ remodeled bath w/ Slate floors, shower and wainscotting, plus 2 shower heads and granite counters.New plumbing and elect.Also a huge detached 2 car garage with shop,loft space, a seperate office w/ half bath, and artist studio w/ skylights and sliders to deck.Great yard, 8x14 greenhouse has power,water,&amp;amp; solar controled venting roof.A truly wonderfull garden space in the city.The private courtyard has a deck for your BBQ's,and koi pond for your enjoyment.</t>
        </r>
      </text>
    </comment>
    <comment ref="E3" authorId="0">
      <text>
        <r>
          <rPr>
            <sz val="8"/>
            <color indexed="81"/>
            <rFont val="Tahoma"/>
            <charset val="1"/>
          </rPr>
          <t>This superb 1950's brick home sits on a great corner lot. Interior features include an updated kitchen with cherry cabinets, granite countertops and hardwood floors, spacious living room with cozy wood-burning fireplace and a formal dining room with door onto the large deck. The basement offers a semi-finished rec room and 2nd full bath. With the oversized garage/shop and carport, there's plenty of room for parking. And in the fenced backyard, there's a patio perfect for entertaining.</t>
        </r>
      </text>
    </comment>
    <comment ref="E4" authorId="0">
      <text>
        <r>
          <rPr>
            <sz val="8"/>
            <color indexed="81"/>
            <rFont val="Tahoma"/>
            <charset val="1"/>
          </rPr>
          <t>Massive amount of instant equity! Investors and homebuyers view today! This home located minutes from seattle in Lake City is mostly finished with a full remodel. It features 4 bedrooms, 2 bathrooms, large kitchen with new cabinets and hardwood. Will need finishing touches but is well worth it. Finished it would make a great rental or cozy family home! Excellent deal investor couldn't finish needs to sell immediately. Call for additional information!</t>
        </r>
      </text>
    </comment>
    <comment ref="E5" authorId="0">
      <text>
        <r>
          <rPr>
            <sz val="8"/>
            <color indexed="81"/>
            <rFont val="Tahoma"/>
            <charset val="1"/>
          </rPr>
          <t>Come home to the inviting warmth of an open floor plan that encourages intimacy and sharing between family and friends. The remodeled kitchen sits at the heart of the home. A huge family room w/vaulted ceiling and walls of windows overlooks a parklike backyard. The kitchen offers everything that a chef needs - gas stove, double sinks, lots of counter and cabinet space and a cozy breakfast bar. 3 nice sized bedrooms and 2 remodeled bths. Elegant formal living room w/hdwds and gracious fireplace.</t>
        </r>
      </text>
    </comment>
    <comment ref="E6" authorId="0">
      <text>
        <r>
          <rPr>
            <sz val="8"/>
            <color indexed="81"/>
            <rFont val="Tahoma"/>
            <charset val="1"/>
          </rPr>
          <t>Bryant - Well maintained hm with a territorial view. Looks toward the Cascades &amp;amp; Bellevue. On main flr there are 2 bdrms &amp;amp; a full bath that has been tastefully updated, beautifully refin dark hrdwd flrs, a kitchen, living rm &amp;amp; dining rm. Downstairs there is a family rm, storage &amp;amp; craft area, 3/4 bath &amp;amp; laundry rm. A captivating large private, tiered backyard, fenced w/lovely patio &amp;amp; a plum tree. Walk to the library &amp;amp; loads of shopping on 35th. Public trans close &amp;amp; Burke Gilman Trail. A must see!</t>
        </r>
      </text>
    </comment>
    <comment ref="E7" authorId="0">
      <text>
        <r>
          <rPr>
            <sz val="8"/>
            <color indexed="81"/>
            <rFont val="Tahoma"/>
            <charset val="1"/>
          </rPr>
          <t>Charming 2 bedroom, 1 bathroom home in Wedgwood! Beautifully landscaped with a private, fenced-in backyard complete with deck &amp;amp; patio. Perfect for summer entertaining. Immaculate, updated inside with hardwoods throughout. Large, bright kitchen with vaulted ceiling opens up to backyard deck. Crown molding in living &amp;amp; dining rooms. Large living area off kitchen. Outdoor shed in backyard for storage &amp;amp; an attached workshop on side of house with electricity, fully lit &amp;amp; powered. Great location!</t>
        </r>
      </text>
    </comment>
    <comment ref="E8" authorId="0">
      <text>
        <r>
          <rPr>
            <sz val="8"/>
            <color indexed="81"/>
            <rFont val="Tahoma"/>
            <charset val="1"/>
          </rPr>
          <t>This sweet 1911 bungalow is located on a quiet street. The large eucalyptus in the front echoes the huge maple in the back. The living and dining rooms have boxed beamed ceilings, picture rail and built-in cabinetry. One bedroom has French doors opening to the large back deck which catches plenty of afternoon sun. The unfinished basement offers options and the attached garage is always a nice feature.</t>
        </r>
      </text>
    </comment>
  </commentList>
</comments>
</file>

<file path=xl/comments3.xml><?xml version="1.0" encoding="utf-8"?>
<comments xmlns="http://schemas.openxmlformats.org/spreadsheetml/2006/main">
  <authors>
    <author>DavSmith</author>
    <author>Dave Smith</author>
  </authors>
  <commentList>
    <comment ref="E2" authorId="0">
      <text>
        <r>
          <rPr>
            <sz val="9"/>
            <color indexed="81"/>
            <rFont val="Tahoma"/>
            <family val="2"/>
          </rPr>
          <t>Spacious 4 bedroom, 3 bath home. Vaulted wood ceilings, dramatic stone fireplace. French doors from dining room to deck. Kitchen has imported tile counters, gas range, pantry &amp;amp; breakfast space. Master bedroom with 3/4 bath. Jacuzzi tub. Lower: Huge family room, large bedroom &amp;amp; 3/4 bath. New exterior siding &amp;amp; paint July 2007. 16K roof installed in 2003. Doublepane windows. Gas heat/hot water. Two car garage. Fully fenced, very private, EZ care, backyard w/deck. Apple, pear, silk &amp;amp; magnolia trees.</t>
        </r>
      </text>
    </comment>
    <comment ref="E3" authorId="0">
      <text>
        <r>
          <rPr>
            <sz val="9"/>
            <color indexed="81"/>
            <rFont val="Tahoma"/>
            <family val="2"/>
          </rPr>
          <t>The best price on a 1920's built craftsman this close to Green Lake, the U.W and Roosevelt district. Pefect for walking, biking lifestyle but close to I 5. Comfortable ,well loved home with formal entry, dining room,hardwood floors &amp;amp; built ins but priced to allow for kitchen redo, adding 3rd bedroom or? New tear off roof just completed, new gutters and some electrical work as well. On a street of like homes.</t>
        </r>
      </text>
    </comment>
    <comment ref="AP3" authorId="1">
      <text>
        <r>
          <rPr>
            <sz val="8"/>
            <color indexed="81"/>
            <rFont val="Tahoma"/>
            <family val="2"/>
          </rPr>
          <t xml:space="preserve">11/26/2007
The best price on a 1920's built craftsman this close to Green Lake, the U.W and Roosevelt district. Pefect for walking, biking lifestyle but close to I 5. Comfortable ,well loved home with formal entry, dining room,hardwood floors &amp;amp; built ins but priced to allow for kitchen redo, adding 3rd bedroom or? New tear off roof just completed, new gutters and some electrical work as well. On a street of like homes. --&gt; The best price on a 1920's built Craftsman this close to Green Lake, the U.W. and Roosevelt district. Perfect for walking/biking lifestyle but close to I-5. Comfortable, well loved home with formal entry, dining room, hardwood floors &amp;amp; built-ins but priced to allow for kitchen remodel, adding 3rd bedroom or ??? New tear-off roof just completed, new gutters and some electrical work as well. Located on a street of like homes.
</t>
        </r>
      </text>
    </comment>
    <comment ref="AS3" authorId="1">
      <text>
        <r>
          <rPr>
            <sz val="8"/>
            <color indexed="81"/>
            <rFont val="Tahoma"/>
            <family val="2"/>
          </rPr>
          <t xml:space="preserve">11/26/2007
http://locmedia.nwmls.com/DO_NOT_LINK/bigphoto/974/27085974.jpg?tsp=20070608143008 --&gt; http://locmedia.nwmls.com/DO_NOT_LINK/bigphoto/974/27085974.jpg?tsp=20071126135937
</t>
        </r>
      </text>
    </comment>
    <comment ref="B4" authorId="0">
      <text>
        <r>
          <rPr>
            <sz val="9"/>
            <color indexed="81"/>
            <rFont val="Tahoma"/>
            <family val="2"/>
          </rPr>
          <t xml:space="preserve">11/23/2007
Contingent --&gt; Sold
</t>
        </r>
      </text>
    </comment>
    <comment ref="E4" authorId="0">
      <text>
        <r>
          <rPr>
            <sz val="9"/>
            <color indexed="81"/>
            <rFont val="Tahoma"/>
            <family val="2"/>
          </rPr>
          <t>TOTAL REMODEL! Very safe home.Best house at this price!Updated furnace(no oil heat)updated plumbing &amp;amp; electrical.New ss applns &amp;amp; new cabinets, granite slab counters.Newer double-paned windows makes for a very quiet home.New paint in every room, new carpet &amp;amp; a cozy fireplace.Recently refinished hardwood floors.Brand new professionally remodeled basement!1car garage w/new door &amp;amp; alley access.15 mins to downtown &amp;amp;5 mins to Greenlake &amp;amp;5 min to great Ballard shopping.</t>
        </r>
      </text>
    </comment>
    <comment ref="AN4" authorId="0">
      <text>
        <r>
          <rPr>
            <sz val="9"/>
            <color indexed="81"/>
            <rFont val="Tahoma"/>
            <family val="2"/>
          </rPr>
          <t xml:space="preserve">11/23/2007
 --&gt; 485000
</t>
        </r>
      </text>
    </comment>
    <comment ref="B5" authorId="1">
      <text>
        <r>
          <rPr>
            <sz val="8"/>
            <color indexed="81"/>
            <rFont val="Tahoma"/>
            <charset val="1"/>
          </rPr>
          <t xml:space="preserve">12/01/2007
Active --&gt; Expired
</t>
        </r>
      </text>
    </comment>
    <comment ref="E5" authorId="0">
      <text>
        <r>
          <rPr>
            <sz val="9"/>
            <color indexed="81"/>
            <rFont val="Tahoma"/>
            <family val="2"/>
          </rPr>
          <t>Lovely Ballard 3 bedroom, 2 bath Cape Cod, Freshly painted and remodeled...gleaming wood floors, spacious living room with brick fireplace, large kitchen with tile and granite, thermo windows, finished basement + private, fenced yard...Vacant and ready to go!</t>
        </r>
      </text>
    </comment>
    <comment ref="E6" authorId="0">
      <text>
        <r>
          <rPr>
            <sz val="9"/>
            <color indexed="81"/>
            <rFont val="Tahoma"/>
            <family val="2"/>
          </rPr>
          <t>Much bigger than it looks from the street! All copper plumbing, new 200 amp electric panel. New oak floor and paint. Good size formal dining room and living room with classic fireplace. Great floor plan w 2 bedrooms and a bath on main and 3 bedrooms and 3/4 bath on lower level. Beautiful mature landscaping on large level lot. Detached garage with shop area. Large deck for summer entertaining and your BBQ. Only 15 minutes to downtown and still a quiet oasis where you can hear the birds.</t>
        </r>
      </text>
    </comment>
    <comment ref="E7" authorId="0">
      <text>
        <r>
          <rPr>
            <sz val="9"/>
            <color indexed="81"/>
            <rFont val="Tahoma"/>
            <family val="2"/>
          </rPr>
          <t>Short walk to new Ballard Library and park!! Purchase early &amp;amp; select from a long list of options - Thousands of countertop, flooring, appliance and other options to personalize your new home. Large open main floor that opens up to your private deck make this a great floorplan! Oversized attached garage for extra storage. Master suite offers a walk in closet. Level 4 built green!</t>
        </r>
      </text>
    </comment>
    <comment ref="F7" authorId="1">
      <text>
        <r>
          <rPr>
            <sz val="8"/>
            <color indexed="81"/>
            <rFont val="Tahoma"/>
            <family val="2"/>
          </rPr>
          <t xml:space="preserve">11/28/2007
449990 --&gt; 439990
</t>
        </r>
      </text>
    </comment>
    <comment ref="AG7" authorId="0">
      <text>
        <r>
          <rPr>
            <sz val="9"/>
            <color indexed="81"/>
            <rFont val="Tahoma"/>
            <family val="2"/>
          </rPr>
          <t xml:space="preserve">11/23/2007
47.6717 --&gt; 47.671653
</t>
        </r>
      </text>
    </comment>
    <comment ref="AH7" authorId="0">
      <text>
        <r>
          <rPr>
            <sz val="9"/>
            <color indexed="81"/>
            <rFont val="Tahoma"/>
            <family val="2"/>
          </rPr>
          <t xml:space="preserve">11/23/2007
-122.382509 --&gt; -122.382535
</t>
        </r>
      </text>
    </comment>
    <comment ref="AP7" authorId="1">
      <text>
        <r>
          <rPr>
            <sz val="8"/>
            <color indexed="81"/>
            <rFont val="Tahoma"/>
            <charset val="1"/>
          </rPr>
          <t xml:space="preserve">12/01/2007
Short walk to new Ballard Library and park!! Purchase early &amp;amp; select from a long list of options - Thousands of countertop, flooring, appliance and other options to personalize your new home. Large open main floor that opens up to your private deck make this a great floorplan! Oversized attached garage for extra storage. Master suite offers a walk in closet. Level 4 built green! --&gt; Short walk to new Ballard Library and park!! Purchase early &amp;amp; select from a long list of options - Thousands of countertop, flooring, appliance and other options to personalize your new home. Large open main floor that opens up to your private deck make this a great floorplan! Oversized attached garage for extra storage. Master suite offers a walk in closet. Level 4 built green! Cork floors and stainless countertops included, but you can select from hundred of other personal choices!
</t>
        </r>
      </text>
    </comment>
    <comment ref="AS7" authorId="0">
      <text>
        <r>
          <rPr>
            <sz val="9"/>
            <color indexed="81"/>
            <rFont val="Tahoma"/>
            <family val="2"/>
          </rPr>
          <t xml:space="preserve">11/23/2007
http://locmedia.nwmls.com/DO_NOT_LINK/bigphoto/757/27096757.jpg?tsp=20070911121921 --&gt; http://locmedia.nwmls.com/DO_NOT_LINK/bigphoto/757/27096757.jpg?tsp=20071119165750
</t>
        </r>
      </text>
    </comment>
    <comment ref="E8" authorId="0">
      <text>
        <r>
          <rPr>
            <sz val="9"/>
            <color indexed="81"/>
            <rFont val="Tahoma"/>
            <family val="2"/>
          </rPr>
          <t>Better than new fully renovated in desirable Haller Lake. From the Maple, stainless and granite kitchen to the master suite with full bath featuring heated travertine floor and jetted tub, this home screams style, quality and value. Lots of natural light and gleaming hardwood floors make this living space both bright and warm. Tear up your handyman's card and enjoy the many years of trouble free living. The backyard is fully fenced and has a patio that is perfect for summer gatherings.</t>
        </r>
      </text>
    </comment>
    <comment ref="F8" authorId="1">
      <text>
        <r>
          <rPr>
            <sz val="8"/>
            <color indexed="81"/>
            <rFont val="Tahoma"/>
            <charset val="1"/>
          </rPr>
          <t xml:space="preserve">12/01/2007
399900 --&gt; 389900
</t>
        </r>
      </text>
    </comment>
    <comment ref="AG8" authorId="1">
      <text>
        <r>
          <rPr>
            <sz val="8"/>
            <color indexed="81"/>
            <rFont val="Tahoma"/>
            <charset val="1"/>
          </rPr>
          <t xml:space="preserve">12/01/2007
47.732891 --&gt; 47.732896
</t>
        </r>
      </text>
    </comment>
    <comment ref="AH8" authorId="1">
      <text>
        <r>
          <rPr>
            <sz val="8"/>
            <color indexed="81"/>
            <rFont val="Tahoma"/>
            <charset val="1"/>
          </rPr>
          <t xml:space="preserve">12/01/2007
-122.334301 --&gt; -122.33427
</t>
        </r>
      </text>
    </comment>
    <comment ref="E9" authorId="0">
      <text>
        <r>
          <rPr>
            <sz val="9"/>
            <color indexed="81"/>
            <rFont val="Tahoma"/>
            <family val="2"/>
          </rPr>
          <t>Home is much bigger that it appears. Charming &amp;amp; very spacious updated 5 bedroom property in great Wedgwood location. Beautiful gleaming hardwood floors on main level, new carpet on lower level, freshly painted with decorator's colors. 2 spacious bedrooms on main level. Lower level features 3 bedrooms, bonus room, wet bar with refrigerator separate entrance. Enjoy entertaining on the spacious deck. Ideal location, close to schools, parks, UW, bus, Northgate, U Village and downtown.</t>
        </r>
      </text>
    </comment>
    <comment ref="E10" authorId="0">
      <text>
        <r>
          <rPr>
            <sz val="9"/>
            <color indexed="81"/>
            <rFont val="Tahoma"/>
            <family val="2"/>
          </rPr>
          <t>Spacious, solid brick home in Maple Leaf. 4 BD/1.75 BA. Large, bright rooms. Fireplace. Formal dining. Newly finished hardwoods. New carpet in bedrooms. New paint, roof, kitchen countertops. Tiled bathrooms. Family room, utility, &amp;amp; lots of storage in basement. Attached garage &amp;amp; lots of off-street parking. Terraced yard with garden, fruit trees, &amp;amp; greenhouse. Have fun BBQs on the patio. Walk to Greenlake. Close to NGate transit center for easy commute. 1 year home warranty included for buyer!</t>
        </r>
      </text>
    </comment>
    <comment ref="B11" authorId="1">
      <text>
        <r>
          <rPr>
            <sz val="8"/>
            <color indexed="81"/>
            <rFont val="Tahoma"/>
            <charset val="1"/>
          </rPr>
          <t xml:space="preserve">12/01/2007
Active --&gt; Cancelled
</t>
        </r>
      </text>
    </comment>
    <comment ref="E11" authorId="0">
      <text>
        <r>
          <rPr>
            <sz val="9"/>
            <color indexed="81"/>
            <rFont val="Tahoma"/>
            <family val="2"/>
          </rPr>
          <t>Recently updated CHARMER! A must see for in city living, tiled baths and kitchen. Lots of detail work, off street parking for one car, close to shops and amenities. This will make a great investment property or a ready to move in home! Home comes with a one year warranty paid for by sellers. Sellers willing to carry-back some of downpayment to help you credit worthy clients!! Be creative!</t>
        </r>
      </text>
    </comment>
    <comment ref="AG11" authorId="1">
      <text>
        <r>
          <rPr>
            <sz val="8"/>
            <color indexed="81"/>
            <rFont val="Tahoma"/>
            <charset val="1"/>
          </rPr>
          <t xml:space="preserve">12/01/2007
47.6887 --&gt; 47.68874
</t>
        </r>
      </text>
    </comment>
    <comment ref="AS11" authorId="1">
      <text>
        <r>
          <rPr>
            <sz val="8"/>
            <color indexed="81"/>
            <rFont val="Tahoma"/>
            <charset val="1"/>
          </rPr>
          <t xml:space="preserve">12/01/2007
http://locmedia.nwmls.com/DO_NOT_LINK/bigphoto/889/27131889.jpg?tsp=20070723122814 --&gt; http://locmedia.nwmls.com/DO_NOT_LINK/bigphoto/889/27131889.jpg?tsp=20071020134308
</t>
        </r>
      </text>
    </comment>
    <comment ref="E12" authorId="0">
      <text>
        <r>
          <rPr>
            <sz val="9"/>
            <color indexed="81"/>
            <rFont val="Tahoma"/>
            <family val="2"/>
          </rPr>
          <t>Very convenient location. 1939 home has 3 bedrooms and 1 bath. Features include new roof &amp;amp; furnace, large yard w/storage shed, new hardwood floors, fireplace, garage, &amp;amp; large carport. Great neighborhood w/many services &amp;amp; amenities. On major bus lines. Excellent condo alternative. Ample trees including pear tree.</t>
        </r>
      </text>
    </comment>
    <comment ref="E13" authorId="0">
      <text>
        <r>
          <rPr>
            <sz val="9"/>
            <color indexed="81"/>
            <rFont val="Tahoma"/>
            <family val="2"/>
          </rPr>
          <t>Spacious &amp;amp; charming 1926 era Craftsman home on large level lot with covered front porch located close to schools, bus, swimming pool, &amp;amp; sports facility.Its features include the traditionals- fireplace, hard/softwood floors, &amp;amp; formal dining room with built-ins, as well as more recent upgrades- Large,remodeled bathroom &amp;amp; master bedroom with walk-in-closet. A full basement, a BIG fenced yard with mature landscaping,&amp;amp; a long driveway with a two-car garage/storage loft offers much potential.</t>
        </r>
      </text>
    </comment>
    <comment ref="B14" authorId="1">
      <text>
        <r>
          <rPr>
            <sz val="8"/>
            <color indexed="81"/>
            <rFont val="Tahoma"/>
            <charset val="1"/>
          </rPr>
          <t xml:space="preserve">12/01/2007
Active --&gt; Cancelled
</t>
        </r>
      </text>
    </comment>
    <comment ref="E14" authorId="0">
      <text>
        <r>
          <rPr>
            <sz val="9"/>
            <color indexed="81"/>
            <rFont val="Tahoma"/>
            <family val="2"/>
          </rPr>
          <t>Comfortable, much-loved home, 1st time on the market in 50+ years. The main floor has a circular floor plan, large living room with coved ceilings and a wood-burning fireplace, dining room and spacious kitchen w/loads of storage. Main floor bedroom has adjoining full bathroom. Laundry, storage, 3/4 bath and rec room in lower level. Attached 2 car tandem garage with work benches. Private corner lot with nice yard and mature landscaping.Brand new electrical panel, new roof installed by end Nov.</t>
        </r>
      </text>
    </comment>
    <comment ref="B15" authorId="1">
      <text>
        <r>
          <rPr>
            <sz val="8"/>
            <color indexed="81"/>
            <rFont val="Tahoma"/>
            <charset val="1"/>
          </rPr>
          <t xml:space="preserve">12/01/2007
Active --&gt; Expired
</t>
        </r>
      </text>
    </comment>
    <comment ref="E15" authorId="0">
      <text>
        <r>
          <rPr>
            <sz val="9"/>
            <color indexed="81"/>
            <rFont val="Tahoma"/>
            <family val="2"/>
          </rPr>
          <t>Exciting mountain views from deck and remodeled kitchen. Charming period features in well-maintained condition. Extra storage space in basement. Close to Phinney Center and plenty of shopping.</t>
        </r>
      </text>
    </comment>
    <comment ref="B16" authorId="1">
      <text>
        <r>
          <rPr>
            <sz val="8"/>
            <color indexed="81"/>
            <rFont val="Tahoma"/>
            <family val="2"/>
          </rPr>
          <t xml:space="preserve">11/28/2007
Active --&gt; Expired
</t>
        </r>
      </text>
    </comment>
    <comment ref="E16" authorId="0">
      <text>
        <r>
          <rPr>
            <sz val="9"/>
            <color indexed="81"/>
            <rFont val="Tahoma"/>
            <family val="2"/>
          </rPr>
          <t>This home is in better than new condition as it has been recently updated with ADDED SQ. FOOTAGE. It features a cozy living room, huge dining room w/fpl, modern kitchen, 2 bedrooms and 13/4 baths on the main level, gleemimh wood floors,and seperate laundry area. The newly completed upper level has an extra room (appx 250 sq ft.) with skylight and private 1/2 bath. The yard is fully fenced with detached garage,a gazebo,super garden area and very very private.</t>
        </r>
      </text>
    </comment>
    <comment ref="E17" authorId="0">
      <text>
        <r>
          <rPr>
            <sz val="9"/>
            <color indexed="81"/>
            <rFont val="Tahoma"/>
            <family val="2"/>
          </rPr>
          <t>Beautiful Broadview Classic! Light, open &amp;amp; spacious floor plan - Formal Living Rm &amp;amp; Dining Rm perfect for entertaining with adjoining Family Rm/Sun Rm. Sunny breadfast nook to greet the morning! Beautiful, sumptuous bath. Updated country kitchen. Lower level for expansion or perfect for the hobbyist(great shop). Verdant greenery surrounds the home. Convenient alley access to a detached garage. Prime convenient Broadview location. You will fall in love with this quality home!</t>
        </r>
      </text>
    </comment>
    <comment ref="B18" authorId="1">
      <text>
        <r>
          <rPr>
            <sz val="8"/>
            <color indexed="81"/>
            <rFont val="Tahoma"/>
            <charset val="1"/>
          </rPr>
          <t xml:space="preserve">12/01/2007
Active --&gt; Cancelled
</t>
        </r>
      </text>
    </comment>
    <comment ref="E18" authorId="0">
      <text>
        <r>
          <rPr>
            <sz val="9"/>
            <color indexed="81"/>
            <rFont val="Tahoma"/>
            <family val="2"/>
          </rPr>
          <t>Sitting privately above the street this fabulous home features views of the Olympic Mountains &amp;amp; downtown. Gleaming hrdwds welcome you into the dining/living area. Beautifully remodeled kitchen w/SS appl's, cherry cabinets &amp;amp; quaint breakfast nook.Main flr master,second rm great for office space, completely updated baths, fully finished basmnt w/ 2 add'l bdrms &amp;amp; laundry facilities. Don't miss the spacious bonus room upstairs, perfect playroom! Rear yard offers a serene oasis w/ mature landscaping</t>
        </r>
      </text>
    </comment>
    <comment ref="E19" authorId="0">
      <text>
        <r>
          <rPr>
            <sz val="9"/>
            <color indexed="81"/>
            <rFont val="Tahoma"/>
            <family val="2"/>
          </rPr>
          <t>Tastefully updated quaint home with lots of charm! Great kitchen w/stainless steel appliances, tile counters tops &amp;amp; more. Updated electrical. Hardwood floors throughout main bring elegance. 3 bedrooms, 1.75 bath, &amp;amp; unfinished basement w/lots of potential. The backyard is a Zen-like retreat featuring 2 decks off the back of the house. Great access to downtown, UW , 520, I-5, &amp;amp; Greenlake. Although this hm appears to be close to the freeway. The noise is minimal and not noticeable. Don't miss out!</t>
        </r>
      </text>
    </comment>
    <comment ref="E20" authorId="0">
      <text>
        <r>
          <rPr>
            <sz val="9"/>
            <color indexed="81"/>
            <rFont val="Tahoma"/>
            <family val="2"/>
          </rPr>
          <t>This 3bd 2bth has been completely remodeled in and out.Kitchen features:granite slab counters,custom cabinetry,matching stainless appliances.Bath includes jetted tub and modern fixtures. Home also has all new carpet,paint,E.ef.windows,E.ef.wash/dry,gas furnace,H20 heater and restored oak flooring. New roof w/warranty.Private backyard is perfect for entertaining and features a new wood deck.Located in the ever popular Wedgwood neigborhood, this home is a must see.Please visit us today!</t>
        </r>
      </text>
    </comment>
    <comment ref="E21" authorId="0">
      <text>
        <r>
          <rPr>
            <sz val="9"/>
            <color indexed="81"/>
            <rFont val="Tahoma"/>
            <family val="2"/>
          </rPr>
          <t>$15k price drop on this mint condition, level entry just 1 blk from Blue Ridge. Beautiful hdwd flrs, frpl w/new surround &amp;amp; mantle, sunny kit w/eat space &amp;amp; all new appls, remodeled bath w/marble tile flrs &amp;amp; deep soaking tub, new light fixtures, spacious bdrms &amp;amp; large conveniently located utility rm. Room to expand w/attached gar + shop w/elec, lg windows &amp;amp; sep entrance that could be converted into artist's sudio or home office. Xtra deep lot w/alley access + 620 sf deck. 2 blks to beach trail.</t>
        </r>
      </text>
    </comment>
    <comment ref="E22" authorId="0">
      <text>
        <r>
          <rPr>
            <sz val="9"/>
            <color indexed="81"/>
            <rFont val="Tahoma"/>
            <family val="2"/>
          </rPr>
          <t>Remodeled 1902 Ballard Bungalow! Light and bright with warm colors throughout. Spacious living room and formal dining room. Brazilian cherry hardwoods and ceramic tile flooring. Large kitchen with island, stainless steel appliances and attached eating/sitting area. Beautifully updated bathroom. Charming deck that overlooks private backyard with mature landscaping and arbor. Detached 1 car garage. Excellent location in desirable Ballard neighborhood, close to everything.</t>
        </r>
      </text>
    </comment>
    <comment ref="E23" authorId="0">
      <text>
        <r>
          <rPr>
            <sz val="9"/>
            <color indexed="81"/>
            <rFont val="Tahoma"/>
            <family val="2"/>
          </rPr>
          <t>Quiet street. Must see this darling interior to judge this one. Sweet master-suite with private bath and balcony. Updated kitchen with granite counters and gorgeous cabinets with glass fronts. Lovely spacious living room/dining room with unique fireplace, period windows and hardwood floors. 2 additional bedrooms with private bath. Hardwood &amp;amp; fir floors through most of house. 1 car garage and basement for storage. Small yard.</t>
        </r>
      </text>
    </comment>
    <comment ref="E24" authorId="0">
      <text>
        <r>
          <rPr>
            <sz val="9"/>
            <color indexed="81"/>
            <rFont val="Tahoma"/>
            <family val="2"/>
          </rPr>
          <t>A charming craftsman with updated systems and special features. Who could ask for more? Bathed in soothing colors with hardwood and fir floors, lovely moldings, bookshelves that bank the fireplace and French doors.The roomy updated kitchen has window seats and the tile bath keeps the character intact. An expanded master looks out to lovely rear yard. Basement hs tall cielings. Located on a street to street lot, this home is only blocks from the park. Off street parking for 2 cars in the rear.</t>
        </r>
      </text>
    </comment>
    <comment ref="E25" authorId="0">
      <text>
        <r>
          <rPr>
            <sz val="9"/>
            <color indexed="81"/>
            <rFont val="Tahoma"/>
            <family val="2"/>
          </rPr>
          <t>Enjoy this lovely split-entry home in Greenwood. Upper level offers gorgeous living room w/ vault ceilings, firepl &amp;amp; bay window. Large kitchen w/ cut-outs to dining area allow for easy entertaining. Master suite w/ lg walk-in closet &amp;amp; master bath w/ double vanity and skylight. On the lower level second master suite w/ full bath,open kitch &amp;amp; living rm. Would make a perfect mother-in-law apartment. The large 2 car garage&amp;amp;room for an RV! Fully fenced yard and beautiful landscaping.</t>
        </r>
      </text>
    </comment>
    <comment ref="E26" authorId="0">
      <text>
        <r>
          <rPr>
            <sz val="9"/>
            <color indexed="81"/>
            <rFont val="Tahoma"/>
            <family val="2"/>
          </rPr>
          <t>Cute as a button Tudor in Maple Leaf. Lovely views of Cascades from the enchanting master bedroom. There's even a view from the closet dressing area! Wonderful gardens in both front &amp;amp; back yards. Precious breakfast nook has heated floors for the chill of Fall. Living room has beamed ceilings, a bay window &amp;amp; built in benches w/storage by the fireplace. French doors on two sides of the dining room, light floods in. Lots of expansion potential in the basement &amp;amp; a two car garage off the alley!</t>
        </r>
      </text>
    </comment>
    <comment ref="E27" authorId="0">
      <text>
        <r>
          <rPr>
            <sz val="9"/>
            <color indexed="81"/>
            <rFont val="Tahoma"/>
            <family val="2"/>
          </rPr>
          <t>Classic Seattle Brick Tudor with an open floor plan and lots of natural light. Features hardwood floors, art tiled fireplace, coved and coffered ceilings and original mahogany trim and picture rails. Great space for entertaining with formal living &amp;amp; dining rooms. View of Mt. Rainier on a clear day. Remodeled kitchen with sunlit breakfast nook and lots of cabinet space. High ceilings in basement w/separate entrance - could increase sq. footage to 1930. Large fenced private backyard and patio.</t>
        </r>
      </text>
    </comment>
    <comment ref="E28" authorId="0">
      <text>
        <r>
          <rPr>
            <sz val="9"/>
            <color indexed="81"/>
            <rFont val="Tahoma"/>
            <family val="2"/>
          </rPr>
          <t>An In-City oasis! Huge property-mature garden w/fruit trees (figs, apples) grapes and berries, gentle stream, makes this story-book home a place to enjoy w/your family and friends. It features 3bd,1.75ba and a family rm/office w/french doors out to the patio. Hrdwd floors in most of the home. Newly painted in/out. Newer kitchen and appliances. Some double pane windows. Lrg garage w/shop. New construction on the street. Close to UW, Children's &amp;amp; UW hosp, UVillage. Easy access to freeways.</t>
        </r>
      </text>
    </comment>
    <comment ref="AG28" authorId="1">
      <text>
        <r>
          <rPr>
            <sz val="8"/>
            <color indexed="81"/>
            <rFont val="Tahoma"/>
            <charset val="1"/>
          </rPr>
          <t xml:space="preserve">12/01/2007
47.6993 --&gt; 47.699283
</t>
        </r>
      </text>
    </comment>
    <comment ref="AH28" authorId="1">
      <text>
        <r>
          <rPr>
            <sz val="8"/>
            <color indexed="81"/>
            <rFont val="Tahoma"/>
            <charset val="1"/>
          </rPr>
          <t xml:space="preserve">12/01/2007
-122.291086 --&gt; -122.291081
</t>
        </r>
      </text>
    </comment>
    <comment ref="E29" authorId="0">
      <text>
        <r>
          <rPr>
            <sz val="9"/>
            <color indexed="81"/>
            <rFont val="Tahoma"/>
            <family val="2"/>
          </rPr>
          <t>Charming and full of character, this adorable home is just blocks from Green Lake with all the fine dining, shopping and amenities this area offers. Situated on a quiet street this 2 bedroom 1 bath home features newly finished hardwood floors, coved ceilings, formal dining room and attractive tiled fireplace. Level yard with deck. Unfinished basement with expansion potential and a single car garage.</t>
        </r>
      </text>
    </comment>
    <comment ref="E30" authorId="0">
      <text>
        <r>
          <rPr>
            <sz val="9"/>
            <color indexed="81"/>
            <rFont val="Tahoma"/>
            <family val="2"/>
          </rPr>
          <t>Don't miss this charming Craftsman! Bright and airy second floor addition features vaulted ceilings and views of Puget Sound, Mt. Rainier, and the Cascades. Beautiful mature trees create a private in-city oasis in a friendly neighborhood. Short distance to nearby grocery stores and eateries. Easy bus access to downtown. Garage off alley with level entry to home. Ready to enjoy now with great potential to customize or expand! New electrical and plumbing. All appliances 6 y.o. or less.</t>
        </r>
      </text>
    </comment>
    <comment ref="E31" authorId="0">
      <text>
        <r>
          <rPr>
            <sz val="9"/>
            <color indexed="81"/>
            <rFont val="Tahoma"/>
            <family val="2"/>
          </rPr>
          <t>1928 Phinney Ridge bungalow with many period details.2Br-1Bth, living room with mantled fireplace and crown molding. Kitchen with southern exposure has new stainless refrigerator and range. Front and back porch. Unfinished basement with good ceiling height, Nice backyard with mature plantings and Detached garage. Upgrades include 200amp service, high-tech cabling,security system and copper plumbing. A short walk to the best Phinney Ridge shops and restaurants.</t>
        </r>
      </text>
    </comment>
    <comment ref="B32" authorId="0">
      <text>
        <r>
          <rPr>
            <sz val="9"/>
            <color indexed="81"/>
            <rFont val="Tahoma"/>
            <family val="2"/>
          </rPr>
          <t xml:space="preserve">11/23/2007
Active --&gt; Contingent
</t>
        </r>
      </text>
    </comment>
    <comment ref="E32" authorId="0">
      <text>
        <r>
          <rPr>
            <sz val="9"/>
            <color indexed="81"/>
            <rFont val="Tahoma"/>
            <family val="2"/>
          </rPr>
          <t>Tucked away on a quiet street just minutes from REDUCED! Haller Lake this classic brick Cape Cod home has been lovingly maintained. Pride of ownership shows in the gleaming oak hardwood floors &amp;amp; woodwork, updated kitchen &amp;amp; bath. You'll see attention to detail throughout. The kitchen is updated w/newer appliances &amp;amp; plenty of storage. Check out the new windows, updated electrical &amp;amp; copper plumbing. Conveniently located near major shopping, restaurants and I-5 this is truly a place to call home!</t>
        </r>
      </text>
    </comment>
    <comment ref="E33" authorId="0">
      <text>
        <r>
          <rPr>
            <sz val="9"/>
            <color indexed="81"/>
            <rFont val="Tahoma"/>
            <family val="2"/>
          </rPr>
          <t>Beautifully maintained park-like setting surrounds this pristine townhome community. Stendall Place is centrally located to NW Hospital, Northgate Mall, and downtown Seattle. This 3 bedroom oasis in the city features a large, attached 2 car garage, a private courtyard entry, a serene patio overlooking lush lawns, a community sport court, central A/C, ample storage and closets, a large laundry room, skylights with natural light, and a lofted 3rd bedroom.</t>
        </r>
      </text>
    </comment>
    <comment ref="AG33" authorId="0">
      <text>
        <r>
          <rPr>
            <sz val="9"/>
            <color indexed="81"/>
            <rFont val="Tahoma"/>
            <family val="2"/>
          </rPr>
          <t xml:space="preserve">11/23/2007
47.714536 --&gt; 47.714545
</t>
        </r>
      </text>
    </comment>
    <comment ref="AH33" authorId="0">
      <text>
        <r>
          <rPr>
            <sz val="9"/>
            <color indexed="81"/>
            <rFont val="Tahoma"/>
            <family val="2"/>
          </rPr>
          <t xml:space="preserve">11/23/2007
-122.340327 --&gt; -122.340266
</t>
        </r>
      </text>
    </comment>
    <comment ref="E34" authorId="0">
      <text>
        <r>
          <rPr>
            <sz val="9"/>
            <color indexed="81"/>
            <rFont val="Tahoma"/>
            <family val="2"/>
          </rPr>
          <t>North Beach Remodeled Cottage on large Street to Street parklike lot. Less than 1 mile to Golden Gardens beach; dogpark. Lot has large tees &amp;amp; a quiet setting. Great lot for addition or building new in the future. Plenty of off St. parking for 4+ cars, boat trailers or RV. New paint, carpet, bath and light fixtures. Cozy Fireplace, available now!</t>
        </r>
      </text>
    </comment>
    <comment ref="E35" authorId="0">
      <text>
        <r>
          <rPr>
            <sz val="9"/>
            <color indexed="81"/>
            <rFont val="Tahoma"/>
            <family val="2"/>
          </rPr>
          <t>Like a brand new house,with character!With this house you will see new roof,gas furnace,windows new kitchen with granite counter tops and stainless appl.The basement has a great playroom or a theater room!The yard gives you lots of parking for whatever,and garden space,with a covered patio to enjoy.Great location next to elementary and shopping,freeway.wow</t>
        </r>
      </text>
    </comment>
    <comment ref="E36" authorId="0">
      <text>
        <r>
          <rPr>
            <sz val="9"/>
            <color indexed="81"/>
            <rFont val="Tahoma"/>
            <family val="2"/>
          </rPr>
          <t>Delightful Cape Cod Mench! Beautifully detailed original woodwork, gorgeous hardwood floors, &amp;amp; formal dining rm overlooking mature pretty plantings.Classic brick faced fireplace, spacious family rm., covered patio, large level lot, double pane windows, &amp;amp; alley access to detached gar. High ceilinged basement has potential for more finished space or 3rd bed. All this in fabulous Loyal Heights location near parks, Golden Gardens Beach, restaurants, &amp;amp; shopping. Adorable &amp;amp; updated! Open 10/28/07</t>
        </r>
      </text>
    </comment>
    <comment ref="F36" authorId="1">
      <text>
        <r>
          <rPr>
            <sz val="8"/>
            <color indexed="81"/>
            <rFont val="Tahoma"/>
            <family val="2"/>
          </rPr>
          <t xml:space="preserve">11/28/2007
489500 --&gt; 475000
</t>
        </r>
      </text>
    </comment>
    <comment ref="AH36" authorId="0">
      <text>
        <r>
          <rPr>
            <sz val="9"/>
            <color indexed="81"/>
            <rFont val="Tahoma"/>
            <family val="2"/>
          </rPr>
          <t xml:space="preserve">11/23/2007
-122.3854 --&gt; -122.38542
</t>
        </r>
      </text>
    </comment>
    <comment ref="AP36" authorId="0">
      <text>
        <r>
          <rPr>
            <sz val="9"/>
            <color indexed="81"/>
            <rFont val="Tahoma"/>
            <family val="2"/>
          </rPr>
          <t xml:space="preserve">11/23/2007
Delightful Cape Cod Mench! Beautifully detailed original woodwork, gorgeous hardwood floors, &amp;amp; formal dining rm overlooking mature pretty plantings.Classic brick faced fireplace, spacious family rm., covered patio, large level lot, double pane windows, &amp;amp; alley access to detached gar. High ceilinged basement has potential for more finished space or 3rd bed. All this in fabulous Loyal Heights location near parks, Golden Gardens Beach, restaurants, &amp;amp; shopping. Adorable &amp;amp; updated! Open 10/28/07 --&gt; Delightful Cape Cod Mench! Beautifully detailed original woodwork, gorgeous hardwood floors, &amp;amp; formal dining rm overlooking mature pretty plantings.Classic brick faced fireplace, spacious family rm., covered patio, large level lot, double pane windows, &amp;amp; alley access to detached gar. High ceilinged basement has potential for more finished space or 3rd bed. All this in fabulous Loyal Heights location near parks, Golden Gardens Beach, restaurants, &amp;amp; shopping. Adorable &amp;amp; updated!
</t>
        </r>
      </text>
    </comment>
    <comment ref="E37" authorId="0">
      <text>
        <r>
          <rPr>
            <sz val="9"/>
            <color indexed="81"/>
            <rFont val="Tahoma"/>
            <family val="2"/>
          </rPr>
          <t>Location! Only a couple of blocks to downtown Fremont shops and restaurants. Directly across from B.F. Day park. Enjoy 3 bedroom, 1 bath with lots of room to finish basement for added space. Electrical and bathroom has been updated. New front porch made Sof trex composite and backyard wood deck built recently. Front yard has been professionally landscaped along w/private gated backyard. Existing hardwoods throughout that just need some TLC.</t>
        </r>
      </text>
    </comment>
    <comment ref="E38" authorId="0">
      <text>
        <r>
          <rPr>
            <sz val="9"/>
            <color indexed="81"/>
            <rFont val="Tahoma"/>
            <family val="2"/>
          </rPr>
          <t>20K Price Drop! Newly Remodeled Bryant Craftsman! Enjoy a beautiful view of Mt Rainier from your brand new kitchen. Completely redone with new flooring, maple cabinets, granite counters, top-end stainless appl. designer paint. From the kitchen savor your morning coffee from the cozy covered deck!! Both bathrooms are new, upstairs was remodeled and downstairs is brand new!!Room to grow in the high ceiling basement, it is partially finished with a new bath, and sink and cabinets for a 2nd kitchen.</t>
        </r>
      </text>
    </comment>
    <comment ref="E39" authorId="0">
      <text>
        <r>
          <rPr>
            <sz val="9"/>
            <color indexed="81"/>
            <rFont val="Tahoma"/>
            <family val="2"/>
          </rPr>
          <t>Lovely remodeled Ballard Bungalow! 2 bed/1bath charmer on quiet street across from park/school yard. Updates throughout. Large Master Suite with wood burning fireplace. French doors from Master to New Trex deck. Great kitchen with cute nook that opens to deck. Private yard with shop, garage and alley access. Loyal Heights amentities just out the door. Move in ready - Don't miss!</t>
        </r>
      </text>
    </comment>
    <comment ref="B40" authorId="1">
      <text>
        <r>
          <rPr>
            <sz val="8"/>
            <color indexed="81"/>
            <rFont val="Tahoma"/>
            <family val="2"/>
          </rPr>
          <t xml:space="preserve">11/28/2007
Active --&gt; Active - STI
</t>
        </r>
      </text>
    </comment>
    <comment ref="E40" authorId="0">
      <text>
        <r>
          <rPr>
            <sz val="9"/>
            <color indexed="81"/>
            <rFont val="Tahoma"/>
            <family val="2"/>
          </rPr>
          <t>Sunny western exposure mid-century home with welcoming floor plan. Built in 1959 and immaculately maintained. 3 bedrooms, 1.5 bathrooms and hardwoods on the main floor. Much sought after finished rec room &amp;amp; project areas on lower level. Oversized 2-car garage with workshop &amp;amp; bathroom. Dining room opens onto lovely entertainment sized yard for gardener's paradise and active play. Friendly neighborhood for walking with easy access to Lake City Farmer's Market, Library, shops and restaurants.</t>
        </r>
      </text>
    </comment>
    <comment ref="E41" authorId="0">
      <text>
        <r>
          <rPr>
            <sz val="9"/>
            <color indexed="81"/>
            <rFont val="Tahoma"/>
            <family val="2"/>
          </rPr>
          <t>Searching for an income N/C ADU, (extra house on property) plus a perfect get away on a large lot. See this! 2 homes on nearly 8,000+ sq ft. Well maintained, new full bth, some updated plumbing, wiring! 3 bdrms; 2 on main plus 1 up. Second house has 1 bdrm, 3/4 bth, loft, kitchenette; guest qtrs, studio, private office or rental. Main house is open; light filled areas, skylight, gas free-standing frpl. SW orientation nice features throughout! Decks for entertaining; mature plantings.</t>
        </r>
      </text>
    </comment>
    <comment ref="B42" authorId="1">
      <text>
        <r>
          <rPr>
            <sz val="8"/>
            <color indexed="81"/>
            <rFont val="Tahoma"/>
            <charset val="1"/>
          </rPr>
          <t xml:space="preserve">12/01/2007
Active --&gt; Cancelled
</t>
        </r>
      </text>
    </comment>
    <comment ref="E42" authorId="0">
      <text>
        <r>
          <rPr>
            <sz val="9"/>
            <color indexed="81"/>
            <rFont val="Tahoma"/>
            <family val="2"/>
          </rPr>
          <t>Location, location, location: Lovely home on great street! Living &amp;amp; dining spaces are flooded with natural daylight. Entry w/coat closet, formal Dining, living rm w/FP. Large Kitchen w/room for breakfast table. Finished bsmt w/ 3rd bedrm, spacious family rm, 3/4 bath, laundry &amp;amp; storage. Newly refinished Hardwood floors. New 30yr roof &amp;amp; fresh interior paint. Move in ready for you to spend the holidays! Detached garage/alley. Just Steps to Loyal Heights Elementary, community center, bus &amp;amp; park</t>
        </r>
      </text>
    </comment>
    <comment ref="AG42" authorId="1">
      <text>
        <r>
          <rPr>
            <sz val="8"/>
            <color indexed="81"/>
            <rFont val="Tahoma"/>
            <charset val="1"/>
          </rPr>
          <t xml:space="preserve">12/01/2007
47.68449 --&gt; 47.684485
</t>
        </r>
      </text>
    </comment>
    <comment ref="AH42" authorId="1">
      <text>
        <r>
          <rPr>
            <sz val="8"/>
            <color indexed="81"/>
            <rFont val="Tahoma"/>
            <charset val="1"/>
          </rPr>
          <t xml:space="preserve">12/01/2007
-122.388774 --&gt; -122.388746
</t>
        </r>
      </text>
    </comment>
    <comment ref="E43" authorId="0">
      <text>
        <r>
          <rPr>
            <sz val="9"/>
            <color indexed="81"/>
            <rFont val="Tahoma"/>
            <family val="2"/>
          </rPr>
          <t>Charming 1900 farmhouse in Ballard features many updates with plenty of elbow room inside and out. Spacious upper floor with two light filled bedrooms. Completely fenced with level yard and productive fruit trees.</t>
        </r>
      </text>
    </comment>
    <comment ref="E44" authorId="0">
      <text>
        <r>
          <rPr>
            <sz val="9"/>
            <color indexed="81"/>
            <rFont val="Tahoma"/>
            <family val="2"/>
          </rPr>
          <t>New price + $5,000 BUYER BONUS...Immaculate move-in ready cond w/daylight bsmnt features 4 bdrms + den/offc + rec area,2 baths,2 kitchens. Cmpltd updted w/new paint, marble and hardwood flrs. Daylight bsmnt w/own frpl, 2nd kitchen, full bath &amp;amp; separate entry. Updated kitchen w/marble countertops. Stunning landscaping w/ water fountain in the front yard &amp;amp; fish pond in the bckyrd. Easy access to I-5, only minutes to schls, parks, lakes, golf course &amp;amp; Northgate shopping mall. ALL APPLIANCES STAY!</t>
        </r>
      </text>
    </comment>
    <comment ref="E45" authorId="0">
      <text>
        <r>
          <rPr>
            <sz val="9"/>
            <color indexed="81"/>
            <rFont val="Tahoma"/>
            <family val="2"/>
          </rPr>
          <t>This wonderfully remodeled home that has been brought back to life in style! From the remodeled kitchen to the landscaping, the owner has left no stone unturned in reviving this beautiful home on a corner lot. The moment you enter, you'll notice the shine from the hardwood floors that look new. Upstairs boasts a huge master bedroom w/new carpet &amp;amp; fresh paint. The basement also has new carpet &amp;amp; paint &amp;amp; is perfect for your new rec room with a gorgeous 3/4 bath.</t>
        </r>
      </text>
    </comment>
    <comment ref="E46" authorId="0">
      <text>
        <r>
          <rPr>
            <sz val="9"/>
            <color indexed="81"/>
            <rFont val="Tahoma"/>
            <family val="2"/>
          </rPr>
          <t>Beautifully updated 2bdrm Craftsman in sought after Ballard/Greenwood reflects quality workmanship! Home features remodeled kitchen w/stainless appliances, dining room, living room w/cozy wood stove. Updated bath w/granite shower &amp;amp; heated tile floor. Finished bsmt w/bonus room and laundry room. Cedar sauna opens onto fenced backyard w/dog kennel, fenced garden, patio &amp;amp; fruit trees. Handyman's dream includes spacious detached 650 sq ft garage. Freshly painted inside/out! 30yr roof w/warranty.</t>
        </r>
      </text>
    </comment>
    <comment ref="F46" authorId="0">
      <text>
        <r>
          <rPr>
            <sz val="9"/>
            <color indexed="81"/>
            <rFont val="Tahoma"/>
            <family val="2"/>
          </rPr>
          <t xml:space="preserve">11/23/2007
419000 --&gt; 409500
</t>
        </r>
      </text>
    </comment>
    <comment ref="AH46" authorId="0">
      <text>
        <r>
          <rPr>
            <sz val="9"/>
            <color indexed="81"/>
            <rFont val="Tahoma"/>
            <family val="2"/>
          </rPr>
          <t xml:space="preserve">11/25/2007
-122.3581 --&gt; -122.35808
</t>
        </r>
      </text>
    </comment>
    <comment ref="AP46" authorId="0">
      <text>
        <r>
          <rPr>
            <sz val="9"/>
            <color indexed="81"/>
            <rFont val="Tahoma"/>
            <family val="2"/>
          </rPr>
          <t xml:space="preserve">11/28/2007
Beautifully updated 2bdrm Craftsman in sought after Ballard/Greenwood reflects quality workmanship! Home features remodeled kitchen w/stainless appliances, DR, LR w/cozy wood stove. Updated bath w/granite shower &amp;amp; heated tile floor. Finished bsmt w/bonus room and laundry room. Cedar sauna opens onto fenced backyard w/dog kennel, fenced garden. Handyman's dream with detached 650 sq ft garage. 30yr roof. If Buyer's agent not present at all showings/insp &amp;amp; appt, commission will be 1% --&gt; Beautifully updated 2bdrm Craftsman in sought after Ballard/Greenwood reflects quality workmanship! Home features remodeled kitchen w/stainless appliances, Dining Room, LR w/cozy wood stove. Updated bath w/granite shower &amp;amp; heated tile floor. Finished bsmt w/bonus room and laundry room. Cedar sauna opens onto fenced backyard w/dog kennel, fenced yard and full-sun garden area. Huge 650 sqft detached garage with storage/workbench on 3 walls. 30-yr roof w/transferable warranty.
11/25/2007
Beautifully updated 2bdrm Craftsman in sought after Ballard/Greenwood reflects quality workmanship! Home features remodeled kitchen w/stainless appliances, dining room, living room w/cozy wood stove. Updated bath w/granite shower &amp;amp; heated tile floor. Finished bsmt w/bonus room and laundry room. Cedar sauna opens onto fenced backyard w/dog kennel, fenced garden, patio &amp;amp; fruit trees. Handyman's dream includes spacious detached 650 sq ft garage. Freshly painted inside/out! 30yr roof w/warranty. --&gt; Beautifully updated 2bdrm Craftsman in sought after Ballard/Greenwood reflects quality workmanship! Home features remodeled kitchen w/stainless appliances, DR, LR w/cozy wood stove. Updated bath w/granite shower &amp;amp; heated tile floor. Finished bsmt w/bonus room and laundry room. Cedar sauna opens onto fenced backyard w/dog kennel, fenced garden. Handyman's dream with detached 650 sq ft garage. 30yr roof. If Buyer's agent not present at all showings/insp &amp;amp; appt, commission will be 1%
</t>
        </r>
      </text>
    </comment>
    <comment ref="AS46" authorId="1">
      <text>
        <r>
          <rPr>
            <sz val="8"/>
            <color indexed="81"/>
            <rFont val="Tahoma"/>
            <family val="2"/>
          </rPr>
          <t xml:space="preserve">11/28/2007
http://locmedia.nwmls.com/DO_NOT_LINK/bigphoto/376/27180376.jpg?tsp=20071011121819 --&gt; http://locmedia.nwmls.com/DO_NOT_LINK/bigphoto/376/27180376.jpg?tsp=20071127223300
</t>
        </r>
      </text>
    </comment>
    <comment ref="B47" authorId="0">
      <text>
        <r>
          <rPr>
            <sz val="9"/>
            <color indexed="81"/>
            <rFont val="Tahoma"/>
            <family val="2"/>
          </rPr>
          <t xml:space="preserve">11/28/2007
Active - STI --&gt; Pending
11/25/2007
Active --&gt; Active - STI
</t>
        </r>
      </text>
    </comment>
    <comment ref="E47" authorId="0">
      <text>
        <r>
          <rPr>
            <sz val="9"/>
            <color indexed="81"/>
            <rFont val="Tahoma"/>
            <family val="2"/>
          </rPr>
          <t>HOME SWEET HOME!This is a bright,cozy home,move-in ready. 2 bedrooms(plus)1.75 baths,hardwood floors w/new maple floors in kitchen. Coved ceilings, fireplace, dining room w/garden window. Finished basement w/new carpeting. 2006 oil furnace, plenty of storage. Deck off kitchen and garden/patio area in fenced back yard. Single car garage with alley access. Home Warranty provided. BUYER BONUS $5000.00 in closing costs paid by seller w/agreed upon offer!</t>
        </r>
      </text>
    </comment>
    <comment ref="E48" authorId="0">
      <text>
        <r>
          <rPr>
            <sz val="9"/>
            <color indexed="81"/>
            <rFont val="Tahoma"/>
            <family val="2"/>
          </rPr>
          <t>Bright, happy Craftsman. An artist's home &amp;amp; it shows. Precious yard w/ Zen meditation area &amp;amp; covered back patio. Sunny, open living area w/ a drop-dead gorgeous slate fireplace &amp;amp; amber colored fir floors. Cute eat-in kitchen is perfect for hanging out. Big bathroom easily divided into another .5 or full bath. Too many artistically crafted details to list. This well done home will make you smile &amp;amp; still has opportunities for big equity growth from your touches. Off st. prkg in front &amp;amp; off alley.</t>
        </r>
      </text>
    </comment>
    <comment ref="B49" authorId="0">
      <text>
        <r>
          <rPr>
            <sz val="9"/>
            <color indexed="81"/>
            <rFont val="Tahoma"/>
            <family val="2"/>
          </rPr>
          <t xml:space="preserve">11/23/2007
Active --&gt; Pending
</t>
        </r>
      </text>
    </comment>
    <comment ref="E49" authorId="0">
      <text>
        <r>
          <rPr>
            <sz val="9"/>
            <color indexed="81"/>
            <rFont val="Tahoma"/>
            <family val="2"/>
          </rPr>
          <t>Smart, sophisticated and meticulous! Sparkling hardwoods. Spacious 3 bedroom, 2 bath, which includes the master suite, is all on one floor! Beautiful new kitchen with slab granite and stainless appliances. Generous kitchen eating area opens to the huge rear yard and back deck. Ally access to the rear yard. Large attached garage has an open stairway to a nice size loft, perfect for possible expansion.</t>
        </r>
      </text>
    </comment>
    <comment ref="E50" authorId="0">
      <text>
        <r>
          <rPr>
            <sz val="9"/>
            <color indexed="81"/>
            <rFont val="Tahoma"/>
            <family val="2"/>
          </rPr>
          <t>Exceptional 2story on corner lot w/ great curb appeal &amp;amp;move-in condition. Huge 625 sq ft garage / shop. Walk to restaurants, coffee shops, the Interlake Trail and bus stop.Quick access to I-5,downtown &amp;amp;Ballard.Expansive deck is perfect for barbequing and entertaining year round.Heat efficient home with double pane windows&amp;amp;efficient gas furnace.Gourmet kitchen &amp;amp; large living room.Master bedrm 16ft by 16 ft has a warm and open feel with vaulted ceilings, French doors that open to private balcony.</t>
        </r>
      </text>
    </comment>
    <comment ref="E51" authorId="0">
      <text>
        <r>
          <rPr>
            <sz val="9"/>
            <color indexed="81"/>
            <rFont val="Tahoma"/>
            <family val="2"/>
          </rPr>
          <t>Classic Seattle Brick Tudor with an open floor plan and lots of natural light. Features hardwood floors, art tiled fireplace, coved and coffered ceilings and original mahogany trim and picture rails. Great space for entertaining with formal living &amp;amp; dining rooms. View of Mt. Rainier on a clear day. Remodeled kitchen with sunlit breakfast nook and lots of cabinet space. High ceilings in basement w/separate entrance - could increase sq. footage to 1930. Large fenced private backyard and patio.</t>
        </r>
      </text>
    </comment>
    <comment ref="E52" authorId="0">
      <text>
        <r>
          <rPr>
            <sz val="9"/>
            <color indexed="81"/>
            <rFont val="Tahoma"/>
            <family val="2"/>
          </rPr>
          <t>Come and see this charming mid-century rambler located on a wonderful street, this is not on a busy street! This tastefully renovated home offers an open floor plan, radiant heat, new kitchen w/ stainless appliances, hardwood floors and a large secluded fenced back yard - all on a 6,500+ sq ft lot. Separate laundry/mud room off the 1 car attached garage. This lovely home is move in ready!</t>
        </r>
      </text>
    </comment>
    <comment ref="B53" authorId="1">
      <text>
        <r>
          <rPr>
            <sz val="8"/>
            <color indexed="81"/>
            <rFont val="Tahoma"/>
            <charset val="1"/>
          </rPr>
          <t xml:space="preserve">12/01/2007
Active --&gt; Expired
</t>
        </r>
      </text>
    </comment>
    <comment ref="E53" authorId="0">
      <text>
        <r>
          <rPr>
            <sz val="9"/>
            <color indexed="81"/>
            <rFont val="Tahoma"/>
            <family val="2"/>
          </rPr>
          <t>Beautiful updated Cape Cod on a fabulous lot in prime location! Great floor plan with large spacious rooms. Charm &amp;amp; pizazz with refinished oak floors, radius corners, art-deco fireplace etc. Updated kitchen with lots of cabinet space. Light &amp;amp; open with southern exposure &amp;amp; big picture windows. Huge family room downstairs with fireplace. Most systems updated. Wonderful private large fenced backyard. Located next to a park! Polished &amp;amp; absolutely gorgeous. This is the one you have been waiting for!!</t>
        </r>
      </text>
    </comment>
    <comment ref="B54" authorId="0">
      <text>
        <r>
          <rPr>
            <sz val="9"/>
            <color indexed="81"/>
            <rFont val="Tahoma"/>
            <family val="2"/>
          </rPr>
          <t xml:space="preserve">11/23/2007
Active --&gt; Active - STI
</t>
        </r>
      </text>
    </comment>
    <comment ref="E54" authorId="0">
      <text>
        <r>
          <rPr>
            <sz val="9"/>
            <color indexed="81"/>
            <rFont val="Tahoma"/>
            <family val="2"/>
          </rPr>
          <t>Solid, Well-Built, Nearly Impeccable!, Located on a Lovely Street w/other well-maintained homes, Craftsman brick, daylight Rambler, 2 bedrooms, 2 baths, 2 rec rooms w/2nd bath. Two Fireplaces, 1 up/1 down, Gourmet Kitchen with French doors to backyard, Sparkling hardwoods recently updated thru-out. Designer colors. One of the lower rec rooms w/bath was used as Master Bedoom (window not to code for egress), Applnces included, shop/storage on lower level, Buyer to verify bldg. square footage.</t>
        </r>
      </text>
    </comment>
    <comment ref="E55" authorId="0">
      <text>
        <r>
          <rPr>
            <sz val="9"/>
            <color indexed="81"/>
            <rFont val="Tahoma"/>
            <family val="2"/>
          </rPr>
          <t>Almost completely remodeled. Some minor work left to be done. Wood floors. All copper plumbing. Electrical mostly updated. Gas heat. Legal mother-in-law in bsmt with separate entrance. Most appliances less than 4 years old. Corner lot. Garage and 2 space carport. Gas stoves. Exterior professionally restored and painted. Lots of finished attic storage with stair access.</t>
        </r>
      </text>
    </comment>
    <comment ref="E56" authorId="0">
      <text>
        <r>
          <rPr>
            <sz val="9"/>
            <color indexed="81"/>
            <rFont val="Tahoma"/>
            <family val="2"/>
          </rPr>
          <t>Updated contemporary home in sought-after Ravenna neighborhood. 1st floor features spacious great room with fireplace, modernized kitchen &amp;amp; full bath plus large master bedroom with tons of closet space. Downstairs offers another ample bdrm, full bath and laundry room. Low maintenance backyard offers charming patio area. Located minutes from U Village, walking distance to coffee shops, restaurants and parks. Zoned for duplex (buyer to verify), downstairs wired for kitchen.</t>
        </r>
      </text>
    </comment>
    <comment ref="E57" authorId="0">
      <text>
        <r>
          <rPr>
            <sz val="9"/>
            <color indexed="81"/>
            <rFont val="Tahoma"/>
            <family val="2"/>
          </rPr>
          <t>North Seattle. 2 bedroom rambler style, 1080 SF home (KCR), 8380 SF lot (KCR). Hardwood flooring under carpet. Tile flooring in kitchen and family area. Fully fenced rear yard with patio &amp;amp; RV parking pad. Attached garage. On flat corner lot.</t>
        </r>
      </text>
    </comment>
    <comment ref="B58" authorId="1">
      <text>
        <r>
          <rPr>
            <sz val="8"/>
            <color indexed="81"/>
            <rFont val="Tahoma"/>
            <family val="2"/>
          </rPr>
          <t xml:space="preserve">11/28/2007
Active --&gt; Active - STI
</t>
        </r>
      </text>
    </comment>
    <comment ref="E58" authorId="0">
      <text>
        <r>
          <rPr>
            <sz val="9"/>
            <color indexed="81"/>
            <rFont val="Tahoma"/>
            <family val="2"/>
          </rPr>
          <t>Charming one level home on quiet cul de sac. Great floor plan! 3 bdrm 1.75 bths. Spacious living rm has hardwood floors &amp;amp; frplc. Nice dining rm overlooks private bckyrd. Good sized kitchen w/new appliances, gas cooktop, &amp;amp; cozy eating area. Spacious family rm w/2nd frplc. Fully fenced &amp;amp; Re-landscaped yard. Large patio, brick walkway, play area, &amp;amp; garden space. Updates: New Windows/ Gas Heat/ Newer Roof. Great location close to schools, shops, &amp;amp; bus-line. A short walk to Carkeek Park &amp;amp; Beach!</t>
        </r>
      </text>
    </comment>
    <comment ref="E59" authorId="0">
      <text>
        <r>
          <rPr>
            <sz val="9"/>
            <color indexed="81"/>
            <rFont val="Tahoma"/>
            <family val="2"/>
          </rPr>
          <t>Bright and irresistibly charming home in Bryant! Excellent location near Metro Market, PCC, UW, Burke Gilman Trail, and Children's Hospital. Front and back yard are fully fenced with impressive custom fencing. Enjoy the lovely landscaping, garden space and back deck. The Basement is fully finished and can be converted into an extra bedroom. The main bath has been renovated an all appliances are only 2 years old. Don't miss this opportunity!</t>
        </r>
      </text>
    </comment>
    <comment ref="E60" authorId="0">
      <text>
        <r>
          <rPr>
            <sz val="9"/>
            <color indexed="81"/>
            <rFont val="Tahoma"/>
            <family val="2"/>
          </rPr>
          <t>Beautifully maintained charming rambler in pristine condition. This one level home has a paneled family room adjoining the kitchen and a newer trex deck. Large windows provide light, bright living and dining rooms. Second bath easily added off family room. Lovely quiet street.</t>
        </r>
      </text>
    </comment>
    <comment ref="E61" authorId="0">
      <text>
        <r>
          <rPr>
            <sz val="9"/>
            <color indexed="81"/>
            <rFont val="Tahoma"/>
            <family val="2"/>
          </rPr>
          <t>New on market! Charming 1913 Bungalow in a great location. Cosmetic fixer,nice home to live in and fix along the way. Large living room, formal dining room, &amp;amp; a period kitchen with wood floors (under carpet.) High ceilings &amp;amp; good spaces. Two bedrooms &amp;amp; one bath on the main floor, partially finished basement with ample storage. Nice sunny yard &amp;amp; large lot and one car garage. A little time and effort will make this home shine!</t>
        </r>
      </text>
    </comment>
    <comment ref="AG61" authorId="1">
      <text>
        <r>
          <rPr>
            <sz val="8"/>
            <color indexed="81"/>
            <rFont val="Tahoma"/>
            <family val="2"/>
          </rPr>
          <t xml:space="preserve">11/28/2007
47.679181 --&gt; 47.679183
</t>
        </r>
      </text>
    </comment>
    <comment ref="AH61" authorId="1">
      <text>
        <r>
          <rPr>
            <sz val="8"/>
            <color indexed="81"/>
            <rFont val="Tahoma"/>
            <family val="2"/>
          </rPr>
          <t xml:space="preserve">11/28/2007
-122.390801 --&gt; -122.390826
</t>
        </r>
      </text>
    </comment>
    <comment ref="E62" authorId="0">
      <text>
        <r>
          <rPr>
            <sz val="9"/>
            <color indexed="81"/>
            <rFont val="Tahoma"/>
            <family val="2"/>
          </rPr>
          <t>Absolutely charming Loyal Heights bungalow. Gorgeous hardwood floors, open floor plan, new interior paint, newly remodeled bath &amp;amp; new furnace. The newly built fireplace mantle is a classy addition to the original architecture. The kitchen has a butcher-block eating bar, newer appliances and original counter tiles. Light and bright corner lot with fenced yard, tons of seasonal flowers, custom stone patio and beautiful landscaping. This home is super cute and move in ready.</t>
        </r>
      </text>
    </comment>
    <comment ref="E63" authorId="0">
      <text>
        <r>
          <rPr>
            <sz val="9"/>
            <color indexed="81"/>
            <rFont val="Tahoma"/>
            <family val="2"/>
          </rPr>
          <t>Move-in ready craftsman bungalow with light-filled rooms, high ceilings with picture moldings, updated above and beyond. Terrific private second story hot tub deck with broad views of Mount Rainier, Elliott Bay and the Seattle skyline. Convenient main floor office or dressing room. Uniquely beautiful gardens with stone and water features. Big south-facing side yard. Multi-use outdoor parking, storage, and work area. Wide residential street in a quiet, stable neighborhood. A must-see home.</t>
        </r>
      </text>
    </comment>
    <comment ref="E64" authorId="0">
      <text>
        <r>
          <rPr>
            <sz val="9"/>
            <color indexed="81"/>
            <rFont val="Tahoma"/>
            <family val="2"/>
          </rPr>
          <t>Great location for resident or fabulous opportunity for commercial mixed zoning. Usage such as office, multifamily, retail with apartments on top and restaurants too many possibilities. Buyer to verify. A must see!</t>
        </r>
      </text>
    </comment>
    <comment ref="B65" authorId="0">
      <text>
        <r>
          <rPr>
            <sz val="9"/>
            <color indexed="81"/>
            <rFont val="Tahoma"/>
            <family val="2"/>
          </rPr>
          <t xml:space="preserve">11/23/2007
Active --&gt; Cancelled
</t>
        </r>
      </text>
    </comment>
    <comment ref="E65" authorId="0">
      <text>
        <r>
          <rPr>
            <sz val="9"/>
            <color indexed="81"/>
            <rFont val="Tahoma"/>
            <family val="2"/>
          </rPr>
          <t>Fantastic Phinney Ridge home! Open floor plan with a new custom kitchen, hardwood floors, fireplace, sun room/office area. Private backyard with a huge deck. Walk to shops, restaurants and the zoo. This home simply stands out!!</t>
        </r>
      </text>
    </comment>
    <comment ref="AG65" authorId="0">
      <text>
        <r>
          <rPr>
            <sz val="9"/>
            <color indexed="81"/>
            <rFont val="Tahoma"/>
            <family val="2"/>
          </rPr>
          <t xml:space="preserve">11/23/2007
47.668701 --&gt; 47.668675
</t>
        </r>
      </text>
    </comment>
    <comment ref="AH65" authorId="0">
      <text>
        <r>
          <rPr>
            <sz val="9"/>
            <color indexed="81"/>
            <rFont val="Tahoma"/>
            <family val="2"/>
          </rPr>
          <t xml:space="preserve">11/23/2007
-122.35833 --&gt; -122.358328
</t>
        </r>
      </text>
    </comment>
    <comment ref="B66" authorId="1">
      <text>
        <r>
          <rPr>
            <sz val="8"/>
            <color indexed="81"/>
            <rFont val="Tahoma"/>
            <family val="2"/>
          </rPr>
          <t xml:space="preserve">11/28/2007
Active --&gt; Cancelled
</t>
        </r>
      </text>
    </comment>
    <comment ref="E66" authorId="0">
      <text>
        <r>
          <rPr>
            <sz val="9"/>
            <color indexed="81"/>
            <rFont val="Tahoma"/>
            <family val="2"/>
          </rPr>
          <t>Welcome to your in-city oasis. Perched high above the street with east and south mountain views this house offers serenity. The built-in wine alcove, arched doorways and a rocking chair front porch add to the charm of this historic Greenlake farmhouse originally built in 1906. Newer appliances (all stay),gas furnace makes utility bills low and maintenance easy. A large professionally landscaped 6000+ lot, with gardens and brick patio to enjoy your days and nights in total seclusion. Cedar shed.</t>
        </r>
      </text>
    </comment>
    <comment ref="E67" authorId="0">
      <text>
        <r>
          <rPr>
            <sz val="9"/>
            <color indexed="81"/>
            <rFont val="Tahoma"/>
            <family val="2"/>
          </rPr>
          <t>Picture perfect charm. Mid century bungalow. Better than new. Pvt, quiet, 1/5 acre, strict attention to detail. New roof, new furnace, new craftsman shingle siding, new gutter &amp;amp; drain system, new windows, refin. cherry hdwd flrs, new travertine bthrm flrs, new granite entry &amp;amp; frplc surround, gas log frplc, stylish period mantle, crown molding, decorator colors, all appls stay, lovely level property, detached 2 car gar. w/ shop area. Classic, solid home for the holidays. Let's talk! This is HOME!</t>
        </r>
      </text>
    </comment>
    <comment ref="E68" authorId="0">
      <text>
        <r>
          <rPr>
            <sz val="9"/>
            <color indexed="81"/>
            <rFont val="Tahoma"/>
            <family val="2"/>
          </rPr>
          <t>This 1926 Ballard cottage offers plenty of original charm with modern updates designed for a fun &amp;amp; functional living space. Two bedrooms plus office &amp;amp; two full baths split between floors make this home guest-friendly. Recycled sliding doors are a sylish touch on both levels. The living room has hardwood floors &amp;amp; lots of natural light. The remodeled kitchen features slate flooring, new cabinets, butcher-block counters and stainless appliances. Copper plumbing, new water htr &amp;amp; great storage.</t>
        </r>
      </text>
    </comment>
    <comment ref="E69" authorId="0">
      <text>
        <r>
          <rPr>
            <sz val="9"/>
            <color indexed="81"/>
            <rFont val="Tahoma"/>
            <family val="2"/>
          </rPr>
          <t>This beautiful loving home loaded with old world charm was built in 1928 and inspires with vintage touches full of grace and character. This thoughtful remake of a classic craftsman includes newly refinished softwood floors, a tiled bath, and a modern gourmet kitchen complete with professional restaurant style gas range and all stainless steel appliances for todays lifestyle. A truly sublime property located in a serene setting on gently sloping grounds with old mature trees and Western sunsets.</t>
        </r>
      </text>
    </comment>
    <comment ref="E70" authorId="0">
      <text>
        <r>
          <rPr>
            <sz val="9"/>
            <color indexed="81"/>
            <rFont val="Tahoma"/>
            <family val="2"/>
          </rPr>
          <t>Lovely brick home located on a corner lot. Features include hardwood floors, glass block accents, large windows for bright and sunny dayrooms, dining room, original birch cabinets in the kitchen and a jetted tub. One of the three bedrooms have slider to deck. Basement could be MIL apartment. Real parquet wood floors, lots of storage room, 2nd kitchen, wet bar and wine cellar. Kitchen and basement have doors to large fenced backyard w/ garden space and storage shed. New composition roof.</t>
        </r>
      </text>
    </comment>
    <comment ref="E71" authorId="0">
      <text>
        <r>
          <rPr>
            <sz val="9"/>
            <color indexed="81"/>
            <rFont val="Tahoma"/>
            <family val="2"/>
          </rPr>
          <t>1,906 ASF-MOVE IN READY! 2 bed/2 bath w/9' ceilings.Vinyl Windows &amp;amp; Gas Heat. Mstr ste w/ sauna shower,dbl sinks &amp;amp; walk-in clst. Wood &amp;amp; Tile flrs. Bsmnt w/storage,Rec room or guest area &amp;amp; 1/2 bath. Patio for BBQ's. Fenced Back Yard. Private, Gated, Off-Street Prkg 3+ cars or RV &amp;amp; finished 1 car Garage(308 SF). Home has been pre-inspected-ready for a buyer! EZ to downtown, schools and Parks. Much bigger than it looks. Schedule a showing today.</t>
        </r>
      </text>
    </comment>
    <comment ref="F71" authorId="1">
      <text>
        <r>
          <rPr>
            <sz val="8"/>
            <color indexed="81"/>
            <rFont val="Tahoma"/>
            <charset val="1"/>
          </rPr>
          <t xml:space="preserve">12/01/2007
459950 --&gt; 439992
</t>
        </r>
      </text>
    </comment>
    <comment ref="AG71" authorId="1">
      <text>
        <r>
          <rPr>
            <sz val="8"/>
            <color indexed="81"/>
            <rFont val="Tahoma"/>
            <charset val="1"/>
          </rPr>
          <t xml:space="preserve">12/01/2007
47.682158 --&gt; 47.682159
</t>
        </r>
      </text>
    </comment>
    <comment ref="AH71" authorId="1">
      <text>
        <r>
          <rPr>
            <sz val="8"/>
            <color indexed="81"/>
            <rFont val="Tahoma"/>
            <charset val="1"/>
          </rPr>
          <t xml:space="preserve">12/01/2007
-122.3843 --&gt; -122.384316
</t>
        </r>
      </text>
    </comment>
    <comment ref="AP71" authorId="1">
      <text>
        <r>
          <rPr>
            <sz val="8"/>
            <color indexed="81"/>
            <rFont val="Tahoma"/>
            <charset val="1"/>
          </rPr>
          <t xml:space="preserve">12/01/2007
1,906 ASF-MOVE IN READY! 2 bed/2 bath w/9' ceilings.Vinyl Windows &amp;amp; Gas Heat. Mstr ste w/ sauna shower,dbl sinks &amp;amp; walk-in clst. Wood &amp;amp; Tile flrs. Bsmnt w/storage,Rec room or guest area &amp;amp; 1/2 bath. Patio for BBQ's. Fenced Back Yard. Private, Gated, Off-Street Prkg 3+ cars or RV &amp;amp; finished 1 car Garage(308 SF). Home has been pre-inspected-ready for a buyer! EZ to downtown, schools and Parks. Much bigger than it looks. Schedule a showing today. --&gt; 1,906 ASF-MOVE IN READY! 2 bed/2 bath w/9' ceilings.Vinyl Windows &amp;amp; Gas Heat. Mstr ste w/ sauna shower,dbl sinks &amp;amp; walk-in clst. Wood &amp;amp; Tile flrs. Bsmnt w/storage,Rec room or guest area &amp;amp; 1/2 bath. Patio for BBQ's. Fenced Back Yard. Private, Gated, Off-Street Prkg 3+ cars or RV &amp;amp; finished 1 car Garage(308 SF). Home has been pre-inspected-ready for a buyer! EZ to downtown, schools and Parks. Make your purchase before this years end!
</t>
        </r>
      </text>
    </comment>
    <comment ref="E72" authorId="0">
      <text>
        <r>
          <rPr>
            <sz val="9"/>
            <color indexed="81"/>
            <rFont val="Tahoma"/>
            <family val="2"/>
          </rPr>
          <t>Stand alone 2 year old home on a corner lot. 2 bedroom suites with private baths &amp;amp; 1/2 bath, soaring ceilings, gorgeous cherry hardwood &amp;amp; slate flooring, ample use of granite &amp;amp; tile. 36 inch custom cabinets, bonus room, fenced yard. Partial city views.</t>
        </r>
      </text>
    </comment>
    <comment ref="B73" authorId="1">
      <text>
        <r>
          <rPr>
            <sz val="8"/>
            <color indexed="81"/>
            <rFont val="Tahoma"/>
            <charset val="1"/>
          </rPr>
          <t xml:space="preserve">12/01/2007
Active - STI --&gt; Pending
</t>
        </r>
      </text>
    </comment>
    <comment ref="E73" authorId="0">
      <text>
        <r>
          <rPr>
            <sz val="9"/>
            <color indexed="81"/>
            <rFont val="Tahoma"/>
            <family val="2"/>
          </rPr>
          <t>3 Bedroom Ballard Charmer. Come home to your own retreat. Hardwood floors and wood trim throughout. Heated bathroom and kitchen floors for chilly mornings. Impeccably maintained, open floor plan. Professionally landscaped yard. Newly remodeled upstairs bath. Private den. All appliances stay. Too many extras to mention.</t>
        </r>
      </text>
    </comment>
    <comment ref="E74" authorId="0">
      <text>
        <r>
          <rPr>
            <sz val="9"/>
            <color indexed="81"/>
            <rFont val="Tahoma"/>
            <family val="2"/>
          </rPr>
          <t>Great Street Appeal. Home is awaiting your touches. All Appliances stay plus the Freezer. A Ton of Storage Space. Double Pane or Storm Windows on Main Floor. Plum, Apple, &amp;amp; Pear Trees. Shop in Basement. Room for your RV.</t>
        </r>
      </text>
    </comment>
    <comment ref="E75" authorId="0">
      <text>
        <r>
          <rPr>
            <sz val="9"/>
            <color indexed="81"/>
            <rFont val="Tahoma"/>
            <family val="2"/>
          </rPr>
          <t>Charming, Ballard craftsman with original period details throughout. 3 bed/1 bath with bonus room. Home has been recently updated new int. and ext. paint, wood floors, kitchen counters, s/s appliances and double-paned windows. Enjoy the original fireplace and warm paint colors. Large, newly fenced backyard, perfect for entertaining. Separate garage can be used for 3rd car parking, workshop or storage shed. Easy access to bus, Ballard, Phinney and Hwy. 99. Call this historic beauty your own!!!</t>
        </r>
      </text>
    </comment>
    <comment ref="E76" authorId="0">
      <text>
        <r>
          <rPr>
            <sz val="9"/>
            <color indexed="81"/>
            <rFont val="Tahoma"/>
            <family val="2"/>
          </rPr>
          <t>Beautiful renovated home in desirable Greenlake neighborhood.3 bedrm, 1 bath, light open kitchen w/breakfast nook.Granite tile counters over Hickory cabinets w/stainless steel appliances.Bathroom features granite tile shower w/new fixtures.Refinished original wood floors throughout.Travertine floors in kitchen.New vinyl windows,roof &amp;amp; exterior doors.Fully reconstructed front porch &amp;amp; landscaped.Full basement w/laundry facilities (included).Wonderful views of both the city skyline &amp;amp; Mount Rainier.</t>
        </r>
      </text>
    </comment>
    <comment ref="O76" authorId="0">
      <text>
        <r>
          <rPr>
            <sz val="9"/>
            <color indexed="81"/>
            <rFont val="Tahoma"/>
            <family val="2"/>
          </rPr>
          <t xml:space="preserve">11/23/2007
No photos --&gt; More
</t>
        </r>
      </text>
    </comment>
    <comment ref="B77" authorId="1">
      <text>
        <r>
          <rPr>
            <sz val="8"/>
            <color indexed="81"/>
            <rFont val="Tahoma"/>
            <charset val="1"/>
          </rPr>
          <t xml:space="preserve">12/01/2007
Active --&gt; Pending
</t>
        </r>
      </text>
    </comment>
    <comment ref="E77" authorId="0">
      <text>
        <r>
          <rPr>
            <sz val="9"/>
            <color indexed="81"/>
            <rFont val="Tahoma"/>
            <family val="2"/>
          </rPr>
          <t>Brick Tudor fixer on Dibble Avenue NW, just south of 80th. One of 7 side-by-side brick Tudors built in the late 20's. Much of the OWC still intact. Lots of mahogany, hardwoods and crown mouldings. Room for expansion in basement and attic areas. Spacious living room with fireplace, &amp;amp; separate formal dining room. Two additional roughed-in bedrooms on the second level. Quiet Ballard street with excellent access to downtown Seattle. Opportunity to make this the home you've always dreamed of owning.</t>
        </r>
      </text>
    </comment>
    <comment ref="E78" authorId="0">
      <text>
        <r>
          <rPr>
            <sz val="9"/>
            <color indexed="81"/>
            <rFont val="Tahoma"/>
            <family val="2"/>
          </rPr>
          <t>Cute and Clean!Open Sunday 1-4 Fantastic remodeled home,upcoming neighborhood w/new homes. New features include,New sheetrock,new insulation,new interior/exterior paint, new molding,some doors, brand new tiled bath.The kitchen is completely new-loads of maple cabinets,granite slab counters, full height tile back splash, tiled floor and eating nook, newer appls.Better then a condo!newly redone yard,new elec panel/wiring,new plumbing and detached garage. Very private/quiet blk.easy access to shops</t>
        </r>
      </text>
    </comment>
    <comment ref="AG78" authorId="1">
      <text>
        <r>
          <rPr>
            <sz val="8"/>
            <color indexed="81"/>
            <rFont val="Tahoma"/>
            <family val="2"/>
          </rPr>
          <t xml:space="preserve">11/28/2007
47.717001 --&gt; 47.716991
</t>
        </r>
      </text>
    </comment>
    <comment ref="AH78" authorId="1">
      <text>
        <r>
          <rPr>
            <sz val="8"/>
            <color indexed="81"/>
            <rFont val="Tahoma"/>
            <family val="2"/>
          </rPr>
          <t xml:space="preserve">11/28/2007
-122.340601 --&gt; -122.340631
</t>
        </r>
      </text>
    </comment>
    <comment ref="E79" authorId="0">
      <text>
        <r>
          <rPr>
            <sz val="9"/>
            <color indexed="81"/>
            <rFont val="Tahoma"/>
            <family val="2"/>
          </rPr>
          <t>Come home to this great bungalow in desirable Fremont - remodeled by owner/architect with stylish finish work. LR w/ pine Hdwd flrs and wood burning FP, French doors open to second BR/Den w/inset carpet tiles &amp;amp; cork panel walls &amp;amp; bookshelves. Enjoy the custom kitch w/resin front cabinets &amp;amp; River rock backsplash, Charming BA w/clawfoot tub,bowl sink &amp;amp; slate flrs. Great storage in BSM w/one car garage &amp;amp; potential for expansion. Perfect location for sustainable living. L 3 zoning.</t>
        </r>
      </text>
    </comment>
    <comment ref="E80" authorId="0">
      <text>
        <r>
          <rPr>
            <sz val="9"/>
            <color indexed="81"/>
            <rFont val="Tahoma"/>
            <family val="2"/>
          </rPr>
          <t>Wonderful Craftsman home in quiet Maple Leaf neighborhood. Needs just a touch of TLC to make it yours.</t>
        </r>
      </text>
    </comment>
    <comment ref="AS80" authorId="0">
      <text>
        <r>
          <rPr>
            <sz val="9"/>
            <color indexed="81"/>
            <rFont val="Tahoma"/>
            <family val="2"/>
          </rPr>
          <t xml:space="preserve">11/23/2007
http://locmedia.nwmls.com/DO_NOT_LINK/bigphoto/790/27193790.jpg?tsp=20071105132804 --&gt; http://locmedia.nwmls.com/DO_NOT_LINK/bigphoto/790/27193790.jpg?tsp=20071123141640
</t>
        </r>
      </text>
    </comment>
    <comment ref="B81" authorId="1">
      <text>
        <r>
          <rPr>
            <sz val="8"/>
            <color indexed="81"/>
            <rFont val="Tahoma"/>
            <family val="2"/>
          </rPr>
          <t xml:space="preserve">11/28/2007
Active --&gt; Temp. Off Mrkt.
</t>
        </r>
      </text>
    </comment>
    <comment ref="E81" authorId="0">
      <text>
        <r>
          <rPr>
            <sz val="9"/>
            <color indexed="81"/>
            <rFont val="Tahoma"/>
            <family val="2"/>
          </rPr>
          <t>1905 Phinney Ridge Craftsman just steps to Greenlake. Enjoy the peacefulness of a quiet neighborhood in a great location. This 2 br charmer has a remodeled kitchen w/stainless appliances &amp;amp; designer tile flr. It`s updated bath has an electronic skylight that closes by itself when it rains! Cozy livingroom has wood burning fp w/picture windows looking out towards the lake. Very low maintenance yd &amp;amp; 2 offstreet parking places. Just move in &amp;amp; enjoy. Perfect townhome or condo alternative.</t>
        </r>
      </text>
    </comment>
    <comment ref="AG81" authorId="0">
      <text>
        <r>
          <rPr>
            <sz val="9"/>
            <color indexed="81"/>
            <rFont val="Tahoma"/>
            <family val="2"/>
          </rPr>
          <t xml:space="preserve">11/25/2007
47.674269 --&gt; 47.674301
</t>
        </r>
      </text>
    </comment>
    <comment ref="AH81" authorId="0">
      <text>
        <r>
          <rPr>
            <sz val="9"/>
            <color indexed="81"/>
            <rFont val="Tahoma"/>
            <family val="2"/>
          </rPr>
          <t xml:space="preserve">11/25/2007
-122.349909 --&gt; -122.349922
</t>
        </r>
      </text>
    </comment>
    <comment ref="E82" authorId="0">
      <text>
        <r>
          <rPr>
            <sz val="9"/>
            <color indexed="81"/>
            <rFont val="Tahoma"/>
            <family val="2"/>
          </rPr>
          <t>Must Come In to See All this 2-Story Brick Charmer has to Offer! Almost 2,400 SqFt!4Bd,2Bth, Hardwood Floors,Updated Kitchen &amp;amp; Baths.New:Roof,Paint,Fixtures,Hot Water Heater. Newer Furnace,Plumbing&amp;amp;Electrical. Transferrable Lifetime Warranty Storm Windows. Large,Level,Fully-Fenced Lot w/Beautiful Landscape+Dramatic Water Feature.Enjoy Sunsets from your Entertainment-sized Covered Porch w/Wrap-Around Flower Beds.Bonus Rm Plus+Family Rm or Fabulous Master Suite w/2nd Gas Fireplace! Priced to Sell!</t>
        </r>
      </text>
    </comment>
    <comment ref="AG82" authorId="0">
      <text>
        <r>
          <rPr>
            <sz val="9"/>
            <color indexed="81"/>
            <rFont val="Tahoma"/>
            <family val="2"/>
          </rPr>
          <t xml:space="preserve">11/23/2007
47.708375 --&gt; 47.708361
</t>
        </r>
      </text>
    </comment>
    <comment ref="AH82" authorId="0">
      <text>
        <r>
          <rPr>
            <sz val="9"/>
            <color indexed="81"/>
            <rFont val="Tahoma"/>
            <family val="2"/>
          </rPr>
          <t xml:space="preserve">11/23/2007
-122.28778 --&gt; -122.287807
</t>
        </r>
      </text>
    </comment>
    <comment ref="AP82" authorId="0">
      <text>
        <r>
          <rPr>
            <sz val="9"/>
            <color indexed="81"/>
            <rFont val="Tahoma"/>
            <family val="2"/>
          </rPr>
          <t xml:space="preserve">11/28/2007
You Won't Find a Better Home for This Price! Must Come In to See All this 2-Story Brick Charmer has to Offer! Almost 2,400 SqFt!4Bd,2Bth, Hardwood Floors,Updated Kitchen&amp;amp;Baths.New:Roof,Paint,Fixtures,Hot Water Heater.Newer Furnace,Plumbing&amp;amp;Electrical. Lifetime Warranty Storm Windows. Large,Level &amp;amp; Fenced Lot w/Beautiful Landscape+Dramatic Water Feature.Enjoy Sunsets from your Entertainment-sized Covered Porch.Bonus Rm Plus+Family Rm or Fabulous Master Suite w/2nd Gas Fireplace! Bring All Offers! --&gt; $4,000 Buyer Bonus!! Must Come Inside to See All this 2-Story Brick Charmer has to Offer! Best Price on Market. Appx.2,400 SqFt!4Bd,2Bth, Hardwood Floors,Updated Kitchen&amp;amp;Baths.New:Roof,Paint,Fixtures,Hot Water Heater.Newer Furnace,Plumbing&amp;amp;Electrical. Lifetime Warranty Storm Windows. Large,Level &amp;amp; Fenced Lot w/Beautiful Landscape+Dramatic Water Feature.Enjoy Sunsets from your Entertainment-sized Covered Porch.Bonus Rm Plus+Family Rm or Fabulous Master Suite w/2nd Gas Fireplace! Bring All Offers!
11/23/2007
Must Come In to See All this 2-Story Brick Charmer has to Offer! Almost 2,400 SqFt!4Bd,2Bth, Hardwood Floors,Updated Kitchen &amp;amp; Baths.New:Roof,Paint,Fixtures,Hot Water Heater. Newer Furnace,Plumbing&amp;amp;Electrical. Transferrable Lifetime Warranty Storm Windows. Large,Level,Fully-Fenced Lot w/Beautiful Landscape+Dramatic Water Feature.Enjoy Sunsets from your Entertainment-sized Covered Porch w/Wrap-Around Flower Beds.Bonus Rm Plus+Family Rm or Fabulous Master Suite w/2nd Gas Fireplace! Priced to Sell! --&gt; You Won't Find a Better Home for This Price! Must Come In to See All this 2-Story Brick Charmer has to Offer! Almost 2,400 SqFt!4Bd,2Bth, Hardwood Floors,Updated Kitchen&amp;amp;Baths.New:Roof,Paint,Fixtures,Hot Water Heater.Newer Furnace,Plumbing&amp;amp;Electrical. Lifetime Warranty Storm Windows. Large,Level &amp;amp; Fenced Lot w/Beautiful Landscape+Dramatic Water Feature.Enjoy Sunsets from your Entertainment-sized Covered Porch.Bonus Rm Plus+Family Rm or Fabulous Master Suite w/2nd Gas Fireplace! Bring All Offers!
</t>
        </r>
      </text>
    </comment>
    <comment ref="AS82" authorId="0">
      <text>
        <r>
          <rPr>
            <sz val="9"/>
            <color indexed="81"/>
            <rFont val="Tahoma"/>
            <family val="2"/>
          </rPr>
          <t xml:space="preserve">11/23/2007
http://locmedia.nwmls.com/DO_NOT_LINK/bigphoto/590/27194590.jpg?tsp=20071114124349 --&gt; http://locmedia.nwmls.com/DO_NOT_LINK/bigphoto/590/27194590.jpg?tsp=20071123100517
</t>
        </r>
      </text>
    </comment>
    <comment ref="E83" authorId="0">
      <text>
        <r>
          <rPr>
            <sz val="9"/>
            <color indexed="81"/>
            <rFont val="Tahoma"/>
            <family val="2"/>
          </rPr>
          <t>Owner DOES NOT care what sale price is,as long as he owes no money after closing, AND as long as lender approves shortsale, with no additional funds due.Jimi Hendrix's Brother's House. 4 Bedrooms, 1 3/4 Baths, Finished Rec Room, 2 Fireplaces, On Greenbelt, with Babbling Brook, Vaulted Beamed Ceilings W/Clear Story Windows. Solid House. House is Full of Trash, No Water or Power, and Needs Repairs,but Good Home. PreForeclosure. Sale Subject to Short Sale Approval by Lender.</t>
        </r>
      </text>
    </comment>
    <comment ref="E84" authorId="0">
      <text>
        <r>
          <rPr>
            <sz val="9"/>
            <color indexed="81"/>
            <rFont val="Tahoma"/>
            <family val="2"/>
          </rPr>
          <t>Ballard Fixer! This 1907 4bed/1bath 2060 sq ft house is located on 2 lots. Tons of potential! If you are an investor or just looking for a fixer then this house is it! Home is an Estate Sale and is sold AS-IS. Seller to do no work orders. Hurry...this one won't last!</t>
        </r>
      </text>
    </comment>
    <comment ref="E85" authorId="0">
      <text>
        <r>
          <rPr>
            <sz val="9"/>
            <color indexed="81"/>
            <rFont val="Tahoma"/>
            <family val="2"/>
          </rPr>
          <t>$10,000 towards buyer's closing costs with acceptable offer by 11/30/07! Motivated seller says bring all offers NOW! Recently remodeled home retaining its original old-world charm! Kitchen/baths have been nicely updated w/new cabinets, counters, fixtures, appliances. This is a very charming home! Convenient to all amenities that Greenwood has to offer! Sq ft is estimate (tax records do not appear to include recent upstairs addition). Sold as-is without warranty of any kind. Thanks for looking!</t>
        </r>
      </text>
    </comment>
    <comment ref="E86" authorId="0">
      <text>
        <r>
          <rPr>
            <sz val="9"/>
            <color indexed="81"/>
            <rFont val="Tahoma"/>
            <family val="2"/>
          </rPr>
          <t>Charming, well maintained 2 bedroom home with gorgeous hardwood floors and lots of character. Apx 1610 sq ft including a lg basement, rec room, den, laundry room &amp;amp; storage. Lg yard with plenty of room for entertaining. Bright kitchen w/large window. Close to restaurants, U Village &amp;amp; easy bus access.</t>
        </r>
      </text>
    </comment>
    <comment ref="B87" authorId="1">
      <text>
        <r>
          <rPr>
            <sz val="8"/>
            <color indexed="81"/>
            <rFont val="Tahoma"/>
            <family val="2"/>
          </rPr>
          <t xml:space="preserve">11/26/2007
Active --&gt; Cancelled
</t>
        </r>
      </text>
    </comment>
    <comment ref="E87" authorId="0">
      <text>
        <r>
          <rPr>
            <sz val="9"/>
            <color indexed="81"/>
            <rFont val="Tahoma"/>
            <family val="2"/>
          </rPr>
          <t>One of a kind home features lush landscaping w/ pond, mature trees, entertainment deck and fenced yard. Lg living room w/ soaring ceilings, wood floors, wood stove and built in aquarium. Huge dining room features garden window. Completely updated gourmet kitchen w/ SS appliances. Lower level includes den, 3rd bedroom, 3/4 bath and lots of storage space.</t>
        </r>
      </text>
    </comment>
    <comment ref="E88" authorId="0">
      <text>
        <r>
          <rPr>
            <sz val="9"/>
            <color indexed="81"/>
            <rFont val="Tahoma"/>
            <family val="2"/>
          </rPr>
          <t>Beautiful, meticulously maintained 1950's classic brick home. Large &amp;amp; level fenced back yard with a greenhouse and fruit trees. Original charm, hardwood floors, updated kitchen, custom mural in child's bedroom, custom colors, family room and living room each with a fireplace. Attached garage access plus ample space for guest parking. Great location in the city. Turn-key &amp;amp; move in ready! Discounted escrow fees .</t>
        </r>
      </text>
    </comment>
    <comment ref="E89" authorId="0">
      <text>
        <r>
          <rPr>
            <sz val="9"/>
            <color indexed="81"/>
            <rFont val="Tahoma"/>
            <family val="2"/>
          </rPr>
          <t>Clean and tidy 1925 Craftsman on a quiet Ballard residential street. Great starter home: move in as-is and expand over time. Lots of upgrade and improvement possibilities. Roofing on both the house and the 2-car detached garage is just 3 years old. Durable laminate flooring in living room and both bedrooms makes clean-up a cinch. Fully fenced yard with a rolling gate to the alley. All exterior windows have been replaced with thermal-paned vinyl. Upgraded electrical panel. Doorbell even works!</t>
        </r>
      </text>
    </comment>
    <comment ref="B90" authorId="1">
      <text>
        <r>
          <rPr>
            <sz val="8"/>
            <color indexed="81"/>
            <rFont val="Tahoma"/>
            <family val="2"/>
          </rPr>
          <t xml:space="preserve">11/28/2007
Active --&gt; Active - STI
</t>
        </r>
      </text>
    </comment>
    <comment ref="E90" authorId="0">
      <text>
        <r>
          <rPr>
            <sz val="9"/>
            <color indexed="81"/>
            <rFont val="Tahoma"/>
            <family val="2"/>
          </rPr>
          <t>Perfect mix of old world charm and modern updates! Hardwood floors, cove ceilings and picture rail throughout this home along with updated plumbing (all the way to the street), new roof, electric garage door opener! Quiet, close in location with easy access to Green Lake, Downtown, I-5 &amp;amp; more! Attached garage, alley access to RV parking in Green Lake Area!! Please don't let the dog out of the yard!</t>
        </r>
      </text>
    </comment>
    <comment ref="AS90" authorId="0">
      <text>
        <r>
          <rPr>
            <sz val="9"/>
            <color indexed="81"/>
            <rFont val="Tahoma"/>
            <family val="2"/>
          </rPr>
          <t xml:space="preserve">11/23/2007
http://locmedia.nwmls.com/DO_NOT_LINK/bigphoto/834/27195834.jpg?tsp=20071107112816 --&gt; http://locmedia.nwmls.com/DO_NOT_LINK/bigphoto/834/27195834.jpg?tsp=20071121105115
</t>
        </r>
      </text>
    </comment>
    <comment ref="B91" authorId="1">
      <text>
        <r>
          <rPr>
            <sz val="8"/>
            <color indexed="81"/>
            <rFont val="Tahoma"/>
            <family val="2"/>
          </rPr>
          <t xml:space="preserve">11/28/2007
Active - STI --&gt; Pending
</t>
        </r>
      </text>
    </comment>
    <comment ref="E91" authorId="0">
      <text>
        <r>
          <rPr>
            <sz val="9"/>
            <color indexed="81"/>
            <rFont val="Tahoma"/>
            <family val="2"/>
          </rPr>
          <t>Solid craftsman home with great bones on a sunny corner with a detached garage. Formal Dining room, hardwood floors and original craftsman detailing throughout. Full unfinished basement has great potential(2 more beds, rec rm and a bath?) for your improvement. Great access to UW, Green Lake and downtown. This is a wise investment!</t>
        </r>
      </text>
    </comment>
    <comment ref="E92" authorId="0">
      <text>
        <r>
          <rPr>
            <sz val="9"/>
            <color indexed="81"/>
            <rFont val="Tahoma"/>
            <family val="2"/>
          </rPr>
          <t>Don't be fooled, home is much larger than it appears. Living room w/fireplace, new finish on hardwood floors. 3 bedrooms,full bath on main. Lower level has light finished room, rec room w/ fireplace, full bath, kitchenette. Separate entry makes this a potential MIL. Freshly painted interior. Deck. Attached garage+off street parking(alley access). EZ maintenance yard. New 200amp electrical panel in 07. New roof 2004. New furnace 2001. Close to Phinney Ridge Market, zoo, Greenlake &amp;amp; Fremont.</t>
        </r>
      </text>
    </comment>
    <comment ref="F92" authorId="0">
      <text>
        <r>
          <rPr>
            <sz val="9"/>
            <color indexed="81"/>
            <rFont val="Tahoma"/>
            <family val="2"/>
          </rPr>
          <t xml:space="preserve">11/25/2007
499000 --&gt; 475000
</t>
        </r>
      </text>
    </comment>
    <comment ref="B93" authorId="0">
      <text>
        <r>
          <rPr>
            <sz val="9"/>
            <color indexed="81"/>
            <rFont val="Tahoma"/>
            <family val="2"/>
          </rPr>
          <t xml:space="preserve">11/23/2007
Active - STI --&gt; Pending
</t>
        </r>
      </text>
    </comment>
    <comment ref="E93" authorId="0">
      <text>
        <r>
          <rPr>
            <sz val="9"/>
            <color indexed="81"/>
            <rFont val="Tahoma"/>
            <family val="2"/>
          </rPr>
          <t>This elegant, beautifully maintained bungalow boasts original fir floors throughout, high ceilings, crown molding, wood fireplace w/mantle, updated kitchen w/tile counter tops, breakfast bar,french doors from the family room lead to a spacious deck and professionally landscaped garden. The baths are updated and the basement is partially finished and is used for an office. It has all the right updates and just enough vintage charm &amp;amp; details to make for a perfect combination.Walk 2 cafes &amp;amp; shops.</t>
        </r>
      </text>
    </comment>
    <comment ref="E94" authorId="0">
      <text>
        <r>
          <rPr>
            <sz val="9"/>
            <color indexed="81"/>
            <rFont val="Tahoma"/>
            <family val="2"/>
          </rPr>
          <t>Don't miss this Darling 1940's Cape Cod home with legal M-I-L on the lower level. Set on a quiet sreet it features a great backyard including deck &amp;amp; outbuilding. You'll enjoy the classic 40's features, nice finishes, oak floors &amp;amp; corner windows. Kitchen updates include Bamboo flooring &amp;amp; new counters, creating a wonderful space. Unique to this home is a seperate entrance to the lower level. Enjoy the rent, use it as a shop/studio, or restore this home back with an interior staircase. See it soon!</t>
        </r>
      </text>
    </comment>
    <comment ref="AD94" authorId="1">
      <text>
        <r>
          <rPr>
            <sz val="8"/>
            <color indexed="81"/>
            <rFont val="Tahoma"/>
            <charset val="1"/>
          </rPr>
          <t xml:space="preserve">12/01/2007
From 145th drive 2 blocks east of Aurora, turn right (south) and go 2 blocks. Home will be on your left past new const. site. --&gt; Going North on Aurora, turn right at 143rd (going east) and go 2 blocks. Make another right onto Lenora Place &amp;amp; Home will be on your left about 2 homes down. There is off street parking.
</t>
        </r>
      </text>
    </comment>
    <comment ref="AP94" authorId="1">
      <text>
        <r>
          <rPr>
            <sz val="8"/>
            <color indexed="81"/>
            <rFont val="Tahoma"/>
            <family val="2"/>
          </rPr>
          <t xml:space="preserve">12/01/2007
Don't miss this Darling 1940's Cape Cod home with M-I-L on the lower level. You'll enjoy the classic 1940's features, good interior colors, oak hardwood floors &amp;amp; corner windows. The Kitchen updates include Bamboo flooring &amp;amp; new counters, with laundry off the kitchen. Unique to this home is a seperate entrance to the lower level. Enjoy the rent, use it as a shop/studio, or restore this home back with an interior staircase. Set on a quiet street this home is move-in ready and very well priced! --&gt; Don't miss this Darling 1940's Cape Cod home with newly carpeted M-I-L downstairs. Boasting classic 1940's features, good interior colors, oak hardwood floors &amp;amp; corner windows. The Kitchen updates include Bamboo flooring &amp;amp; new counters, with laundry off the kitchen. Unique to this home is a seperate entrance to the lower level. Enjoy the rent, use it as a shop/studio, or restore this home back with an interior staircase. Set on a quiet lane w/nice yard this is move-in ready &amp;amp; very well priced!
11/28/2007
Don't miss this Darling 1940's Cape Cod home with legal M-I-L on the lower level. Set on a quiet sreet it features a great backyard including deck &amp;amp; outbuilding. You'll enjoy the classic 40's features, nice finishes, oak floors &amp;amp; corner windows. Kitchen updates include Bamboo flooring &amp;amp; new counters, creating a wonderful space. Unique to this home is a seperate entrance to the lower level. Enjoy the rent, use it as a shop/studio, or restore this home back with an interior staircase. See it soon! --&gt; Don't miss this Darling 1940's Cape Cod home with M-I-L on the lower level. You'll enjoy the classic 1940's features, good interior colors, oak hardwood floors &amp;amp; corner windows. The Kitchen updates include Bamboo flooring &amp;amp; new counters, with laundry off the kitchen. Unique to this home is a seperate entrance to the lower level. Enjoy the rent, use it as a shop/studio, or restore this home back with an interior staircase. Set on a quiet street this home is move-in ready and very well priced!
</t>
        </r>
      </text>
    </comment>
    <comment ref="B95" authorId="0">
      <text>
        <r>
          <rPr>
            <sz val="9"/>
            <color indexed="81"/>
            <rFont val="Tahoma"/>
            <family val="2"/>
          </rPr>
          <t xml:space="preserve">11/23/2007
Active --&gt; Active - STI
</t>
        </r>
      </text>
    </comment>
    <comment ref="E95" authorId="0">
      <text>
        <r>
          <rPr>
            <sz val="9"/>
            <color indexed="81"/>
            <rFont val="Tahoma"/>
            <family val="2"/>
          </rPr>
          <t>Modern style meets vintage chic in this fabulous Loyal Heights home on a great street. Light-filled living room w/fireplace, adjoining dining room &amp;amp; Mt Rainier view. Updated kitchen has stainless appliances, plenty of storage &amp;amp; ceramic tile. Cool sun room adds additional living space and amazing SW exposure. Large 3rd bedroom or media room w/built-ins and wine storage. Sip vino or cocoa by the covered outdoor fireplace any time of the year. Landscaped by noted designer. Welcome home!</t>
        </r>
      </text>
    </comment>
    <comment ref="B96" authorId="1">
      <text>
        <r>
          <rPr>
            <sz val="8"/>
            <color indexed="81"/>
            <rFont val="Tahoma"/>
            <charset val="1"/>
          </rPr>
          <t xml:space="preserve">12/01/2007
Active --&gt; Active - STI
</t>
        </r>
      </text>
    </comment>
    <comment ref="E96" authorId="0">
      <text>
        <r>
          <rPr>
            <sz val="9"/>
            <color indexed="81"/>
            <rFont val="Tahoma"/>
            <family val="2"/>
          </rPr>
          <t>OWC Ballard Craftsman w/ lovely original fir floors in generously proportioned living room &amp;amp; dining room, and nice size bedrooms. Big windows, great light, *2 full* baths on main plus one full bath in bsmt. Spacious kitchen, fenced back yard with climbing tree and handicapped ramp. Private driveway to detached garage. Replumbed to street, some new wiring. Potential to double living sq ft by finishing bsmt. Close but not too close to bus on 8th NW.</t>
        </r>
      </text>
    </comment>
    <comment ref="AG96" authorId="0">
      <text>
        <r>
          <rPr>
            <sz val="9"/>
            <color indexed="81"/>
            <rFont val="Tahoma"/>
            <family val="2"/>
          </rPr>
          <t xml:space="preserve">11/23/2007
47.67905 --&gt; 47.679049
</t>
        </r>
      </text>
    </comment>
    <comment ref="AH96" authorId="0">
      <text>
        <r>
          <rPr>
            <sz val="9"/>
            <color indexed="81"/>
            <rFont val="Tahoma"/>
            <family val="2"/>
          </rPr>
          <t xml:space="preserve">11/23/2007
-122.3677 --&gt; -122.367671
</t>
        </r>
      </text>
    </comment>
    <comment ref="AP96" authorId="0">
      <text>
        <r>
          <rPr>
            <sz val="9"/>
            <color indexed="81"/>
            <rFont val="Tahoma"/>
            <family val="2"/>
          </rPr>
          <t xml:space="preserve">11/23/2007
OWC Ballard Craftsman w/ lovely original fir floors in generously proportioned living room &amp;amp; dining room, and nice size bedrooms. Big windows, great light, *2 full* baths on main plus one full bath in bsmt. Spacious kitchen, fenced back yard with climbing tree and handicapped ramp. Private driveway to detached garage. Replumbed to street, some new wiring. Potential to double living sq ft by finishing bsmt. Close but not too close to bus on 8th NW. --&gt; OWC Ballard Craftsman w/ lovely original fir floors in generously proportioned living room &amp;amp; dining room, and nice size bedrooms. Big windows, great light, *3 full* baths! 2 on main plus one bath in bsmt. Spacious kitchen, fenced back yard with climbing tree and handicapped ramp. Private driveway to detached garage. Replumbed to street, some new wiring. Potential to double living sq ft by finishing bsmt. Close but not too close to bus on 8th NW.
</t>
        </r>
      </text>
    </comment>
    <comment ref="E97" authorId="0">
      <text>
        <r>
          <rPr>
            <sz val="9"/>
            <color indexed="81"/>
            <rFont val="Tahoma"/>
            <family val="2"/>
          </rPr>
          <t>Conveniently located in the Matthews Beach/Cedar Park area. NW Contemporary Design. Entry offers fam rm or home office &amp;amp; 2 car gar. Main floor features dining, updated kitc, spac liv rm w/fp, west facing deck, 2 bedrooms, laundry &amp;amp; full bath. Upper level offers master suite w/bath featuring soaking tub + separate shower &amp;amp; W. facing deck gives private outdoor space. Freshly painted in/out, all new carpet. Short walk or bike to Burke Gilman Trail &amp;amp; U of W. Close to Wedgwood &amp;amp; U Village shopping.</t>
        </r>
      </text>
    </comment>
    <comment ref="E98" authorId="0">
      <text>
        <r>
          <rPr>
            <sz val="9"/>
            <color indexed="81"/>
            <rFont val="Tahoma"/>
            <family val="2"/>
          </rPr>
          <t>Terrific mid-century home! A complete remodel that lives much larger than it appears from the street. Original charm perfectly blended w/ today: new appliances &amp;amp; slab granite in kitchen, new bathrooms, carpet, roof, deck, privacy fence, lighting, updated wiring, refinished hardwoods. Master suite addition on back of house w/ huge walk-in closet, full bath, sliders to deck &amp;amp; private backyard. Large shop in basement w/ MIL potential. 1/2 block to park, busline, &amp;amp; easy walk to restaurants &amp;amp; shops.</t>
        </r>
      </text>
    </comment>
    <comment ref="E99" authorId="0">
      <text>
        <r>
          <rPr>
            <sz val="9"/>
            <color indexed="81"/>
            <rFont val="Tahoma"/>
            <family val="2"/>
          </rPr>
          <t>This 1918 Craftsman may be the one! This 3br/2 bath home is one of the best values in Ballard- walk to shopping, dining, drinks &amp;amp; coffee. The new Library, Ballard Farmer's Market, the Locks, Golden Gardens- these are just some of your new neighbors! The main floor retains the charm of the era, and the lower level is an ADU- rent it, or live there. If you need shop space, here it is! Most systems are new or updated: roof, furnace &amp;amp; ducting, H2O heater, tuckpointing, &amp;amp; some electrical. Come see!</t>
        </r>
      </text>
    </comment>
    <comment ref="E100" authorId="0">
      <text>
        <r>
          <rPr>
            <sz val="9"/>
            <color indexed="81"/>
            <rFont val="Tahoma"/>
            <family val="2"/>
          </rPr>
          <t>Wedgwood rambler located near excellent schools and convenient shopping. Enjoy an arboreal setting with mature terraced landscaping, stone fountain and an updated easy care in-ground pool. Master bedroom features attached 3 piece bath and walk-in closet, with glass doors opening to private backyard. Real brick fireplace in front room with tile accent. Granite counter tops and stainless steel appliances in kitchen, accented by glass-front cabinets.</t>
        </r>
      </text>
    </comment>
    <comment ref="E101" authorId="0">
      <text>
        <r>
          <rPr>
            <sz val="9"/>
            <color indexed="81"/>
            <rFont val="Tahoma"/>
            <family val="2"/>
          </rPr>
          <t>On the other side of the wht picket fence is the hm for you! From the fp and built-ins of the spacious living rm, to the Mstr Suite w/jetted tub, dble vanity &amp;amp; huge WIC. The lght &amp;amp; brght islnd kit has a stovetop/grill, dble ovens, lg desk/prep area &amp;amp; a ton of counter &amp;amp; cabinet space! Open the french drs &amp;amp; you are greeted by the fully fenced yd. Your storage needs will be met w/easy access to attic space, bsmnt &amp;amp; strg shd. Alley access at the rear, &amp;amp; parking pad at front, provide ample prkng.</t>
        </r>
      </text>
    </comment>
    <comment ref="E102" authorId="0">
      <text>
        <r>
          <rPr>
            <sz val="9"/>
            <color indexed="81"/>
            <rFont val="Tahoma"/>
            <family val="2"/>
          </rPr>
          <t>This cute charmer has been well loved and is looking for new owners to care for it and take it on to the next level in its life. It has 4 cozy bedrooms, 1.75 baths and real country charm even if it is in the city. The exterior and interior have been freshly painted, the hardwoods redone and the furnace and water heater replaced with new generation gas appliances. The neighborhood is quiet and has a pocket park just a block away. Carkeek Park just west. Public open house Sunday 1-4 PM.</t>
        </r>
      </text>
    </comment>
    <comment ref="E103" authorId="0">
      <text>
        <r>
          <rPr>
            <sz val="9"/>
            <color indexed="81"/>
            <rFont val="Tahoma"/>
            <family val="2"/>
          </rPr>
          <t>Lovely Craftsman w/lots of old world charm as well as updates! You'll find wonderful living &amp;amp; dining room spaces, enhanced by 9 1/2 foot ceilings, a window bench &amp;amp; lots of daylight. Beautiful hardwood floors. Craftsman style lighting fixtures. Very spacious kitchen w/ fir floors, new countertops &amp;amp; lots of cabinet/counter space. Large updated bath w/newer plumbing. Full bsmt w/ office space. Detached garage-shop. Southwestfacing yard w/fruit trees. New roof before closing. Close to shops/park</t>
        </r>
      </text>
    </comment>
    <comment ref="E104" authorId="0">
      <text>
        <r>
          <rPr>
            <sz val="9"/>
            <color indexed="81"/>
            <rFont val="Tahoma"/>
            <family val="2"/>
          </rPr>
          <t>Rare opportunity to find 200 sf in the terrific location, great street and one block from Sand Point Golf Club. Charming 3 bedroom home waiting for a little TLC. Detached garage and beautiful 6000 sf lot for gardens and games. Minutes to U of Washington, Greenlake, shops, parks and services.</t>
        </r>
      </text>
    </comment>
    <comment ref="AP104" authorId="1">
      <text>
        <r>
          <rPr>
            <sz val="8"/>
            <color indexed="81"/>
            <rFont val="Tahoma"/>
            <family val="2"/>
          </rPr>
          <t xml:space="preserve">11/28/2007
Rare opportunity to find 200 sf in the terrific location, great street and one block from Sand Point Golf Club. Charming 3 bedroom home waiting for a little TLC. Detached garage and beautiful 6000 sf lot for gardens and games. Minutes to U of Washington, Greenlake, shops, parks and services. --&gt; Rare opportunity to find 2000 sf in the terrific location, great street and one block from Sand Point Golf Club. Charming 3 bedroom home waiting for a little TLC. Detached garage and beautiful 6000 sf lot for gardens and games. Minutes to U of Washington, Greenlake, shops, parks and services.
</t>
        </r>
      </text>
    </comment>
    <comment ref="E105" authorId="1">
      <text>
        <r>
          <rPr>
            <sz val="8"/>
            <color indexed="81"/>
            <rFont val="Tahoma"/>
            <charset val="1"/>
          </rPr>
          <t>This superb 1950's brick home sits on a great corner lot. Interior features include an updated kitchen with cherry cabinets, granite countertops and hardwood floors, spacious living room with cozy wood-burning fireplace and a formal dining room with door onto the large deck. The basement offers a semi-finished rec room and 2nd full bath. With the oversized garage/shop and carport, there's plenty of room for parking. And in the fenced backyard, there's a patio perfect for entertaining.</t>
        </r>
      </text>
    </comment>
    <comment ref="E106" authorId="0">
      <text>
        <r>
          <rPr>
            <sz val="9"/>
            <color indexed="81"/>
            <rFont val="Tahoma"/>
            <family val="2"/>
          </rPr>
          <t>Home for now and room for the future! Main floor has 3 Bedrooms and 1 bath. Unfinished daylight basement has wood framed floors, 1/2 bath, utility room and fireplace. Basement could easily be turned into family room, home theater or office, and 3 more bedrooms. Main floor features built in planting box in entry and china case in dining room. Hardwood floors in the bedrooms and under carpet in the living room and dining room. Mountain views. minutes from Northgate Mall and I5</t>
        </r>
      </text>
    </comment>
    <comment ref="AP106" authorId="1">
      <text>
        <r>
          <rPr>
            <sz val="8"/>
            <color indexed="81"/>
            <rFont val="Tahoma"/>
            <family val="2"/>
          </rPr>
          <t xml:space="preserve">11/28/2007
Home for now and room for the future! Main floor has 3 Bedrooms and 1 bath. Unfinished daylight basement has wood framed floors, 1/2 bath, utility room and fireplace. Basement could easily be turned into family room, home theater or office, and 3 more bedrooms. Main floor features built in planting box in entry and china case in dining room. Hardwood floors in the bedrooms and under carpet in the living room and dining room. Mountain views. minutes from Northgate Mall and I5 --&gt; Home for now and room for the future! 3 Bedrooms,1 bath on main floor. Unfinished daylight basement has wood framed floors, 1/2 bath, utility room and fireplace. Basement could easily be turned into family room, home theater or office, and 3 more bedrooms. Home features built in planting box in entry and china case in dining room. Hardwood floors in the bedrooms and under carpet in the living and dining room. Mountain views. Minutes from Northgate Mall and I5. Home Warranty for Buyers
</t>
        </r>
      </text>
    </comment>
    <comment ref="B107" authorId="0">
      <text>
        <r>
          <rPr>
            <sz val="9"/>
            <color indexed="81"/>
            <rFont val="Tahoma"/>
            <family val="2"/>
          </rPr>
          <t xml:space="preserve">11/25/2007
Active --&gt; Pending
</t>
        </r>
      </text>
    </comment>
    <comment ref="E107" authorId="0">
      <text>
        <r>
          <rPr>
            <sz val="9"/>
            <color indexed="81"/>
            <rFont val="Tahoma"/>
            <family val="2"/>
          </rPr>
          <t>One livel living at its best in this 3 bdr, 1 3/4 bath home. Updated kitchen looks out to private fenced back yard with huge entertainment deck. Living room has fireplac, separate dining room, hardwoods, new paint inside and out, airconditioned bedrooms and separate laundry/storage room. Heated shop in back yard.</t>
        </r>
      </text>
    </comment>
    <comment ref="E108" authorId="1">
      <text>
        <r>
          <rPr>
            <sz val="8"/>
            <color indexed="81"/>
            <rFont val="Tahoma"/>
            <charset val="1"/>
          </rPr>
          <t>Wonderfull in city oasis.House w/ remodeled bath w/ Slate floors, shower and wainscotting, plus 2 shower heads and granite counters.New plumbing and elect.Also a huge detached 2 car garage with shop,loft space, a seperate office w/ half bath, and artist studio w/ skylights and sliders to deck.Great yard, 8x14 greenhouse has power,water,&amp;amp; solar controled venting roof.A truly wonderfull garden space in the city.The private courtyard has a deck for your BBQ's,and koi pond for your enjoyment.</t>
        </r>
      </text>
    </comment>
    <comment ref="E109" authorId="1">
      <text>
        <r>
          <rPr>
            <sz val="8"/>
            <color indexed="81"/>
            <rFont val="Tahoma"/>
            <charset val="1"/>
          </rPr>
          <t>Come home to the inviting warmth of an open floor plan that encourages intimacy and sharing between family and friends. The remodeled kitchen sits at the heart of the home. A huge family room w/vaulted ceiling and walls of windows overlooks a parklike backyard. The kitchen offers everything that a chef needs - gas stove, double sinks, lots of counter and cabinet space and a cozy breakfast bar. 3 nice sized bedrooms and 2 remodeled bths. Elegant formal living room w/hdwds and gracious fireplace.</t>
        </r>
      </text>
    </comment>
    <comment ref="E110" authorId="1">
      <text>
        <r>
          <rPr>
            <sz val="8"/>
            <color indexed="81"/>
            <rFont val="Tahoma"/>
            <charset val="1"/>
          </rPr>
          <t>Massive amount of instant equity! Investors and homebuyers view today! This home located minutes from seattle in Lake City is mostly finished with a full remodel. It features 4 bedrooms, 2 bathrooms, large kitchen with new cabinets and hardwood. Will need finishing touches but is well worth it. Finished it would make a great rental or cozy family home! Excellent deal investor couldn't finish needs to sell immediately. Call for additional information!</t>
        </r>
      </text>
    </comment>
    <comment ref="E111" authorId="1">
      <text>
        <r>
          <rPr>
            <sz val="8"/>
            <color indexed="81"/>
            <rFont val="Tahoma"/>
            <charset val="1"/>
          </rPr>
          <t>Bryant - Well maintained hm with a territorial view. Looks toward the Cascades &amp;amp; Bellevue. On main flr there are 2 bdrms &amp;amp; a full bath that has been tastefully updated, beautifully refin dark hrdwd flrs, a kitchen, living rm &amp;amp; dining rm. Downstairs there is a family rm, storage &amp;amp; craft area, 3/4 bath &amp;amp; laundry rm. A captivating large private, tiered backyard, fenced w/lovely patio &amp;amp; a plum tree. Walk to the library &amp;amp; loads of shopping on 35th. Public trans close &amp;amp; Burke Gilman Trail. A must see!</t>
        </r>
      </text>
    </comment>
    <comment ref="E112" authorId="1">
      <text>
        <r>
          <rPr>
            <sz val="8"/>
            <color indexed="81"/>
            <rFont val="Tahoma"/>
            <charset val="1"/>
          </rPr>
          <t>This sweet 1911 bungalow is located on a quiet street. The large eucalyptus in the front echoes the huge maple in the back. The living and dining rooms have boxed beamed ceilings, picture rail and built-in cabinetry. One bedroom has French doors opening to the large back deck which catches plenty of afternoon sun. The unfinished basement offers options and the attached garage is always a nice feature.</t>
        </r>
      </text>
    </comment>
    <comment ref="E113" authorId="1">
      <text>
        <r>
          <rPr>
            <sz val="8"/>
            <color indexed="81"/>
            <rFont val="Tahoma"/>
            <charset val="1"/>
          </rPr>
          <t>Charming 2 bedroom, 1 bathroom home in Wedgwood! Beautifully landscaped with a private, fenced-in backyard complete with deck &amp;amp; patio. Perfect for summer entertaining. Immaculate, updated inside with hardwoods throughout. Large, bright kitchen with vaulted ceiling opens up to backyard deck. Crown molding in living &amp;amp; dining rooms. Large living area off kitchen. Outdoor shed in backyard for storage &amp;amp; an attached workshop on side of house with electricity, fully lit &amp;amp; powered. Great location!</t>
        </r>
      </text>
    </comment>
  </commentList>
</comments>
</file>

<file path=xl/comments4.xml><?xml version="1.0" encoding="utf-8"?>
<comments xmlns="http://schemas.openxmlformats.org/spreadsheetml/2006/main">
  <authors>
    <author>Dave Smith</author>
  </authors>
  <commentList>
    <comment ref="E2" authorId="0">
      <text>
        <r>
          <rPr>
            <sz val="8"/>
            <color indexed="81"/>
            <rFont val="Tahoma"/>
            <charset val="1"/>
          </rPr>
          <t>Spacious 4 bedroom, 3 bath home. Vaulted wood ceilings, dramatic stone fireplace. French doors from dining room to deck. Kitchen has imported tile counters, gas range, pantry &amp;amp; breakfast space. Master bedroom with 3/4 bath. Jacuzzi tub. Lower: Huge family room, large bedroom &amp;amp; 3/4 bath. New exterior siding &amp;amp; paint July 2007. 16K roof installed in 2003. Doublepane windows. Gas heat/hot water. Two car garage. Fully fenced, very private, EZ care, backyard w/deck. Apple, pear, silk &amp;amp; magnolia trees.</t>
        </r>
      </text>
    </comment>
    <comment ref="E3" authorId="0">
      <text>
        <r>
          <rPr>
            <sz val="8"/>
            <color indexed="81"/>
            <rFont val="Tahoma"/>
            <charset val="1"/>
          </rPr>
          <t>The best price on a 1920's built craftsman this close to Green Lake, the U.W and Roosevelt district. Pefect for walking, biking lifestyle but close to I 5. Comfortable ,well loved home with formal entry, dining room,hardwood floors &amp;amp; built ins but priced to allow for kitchen redo, adding 3rd bedroom or? New tear off roof just completed, new gutters and some electrical work as well. On a street of like homes.</t>
        </r>
      </text>
    </comment>
    <comment ref="B4" authorId="0">
      <text>
        <r>
          <rPr>
            <sz val="8"/>
            <color indexed="81"/>
            <rFont val="Tahoma"/>
            <charset val="1"/>
          </rPr>
          <t xml:space="preserve">11/23/2007
Contingent --&gt; Sold
</t>
        </r>
      </text>
    </comment>
    <comment ref="E4" authorId="0">
      <text>
        <r>
          <rPr>
            <sz val="8"/>
            <color indexed="81"/>
            <rFont val="Tahoma"/>
            <charset val="1"/>
          </rPr>
          <t>TOTAL REMODEL! Very safe home.Best house at this price!Updated furnace(no oil heat)updated plumbing &amp;amp; electrical.New ss applns &amp;amp; new cabinets, granite slab counters.Newer double-paned windows makes for a very quiet home.New paint in every room, new carpet &amp;amp; a cozy fireplace.Recently refinished hardwood floors.Brand new professionally remodeled basement!1car garage w/new door &amp;amp; alley access.15 mins to downtown &amp;amp;5 mins to Greenlake &amp;amp;5 min to great Ballard shopping.</t>
        </r>
      </text>
    </comment>
    <comment ref="AN4" authorId="0">
      <text>
        <r>
          <rPr>
            <sz val="8"/>
            <color indexed="81"/>
            <rFont val="Tahoma"/>
            <charset val="1"/>
          </rPr>
          <t xml:space="preserve">11/23/2007
 --&gt; 485000
</t>
        </r>
      </text>
    </comment>
    <comment ref="E5" authorId="0">
      <text>
        <r>
          <rPr>
            <sz val="8"/>
            <color indexed="81"/>
            <rFont val="Tahoma"/>
            <charset val="1"/>
          </rPr>
          <t>Lovely Ballard 3 bedroom, 2 bath Cape Cod, Freshly painted and remodeled...gleaming wood floors, spacious living room with brick fireplace, large kitchen with tile and granite, thermo windows, finished basement + private, fenced yard...Vacant and ready to go!</t>
        </r>
      </text>
    </comment>
    <comment ref="E6" authorId="0">
      <text>
        <r>
          <rPr>
            <sz val="8"/>
            <color indexed="81"/>
            <rFont val="Tahoma"/>
            <charset val="1"/>
          </rPr>
          <t>Much bigger than it looks from the street! All copper plumbing, new 200 amp electric panel. New oak floor and paint. Good size formal dining room and living room with classic fireplace. Great floor plan w 2 bedrooms and a bath on main and 3 bedrooms and 3/4 bath on lower level. Beautiful mature landscaping on large level lot. Detached garage with shop area. Large deck for summer entertaining and your BBQ. Only 15 minutes to downtown and still a quiet oasis where you can hear the birds.</t>
        </r>
      </text>
    </comment>
    <comment ref="E7" authorId="0">
      <text>
        <r>
          <rPr>
            <sz val="8"/>
            <color indexed="81"/>
            <rFont val="Tahoma"/>
            <charset val="1"/>
          </rPr>
          <t>Short walk to new Ballard Library and park!! Purchase early &amp;amp; select from a long list of options - Thousands of countertop, flooring, appliance and other options to personalize your new home. Large open main floor that opens up to your private deck make this a great floorplan! Oversized attached garage for extra storage. Master suite offers a walk in closet. Level 4 built green!</t>
        </r>
      </text>
    </comment>
    <comment ref="AG7" authorId="0">
      <text>
        <r>
          <rPr>
            <sz val="8"/>
            <color indexed="81"/>
            <rFont val="Tahoma"/>
            <charset val="1"/>
          </rPr>
          <t xml:space="preserve">11/23/2007
47.6717 --&gt; 47.671653
</t>
        </r>
      </text>
    </comment>
    <comment ref="AH7" authorId="0">
      <text>
        <r>
          <rPr>
            <sz val="8"/>
            <color indexed="81"/>
            <rFont val="Tahoma"/>
            <charset val="1"/>
          </rPr>
          <t xml:space="preserve">11/23/2007
-122.382509 --&gt; -122.382535
</t>
        </r>
      </text>
    </comment>
    <comment ref="AS7" authorId="0">
      <text>
        <r>
          <rPr>
            <sz val="8"/>
            <color indexed="81"/>
            <rFont val="Tahoma"/>
            <charset val="1"/>
          </rPr>
          <t xml:space="preserve">11/23/2007
http://locmedia.nwmls.com/DO_NOT_LINK/bigphoto/757/27096757.jpg?tsp=20070911121921 --&gt; http://locmedia.nwmls.com/DO_NOT_LINK/bigphoto/757/27096757.jpg?tsp=20071119165750
</t>
        </r>
      </text>
    </comment>
    <comment ref="E8" authorId="0">
      <text>
        <r>
          <rPr>
            <sz val="8"/>
            <color indexed="81"/>
            <rFont val="Tahoma"/>
            <charset val="1"/>
          </rPr>
          <t>Better than new fully renovated in desirable Haller Lake. From the Maple, stainless and granite kitchen to the master suite with full bath featuring heated travertine floor and jetted tub, this home screams style, quality and value. Lots of natural light and gleaming hardwood floors make this living space both bright and warm. Tear up your handyman's card and enjoy the many years of trouble free living. The backyard is fully fenced and has a patio that is perfect for summer gatherings.</t>
        </r>
      </text>
    </comment>
    <comment ref="E9" authorId="0">
      <text>
        <r>
          <rPr>
            <sz val="8"/>
            <color indexed="81"/>
            <rFont val="Tahoma"/>
            <charset val="1"/>
          </rPr>
          <t>Home is much bigger that it appears. Charming &amp;amp; very spacious updated 5 bedroom property in great Wedgwood location. Beautiful gleaming hardwood floors on main level, new carpet on lower level, freshly painted with decorator's colors. 2 spacious bedrooms on main level. Lower level features 3 bedrooms, bonus room, wet bar with refrigerator separate entrance. Enjoy entertaining on the spacious deck. Ideal location, close to schools, parks, UW, bus, Northgate, U Village and downtown.</t>
        </r>
      </text>
    </comment>
    <comment ref="E10" authorId="0">
      <text>
        <r>
          <rPr>
            <sz val="8"/>
            <color indexed="81"/>
            <rFont val="Tahoma"/>
            <charset val="1"/>
          </rPr>
          <t>Spacious, solid brick home in Maple Leaf. 4 BD/1.75 BA. Large, bright rooms. Fireplace. Formal dining. Newly finished hardwoods. New carpet in bedrooms. New paint, roof, kitchen countertops. Tiled bathrooms. Family room, utility, &amp;amp; lots of storage in basement. Attached garage &amp;amp; lots of off-street parking. Terraced yard with garden, fruit trees, &amp;amp; greenhouse. Have fun BBQs on the patio. Walk to Greenlake. Close to NGate transit center for easy commute. 1 year home warranty included for buyer!</t>
        </r>
      </text>
    </comment>
    <comment ref="E11" authorId="0">
      <text>
        <r>
          <rPr>
            <sz val="8"/>
            <color indexed="81"/>
            <rFont val="Tahoma"/>
            <charset val="1"/>
          </rPr>
          <t>Recently updated CHARMER! A must see for in city living, tiled baths and kitchen. Lots of detail work, off street parking for one car, close to shops and amenities. This will make a great investment property or a ready to move in home! Home comes with a one year warranty paid for by sellers. Sellers willing to carry-back some of downpayment to help you credit worthy clients!! Be creative!</t>
        </r>
      </text>
    </comment>
    <comment ref="E12" authorId="0">
      <text>
        <r>
          <rPr>
            <sz val="8"/>
            <color indexed="81"/>
            <rFont val="Tahoma"/>
            <charset val="1"/>
          </rPr>
          <t>Very convenient location. 1939 home has 3 bedrooms and 1 bath. Features include new roof &amp;amp; furnace, large yard w/storage shed, new hardwood floors, fireplace, garage, &amp;amp; large carport. Great neighborhood w/many services &amp;amp; amenities. On major bus lines. Excellent condo alternative. Ample trees including pear tree.</t>
        </r>
      </text>
    </comment>
    <comment ref="E13" authorId="0">
      <text>
        <r>
          <rPr>
            <sz val="8"/>
            <color indexed="81"/>
            <rFont val="Tahoma"/>
            <charset val="1"/>
          </rPr>
          <t>Spacious &amp;amp; charming 1926 era Craftsman home on large level lot with covered front porch located close to schools, bus, swimming pool, &amp;amp; sports facility.Its features include the traditionals- fireplace, hard/softwood floors, &amp;amp; formal dining room with built-ins, as well as more recent upgrades- Large,remodeled bathroom &amp;amp; master bedroom with walk-in-closet. A full basement, a BIG fenced yard with mature landscaping,&amp;amp; a long driveway with a two-car garage/storage loft offers much potential.</t>
        </r>
      </text>
    </comment>
    <comment ref="E14" authorId="0">
      <text>
        <r>
          <rPr>
            <sz val="8"/>
            <color indexed="81"/>
            <rFont val="Tahoma"/>
            <charset val="1"/>
          </rPr>
          <t>Comfortable, much-loved home, 1st time on the market in 50+ years. The main floor has a circular floor plan, large living room with coved ceilings and a wood-burning fireplace, dining room and spacious kitchen w/loads of storage. Main floor bedroom has adjoining full bathroom. Laundry, storage, 3/4 bath and rec room in lower level. Attached 2 car tandem garage with work benches. Private corner lot with nice yard and mature landscaping.Brand new electrical panel, new roof installed by end Nov.</t>
        </r>
      </text>
    </comment>
    <comment ref="E15" authorId="0">
      <text>
        <r>
          <rPr>
            <sz val="8"/>
            <color indexed="81"/>
            <rFont val="Tahoma"/>
            <charset val="1"/>
          </rPr>
          <t>Exciting mountain views from deck and remodeled kitchen. Charming period features in well-maintained condition. Extra storage space in basement. Close to Phinney Center and plenty of shopping.</t>
        </r>
      </text>
    </comment>
    <comment ref="E16" authorId="0">
      <text>
        <r>
          <rPr>
            <sz val="8"/>
            <color indexed="81"/>
            <rFont val="Tahoma"/>
            <charset val="1"/>
          </rPr>
          <t>This home is in better than new condition as it has been recently updated with ADDED SQ. FOOTAGE. It features a cozy living room, huge dining room w/fpl, modern kitchen, 2 bedrooms and 13/4 baths on the main level, gleemimh wood floors,and seperate laundry area. The newly completed upper level has an extra room (appx 250 sq ft.) with skylight and private 1/2 bath. The yard is fully fenced with detached garage,a gazebo,super garden area and very very private.</t>
        </r>
      </text>
    </comment>
    <comment ref="E17" authorId="0">
      <text>
        <r>
          <rPr>
            <sz val="8"/>
            <color indexed="81"/>
            <rFont val="Tahoma"/>
            <charset val="1"/>
          </rPr>
          <t>Beautiful Broadview Classic! Light, open &amp;amp; spacious floor plan - Formal Living Rm &amp;amp; Dining Rm perfect for entertaining with adjoining Family Rm/Sun Rm. Sunny breadfast nook to greet the morning! Beautiful, sumptuous bath. Updated country kitchen. Lower level for expansion or perfect for the hobbyist(great shop). Verdant greenery surrounds the home. Convenient alley access to a detached garage. Prime convenient Broadview location. You will fall in love with this quality home!</t>
        </r>
      </text>
    </comment>
    <comment ref="E18" authorId="0">
      <text>
        <r>
          <rPr>
            <sz val="8"/>
            <color indexed="81"/>
            <rFont val="Tahoma"/>
            <charset val="1"/>
          </rPr>
          <t>Sitting privately above the street this fabulous home features views of the Olympic Mountains &amp;amp; downtown. Gleaming hrdwds welcome you into the dining/living area. Beautifully remodeled kitchen w/SS appl's, cherry cabinets &amp;amp; quaint breakfast nook.Main flr master,second rm great for office space, completely updated baths, fully finished basmnt w/ 2 add'l bdrms &amp;amp; laundry facilities. Don't miss the spacious bonus room upstairs, perfect playroom! Rear yard offers a serene oasis w/ mature landscaping</t>
        </r>
      </text>
    </comment>
    <comment ref="E19" authorId="0">
      <text>
        <r>
          <rPr>
            <sz val="8"/>
            <color indexed="81"/>
            <rFont val="Tahoma"/>
            <charset val="1"/>
          </rPr>
          <t>Tastefully updated quaint home with lots of charm! Great kitchen w/stainless steel appliances, tile counters tops &amp;amp; more. Updated electrical. Hardwood floors throughout main bring elegance. 3 bedrooms, 1.75 bath, &amp;amp; unfinished basement w/lots of potential. The backyard is a Zen-like retreat featuring 2 decks off the back of the house. Great access to downtown, UW , 520, I-5, &amp;amp; Greenlake. Although this hm appears to be close to the freeway. The noise is minimal and not noticeable. Don't miss out!</t>
        </r>
      </text>
    </comment>
    <comment ref="E20" authorId="0">
      <text>
        <r>
          <rPr>
            <sz val="8"/>
            <color indexed="81"/>
            <rFont val="Tahoma"/>
            <charset val="1"/>
          </rPr>
          <t>This 3bd 2bth has been completely remodeled in and out.Kitchen features:granite slab counters,custom cabinetry,matching stainless appliances.Bath includes jetted tub and modern fixtures. Home also has all new carpet,paint,E.ef.windows,E.ef.wash/dry,gas furnace,H20 heater and restored oak flooring. New roof w/warranty.Private backyard is perfect for entertaining and features a new wood deck.Located in the ever popular Wedgwood neigborhood, this home is a must see.Please visit us today!</t>
        </r>
      </text>
    </comment>
    <comment ref="E21" authorId="0">
      <text>
        <r>
          <rPr>
            <sz val="8"/>
            <color indexed="81"/>
            <rFont val="Tahoma"/>
            <charset val="1"/>
          </rPr>
          <t>$15k price drop on this mint condition, level entry just 1 blk from Blue Ridge. Beautiful hdwd flrs, frpl w/new surround &amp;amp; mantle, sunny kit w/eat space &amp;amp; all new appls, remodeled bath w/marble tile flrs &amp;amp; deep soaking tub, new light fixtures, spacious bdrms &amp;amp; large conveniently located utility rm. Room to expand w/attached gar + shop w/elec, lg windows &amp;amp; sep entrance that could be converted into artist's sudio or home office. Xtra deep lot w/alley access + 620 sf deck. 2 blks to beach trail.</t>
        </r>
      </text>
    </comment>
    <comment ref="E22" authorId="0">
      <text>
        <r>
          <rPr>
            <sz val="8"/>
            <color indexed="81"/>
            <rFont val="Tahoma"/>
            <charset val="1"/>
          </rPr>
          <t>Remodeled 1902 Ballard Bungalow! Light and bright with warm colors throughout. Spacious living room and formal dining room. Brazilian cherry hardwoods and ceramic tile flooring. Large kitchen with island, stainless steel appliances and attached eating/sitting area. Beautifully updated bathroom. Charming deck that overlooks private backyard with mature landscaping and arbor. Detached 1 car garage. Excellent location in desirable Ballard neighborhood, close to everything.</t>
        </r>
      </text>
    </comment>
    <comment ref="E23" authorId="0">
      <text>
        <r>
          <rPr>
            <sz val="8"/>
            <color indexed="81"/>
            <rFont val="Tahoma"/>
            <charset val="1"/>
          </rPr>
          <t>Quiet street. Must see this darling interior to judge this one. Sweet master-suite with private bath and balcony. Updated kitchen with granite counters and gorgeous cabinets with glass fronts. Lovely spacious living room/dining room with unique fireplace, period windows and hardwood floors. 2 additional bedrooms with private bath. Hardwood &amp;amp; fir floors through most of house. 1 car garage and basement for storage. Small yard.</t>
        </r>
      </text>
    </comment>
    <comment ref="E24" authorId="0">
      <text>
        <r>
          <rPr>
            <sz val="8"/>
            <color indexed="81"/>
            <rFont val="Tahoma"/>
            <charset val="1"/>
          </rPr>
          <t>A charming craftsman with updated systems and special features. Who could ask for more? Bathed in soothing colors with hardwood and fir floors, lovely moldings, bookshelves that bank the fireplace and French doors.The roomy updated kitchen has window seats and the tile bath keeps the character intact. An expanded master looks out to lovely rear yard. Basement hs tall cielings. Located on a street to street lot, this home is only blocks from the park. Off street parking for 2 cars in the rear.</t>
        </r>
      </text>
    </comment>
    <comment ref="E25" authorId="0">
      <text>
        <r>
          <rPr>
            <sz val="8"/>
            <color indexed="81"/>
            <rFont val="Tahoma"/>
            <charset val="1"/>
          </rPr>
          <t>Enjoy this lovely split-entry home in Greenwood. Upper level offers gorgeous living room w/ vault ceilings, firepl &amp;amp; bay window. Large kitchen w/ cut-outs to dining area allow for easy entertaining. Master suite w/ lg walk-in closet &amp;amp; master bath w/ double vanity and skylight. On the lower level second master suite w/ full bath,open kitch &amp;amp; living rm. Would make a perfect mother-in-law apartment. The large 2 car garage&amp;amp;room for an RV! Fully fenced yard and beautiful landscaping.</t>
        </r>
      </text>
    </comment>
    <comment ref="E26" authorId="0">
      <text>
        <r>
          <rPr>
            <sz val="8"/>
            <color indexed="81"/>
            <rFont val="Tahoma"/>
            <charset val="1"/>
          </rPr>
          <t>Cute as a button Tudor in Maple Leaf. Lovely views of Cascades from the enchanting master bedroom. There's even a view from the closet dressing area! Wonderful gardens in both front &amp;amp; back yards. Precious breakfast nook has heated floors for the chill of Fall. Living room has beamed ceilings, a bay window &amp;amp; built in benches w/storage by the fireplace. French doors on two sides of the dining room, light floods in. Lots of expansion potential in the basement &amp;amp; a two car garage off the alley!</t>
        </r>
      </text>
    </comment>
    <comment ref="E27" authorId="0">
      <text>
        <r>
          <rPr>
            <sz val="8"/>
            <color indexed="81"/>
            <rFont val="Tahoma"/>
            <charset val="1"/>
          </rPr>
          <t>Classic Seattle Brick Tudor with an open floor plan and lots of natural light. Features hardwood floors, art tiled fireplace, coved and coffered ceilings and original mahogany trim and picture rails. Great space for entertaining with formal living &amp;amp; dining rooms. View of Mt. Rainier on a clear day. Remodeled kitchen with sunlit breakfast nook and lots of cabinet space. High ceilings in basement w/separate entrance - could increase sq. footage to 1930. Large fenced private backyard and patio.</t>
        </r>
      </text>
    </comment>
    <comment ref="E28" authorId="0">
      <text>
        <r>
          <rPr>
            <sz val="8"/>
            <color indexed="81"/>
            <rFont val="Tahoma"/>
            <charset val="1"/>
          </rPr>
          <t>An In-City oasis! Huge property-mature garden w/fruit trees (figs, apples) grapes and berries, gentle stream, makes this story-book home a place to enjoy w/your family and friends. It features 3bd,1.75ba and a family rm/office w/french doors out to the patio. Hrdwd floors in most of the home. Newly painted in/out. Newer kitchen and appliances. Some double pane windows. Lrg garage w/shop. New construction on the street. Close to UW, Children's &amp;amp; UW hosp, UVillage. Easy access to freeways.</t>
        </r>
      </text>
    </comment>
    <comment ref="E29" authorId="0">
      <text>
        <r>
          <rPr>
            <sz val="8"/>
            <color indexed="81"/>
            <rFont val="Tahoma"/>
            <charset val="1"/>
          </rPr>
          <t>Charming and full of character, this adorable home is just blocks from Green Lake with all the fine dining, shopping and amenities this area offers. Situated on a quiet street this 2 bedroom 1 bath home features newly finished hardwood floors, coved ceilings, formal dining room and attractive tiled fireplace. Level yard with deck. Unfinished basement with expansion potential and a single car garage.</t>
        </r>
      </text>
    </comment>
    <comment ref="E30" authorId="0">
      <text>
        <r>
          <rPr>
            <sz val="8"/>
            <color indexed="81"/>
            <rFont val="Tahoma"/>
            <charset val="1"/>
          </rPr>
          <t>Don't miss this charming Craftsman! Bright and airy second floor addition features vaulted ceilings and views of Puget Sound, Mt. Rainier, and the Cascades. Beautiful mature trees create a private in-city oasis in a friendly neighborhood. Short distance to nearby grocery stores and eateries. Easy bus access to downtown. Garage off alley with level entry to home. Ready to enjoy now with great potential to customize or expand! New electrical and plumbing. All appliances 6 y.o. or less.</t>
        </r>
      </text>
    </comment>
    <comment ref="E31" authorId="0">
      <text>
        <r>
          <rPr>
            <sz val="8"/>
            <color indexed="81"/>
            <rFont val="Tahoma"/>
            <charset val="1"/>
          </rPr>
          <t>1928 Phinney Ridge bungalow with many period details.2Br-1Bth, living room with mantled fireplace and crown molding. Kitchen with southern exposure has new stainless refrigerator and range. Front and back porch. Unfinished basement with good ceiling height, Nice backyard with mature plantings and Detached garage. Upgrades include 200amp service, high-tech cabling,security system and copper plumbing. A short walk to the best Phinney Ridge shops and restaurants.</t>
        </r>
      </text>
    </comment>
    <comment ref="B32" authorId="0">
      <text>
        <r>
          <rPr>
            <sz val="8"/>
            <color indexed="81"/>
            <rFont val="Tahoma"/>
            <charset val="1"/>
          </rPr>
          <t xml:space="preserve">11/23/2007
Active --&gt; Contingent
</t>
        </r>
      </text>
    </comment>
    <comment ref="E32" authorId="0">
      <text>
        <r>
          <rPr>
            <sz val="8"/>
            <color indexed="81"/>
            <rFont val="Tahoma"/>
            <charset val="1"/>
          </rPr>
          <t>Tucked away on a quiet street just minutes from REDUCED! Haller Lake this classic brick Cape Cod home has been lovingly maintained. Pride of ownership shows in the gleaming oak hardwood floors &amp;amp; woodwork, updated kitchen &amp;amp; bath. You'll see attention to detail throughout. The kitchen is updated w/newer appliances &amp;amp; plenty of storage. Check out the new windows, updated electrical &amp;amp; copper plumbing. Conveniently located near major shopping, restaurants and I-5 this is truly a place to call home!</t>
        </r>
      </text>
    </comment>
    <comment ref="E33" authorId="0">
      <text>
        <r>
          <rPr>
            <sz val="8"/>
            <color indexed="81"/>
            <rFont val="Tahoma"/>
            <charset val="1"/>
          </rPr>
          <t>Beautifully maintained park-like setting surrounds this pristine townhome community. Stendall Place is centrally located to NW Hospital, Northgate Mall, and downtown Seattle. This 3 bedroom oasis in the city features a large, attached 2 car garage, a private courtyard entry, a serene patio overlooking lush lawns, a community sport court, central A/C, ample storage and closets, a large laundry room, skylights with natural light, and a lofted 3rd bedroom.</t>
        </r>
      </text>
    </comment>
    <comment ref="AG33" authorId="0">
      <text>
        <r>
          <rPr>
            <sz val="8"/>
            <color indexed="81"/>
            <rFont val="Tahoma"/>
            <charset val="1"/>
          </rPr>
          <t xml:space="preserve">11/23/2007
47.714536 --&gt; 47.714545
</t>
        </r>
      </text>
    </comment>
    <comment ref="AH33" authorId="0">
      <text>
        <r>
          <rPr>
            <sz val="8"/>
            <color indexed="81"/>
            <rFont val="Tahoma"/>
            <charset val="1"/>
          </rPr>
          <t xml:space="preserve">11/23/2007
-122.340327 --&gt; -122.340266
</t>
        </r>
      </text>
    </comment>
    <comment ref="E34" authorId="0">
      <text>
        <r>
          <rPr>
            <sz val="8"/>
            <color indexed="81"/>
            <rFont val="Tahoma"/>
            <charset val="1"/>
          </rPr>
          <t>North Beach Remodeled Cottage on large Street to Street parklike lot. Less than 1 mile to Golden Gardens beach; dogpark. Lot has large tees &amp;amp; a quiet setting. Great lot for addition or building new in the future. Plenty of off St. parking for 4+ cars, boat trailers or RV. New paint, carpet, bath and light fixtures. Cozy Fireplace, available now!</t>
        </r>
      </text>
    </comment>
    <comment ref="E35" authorId="0">
      <text>
        <r>
          <rPr>
            <sz val="8"/>
            <color indexed="81"/>
            <rFont val="Tahoma"/>
            <charset val="1"/>
          </rPr>
          <t>Like a brand new house,with character!With this house you will see new roof,gas furnace,windows new kitchen with granite counter tops and stainless appl.The basement has a great playroom or a theater room!The yard gives you lots of parking for whatever,and garden space,with a covered patio to enjoy.Great location next to elementary and shopping,freeway.wow</t>
        </r>
      </text>
    </comment>
    <comment ref="E36" authorId="0">
      <text>
        <r>
          <rPr>
            <sz val="8"/>
            <color indexed="81"/>
            <rFont val="Tahoma"/>
            <charset val="1"/>
          </rPr>
          <t>Delightful Cape Cod Mench! Beautifully detailed original woodwork, gorgeous hardwood floors, &amp;amp; formal dining rm overlooking mature pretty plantings.Classic brick faced fireplace, spacious family rm., covered patio, large level lot, double pane windows, &amp;amp; alley access to detached gar. High ceilinged basement has potential for more finished space or 3rd bed. All this in fabulous Loyal Heights location near parks, Golden Gardens Beach, restaurants, &amp;amp; shopping. Adorable &amp;amp; updated! Open 10/28/07</t>
        </r>
      </text>
    </comment>
    <comment ref="AH36" authorId="0">
      <text>
        <r>
          <rPr>
            <sz val="8"/>
            <color indexed="81"/>
            <rFont val="Tahoma"/>
            <charset val="1"/>
          </rPr>
          <t xml:space="preserve">11/23/2007
-122.3854 --&gt; -122.38542
</t>
        </r>
      </text>
    </comment>
    <comment ref="AP36" authorId="0">
      <text>
        <r>
          <rPr>
            <sz val="8"/>
            <color indexed="81"/>
            <rFont val="Tahoma"/>
            <charset val="1"/>
          </rPr>
          <t xml:space="preserve">11/23/2007
Delightful Cape Cod Mench! Beautifully detailed original woodwork, gorgeous hardwood floors, &amp;amp; formal dining rm overlooking mature pretty plantings.Classic brick faced fireplace, spacious family rm., covered patio, large level lot, double pane windows, &amp;amp; alley access to detached gar. High ceilinged basement has potential for more finished space or 3rd bed. All this in fabulous Loyal Heights location near parks, Golden Gardens Beach, restaurants, &amp;amp; shopping. Adorable &amp;amp; updated! Open 10/28/07 --&gt; Delightful Cape Cod Mench! Beautifully detailed original woodwork, gorgeous hardwood floors, &amp;amp; formal dining rm overlooking mature pretty plantings.Classic brick faced fireplace, spacious family rm., covered patio, large level lot, double pane windows, &amp;amp; alley access to detached gar. High ceilinged basement has potential for more finished space or 3rd bed. All this in fabulous Loyal Heights location near parks, Golden Gardens Beach, restaurants, &amp;amp; shopping. Adorable &amp;amp; updated!
</t>
        </r>
      </text>
    </comment>
    <comment ref="E37" authorId="0">
      <text>
        <r>
          <rPr>
            <sz val="8"/>
            <color indexed="81"/>
            <rFont val="Tahoma"/>
            <charset val="1"/>
          </rPr>
          <t>Location! Only a couple of blocks to downtown Fremont shops and restaurants. Directly across from B.F. Day park. Enjoy 3 bedroom, 1 bath with lots of room to finish basement for added space. Electrical and bathroom has been updated. New front porch made Sof trex composite and backyard wood deck built recently. Front yard has been professionally landscaped along w/private gated backyard. Existing hardwoods throughout that just need some TLC.</t>
        </r>
      </text>
    </comment>
    <comment ref="E38" authorId="0">
      <text>
        <r>
          <rPr>
            <sz val="8"/>
            <color indexed="81"/>
            <rFont val="Tahoma"/>
            <charset val="1"/>
          </rPr>
          <t>20K Price Drop! Newly Remodeled Bryant Craftsman! Enjoy a beautiful view of Mt Rainier from your brand new kitchen. Completely redone with new flooring, maple cabinets, granite counters, top-end stainless appl. designer paint. From the kitchen savor your morning coffee from the cozy covered deck!! Both bathrooms are new, upstairs was remodeled and downstairs is brand new!!Room to grow in the high ceiling basement, it is partially finished with a new bath, and sink and cabinets for a 2nd kitchen.</t>
        </r>
      </text>
    </comment>
    <comment ref="E39" authorId="0">
      <text>
        <r>
          <rPr>
            <sz val="8"/>
            <color indexed="81"/>
            <rFont val="Tahoma"/>
            <charset val="1"/>
          </rPr>
          <t>Lovely remodeled Ballard Bungalow! 2 bed/1bath charmer on quiet street across from park/school yard. Updates throughout. Large Master Suite with wood burning fireplace. French doors from Master to New Trex deck. Great kitchen with cute nook that opens to deck. Private yard with shop, garage and alley access. Loyal Heights amentities just out the door. Move in ready - Don't miss!</t>
        </r>
      </text>
    </comment>
    <comment ref="E40" authorId="0">
      <text>
        <r>
          <rPr>
            <sz val="8"/>
            <color indexed="81"/>
            <rFont val="Tahoma"/>
            <charset val="1"/>
          </rPr>
          <t>Sunny western exposure mid-century home with welcoming floor plan. Built in 1959 and immaculately maintained. 3 bedrooms, 1.5 bathrooms and hardwoods on the main floor. Much sought after finished rec room &amp;amp; project areas on lower level. Oversized 2-car garage with workshop &amp;amp; bathroom. Dining room opens onto lovely entertainment sized yard for gardener's paradise and active play. Friendly neighborhood for walking with easy access to Lake City Farmer's Market, Library, shops and restaurants.</t>
        </r>
      </text>
    </comment>
    <comment ref="E41" authorId="0">
      <text>
        <r>
          <rPr>
            <sz val="8"/>
            <color indexed="81"/>
            <rFont val="Tahoma"/>
            <charset val="1"/>
          </rPr>
          <t>Searching for an income N/C ADU, (extra house on property) plus a perfect get away on a large lot. See this! 2 homes on nearly 8,000+ sq ft. Well maintained, new full bth, some updated plumbing, wiring! 3 bdrms; 2 on main plus 1 up. Second house has 1 bdrm, 3/4 bth, loft, kitchenette; guest qtrs, studio, private office or rental. Main house is open; light filled areas, skylight, gas free-standing frpl. SW orientation nice features throughout! Decks for entertaining; mature plantings.</t>
        </r>
      </text>
    </comment>
    <comment ref="E42" authorId="0">
      <text>
        <r>
          <rPr>
            <sz val="8"/>
            <color indexed="81"/>
            <rFont val="Tahoma"/>
            <charset val="1"/>
          </rPr>
          <t>Location, location, location: Lovely home on great street! Living &amp;amp; dining spaces are flooded with natural daylight. Entry w/coat closet, formal Dining, living rm w/FP. Large Kitchen w/room for breakfast table. Finished bsmt w/ 3rd bedrm, spacious family rm, 3/4 bath, laundry &amp;amp; storage. Newly refinished Hardwood floors. New 30yr roof &amp;amp; fresh interior paint. Move in ready for you to spend the holidays! Detached garage/alley. Just Steps to Loyal Heights Elementary, community center, bus &amp;amp; park</t>
        </r>
      </text>
    </comment>
    <comment ref="E43" authorId="0">
      <text>
        <r>
          <rPr>
            <sz val="8"/>
            <color indexed="81"/>
            <rFont val="Tahoma"/>
            <charset val="1"/>
          </rPr>
          <t>Charming 1900 farmhouse in Ballard features many updates with plenty of elbow room inside and out. Spacious upper floor with two light filled bedrooms. Completely fenced with level yard and productive fruit trees.</t>
        </r>
      </text>
    </comment>
    <comment ref="E44" authorId="0">
      <text>
        <r>
          <rPr>
            <sz val="8"/>
            <color indexed="81"/>
            <rFont val="Tahoma"/>
            <charset val="1"/>
          </rPr>
          <t>New price + $5,000 BUYER BONUS...Immaculate move-in ready cond w/daylight bsmnt features 4 bdrms + den/offc + rec area,2 baths,2 kitchens. Cmpltd updted w/new paint, marble and hardwood flrs. Daylight bsmnt w/own frpl, 2nd kitchen, full bath &amp;amp; separate entry. Updated kitchen w/marble countertops. Stunning landscaping w/ water fountain in the front yard &amp;amp; fish pond in the bckyrd. Easy access to I-5, only minutes to schls, parks, lakes, golf course &amp;amp; Northgate shopping mall. ALL APPLIANCES STAY!</t>
        </r>
      </text>
    </comment>
    <comment ref="E45" authorId="0">
      <text>
        <r>
          <rPr>
            <sz val="8"/>
            <color indexed="81"/>
            <rFont val="Tahoma"/>
            <charset val="1"/>
          </rPr>
          <t>This wonderfully remodeled home that has been brought back to life in style! From the remodeled kitchen to the landscaping, the owner has left no stone unturned in reviving this beautiful home on a corner lot. The moment you enter, you'll notice the shine from the hardwood floors that look new. Upstairs boasts a huge master bedroom w/new carpet &amp;amp; fresh paint. The basement also has new carpet &amp;amp; paint &amp;amp; is perfect for your new rec room with a gorgeous 3/4 bath.</t>
        </r>
      </text>
    </comment>
    <comment ref="E46" authorId="0">
      <text>
        <r>
          <rPr>
            <sz val="8"/>
            <color indexed="81"/>
            <rFont val="Tahoma"/>
            <charset val="1"/>
          </rPr>
          <t>Beautifully updated 2bdrm Craftsman in sought after Ballard/Greenwood reflects quality workmanship! Home features remodeled kitchen w/stainless appliances, dining room, living room w/cozy wood stove. Updated bath w/granite shower &amp;amp; heated tile floor. Finished bsmt w/bonus room and laundry room. Cedar sauna opens onto fenced backyard w/dog kennel, fenced garden, patio &amp;amp; fruit trees. Handyman's dream includes spacious detached 650 sq ft garage. Freshly painted inside/out! 30yr roof w/warranty.</t>
        </r>
      </text>
    </comment>
    <comment ref="F46" authorId="0">
      <text>
        <r>
          <rPr>
            <sz val="8"/>
            <color indexed="81"/>
            <rFont val="Tahoma"/>
            <charset val="1"/>
          </rPr>
          <t xml:space="preserve">11/23/2007
419000 --&gt; 409500
</t>
        </r>
      </text>
    </comment>
    <comment ref="E47" authorId="0">
      <text>
        <r>
          <rPr>
            <sz val="8"/>
            <color indexed="81"/>
            <rFont val="Tahoma"/>
            <charset val="1"/>
          </rPr>
          <t>HOME SWEET HOME!This is a bright,cozy home,move-in ready. 2 bedrooms(plus)1.75 baths,hardwood floors w/new maple floors in kitchen. Coved ceilings, fireplace, dining room w/garden window. Finished basement w/new carpeting. 2006 oil furnace, plenty of storage. Deck off kitchen and garden/patio area in fenced back yard. Single car garage with alley access. Home Warranty provided. BUYER BONUS $5000.00 in closing costs paid by seller w/agreed upon offer!</t>
        </r>
      </text>
    </comment>
    <comment ref="E48" authorId="0">
      <text>
        <r>
          <rPr>
            <sz val="8"/>
            <color indexed="81"/>
            <rFont val="Tahoma"/>
            <charset val="1"/>
          </rPr>
          <t>Bright, happy Craftsman. An artist's home &amp;amp; it shows. Precious yard w/ Zen meditation area &amp;amp; covered back patio. Sunny, open living area w/ a drop-dead gorgeous slate fireplace &amp;amp; amber colored fir floors. Cute eat-in kitchen is perfect for hanging out. Big bathroom easily divided into another .5 or full bath. Too many artistically crafted details to list. This well done home will make you smile &amp;amp; still has opportunities for big equity growth from your touches. Off st. prkg in front &amp;amp; off alley.</t>
        </r>
      </text>
    </comment>
    <comment ref="B49" authorId="0">
      <text>
        <r>
          <rPr>
            <sz val="8"/>
            <color indexed="81"/>
            <rFont val="Tahoma"/>
            <charset val="1"/>
          </rPr>
          <t xml:space="preserve">11/23/2007
Active --&gt; Pending
</t>
        </r>
      </text>
    </comment>
    <comment ref="E49" authorId="0">
      <text>
        <r>
          <rPr>
            <sz val="8"/>
            <color indexed="81"/>
            <rFont val="Tahoma"/>
            <charset val="1"/>
          </rPr>
          <t>Smart, sophisticated and meticulous! Sparkling hardwoods. Spacious 3 bedroom, 2 bath, which includes the master suite, is all on one floor! Beautiful new kitchen with slab granite and stainless appliances. Generous kitchen eating area opens to the huge rear yard and back deck. Ally access to the rear yard. Large attached garage has an open stairway to a nice size loft, perfect for possible expansion.</t>
        </r>
      </text>
    </comment>
    <comment ref="E50" authorId="0">
      <text>
        <r>
          <rPr>
            <sz val="8"/>
            <color indexed="81"/>
            <rFont val="Tahoma"/>
            <charset val="1"/>
          </rPr>
          <t>Exceptional 2story on corner lot w/ great curb appeal &amp;amp;move-in condition. Huge 625 sq ft garage / shop. Walk to restaurants, coffee shops, the Interlake Trail and bus stop.Quick access to I-5,downtown &amp;amp;Ballard.Expansive deck is perfect for barbequing and entertaining year round.Heat efficient home with double pane windows&amp;amp;efficient gas furnace.Gourmet kitchen &amp;amp; large living room.Master bedrm 16ft by 16 ft has a warm and open feel with vaulted ceilings, French doors that open to private balcony.</t>
        </r>
      </text>
    </comment>
    <comment ref="E51" authorId="0">
      <text>
        <r>
          <rPr>
            <sz val="8"/>
            <color indexed="81"/>
            <rFont val="Tahoma"/>
            <charset val="1"/>
          </rPr>
          <t>Classic Seattle Brick Tudor with an open floor plan and lots of natural light. Features hardwood floors, art tiled fireplace, coved and coffered ceilings and original mahogany trim and picture rails. Great space for entertaining with formal living &amp;amp; dining rooms. View of Mt. Rainier on a clear day. Remodeled kitchen with sunlit breakfast nook and lots of cabinet space. High ceilings in basement w/separate entrance - could increase sq. footage to 1930. Large fenced private backyard and patio.</t>
        </r>
      </text>
    </comment>
    <comment ref="E52" authorId="0">
      <text>
        <r>
          <rPr>
            <sz val="8"/>
            <color indexed="81"/>
            <rFont val="Tahoma"/>
            <charset val="1"/>
          </rPr>
          <t>Come and see this charming mid-century rambler located on a wonderful street, this is not on a busy street! This tastefully renovated home offers an open floor plan, radiant heat, new kitchen w/ stainless appliances, hardwood floors and a large secluded fenced back yard - all on a 6,500+ sq ft lot. Separate laundry/mud room off the 1 car attached garage. This lovely home is move in ready!</t>
        </r>
      </text>
    </comment>
    <comment ref="E53" authorId="0">
      <text>
        <r>
          <rPr>
            <sz val="8"/>
            <color indexed="81"/>
            <rFont val="Tahoma"/>
            <charset val="1"/>
          </rPr>
          <t>Beautiful updated Cape Cod on a fabulous lot in prime location! Great floor plan with large spacious rooms. Charm &amp;amp; pizazz with refinished oak floors, radius corners, art-deco fireplace etc. Updated kitchen with lots of cabinet space. Light &amp;amp; open with southern exposure &amp;amp; big picture windows. Huge family room downstairs with fireplace. Most systems updated. Wonderful private large fenced backyard. Located next to a park! Polished &amp;amp; absolutely gorgeous. This is the one you have been waiting for!!</t>
        </r>
      </text>
    </comment>
    <comment ref="B54" authorId="0">
      <text>
        <r>
          <rPr>
            <sz val="8"/>
            <color indexed="81"/>
            <rFont val="Tahoma"/>
            <charset val="1"/>
          </rPr>
          <t xml:space="preserve">11/23/2007
Active --&gt; Active - STI
</t>
        </r>
      </text>
    </comment>
    <comment ref="E54" authorId="0">
      <text>
        <r>
          <rPr>
            <sz val="8"/>
            <color indexed="81"/>
            <rFont val="Tahoma"/>
            <charset val="1"/>
          </rPr>
          <t>Solid, Well-Built, Nearly Impeccable!, Located on a Lovely Street w/other well-maintained homes, Craftsman brick, daylight Rambler, 2 bedrooms, 2 baths, 2 rec rooms w/2nd bath. Two Fireplaces, 1 up/1 down, Gourmet Kitchen with French doors to backyard, Sparkling hardwoods recently updated thru-out. Designer colors. One of the lower rec rooms w/bath was used as Master Bedoom (window not to code for egress), Applnces included, shop/storage on lower level, Buyer to verify bldg. square footage.</t>
        </r>
      </text>
    </comment>
    <comment ref="E55" authorId="0">
      <text>
        <r>
          <rPr>
            <sz val="8"/>
            <color indexed="81"/>
            <rFont val="Tahoma"/>
            <charset val="1"/>
          </rPr>
          <t>Almost completely remodeled. Some minor work left to be done. Wood floors. All copper plumbing. Electrical mostly updated. Gas heat. Legal mother-in-law in bsmt with separate entrance. Most appliances less than 4 years old. Corner lot. Garage and 2 space carport. Gas stoves. Exterior professionally restored and painted. Lots of finished attic storage with stair access.</t>
        </r>
      </text>
    </comment>
    <comment ref="E56" authorId="0">
      <text>
        <r>
          <rPr>
            <sz val="8"/>
            <color indexed="81"/>
            <rFont val="Tahoma"/>
            <charset val="1"/>
          </rPr>
          <t>Updated contemporary home in sought-after Ravenna neighborhood. 1st floor features spacious great room with fireplace, modernized kitchen &amp;amp; full bath plus large master bedroom with tons of closet space. Downstairs offers another ample bdrm, full bath and laundry room. Low maintenance backyard offers charming patio area. Located minutes from U Village, walking distance to coffee shops, restaurants and parks. Zoned for duplex (buyer to verify), downstairs wired for kitchen.</t>
        </r>
      </text>
    </comment>
    <comment ref="E57" authorId="0">
      <text>
        <r>
          <rPr>
            <sz val="8"/>
            <color indexed="81"/>
            <rFont val="Tahoma"/>
            <charset val="1"/>
          </rPr>
          <t>North Seattle. 2 bedroom rambler style, 1080 SF home (KCR), 8380 SF lot (KCR). Hardwood flooring under carpet. Tile flooring in kitchen and family area. Fully fenced rear yard with patio &amp;amp; RV parking pad. Attached garage. On flat corner lot.</t>
        </r>
      </text>
    </comment>
    <comment ref="E58" authorId="0">
      <text>
        <r>
          <rPr>
            <sz val="8"/>
            <color indexed="81"/>
            <rFont val="Tahoma"/>
            <charset val="1"/>
          </rPr>
          <t>Charming one level home on quiet cul de sac. Great floor plan! 3 bdrm 1.75 bths. Spacious living rm has hardwood floors &amp;amp; frplc. Nice dining rm overlooks private bckyrd. Good sized kitchen w/new appliances, gas cooktop, &amp;amp; cozy eating area. Spacious family rm w/2nd frplc. Fully fenced &amp;amp; Re-landscaped yard. Large patio, brick walkway, play area, &amp;amp; garden space. Updates: New Windows/ Gas Heat/ Newer Roof. Great location close to schools, shops, &amp;amp; bus-line. A short walk to Carkeek Park &amp;amp; Beach!</t>
        </r>
      </text>
    </comment>
    <comment ref="E59" authorId="0">
      <text>
        <r>
          <rPr>
            <sz val="8"/>
            <color indexed="81"/>
            <rFont val="Tahoma"/>
            <charset val="1"/>
          </rPr>
          <t>Bright and irresistibly charming home in Bryant! Excellent location near Metro Market, PCC, UW, Burke Gilman Trail, and Children's Hospital. Front and back yard are fully fenced with impressive custom fencing. Enjoy the lovely landscaping, garden space and back deck. The Basement is fully finished and can be converted into an extra bedroom. The main bath has been renovated an all appliances are only 2 years old. Don't miss this opportunity!</t>
        </r>
      </text>
    </comment>
    <comment ref="E60" authorId="0">
      <text>
        <r>
          <rPr>
            <sz val="8"/>
            <color indexed="81"/>
            <rFont val="Tahoma"/>
            <charset val="1"/>
          </rPr>
          <t>Beautifully maintained charming rambler in pristine condition. This one level home has a paneled family room adjoining the kitchen and a newer trex deck. Large windows provide light, bright living and dining rooms. Second bath easily added off family room. Lovely quiet street.</t>
        </r>
      </text>
    </comment>
    <comment ref="E61" authorId="0">
      <text>
        <r>
          <rPr>
            <sz val="8"/>
            <color indexed="81"/>
            <rFont val="Tahoma"/>
            <charset val="1"/>
          </rPr>
          <t>New on market! Charming 1913 Bungalow in a great location. Cosmetic fixer,nice home to live in and fix along the way. Large living room, formal dining room, &amp;amp; a period kitchen with wood floors (under carpet.) High ceilings &amp;amp; good spaces. Two bedrooms &amp;amp; one bath on the main floor, partially finished basement with ample storage. Nice sunny yard &amp;amp; large lot and one car garage. A little time and effort will make this home shine!</t>
        </r>
      </text>
    </comment>
    <comment ref="E62" authorId="0">
      <text>
        <r>
          <rPr>
            <sz val="8"/>
            <color indexed="81"/>
            <rFont val="Tahoma"/>
            <charset val="1"/>
          </rPr>
          <t>Absolutely charming Loyal Heights bungalow. Gorgeous hardwood floors, open floor plan, new interior paint, newly remodeled bath &amp;amp; new furnace. The newly built fireplace mantle is a classy addition to the original architecture. The kitchen has a butcher-block eating bar, newer appliances and original counter tiles. Light and bright corner lot with fenced yard, tons of seasonal flowers, custom stone patio and beautiful landscaping. This home is super cute and move in ready.</t>
        </r>
      </text>
    </comment>
    <comment ref="E63" authorId="0">
      <text>
        <r>
          <rPr>
            <sz val="8"/>
            <color indexed="81"/>
            <rFont val="Tahoma"/>
            <charset val="1"/>
          </rPr>
          <t>Move-in ready craftsman bungalow with light-filled rooms, high ceilings with picture moldings, updated above and beyond. Terrific private second story hot tub deck with broad views of Mount Rainier, Elliott Bay and the Seattle skyline. Convenient main floor office or dressing room. Uniquely beautiful gardens with stone and water features. Big south-facing side yard. Multi-use outdoor parking, storage, and work area. Wide residential street in a quiet, stable neighborhood. A must-see home.</t>
        </r>
      </text>
    </comment>
    <comment ref="E64" authorId="0">
      <text>
        <r>
          <rPr>
            <sz val="8"/>
            <color indexed="81"/>
            <rFont val="Tahoma"/>
            <charset val="1"/>
          </rPr>
          <t>Great location for resident or fabulous opportunity for commercial mixed zoning. Usage such as office, multifamily, retail with apartments on top and restaurants too many possibilities. Buyer to verify. A must see!</t>
        </r>
      </text>
    </comment>
    <comment ref="B65" authorId="0">
      <text>
        <r>
          <rPr>
            <sz val="8"/>
            <color indexed="81"/>
            <rFont val="Tahoma"/>
            <charset val="1"/>
          </rPr>
          <t xml:space="preserve">11/23/2007
Active --&gt; Cancelled
</t>
        </r>
      </text>
    </comment>
    <comment ref="E65" authorId="0">
      <text>
        <r>
          <rPr>
            <sz val="8"/>
            <color indexed="81"/>
            <rFont val="Tahoma"/>
            <charset val="1"/>
          </rPr>
          <t>Fantastic Phinney Ridge home! Open floor plan with a new custom kitchen, hardwood floors, fireplace, sun room/office area. Private backyard with a huge deck. Walk to shops, restaurants and the zoo. This home simply stands out!!</t>
        </r>
      </text>
    </comment>
    <comment ref="AG65" authorId="0">
      <text>
        <r>
          <rPr>
            <sz val="8"/>
            <color indexed="81"/>
            <rFont val="Tahoma"/>
            <charset val="1"/>
          </rPr>
          <t xml:space="preserve">11/23/2007
47.668701 --&gt; 47.668675
</t>
        </r>
      </text>
    </comment>
    <comment ref="AH65" authorId="0">
      <text>
        <r>
          <rPr>
            <sz val="8"/>
            <color indexed="81"/>
            <rFont val="Tahoma"/>
            <charset val="1"/>
          </rPr>
          <t xml:space="preserve">11/23/2007
-122.35833 --&gt; -122.358328
</t>
        </r>
      </text>
    </comment>
    <comment ref="E66" authorId="0">
      <text>
        <r>
          <rPr>
            <sz val="8"/>
            <color indexed="81"/>
            <rFont val="Tahoma"/>
            <charset val="1"/>
          </rPr>
          <t>Welcome to your in-city oasis. Perched high above the street with east and south mountain views this house offers serenity. The built-in wine alcove, arched doorways and a rocking chair front porch add to the charm of this historic Greenlake farmhouse originally built in 1906. Newer appliances (all stay),gas furnace makes utility bills low and maintenance easy. A large professionally landscaped 6000+ lot, with gardens and brick patio to enjoy your days and nights in total seclusion. Cedar shed.</t>
        </r>
      </text>
    </comment>
    <comment ref="E67" authorId="0">
      <text>
        <r>
          <rPr>
            <sz val="8"/>
            <color indexed="81"/>
            <rFont val="Tahoma"/>
            <charset val="1"/>
          </rPr>
          <t>Picture perfect charm. Mid century bungalow. Better than new. Pvt, quiet, 1/5 acre, strict attention to detail. New roof, new furnace, new craftsman shingle siding, new gutter &amp;amp; drain system, new windows, refin. cherry hdwd flrs, new travertine bthrm flrs, new granite entry &amp;amp; frplc surround, gas log frplc, stylish period mantle, crown molding, decorator colors, all appls stay, lovely level property, detached 2 car gar. w/ shop area. Classic, solid home for the holidays. Let's talk! This is HOME!</t>
        </r>
      </text>
    </comment>
    <comment ref="E68" authorId="0">
      <text>
        <r>
          <rPr>
            <sz val="8"/>
            <color indexed="81"/>
            <rFont val="Tahoma"/>
            <charset val="1"/>
          </rPr>
          <t>This 1926 Ballard cottage offers plenty of original charm with modern updates designed for a fun &amp;amp; functional living space. Two bedrooms plus office &amp;amp; two full baths split between floors make this home guest-friendly. Recycled sliding doors are a sylish touch on both levels. The living room has hardwood floors &amp;amp; lots of natural light. The remodeled kitchen features slate flooring, new cabinets, butcher-block counters and stainless appliances. Copper plumbing, new water htr &amp;amp; great storage.</t>
        </r>
      </text>
    </comment>
    <comment ref="E69" authorId="0">
      <text>
        <r>
          <rPr>
            <sz val="8"/>
            <color indexed="81"/>
            <rFont val="Tahoma"/>
            <charset val="1"/>
          </rPr>
          <t>This beautiful loving home loaded with old world charm was built in 1928 and inspires with vintage touches full of grace and character. This thoughtful remake of a classic craftsman includes newly refinished softwood floors, a tiled bath, and a modern gourmet kitchen complete with professional restaurant style gas range and all stainless steel appliances for todays lifestyle. A truly sublime property located in a serene setting on gently sloping grounds with old mature trees and Western sunsets.</t>
        </r>
      </text>
    </comment>
    <comment ref="E70" authorId="0">
      <text>
        <r>
          <rPr>
            <sz val="8"/>
            <color indexed="81"/>
            <rFont val="Tahoma"/>
            <charset val="1"/>
          </rPr>
          <t>Lovely brick home located on a corner lot. Features include hardwood floors, glass block accents, large windows for bright and sunny dayrooms, dining room, original birch cabinets in the kitchen and a jetted tub. One of the three bedrooms have slider to deck. Basement could be MIL apartment. Real parquet wood floors, lots of storage room, 2nd kitchen, wet bar and wine cellar. Kitchen and basement have doors to large fenced backyard w/ garden space and storage shed. New composition roof.</t>
        </r>
      </text>
    </comment>
    <comment ref="E71" authorId="0">
      <text>
        <r>
          <rPr>
            <sz val="8"/>
            <color indexed="81"/>
            <rFont val="Tahoma"/>
            <charset val="1"/>
          </rPr>
          <t>1,906 ASF-MOVE IN READY! 2 bed/2 bath w/9' ceilings.Vinyl Windows &amp;amp; Gas Heat. Mstr ste w/ sauna shower,dbl sinks &amp;amp; walk-in clst. Wood &amp;amp; Tile flrs. Bsmnt w/storage,Rec room or guest area &amp;amp; 1/2 bath. Patio for BBQ's. Fenced Back Yard. Private, Gated, Off-Street Prkg 3+ cars or RV &amp;amp; finished 1 car Garage(308 SF). Home has been pre-inspected-ready for a buyer! EZ to downtown, schools and Parks. Much bigger than it looks. Schedule a showing today.</t>
        </r>
      </text>
    </comment>
    <comment ref="E72" authorId="0">
      <text>
        <r>
          <rPr>
            <sz val="8"/>
            <color indexed="81"/>
            <rFont val="Tahoma"/>
            <charset val="1"/>
          </rPr>
          <t>Stand alone 2 year old home on a corner lot. 2 bedroom suites with private baths &amp;amp; 1/2 bath, soaring ceilings, gorgeous cherry hardwood &amp;amp; slate flooring, ample use of granite &amp;amp; tile. 36 inch custom cabinets, bonus room, fenced yard. Partial city views.</t>
        </r>
      </text>
    </comment>
    <comment ref="E73" authorId="0">
      <text>
        <r>
          <rPr>
            <sz val="8"/>
            <color indexed="81"/>
            <rFont val="Tahoma"/>
            <charset val="1"/>
          </rPr>
          <t>3 Bedroom Ballard Charmer. Come home to your own retreat. Hardwood floors and wood trim throughout. Heated bathroom and kitchen floors for chilly mornings. Impeccably maintained, open floor plan. Professionally landscaped yard. Newly remodeled upstairs bath. Private den. All appliances stay. Too many extras to mention.</t>
        </r>
      </text>
    </comment>
    <comment ref="E74" authorId="0">
      <text>
        <r>
          <rPr>
            <sz val="8"/>
            <color indexed="81"/>
            <rFont val="Tahoma"/>
            <charset val="1"/>
          </rPr>
          <t>Great Street Appeal. Home is awaiting your touches. All Appliances stay plus the Freezer. A Ton of Storage Space. Double Pane or Storm Windows on Main Floor. Plum, Apple, &amp;amp; Pear Trees. Shop in Basement. Room for your RV.</t>
        </r>
      </text>
    </comment>
    <comment ref="E75" authorId="0">
      <text>
        <r>
          <rPr>
            <sz val="8"/>
            <color indexed="81"/>
            <rFont val="Tahoma"/>
            <charset val="1"/>
          </rPr>
          <t>Charming, Ballard craftsman with original period details throughout. 3 bed/1 bath with bonus room. Home has been recently updated new int. and ext. paint, wood floors, kitchen counters, s/s appliances and double-paned windows. Enjoy the original fireplace and warm paint colors. Large, newly fenced backyard, perfect for entertaining. Separate garage can be used for 3rd car parking, workshop or storage shed. Easy access to bus, Ballard, Phinney and Hwy. 99. Call this historic beauty your own!!!</t>
        </r>
      </text>
    </comment>
    <comment ref="E76" authorId="0">
      <text>
        <r>
          <rPr>
            <sz val="8"/>
            <color indexed="81"/>
            <rFont val="Tahoma"/>
            <charset val="1"/>
          </rPr>
          <t>Beautiful renovated home in desirable Greenlake neighborhood.3 bedrm, 1 bath, light open kitchen w/breakfast nook.Granite tile counters over Hickory cabinets w/stainless steel appliances.Bathroom features granite tile shower w/new fixtures.Refinished original wood floors throughout.Travertine floors in kitchen.New vinyl windows,roof &amp;amp; exterior doors.Fully reconstructed front porch &amp;amp; landscaped.Full basement w/laundry facilities (included).Wonderful views of both the city skyline &amp;amp; Mount Rainier.</t>
        </r>
      </text>
    </comment>
    <comment ref="O76" authorId="0">
      <text>
        <r>
          <rPr>
            <sz val="8"/>
            <color indexed="81"/>
            <rFont val="Tahoma"/>
            <charset val="1"/>
          </rPr>
          <t xml:space="preserve">11/23/2007
No photos --&gt; More
</t>
        </r>
      </text>
    </comment>
    <comment ref="E77" authorId="0">
      <text>
        <r>
          <rPr>
            <sz val="8"/>
            <color indexed="81"/>
            <rFont val="Tahoma"/>
            <charset val="1"/>
          </rPr>
          <t>Brick Tudor fixer on Dibble Avenue NW, just south of 80th. One of 7 side-by-side brick Tudors built in the late 20's. Much of the OWC still intact. Lots of mahogany, hardwoods and crown mouldings. Room for expansion in basement and attic areas. Spacious living room with fireplace, &amp;amp; separate formal dining room. Two additional roughed-in bedrooms on the second level. Quiet Ballard street with excellent access to downtown Seattle. Opportunity to make this the home you've always dreamed of owning.</t>
        </r>
      </text>
    </comment>
    <comment ref="E78" authorId="0">
      <text>
        <r>
          <rPr>
            <sz val="8"/>
            <color indexed="81"/>
            <rFont val="Tahoma"/>
            <charset val="1"/>
          </rPr>
          <t>Cute and Clean!Open Sunday 1-4 Fantastic remodeled home,upcoming neighborhood w/new homes. New features include,New sheetrock,new insulation,new interior/exterior paint, new molding,some doors, brand new tiled bath.The kitchen is completely new-loads of maple cabinets,granite slab counters, full height tile back splash, tiled floor and eating nook, newer appls.Better then a condo!newly redone yard,new elec panel/wiring,new plumbing and detached garage. Very private/quiet blk.easy access to shops</t>
        </r>
      </text>
    </comment>
    <comment ref="E79" authorId="0">
      <text>
        <r>
          <rPr>
            <sz val="8"/>
            <color indexed="81"/>
            <rFont val="Tahoma"/>
            <charset val="1"/>
          </rPr>
          <t>Come home to this great bungalow in desirable Fremont - remodeled by owner/architect with stylish finish work. LR w/ pine Hdwd flrs and wood burning FP, French doors open to second BR/Den w/inset carpet tiles &amp;amp; cork panel walls &amp;amp; bookshelves. Enjoy the custom kitch w/resin front cabinets &amp;amp; River rock backsplash, Charming BA w/clawfoot tub,bowl sink &amp;amp; slate flrs. Great storage in BSM w/one car garage &amp;amp; potential for expansion. Perfect location for sustainable living. L 3 zoning.</t>
        </r>
      </text>
    </comment>
    <comment ref="E80" authorId="0">
      <text>
        <r>
          <rPr>
            <sz val="8"/>
            <color indexed="81"/>
            <rFont val="Tahoma"/>
            <charset val="1"/>
          </rPr>
          <t>Wonderful Craftsman home in quiet Maple Leaf neighborhood. Needs just a touch of TLC to make it yours.</t>
        </r>
      </text>
    </comment>
    <comment ref="AS80" authorId="0">
      <text>
        <r>
          <rPr>
            <sz val="8"/>
            <color indexed="81"/>
            <rFont val="Tahoma"/>
            <charset val="1"/>
          </rPr>
          <t xml:space="preserve">11/23/2007
http://locmedia.nwmls.com/DO_NOT_LINK/bigphoto/790/27193790.jpg?tsp=20071105132804 --&gt; http://locmedia.nwmls.com/DO_NOT_LINK/bigphoto/790/27193790.jpg?tsp=20071123141640
</t>
        </r>
      </text>
    </comment>
    <comment ref="E81" authorId="0">
      <text>
        <r>
          <rPr>
            <sz val="8"/>
            <color indexed="81"/>
            <rFont val="Tahoma"/>
            <charset val="1"/>
          </rPr>
          <t>1905 Phinney Ridge Craftsman just steps to Greenlake. Enjoy the peacefulness of a quiet neighborhood in a great location. This 2 br charmer has a remodeled kitchen w/stainless appliances &amp;amp; designer tile flr. It`s updated bath has an electronic skylight that closes by itself when it rains! Cozy livingroom has wood burning fp w/picture windows looking out towards the lake. Very low maintenance yd &amp;amp; 2 offstreet parking places. Just move in &amp;amp; enjoy. Perfect townhome or condo alternative.</t>
        </r>
      </text>
    </comment>
    <comment ref="E82" authorId="0">
      <text>
        <r>
          <rPr>
            <sz val="8"/>
            <color indexed="81"/>
            <rFont val="Tahoma"/>
            <charset val="1"/>
          </rPr>
          <t>Must Come In to See All this 2-Story Brick Charmer has to Offer! Almost 2,400 SqFt!4Bd,2Bth, Hardwood Floors,Updated Kitchen &amp;amp; Baths.New:Roof,Paint,Fixtures,Hot Water Heater. Newer Furnace,Plumbing&amp;amp;Electrical. Transferrable Lifetime Warranty Storm Windows. Large,Level,Fully-Fenced Lot w/Beautiful Landscape+Dramatic Water Feature.Enjoy Sunsets from your Entertainment-sized Covered Porch w/Wrap-Around Flower Beds.Bonus Rm Plus+Family Rm or Fabulous Master Suite w/2nd Gas Fireplace! Priced to Sell!</t>
        </r>
      </text>
    </comment>
    <comment ref="AG82" authorId="0">
      <text>
        <r>
          <rPr>
            <sz val="8"/>
            <color indexed="81"/>
            <rFont val="Tahoma"/>
            <charset val="1"/>
          </rPr>
          <t xml:space="preserve">11/23/2007
47.708375 --&gt; 47.708361
</t>
        </r>
      </text>
    </comment>
    <comment ref="AH82" authorId="0">
      <text>
        <r>
          <rPr>
            <sz val="8"/>
            <color indexed="81"/>
            <rFont val="Tahoma"/>
            <charset val="1"/>
          </rPr>
          <t xml:space="preserve">11/23/2007
-122.28778 --&gt; -122.287807
</t>
        </r>
      </text>
    </comment>
    <comment ref="AP82" authorId="0">
      <text>
        <r>
          <rPr>
            <sz val="8"/>
            <color indexed="81"/>
            <rFont val="Tahoma"/>
            <charset val="1"/>
          </rPr>
          <t xml:space="preserve">11/23/2007
Must Come In to See All this 2-Story Brick Charmer has to Offer! Almost 2,400 SqFt!4Bd,2Bth, Hardwood Floors,Updated Kitchen &amp;amp; Baths.New:Roof,Paint,Fixtures,Hot Water Heater. Newer Furnace,Plumbing&amp;amp;Electrical. Transferrable Lifetime Warranty Storm Windows. Large,Level,Fully-Fenced Lot w/Beautiful Landscape+Dramatic Water Feature.Enjoy Sunsets from your Entertainment-sized Covered Porch w/Wrap-Around Flower Beds.Bonus Rm Plus+Family Rm or Fabulous Master Suite w/2nd Gas Fireplace! Priced to Sell! --&gt; You Won't Find a Better Home for This Price! Must Come In to See All this 2-Story Brick Charmer has to Offer! Almost 2,400 SqFt!4Bd,2Bth, Hardwood Floors,Updated Kitchen&amp;amp;Baths.New:Roof,Paint,Fixtures,Hot Water Heater.Newer Furnace,Plumbing&amp;amp;Electrical. Lifetime Warranty Storm Windows. Large,Level &amp;amp; Fenced Lot w/Beautiful Landscape+Dramatic Water Feature.Enjoy Sunsets from your Entertainment-sized Covered Porch.Bonus Rm Plus+Family Rm or Fabulous Master Suite w/2nd Gas Fireplace! Bring All Offers!
</t>
        </r>
      </text>
    </comment>
    <comment ref="AS82" authorId="0">
      <text>
        <r>
          <rPr>
            <sz val="8"/>
            <color indexed="81"/>
            <rFont val="Tahoma"/>
            <charset val="1"/>
          </rPr>
          <t xml:space="preserve">11/23/2007
http://locmedia.nwmls.com/DO_NOT_LINK/bigphoto/590/27194590.jpg?tsp=20071114124349 --&gt; http://locmedia.nwmls.com/DO_NOT_LINK/bigphoto/590/27194590.jpg?tsp=20071123100517
</t>
        </r>
      </text>
    </comment>
    <comment ref="E83" authorId="0">
      <text>
        <r>
          <rPr>
            <sz val="8"/>
            <color indexed="81"/>
            <rFont val="Tahoma"/>
            <charset val="1"/>
          </rPr>
          <t>Owner DOES NOT care what sale price is,as long as he owes no money after closing, AND as long as lender approves shortsale, with no additional funds due.Jimi Hendrix's Brother's House. 4 Bedrooms, 1 3/4 Baths, Finished Rec Room, 2 Fireplaces, On Greenbelt, with Babbling Brook, Vaulted Beamed Ceilings W/Clear Story Windows. Solid House. House is Full of Trash, No Water or Power, and Needs Repairs,but Good Home. PreForeclosure. Sale Subject to Short Sale Approval by Lender.</t>
        </r>
      </text>
    </comment>
    <comment ref="E84" authorId="0">
      <text>
        <r>
          <rPr>
            <sz val="8"/>
            <color indexed="81"/>
            <rFont val="Tahoma"/>
            <charset val="1"/>
          </rPr>
          <t>Ballard Fixer! This 1907 4bed/1bath 2060 sq ft house is located on 2 lots. Tons of potential! If you are an investor or just looking for a fixer then this house is it! Home is an Estate Sale and is sold AS-IS. Seller to do no work orders. Hurry...this one won't last!</t>
        </r>
      </text>
    </comment>
    <comment ref="E85" authorId="0">
      <text>
        <r>
          <rPr>
            <sz val="8"/>
            <color indexed="81"/>
            <rFont val="Tahoma"/>
            <charset val="1"/>
          </rPr>
          <t>$10,000 towards buyer's closing costs with acceptable offer by 11/30/07! Motivated seller says bring all offers NOW! Recently remodeled home retaining its original old-world charm! Kitchen/baths have been nicely updated w/new cabinets, counters, fixtures, appliances. This is a very charming home! Convenient to all amenities that Greenwood has to offer! Sq ft is estimate (tax records do not appear to include recent upstairs addition). Sold as-is without warranty of any kind. Thanks for looking!</t>
        </r>
      </text>
    </comment>
    <comment ref="E86" authorId="0">
      <text>
        <r>
          <rPr>
            <sz val="8"/>
            <color indexed="81"/>
            <rFont val="Tahoma"/>
            <charset val="1"/>
          </rPr>
          <t>Charming, well maintained 2 bedroom home with gorgeous hardwood floors and lots of character. Apx 1610 sq ft including a lg basement, rec room, den, laundry room &amp;amp; storage. Lg yard with plenty of room for entertaining. Bright kitchen w/large window. Close to restaurants, U Village &amp;amp; easy bus access.</t>
        </r>
      </text>
    </comment>
    <comment ref="E87" authorId="0">
      <text>
        <r>
          <rPr>
            <sz val="8"/>
            <color indexed="81"/>
            <rFont val="Tahoma"/>
            <charset val="1"/>
          </rPr>
          <t>One of a kind home features lush landscaping w/ pond, mature trees, entertainment deck and fenced yard. Lg living room w/ soaring ceilings, wood floors, wood stove and built in aquarium. Huge dining room features garden window. Completely updated gourmet kitchen w/ SS appliances. Lower level includes den, 3rd bedroom, 3/4 bath and lots of storage space.</t>
        </r>
      </text>
    </comment>
    <comment ref="E88" authorId="0">
      <text>
        <r>
          <rPr>
            <sz val="8"/>
            <color indexed="81"/>
            <rFont val="Tahoma"/>
            <charset val="1"/>
          </rPr>
          <t>Beautiful, meticulously maintained 1950's classic brick home. Large &amp;amp; level fenced back yard with a greenhouse and fruit trees. Original charm, hardwood floors, updated kitchen, custom mural in child's bedroom, custom colors, family room and living room each with a fireplace. Attached garage access plus ample space for guest parking. Great location in the city. Turn-key &amp;amp; move in ready! Discounted escrow fees .</t>
        </r>
      </text>
    </comment>
    <comment ref="E89" authorId="0">
      <text>
        <r>
          <rPr>
            <sz val="8"/>
            <color indexed="81"/>
            <rFont val="Tahoma"/>
            <charset val="1"/>
          </rPr>
          <t>Clean and tidy 1925 Craftsman on a quiet Ballard residential street. Great starter home: move in as-is and expand over time. Lots of upgrade and improvement possibilities. Roofing on both the house and the 2-car detached garage is just 3 years old. Durable laminate flooring in living room and both bedrooms makes clean-up a cinch. Fully fenced yard with a rolling gate to the alley. All exterior windows have been replaced with thermal-paned vinyl. Upgraded electrical panel. Doorbell even works!</t>
        </r>
      </text>
    </comment>
    <comment ref="E90" authorId="0">
      <text>
        <r>
          <rPr>
            <sz val="8"/>
            <color indexed="81"/>
            <rFont val="Tahoma"/>
            <charset val="1"/>
          </rPr>
          <t>Perfect mix of old world charm and modern updates! Hardwood floors, cove ceilings and picture rail throughout this home along with updated plumbing (all the way to the street), new roof, electric garage door opener! Quiet, close in location with easy access to Green Lake, Downtown, I-5 &amp;amp; more! Attached garage, alley access to RV parking in Green Lake Area!! Please don't let the dog out of the yard!</t>
        </r>
      </text>
    </comment>
    <comment ref="AS90" authorId="0">
      <text>
        <r>
          <rPr>
            <sz val="8"/>
            <color indexed="81"/>
            <rFont val="Tahoma"/>
            <charset val="1"/>
          </rPr>
          <t xml:space="preserve">11/23/2007
http://locmedia.nwmls.com/DO_NOT_LINK/bigphoto/834/27195834.jpg?tsp=20071107112816 --&gt; http://locmedia.nwmls.com/DO_NOT_LINK/bigphoto/834/27195834.jpg?tsp=20071121105115
</t>
        </r>
      </text>
    </comment>
    <comment ref="E91" authorId="0">
      <text>
        <r>
          <rPr>
            <sz val="8"/>
            <color indexed="81"/>
            <rFont val="Tahoma"/>
            <charset val="1"/>
          </rPr>
          <t>Solid craftsman home with great bones on a sunny corner with a detached garage. Formal Dining room, hardwood floors and original craftsman detailing throughout. Full unfinished basement has great potential(2 more beds, rec rm and a bath?) for your improvement. Great access to UW, Green Lake and downtown. This is a wise investment!</t>
        </r>
      </text>
    </comment>
    <comment ref="E92" authorId="0">
      <text>
        <r>
          <rPr>
            <sz val="8"/>
            <color indexed="81"/>
            <rFont val="Tahoma"/>
            <charset val="1"/>
          </rPr>
          <t>Don't be fooled, home is much larger than it appears. Living room w/fireplace, new finish on hardwood floors. 3 bedrooms,full bath on main. Lower level has light finished room, rec room w/ fireplace, full bath, kitchenette. Separate entry makes this a potential MIL. Freshly painted interior. Deck. Attached garage+off street parking(alley access). EZ maintenance yard. New 200amp electrical panel in 07. New roof 2004. New furnace 2001. Close to Phinney Ridge Market, zoo, Greenlake &amp;amp; Fremont.</t>
        </r>
      </text>
    </comment>
    <comment ref="B93" authorId="0">
      <text>
        <r>
          <rPr>
            <sz val="8"/>
            <color indexed="81"/>
            <rFont val="Tahoma"/>
            <charset val="1"/>
          </rPr>
          <t xml:space="preserve">11/23/2007
Active - STI --&gt; Pending
</t>
        </r>
      </text>
    </comment>
    <comment ref="E93" authorId="0">
      <text>
        <r>
          <rPr>
            <sz val="8"/>
            <color indexed="81"/>
            <rFont val="Tahoma"/>
            <charset val="1"/>
          </rPr>
          <t>This elegant, beautifully maintained bungalow boasts original fir floors throughout, high ceilings, crown molding, wood fireplace w/mantle, updated kitchen w/tile counter tops, breakfast bar,french doors from the family room lead to a spacious deck and professionally landscaped garden. The baths are updated and the basement is partially finished and is used for an office. It has all the right updates and just enough vintage charm &amp;amp; details to make for a perfect combination.Walk 2 cafes &amp;amp; shops.</t>
        </r>
      </text>
    </comment>
    <comment ref="E94" authorId="0">
      <text>
        <r>
          <rPr>
            <sz val="8"/>
            <color indexed="81"/>
            <rFont val="Tahoma"/>
            <charset val="1"/>
          </rPr>
          <t>Don't miss this Darling 1940's Cape Cod home with legal M-I-L on the lower level. Set on a quiet sreet it features a great backyard including deck &amp;amp; outbuilding. You'll enjoy the classic 40's features, nice finishes, oak floors &amp;amp; corner windows. Kitchen updates include Bamboo flooring &amp;amp; new counters, creating a wonderful space. Unique to this home is a seperate entrance to the lower level. Enjoy the rent, use it as a shop/studio, or restore this home back with an interior staircase. See it soon!</t>
        </r>
      </text>
    </comment>
    <comment ref="B95" authorId="0">
      <text>
        <r>
          <rPr>
            <sz val="8"/>
            <color indexed="81"/>
            <rFont val="Tahoma"/>
            <charset val="1"/>
          </rPr>
          <t xml:space="preserve">11/23/2007
Active --&gt; Active - STI
</t>
        </r>
      </text>
    </comment>
    <comment ref="E95" authorId="0">
      <text>
        <r>
          <rPr>
            <sz val="8"/>
            <color indexed="81"/>
            <rFont val="Tahoma"/>
            <charset val="1"/>
          </rPr>
          <t>Modern style meets vintage chic in this fabulous Loyal Heights home on a great street. Light-filled living room w/fireplace, adjoining dining room &amp;amp; Mt Rainier view. Updated kitchen has stainless appliances, plenty of storage &amp;amp; ceramic tile. Cool sun room adds additional living space and amazing SW exposure. Large 3rd bedroom or media room w/built-ins and wine storage. Sip vino or cocoa by the covered outdoor fireplace any time of the year. Landscaped by noted designer. Welcome home!</t>
        </r>
      </text>
    </comment>
    <comment ref="E96" authorId="0">
      <text>
        <r>
          <rPr>
            <sz val="8"/>
            <color indexed="81"/>
            <rFont val="Tahoma"/>
            <charset val="1"/>
          </rPr>
          <t>OWC Ballard Craftsman w/ lovely original fir floors in generously proportioned living room &amp;amp; dining room, and nice size bedrooms. Big windows, great light, *2 full* baths on main plus one full bath in bsmt. Spacious kitchen, fenced back yard with climbing tree and handicapped ramp. Private driveway to detached garage. Replumbed to street, some new wiring. Potential to double living sq ft by finishing bsmt. Close but not too close to bus on 8th NW.</t>
        </r>
      </text>
    </comment>
    <comment ref="AG96" authorId="0">
      <text>
        <r>
          <rPr>
            <sz val="8"/>
            <color indexed="81"/>
            <rFont val="Tahoma"/>
            <charset val="1"/>
          </rPr>
          <t xml:space="preserve">11/23/2007
47.67905 --&gt; 47.679049
</t>
        </r>
      </text>
    </comment>
    <comment ref="AH96" authorId="0">
      <text>
        <r>
          <rPr>
            <sz val="8"/>
            <color indexed="81"/>
            <rFont val="Tahoma"/>
            <charset val="1"/>
          </rPr>
          <t xml:space="preserve">11/23/2007
-122.3677 --&gt; -122.367671
</t>
        </r>
      </text>
    </comment>
    <comment ref="AP96" authorId="0">
      <text>
        <r>
          <rPr>
            <sz val="8"/>
            <color indexed="81"/>
            <rFont val="Tahoma"/>
            <charset val="1"/>
          </rPr>
          <t xml:space="preserve">11/23/2007
OWC Ballard Craftsman w/ lovely original fir floors in generously proportioned living room &amp;amp; dining room, and nice size bedrooms. Big windows, great light, *2 full* baths on main plus one full bath in bsmt. Spacious kitchen, fenced back yard with climbing tree and handicapped ramp. Private driveway to detached garage. Replumbed to street, some new wiring. Potential to double living sq ft by finishing bsmt. Close but not too close to bus on 8th NW. --&gt; OWC Ballard Craftsman w/ lovely original fir floors in generously proportioned living room &amp;amp; dining room, and nice size bedrooms. Big windows, great light, *3 full* baths! 2 on main plus one bath in bsmt. Spacious kitchen, fenced back yard with climbing tree and handicapped ramp. Private driveway to detached garage. Replumbed to street, some new wiring. Potential to double living sq ft by finishing bsmt. Close but not too close to bus on 8th NW.
</t>
        </r>
      </text>
    </comment>
    <comment ref="E97" authorId="0">
      <text>
        <r>
          <rPr>
            <sz val="8"/>
            <color indexed="81"/>
            <rFont val="Tahoma"/>
            <charset val="1"/>
          </rPr>
          <t>Conveniently located in the Matthews Beach/Cedar Park area. NW Contemporary Design. Entry offers fam rm or home office &amp;amp; 2 car gar. Main floor features dining, updated kitc, spac liv rm w/fp, west facing deck, 2 bedrooms, laundry &amp;amp; full bath. Upper level offers master suite w/bath featuring soaking tub + separate shower &amp;amp; W. facing deck gives private outdoor space. Freshly painted in/out, all new carpet. Short walk or bike to Burke Gilman Trail &amp;amp; U of W. Close to Wedgwood &amp;amp; U Village shopping.</t>
        </r>
      </text>
    </comment>
    <comment ref="E98" authorId="0">
      <text>
        <r>
          <rPr>
            <sz val="8"/>
            <color indexed="81"/>
            <rFont val="Tahoma"/>
            <charset val="1"/>
          </rPr>
          <t>Terrific mid-century home! A complete remodel that lives much larger than it appears from the street. Original charm perfectly blended w/ today: new appliances &amp;amp; slab granite in kitchen, new bathrooms, carpet, roof, deck, privacy fence, lighting, updated wiring, refinished hardwoods. Master suite addition on back of house w/ huge walk-in closet, full bath, sliders to deck &amp;amp; private backyard. Large shop in basement w/ MIL potential. 1/2 block to park, busline, &amp;amp; easy walk to restaurants &amp;amp; shops.</t>
        </r>
      </text>
    </comment>
    <comment ref="E99" authorId="0">
      <text>
        <r>
          <rPr>
            <sz val="8"/>
            <color indexed="81"/>
            <rFont val="Tahoma"/>
            <charset val="1"/>
          </rPr>
          <t>This 1918 Craftsman may be the one! This 3br/2 bath home is one of the best values in Ballard- walk to shopping, dining, drinks &amp;amp; coffee. The new Library, Ballard Farmer's Market, the Locks, Golden Gardens- these are just some of your new neighbors! The main floor retains the charm of the era, and the lower level is an ADU- rent it, or live there. If you need shop space, here it is! Most systems are new or updated: roof, furnace &amp;amp; ducting, H2O heater, tuckpointing, &amp;amp; some electrical. Come see!</t>
        </r>
      </text>
    </comment>
    <comment ref="E100" authorId="0">
      <text>
        <r>
          <rPr>
            <sz val="8"/>
            <color indexed="81"/>
            <rFont val="Tahoma"/>
            <charset val="1"/>
          </rPr>
          <t>Wedgwood rambler located near excellent schools and convenient shopping. Enjoy an arboreal setting with mature terraced landscaping, stone fountain and an updated easy care in-ground pool. Master bedroom features attached 3 piece bath and walk-in closet, with glass doors opening to private backyard. Real brick fireplace in front room with tile accent. Granite counter tops and stainless steel appliances in kitchen, accented by glass-front cabinets.</t>
        </r>
      </text>
    </comment>
    <comment ref="E101" authorId="0">
      <text>
        <r>
          <rPr>
            <sz val="8"/>
            <color indexed="81"/>
            <rFont val="Tahoma"/>
            <charset val="1"/>
          </rPr>
          <t>On the other side of the wht picket fence is the hm for you! From the fp and built-ins of the spacious living rm, to the Mstr Suite w/jetted tub, dble vanity &amp;amp; huge WIC. The lght &amp;amp; brght islnd kit has a stovetop/grill, dble ovens, lg desk/prep area &amp;amp; a ton of counter &amp;amp; cabinet space! Open the french drs &amp;amp; you are greeted by the fully fenced yd. Your storage needs will be met w/easy access to attic space, bsmnt &amp;amp; strg shd. Alley access at the rear, &amp;amp; parking pad at front, provide ample prkng.</t>
        </r>
      </text>
    </comment>
    <comment ref="E102" authorId="0">
      <text>
        <r>
          <rPr>
            <sz val="8"/>
            <color indexed="81"/>
            <rFont val="Tahoma"/>
            <charset val="1"/>
          </rPr>
          <t>This cute charmer has been well loved and is looking for new owners to care for it and take it on to the next level in its life. It has 4 cozy bedrooms, 1.75 baths and real country charm even if it is in the city. The exterior and interior have been freshly painted, the hardwoods redone and the furnace and water heater replaced with new generation gas appliances. The neighborhood is quiet and has a pocket park just a block away. Carkeek Park just west. Public open house Sunday 1-4 PM.</t>
        </r>
      </text>
    </comment>
    <comment ref="E103" authorId="0">
      <text>
        <r>
          <rPr>
            <sz val="8"/>
            <color indexed="81"/>
            <rFont val="Tahoma"/>
            <charset val="1"/>
          </rPr>
          <t>Lovely Craftsman w/lots of old world charm as well as updates! You'll find wonderful living &amp;amp; dining room spaces, enhanced by 9 1/2 foot ceilings, a window bench &amp;amp; lots of daylight. Beautiful hardwood floors. Craftsman style lighting fixtures. Very spacious kitchen w/ fir floors, new countertops &amp;amp; lots of cabinet/counter space. Large updated bath w/newer plumbing. Full bsmt w/ office space. Detached garage-shop. Southwestfacing yard w/fruit trees. New roof before closing. Close to shops/park</t>
        </r>
      </text>
    </comment>
    <comment ref="E104" authorId="0">
      <text>
        <r>
          <rPr>
            <sz val="8"/>
            <color indexed="81"/>
            <rFont val="Tahoma"/>
            <charset val="1"/>
          </rPr>
          <t>Rare opportunity to find 200 sf in the terrific location, great street and one block from Sand Point Golf Club. Charming 3 bedroom home waiting for a little TLC. Detached garage and beautiful 6000 sf lot for gardens and games. Minutes to U of Washington, Greenlake, shops, parks and services.</t>
        </r>
      </text>
    </comment>
    <comment ref="E105" authorId="0">
      <text>
        <r>
          <rPr>
            <sz val="8"/>
            <color indexed="81"/>
            <rFont val="Tahoma"/>
            <charset val="1"/>
          </rPr>
          <t>Home for now and room for the future! Main floor has 3 Bedrooms and 1 bath. Unfinished daylight basement has wood framed floors, 1/2 bath, utility room and fireplace. Basement could easily be turned into family room, home theater or office, and 3 more bedrooms. Main floor features built in planting box in entry and china case in dining room. Hardwood floors in the bedrooms and under carpet in the living room and dining room. Mountain views. minutes from Northgate Mall and I5</t>
        </r>
      </text>
    </comment>
    <comment ref="E106" authorId="0">
      <text>
        <r>
          <rPr>
            <sz val="8"/>
            <color indexed="81"/>
            <rFont val="Tahoma"/>
            <charset val="1"/>
          </rPr>
          <t>One livel living at its best in this 3 bdr, 1 3/4 bath home. Updated kitchen looks out to private fenced back yard with huge entertainment deck. Living room has fireplac, separate dining room, hardwoods, new paint inside and out, airconditioned bedrooms and separate laundry/storage room. Heated shop in back yard.</t>
        </r>
      </text>
    </comment>
  </commentList>
</comments>
</file>

<file path=xl/sharedStrings.xml><?xml version="1.0" encoding="utf-8"?>
<sst xmlns="http://schemas.openxmlformats.org/spreadsheetml/2006/main" count="7931" uniqueCount="1069">
  <si>
    <t>FilePath:</t>
  </si>
  <si>
    <t>Title</t>
  </si>
  <si>
    <t>Query</t>
  </si>
  <si>
    <t>Comments</t>
  </si>
  <si>
    <t>FileSpec:</t>
  </si>
  <si>
    <t>nwmls</t>
  </si>
  <si>
    <t>East</t>
  </si>
  <si>
    <t>http://locator.nwmls.com/scripts/mgrqispi.dll?APPNAME=Locator&amp;PRGNAME=MLSLogin&amp;ARGUMENT=lTGmPH3gZKprsGBYNIDVhORss%2B799zvscAgyzAomx44%3D&amp;KeyRid=1</t>
  </si>
  <si>
    <t>East of I-5</t>
  </si>
  <si>
    <t>West</t>
  </si>
  <si>
    <t>http://locator.nwmls.com/scripts/mgrqispi.dll?APPNAME=Locator&amp;PRGNAME=MLSLogin&amp;ARGUMENT=lTGmPH3gZKprsGBYNIDVhP3RXUVMiQzDn0K7PT3ufP4%3D&amp;KeyRid=1</t>
  </si>
  <si>
    <t>West of I-5</t>
  </si>
  <si>
    <t>F:\FolderShare</t>
  </si>
  <si>
    <t>East2</t>
  </si>
  <si>
    <t>http://locator.nwmls.com/scripts/mgrqispi.dll?APPNAME=Locator&amp;PRGNAME=MLSLogin&amp;ARGUMENT=lTGmPH3gZKprsGBYNIDVhB8ue5nFOLEH83YiH87jPxI%3D&amp;KeyRid=1</t>
  </si>
  <si>
    <t>Received 11/23/07</t>
  </si>
  <si>
    <t>MLS</t>
  </si>
  <si>
    <t>Community</t>
  </si>
  <si>
    <t>Basement</t>
  </si>
  <si>
    <t>Haller Lake</t>
  </si>
  <si>
    <t>1322 N 122nd St</t>
  </si>
  <si>
    <t>_1950</t>
  </si>
  <si>
    <t>Wall</t>
  </si>
  <si>
    <t>Electric</t>
  </si>
  <si>
    <t>Dishwasher, Dryer, Garbage Disposal, Microwave, Range/Oven, Refrigerator, Washer</t>
  </si>
  <si>
    <t>None</t>
  </si>
  <si>
    <t>Yes</t>
  </si>
  <si>
    <t>Public</t>
  </si>
  <si>
    <t>Sewer Connected</t>
  </si>
  <si>
    <t>Ceramic Tile, Wall to Wall Carpet</t>
  </si>
  <si>
    <t>Go north on Meridian to 120nd go west approx. 3 blks to property</t>
  </si>
  <si>
    <t>Dble Pane/Strm Windw</t>
  </si>
  <si>
    <t>Fenced-Partially, RV Parking</t>
  </si>
  <si>
    <t>Seattle</t>
  </si>
  <si>
    <t>King</t>
  </si>
  <si>
    <t xml:space="preserve"> </t>
  </si>
  <si>
    <t>Cute and Clean!Open Sunday 1-4 Fantastic remodeled home,upcoming neighborhood w/new homes. New features include,New sheetrock,new insulation,new interior/exterior paint, new molding,some doors, brand new tiled bath.The kitchen is completely new-loads of maple cabinets,granite slab counters, full height tile back splash, tiled floor and eating nook, newer appls.Better then a condo!newly redone yard,new elec panel/wiring,new plumbing and detached garage. Very private/quiet blk.easy access to shops</t>
  </si>
  <si>
    <t>A-4</t>
  </si>
  <si>
    <t>http://locmedia.nwmls.com/DO_NOT_LINK/bigphoto/998/27192998.jpg?tsp=20071101104542</t>
  </si>
  <si>
    <t>14050 Lenora Pl N</t>
  </si>
  <si>
    <t>_1945</t>
  </si>
  <si>
    <t>Territorial</t>
  </si>
  <si>
    <t>Baseboard</t>
  </si>
  <si>
    <t>Dryer, Range/Oven, Refrigerator, Washer</t>
  </si>
  <si>
    <t>Daylight, Fully Finished</t>
  </si>
  <si>
    <t>Bamboo/Cork, Hardwood, Vinyl, Wall to Wall Carpet</t>
  </si>
  <si>
    <t>lower level, electric</t>
  </si>
  <si>
    <t>From 145th drive 2 blocks east of Aurora, turn right (south) and go 2 blocks. Home will be on your left past new const. site.</t>
  </si>
  <si>
    <t>2nd Kitchen</t>
  </si>
  <si>
    <t>Cable TV, Deck, Fenced-Partially, Nat. Gas Available, Outbuildings, Patio</t>
  </si>
  <si>
    <t>Don't miss this Darling 1940's Cape Cod home with legal M-I-L on the lower level. Set on a quiet sreet it features a great backyard including deck &amp;amp; outbuilding. You'll enjoy the classic 40's features, nice finishes, oak floors &amp;amp; corner windows. Kitchen updates include Bamboo flooring &amp;amp; new counters, creating a wonderful space. Unique to this home is a seperate entrance to the lower level. Enjoy the rent, use it as a shop/studio, or restore this home back with an interior staircase. See it soon!</t>
  </si>
  <si>
    <t>J-2</t>
  </si>
  <si>
    <t>http://locmedia.nwmls.com/DO_NOT_LINK/bigphoto/172/27197172.jpg?tsp=20071109120558</t>
  </si>
  <si>
    <t>Greenwood</t>
  </si>
  <si>
    <t>706 N 103rd St</t>
  </si>
  <si>
    <t>_1918</t>
  </si>
  <si>
    <t>Forced Air</t>
  </si>
  <si>
    <t>Electric, Natural Gas</t>
  </si>
  <si>
    <t>Dishwasher, Dryer, Range/Oven, Refrigerator, Washer</t>
  </si>
  <si>
    <t/>
  </si>
  <si>
    <t>Fir/Softwood, Vinyl</t>
  </si>
  <si>
    <t>East of Greenwood on N 103rd. N side of street.</t>
  </si>
  <si>
    <t>Outbuildings</t>
  </si>
  <si>
    <t>Bright, happy Craftsman. An artist's home &amp;amp; it shows. Precious yard w/ Zen meditation area &amp;amp; covered back patio. Sunny, open living area w/ a drop-dead gorgeous slate fireplace &amp;amp; amber colored fir floors. Cute eat-in kitchen is perfect for hanging out. Big bathroom easily divided into another .5 or full bath. Too many artistically crafted details to list. This well done home will make you smile &amp;amp; still has opportunities for big equity growth from your touches. Off st. prkg in front &amp;amp; off alley.</t>
  </si>
  <si>
    <t>H-6</t>
  </si>
  <si>
    <t>http://locmedia.nwmls.com/DO_NOT_LINK/bigphoto/171/27181171.jpg?tsp=20071115130032</t>
  </si>
  <si>
    <t>Green Lake</t>
  </si>
  <si>
    <t>9219 Stone Ave N</t>
  </si>
  <si>
    <t>_2005</t>
  </si>
  <si>
    <t>City, Mountain, Partial, Territorial</t>
  </si>
  <si>
    <t>Radiant</t>
  </si>
  <si>
    <t>Dishwasher, Garbage Disposal</t>
  </si>
  <si>
    <t>Fully Finished</t>
  </si>
  <si>
    <t>Hardwood, Slate, Wall to Wall Carpet, See Remarks</t>
  </si>
  <si>
    <t>/Closet</t>
  </si>
  <si>
    <t>I-5 take 85th St exit-go west to Hwy 99- go north (R) on 99-take a right on 93rd-follow to Stone, house on corner.</t>
  </si>
  <si>
    <t>Bath Off Master, Vaulted Ceilings</t>
  </si>
  <si>
    <t>Cable TV, Fenced-Fully, High Speed Internet, Nat. Gas Available</t>
  </si>
  <si>
    <t>Stand alone 2 year old home on a corner lot. 2 bedroom suites with private baths &amp;amp; 1/2 bath, soaring ceilings, gorgeous cherry hardwood &amp;amp; slate flooring, ample use of granite &amp;amp; tile. 36 inch custom cabinets, bonus room, fenced yard. Partial city views.</t>
  </si>
  <si>
    <t>J-7</t>
  </si>
  <si>
    <t>http://locmedia.nwmls.com/DO_NOT_LINK/bigphoto/568/27191568.jpg?tsp=20071025163105</t>
  </si>
  <si>
    <t>Ballard</t>
  </si>
  <si>
    <t>8005 17 Ave NW</t>
  </si>
  <si>
    <t>_1925</t>
  </si>
  <si>
    <t>Baseboard, Stove/Free Stdg</t>
  </si>
  <si>
    <t>Electric, Wood</t>
  </si>
  <si>
    <t>Dryer, Refrigerator, Washer</t>
  </si>
  <si>
    <t>Laminate, Vinyl</t>
  </si>
  <si>
    <t>From Aurora or 15th NW: West on 80th, North on 17th.</t>
  </si>
  <si>
    <t>Cable TV, Deck, Fenced-Fully, Outbuildings</t>
  </si>
  <si>
    <t>Clean and tidy 1925 Craftsman on a quiet Ballard residential street. Great starter home: move in as-is and expand over time. Lots of upgrade and improvement possibilities. Roofing on both the house and the 2-car detached garage is just 3 years old. Durable laminate flooring in living room and both bedrooms makes clean-up a cinch. Fully fenced yard with a rolling gate to the alley. All exterior windows have been replaced with thermal-paned vinyl. Upgraded electrical panel. Doorbell even works!</t>
  </si>
  <si>
    <t>F-2</t>
  </si>
  <si>
    <t>http://locmedia.nwmls.com/DO_NOT_LINK/bigphoto/722/27195722.jpg?tsp=20071118152534</t>
  </si>
  <si>
    <t>10356 Dibble Ave NW</t>
  </si>
  <si>
    <t>_1953</t>
  </si>
  <si>
    <t>Natural Gas</t>
  </si>
  <si>
    <t>Ceramic Tile, Hardwood, Vinyl, Wall to Wall Carpet</t>
  </si>
  <si>
    <t>Go North on 8th Ave NW. Take left on NW 105th.</t>
  </si>
  <si>
    <t>Patio, RV Parking</t>
  </si>
  <si>
    <t>North Seattle. 2 bedroom rambler style, 1080 SF home (KCR), 8380 SF lot (KCR). Hardwood flooring under carpet. Tile flooring in kitchen and family area. Fully fenced rear yard with patio &amp;amp; RV parking pad. Attached garage. On flat corner lot.</t>
  </si>
  <si>
    <t>G-6</t>
  </si>
  <si>
    <t>http://locmedia.nwmls.com/DO_NOT_LINK/bigphoto/407/27185407.jpg?tsp=20071013084406</t>
  </si>
  <si>
    <t>14317 Meridian Ave N</t>
  </si>
  <si>
    <t>_1955</t>
  </si>
  <si>
    <t>Ceramic Tile, Hardwood, Slate, Wall to Wall Carpet</t>
  </si>
  <si>
    <t>Electric/Laundry</t>
  </si>
  <si>
    <t>From I-5 &amp;amp; NE 145th. Go west to Meridian. Turn left. House is on right.</t>
  </si>
  <si>
    <t>Bath Off Master, Jetted/Soaking Tub, Walk-in Closet, Walk In Pantry</t>
  </si>
  <si>
    <t>Patio</t>
  </si>
  <si>
    <t xml:space="preserve"> 37-38</t>
  </si>
  <si>
    <t>Better than new fully renovated in desirable Haller Lake. From the Maple, stainless and granite kitchen to the master suite with full bath featuring heated travertine floor and jetted tub, this home screams style, quality and value. Lots of natural light and gleaming hardwood floors make this living space both bright and warm. Tear up your handyman's card and enjoy the many years of trouble free living. The backyard is fully fenced and has a patio that is perfect for summer gatherings.</t>
  </si>
  <si>
    <t>A-2</t>
  </si>
  <si>
    <t>http://locmedia.nwmls.com/DO_NOT_LINK/bigphoto/171/27113171.jpg?tsp=20070803133120</t>
  </si>
  <si>
    <t>Broadview</t>
  </si>
  <si>
    <t>101 NW 112th St</t>
  </si>
  <si>
    <t>_1952</t>
  </si>
  <si>
    <t>Oil</t>
  </si>
  <si>
    <t>Dishwasher, Dryer, Garbage Disposal, Microwave, Refrigerator, Washer</t>
  </si>
  <si>
    <t>Laminate, Vinyl, Wall to Wall Carpet</t>
  </si>
  <si>
    <t>electric</t>
  </si>
  <si>
    <t>from eastbound on 125th go south on 1st nw to house.</t>
  </si>
  <si>
    <t>Dining Room, Dble Pane/Strm Windw</t>
  </si>
  <si>
    <t>Cable TV</t>
  </si>
  <si>
    <t>Beautifully maintained charming rambler in pristine condition. This one level home has a paneled family room adjoining the kitchen and a newer trex deck. Large windows provide light, bright living and dining rooms. Second bath easily added off family room. Lovely quiet street.</t>
  </si>
  <si>
    <t>H-5</t>
  </si>
  <si>
    <t>http://locmedia.nwmls.com/DO_NOT_LINK/bigphoto/837/27186837.jpg?tsp=20071015230242</t>
  </si>
  <si>
    <t>10538 Evanston Ave N</t>
  </si>
  <si>
    <t>_1928</t>
  </si>
  <si>
    <t>Dishwasher, Dryer, Microwave, Range/Oven, Refrigerator, Washer</t>
  </si>
  <si>
    <t>Partially Finished</t>
  </si>
  <si>
    <t>Ceramic Tile, Fir/Softwood, Hardwood, Vinyl, Wall to Wall Carpet</t>
  </si>
  <si>
    <t>gas, basement</t>
  </si>
  <si>
    <t>From I-5 or 99 west on 105th, right on Evanston, house will be on your right.</t>
  </si>
  <si>
    <t>Ceiling Fan(s), Walk-in Closet</t>
  </si>
  <si>
    <t>Cable TV, Fenced-Fully, High Speed Internet</t>
  </si>
  <si>
    <t>This cute charmer has been well loved and is looking for new owners to care for it and take it on to the next level in its life. It has 4 cozy bedrooms, 1.75 baths and real country charm even if it is in the city. The exterior and interior have been freshly painted, the hardwoods redone and the furnace and water heater replaced with new generation gas appliances. The neighborhood is quiet and has a pocket park just a block away. Carkeek Park just west. Public open house Sunday 1-4 PM.</t>
  </si>
  <si>
    <t>http://locmedia.nwmls.com/DO_NOT_LINK/bigphoto/655/27201655.jpg?tsp=20071114121259</t>
  </si>
  <si>
    <t>7356 14th Ave NW</t>
  </si>
  <si>
    <t>_1926</t>
  </si>
  <si>
    <t>Ceramic Tile, Hardwood, Slate</t>
  </si>
  <si>
    <t>Electric / basement utility ro</t>
  </si>
  <si>
    <t>*14th Ave in this location is 3 blocks east of 15th Ave NW. From Hwy 99, drive west on NW 80th St. South on 15th NW, east on NW 75th St. South on 14th NW, house is on the east side of the street.</t>
  </si>
  <si>
    <t>Ceiling Fan(s)</t>
  </si>
  <si>
    <t>Cable TV, Deck, Fenced-Partially, Nat. Gas Available</t>
  </si>
  <si>
    <t>This 1926 Ballard cottage offers plenty of original charm with modern updates designed for a fun &amp;amp; functional living space. Two bedrooms plus office &amp;amp; two full baths split between floors make this home guest-friendly. Recycled sliding doors are a sylish touch on both levels. The living room has hardwood floors &amp;amp; lots of natural light. The remodeled kitchen features slate flooring, new cabinets, butcher-block counters and stainless appliances. Copper plumbing, new water htr &amp;amp; great storage.</t>
  </si>
  <si>
    <t>http://locmedia.nwmls.com/DO_NOT_LINK/bigphoto/991/27189991.jpg?tsp=20071024144956</t>
  </si>
  <si>
    <t>Loyal Heights</t>
  </si>
  <si>
    <t>2818 NW 80th St</t>
  </si>
  <si>
    <t>_1947</t>
  </si>
  <si>
    <t>Forced Air, High Efficiency</t>
  </si>
  <si>
    <t>Hardwood</t>
  </si>
  <si>
    <t>On 80th West on 24th.</t>
  </si>
  <si>
    <t>Absolutely charming Loyal Heights bungalow. Gorgeous hardwood floors, open floor plan, new interior paint, newly remodeled bath &amp;amp; new furnace. The newly built fireplace mantle is a classy addition to the original architecture. The kitchen has a butcher-block eating bar, newer appliances and original counter tiles. Light and bright corner lot with fenced yard, tons of seasonal flowers, custom stone patio and beautiful landscaping. This home is super cute and move in ready.</t>
  </si>
  <si>
    <t>D-2</t>
  </si>
  <si>
    <t>http://locmedia.nwmls.com/DO_NOT_LINK/bigphoto/248/27187248.jpg?tsp=20071017161507</t>
  </si>
  <si>
    <t>11806 Stendall Pl N</t>
  </si>
  <si>
    <t>_1981</t>
  </si>
  <si>
    <t>Central Air, Forced Air</t>
  </si>
  <si>
    <t>Dishwasher, Dryer, Range/Oven, Refrigerator</t>
  </si>
  <si>
    <t>316, 345, 346</t>
  </si>
  <si>
    <t>From I-5 take exit 173, go Westbound on Northgate Way, right on Meridian, left on 120th, left into Stendall Place at Ashworth. Go left upon entering development. Subject property is on the left.</t>
  </si>
  <si>
    <t>Bath Off Master, Dining Room, Dble Pane/Strm Windw, Loft, Skylights, Solarium/Atrium, Vaulted Ceilings, Walk-in Closet, Walk In Pantry</t>
  </si>
  <si>
    <t>Athletic Court, Cable TV, Nat. Gas Available, Patio, Sprinkler System</t>
  </si>
  <si>
    <t>Beautifully maintained park-like setting surrounds this pristine townhome community. Stendall Place is centrally located to NW Hospital, Northgate Mall, and downtown Seattle. This 3 bedroom oasis in the city features a large, attached 2 car garage, a private courtyard entry, a serene patio overlooking lush lawns, a community sport court, central A/C, ample storage and closets, a large laundry room, skylights with natural light, and a lofted 3rd bedroom.</t>
  </si>
  <si>
    <t>J-5</t>
  </si>
  <si>
    <t>http://locmedia.nwmls.com/DO_NOT_LINK/bigphoto/486/27171486.jpg?tsp=20070919100138</t>
  </si>
  <si>
    <t>13739 1st Ave NW</t>
  </si>
  <si>
    <t>Baseboard, Forced Air</t>
  </si>
  <si>
    <t>From Greenwood, turn West on 136th Street, then North (right) on 1st NW. House on left.</t>
  </si>
  <si>
    <t>Bath Off Master, Dining Room, Disabled Access, Dble Pane/Strm Windw, Skylights</t>
  </si>
  <si>
    <t>Cable TV, Deck, Disabled Access, Fenced-Fully</t>
  </si>
  <si>
    <t>Smart, sophisticated and meticulous! Sparkling hardwoods. Spacious 3 bedroom, 2 bath, which includes the master suite, is all on one floor! Beautiful new kitchen with slab granite and stainless appliances. Generous kitchen eating area opens to the huge rear yard and back deck. Ally access to the rear yard. Large attached garage has an open stairway to a nice size loft, perfect for possible expansion.</t>
  </si>
  <si>
    <t>H-3</t>
  </si>
  <si>
    <t>http://locmedia.nwmls.com/DO_NOT_LINK/bigphoto/193/27181193.jpg?tsp=20071005144156</t>
  </si>
  <si>
    <t>12015 Burke Ave N</t>
  </si>
  <si>
    <t>Dishwasher, Garbage Disposal, Range/Oven, Refrigerator</t>
  </si>
  <si>
    <t>Hardwood, Vinyl, Wall to Wall Carpet</t>
  </si>
  <si>
    <t>Aurora Ave North/99, East on North 125th Street. Right/South at Densmore Ave North which curves to North 122nd, take Right/South onto Burke Ave North. Note: No access to Burke from North 120th Street.</t>
  </si>
  <si>
    <t>Dble Pane/Strm Windw, Security System</t>
  </si>
  <si>
    <t>Cable TV, Fenced-Partially</t>
  </si>
  <si>
    <t>Tucked away on a quiet street just minutes from REDUCED! Haller Lake this classic brick Cape Cod home has been lovingly maintained. Pride of ownership shows in the gleaming oak hardwood floors &amp;amp; woodwork, updated kitchen &amp;amp; bath. You'll see attention to detail throughout. The kitchen is updated w/newer appliances &amp;amp; plenty of storage. Check out the new windows, updated electrical &amp;amp; copper plumbing. Conveniently located near major shopping, restaurants and I-5 this is truly a place to call home!</t>
  </si>
  <si>
    <t>http://locmedia.nwmls.com/DO_NOT_LINK/bigphoto/653/27168653.jpg?tsp=20070917150225</t>
  </si>
  <si>
    <t>6533 25th Ave NW</t>
  </si>
  <si>
    <t>_1902</t>
  </si>
  <si>
    <t>Ceramic Tile, Hardwood, Wall to Wall Carpet</t>
  </si>
  <si>
    <t>From I-5 head west on 85th. Head south on 24th Ave NW. Take right (west) on NW 65th St. Right (north) on 25th Ave NW.</t>
  </si>
  <si>
    <t>Dining Room, Skylights, Vaulted Ceilings</t>
  </si>
  <si>
    <t>Cable TV, Deck</t>
  </si>
  <si>
    <t>Remodeled 1902 Ballard Bungalow! Light and bright with warm colors throughout. Spacious living room and formal dining room. Brazilian cherry hardwoods and ceramic tile flooring. Large kitchen with island, stainless steel appliances and attached eating/sitting area. Beautifully updated bathroom. Charming deck that overlooks private backyard with mature landscaping and arbor. Detached 1 car garage. Excellent location in desirable Ballard neighborhood, close to everything.</t>
  </si>
  <si>
    <t>E-3</t>
  </si>
  <si>
    <t>http://locmedia.nwmls.com/DO_NOT_LINK/bigphoto/705/27161705.jpg?tsp=20071019095934</t>
  </si>
  <si>
    <t>7711 26th Ave NW</t>
  </si>
  <si>
    <t>From I-5 or Aurora, head West on 80th St to 26th. South to house on Right.</t>
  </si>
  <si>
    <t>Fireplace in Mstr BR, Skylights</t>
  </si>
  <si>
    <t>Cable TV, Deck, Fenced-Fully, Outbuildings, Patio, Shop</t>
  </si>
  <si>
    <t>Lovely remodeled Ballard Bungalow! 2 bed/1bath charmer on quiet street across from park/school yard. Updates throughout. Large Master Suite with wood burning fireplace. French doors from Master to New Trex deck. Great kitchen with cute nook that opens to deck. Private yard with shop, garage and alley access. Loyal Heights amentities just out the door. Move in ready - Don't miss!</t>
  </si>
  <si>
    <t>E-2</t>
  </si>
  <si>
    <t>http://locmedia.nwmls.com/DO_NOT_LINK/bigphoto/450/27174450.jpg?tsp=20070924145616</t>
  </si>
  <si>
    <t>9708 1st Ave NW</t>
  </si>
  <si>
    <t>Dishwasher, Dryer, Garbage Disposal, Range/Oven, Refrigerator, Washer</t>
  </si>
  <si>
    <t>05, 355</t>
  </si>
  <si>
    <t>From I-5, take 85th street west, Right on Greenwood, Left on 97th, Right on 1st Ave NW. Second house on right.</t>
  </si>
  <si>
    <t>Dining Room, Dble Pane/Strm Windw, Sauna</t>
  </si>
  <si>
    <t>Cable TV, Dog Run, Fenced-Fully, High Speed Internet, Nat. Gas Available, Patio, Shop</t>
  </si>
  <si>
    <t>H-7</t>
  </si>
  <si>
    <t>http://locmedia.nwmls.com/DO_NOT_LINK/bigphoto/376/27180376.jpg?tsp=20071011121819</t>
  </si>
  <si>
    <t>524 N 143rd St</t>
  </si>
  <si>
    <t>Hardwood, Wall to Wall Carpet</t>
  </si>
  <si>
    <t>Crawl space</t>
  </si>
  <si>
    <t>From Greenwood Ave, go east on N 143rd. House on left at corner of Evanston/143rd.</t>
  </si>
  <si>
    <t>Ceiling Fan(s), Dble Pane/Strm Windw, French Doors, Vaulted Ceilings</t>
  </si>
  <si>
    <t>Deck, Fenced-Fully, Outbuildings, Shop</t>
  </si>
  <si>
    <t>Exceptional 2story on corner lot w/ great curb appeal &amp;amp;move-in condition. Huge 625 sq ft garage / shop. Walk to restaurants, coffee shops, the Interlake Trail and bus stop.Quick access to I-5,downtown &amp;amp;Ballard.Expansive deck is perfect for barbequing and entertaining year round.Heat efficient home with double pane windows&amp;amp;efficient gas furnace.Gourmet kitchen &amp;amp; large living room.Master bedrm 16ft by 16 ft has a warm and open feel with vaulted ceilings, French doors that open to private balcony.</t>
  </si>
  <si>
    <t>H-2</t>
  </si>
  <si>
    <t>http://locmedia.nwmls.com/DO_NOT_LINK/bigphoto/064/27182064.jpg?tsp=20071006190749</t>
  </si>
  <si>
    <t>12026 10th Ave NW</t>
  </si>
  <si>
    <t>28</t>
  </si>
  <si>
    <t>Hardwood, Laminate, Vinyl, Wall to Wall Carpet</t>
  </si>
  <si>
    <t>next to 2nd bathroom.</t>
  </si>
  <si>
    <t>3rd Ave Nw go West on 125th, South on 10th...this road is very quiet and private. The home is on the East side of the street situated on a quiet cul de sac.</t>
  </si>
  <si>
    <t>Fenced-Fully, Nat. Gas Available, Outbuildings, Patio</t>
  </si>
  <si>
    <t>Charming one level home on quiet cul de sac. Great floor plan! 3 bdrm 1.75 bths. Spacious living rm has hardwood floors &amp;amp; frplc. Nice dining rm overlooks private bckyrd. Good sized kitchen w/new appliances, gas cooktop, &amp;amp; cozy eating area. Spacious family rm w/2nd frplc. Fully fenced &amp;amp; Re-landscaped yard. Large patio, brick walkway, play area, &amp;amp; garden space. Updates: New Windows/ Gas Heat/ Newer Roof. Great location close to schools, shops, &amp;amp; bus-line. A short walk to Carkeek Park &amp;amp; Beach!</t>
  </si>
  <si>
    <t>G-4</t>
  </si>
  <si>
    <t>http://locmedia.nwmls.com/DO_NOT_LINK/bigphoto/085/27186085.jpg?tsp=20071016134757</t>
  </si>
  <si>
    <t>Phinney Ridge</t>
  </si>
  <si>
    <t>6211 Fremont Ave N</t>
  </si>
  <si>
    <t>_1905</t>
  </si>
  <si>
    <t>Lake</t>
  </si>
  <si>
    <t>From Greenwood Ave N head east towards lake on 63rd, south on Fremont. House on your right.</t>
  </si>
  <si>
    <t>Security System, Skylights</t>
  </si>
  <si>
    <t>Cable TV, Fenced-Partially, High Speed Internet</t>
  </si>
  <si>
    <t>1905 Phinney Ridge Craftsman just steps to Greenlake. Enjoy the peacefulness of a quiet neighborhood in a great location. This 2 br charmer has a remodeled kitchen w/stainless appliances &amp;amp; designer tile flr. It`s updated bath has an electronic skylight that closes by itself when it rains! Cozy livingroom has wood burning fp w/picture windows looking out towards the lake. Very low maintenance yd &amp;amp; 2 offstreet parking places. Just move in &amp;amp; enjoy. Perfect townhome or condo alternative.</t>
  </si>
  <si>
    <t>http://locmedia.nwmls.com/DO_NOT_LINK/bigphoto/200/27194200.jpg?tsp=20071103174504</t>
  </si>
  <si>
    <t>6753 27th Ave NW</t>
  </si>
  <si>
    <t>_1913</t>
  </si>
  <si>
    <t>Dryer, Microwave, Range/Oven, Refrigerator, Washer</t>
  </si>
  <si>
    <t>Wall to Wall Carpet, See Remarks</t>
  </si>
  <si>
    <t>On 27th Ave NW, between NW 67th &amp;amp; NW 70th.</t>
  </si>
  <si>
    <t>Ceiling Fan(s), Dining Room</t>
  </si>
  <si>
    <t>New on market! Charming 1913 Bungalow in a great location. Cosmetic fixer,nice home to live in and fix along the way. Large living room, formal dining room, &amp;amp; a period kitchen with wood floors (under carpet.) High ceilings &amp;amp; good spaces. Two bedrooms &amp;amp; one bath on the main floor, partially finished basement with ample storage. Nice sunny yard &amp;amp; large lot and one car garage. A little time and effort will make this home shine!</t>
  </si>
  <si>
    <t>http://locmedia.nwmls.com/DO_NOT_LINK/bigphoto/914/27186914.jpg?tsp=20071016113828</t>
  </si>
  <si>
    <t>9747 1st Ave NW</t>
  </si>
  <si>
    <t>_1995</t>
  </si>
  <si>
    <t>No map</t>
  </si>
  <si>
    <t>Ceramic Tile, Laminate, Vinyl, Wall to Wall Carpet</t>
  </si>
  <si>
    <t>I-5 N, exit 172 - continue onto N 85th - Rt on Greenwood - Left on 97th - Rt on 1st.</t>
  </si>
  <si>
    <t>Bath Off Master, Dining Room, Dble Pane/Strm Windw, Vaulted Ceilings, Walk-in Closet, 2nd Kitchen, 2nd Master</t>
  </si>
  <si>
    <t>Cable TV, Fenced-Fully, Nat. Gas Available, RV Parking</t>
  </si>
  <si>
    <t>Enjoy this lovely split-entry home in Greenwood. Upper level offers gorgeous living room w/ vault ceilings, firepl &amp;amp; bay window. Large kitchen w/ cut-outs to dining area allow for easy entertaining. Master suite w/ lg walk-in closet &amp;amp; master bath w/ double vanity and skylight. On the lower level second master suite w/ full bath,open kitch &amp;amp; living rm. Would make a perfect mother-in-law apartment. The large 2 car garage&amp;amp;room for an RV! Fully fenced yard and beautiful landscaping.</t>
  </si>
  <si>
    <t>http://locmedia.nwmls.com/DO_NOT_LINK/bigphoto/040/27163040.jpg?tsp=20071019133237</t>
  </si>
  <si>
    <t>8553 19th Ave NW</t>
  </si>
  <si>
    <t>City, Mountain, Sound</t>
  </si>
  <si>
    <t>48, 15, 18, 75</t>
  </si>
  <si>
    <t>Ceramic Tile, Vinyl, Wall to Wall Carpet</t>
  </si>
  <si>
    <t>From 85th head north on 19th ave nw. Property is on the left near end of block. Level entrance and parking off of 20th ave NW behind house as well.</t>
  </si>
  <si>
    <t>Dining Room, Dble Pane/Strm Windw, Vaulted Ceilings, Walk-in Closet</t>
  </si>
  <si>
    <t>Cable TV, Deck, Fenced-Partially, High Speed Internet, Nat. Gas Available, Patio</t>
  </si>
  <si>
    <t>Don't miss this charming Craftsman! Bright and airy second floor addition features vaulted ceilings and views of Puget Sound, Mt. Rainier, and the Cascades. Beautiful mature trees create a private in-city oasis in a friendly neighborhood. Short distance to nearby grocery stores and eateries. Easy bus access to downtown. Garage off alley with level entry to home. Ready to enjoy now with great potential to customize or expand! New electrical and plumbing. All appliances 6 y.o. or less.</t>
  </si>
  <si>
    <t>E-1</t>
  </si>
  <si>
    <t>http://locmedia.nwmls.com/DO_NOT_LINK/bigphoto/950/27166950.jpg?tsp=20070912125923</t>
  </si>
  <si>
    <t>6255 Sycamore Ave NW</t>
  </si>
  <si>
    <t>_1916</t>
  </si>
  <si>
    <t>Mountain, Territorial</t>
  </si>
  <si>
    <t>Daylight, Partially Finished</t>
  </si>
  <si>
    <t>Electric-Bsm Closet</t>
  </si>
  <si>
    <t>From NW 65th. South on Sycamore (between 1st and 2nd NW).</t>
  </si>
  <si>
    <t>Deck, Fenced-Fully</t>
  </si>
  <si>
    <t>Exciting mountain views from deck and remodeled kitchen. Charming period features in well-maintained condition. Extra storage space in basement. Close to Phinney Center and plenty of shopping.</t>
  </si>
  <si>
    <t>http://locmedia.nwmls.com/DO_NOT_LINK/bigphoto/967/27147967.jpg?tsp=20071024153813</t>
  </si>
  <si>
    <t>9556 6th Ave NW</t>
  </si>
  <si>
    <t>_1940</t>
  </si>
  <si>
    <t>Double Oven, Garbage Disposal, Range/Oven, Washer</t>
  </si>
  <si>
    <t>Laminate, Wall to Wall Carpet</t>
  </si>
  <si>
    <t>From I-5 north or south take the 85th exit, go west and drive to 6th Avenue NW, go north on 6th avenue north...corner home.From Holman Rd. go south on 6th 1block home on S.E. corner.</t>
  </si>
  <si>
    <t>Bath Off Master, Dining Room, Dble Pane/Strm Windw, Skylights</t>
  </si>
  <si>
    <t>Cabana/Gazebo, Cable TV, Fenced-Fully, Outbuildings</t>
  </si>
  <si>
    <t>This home is in better than new condition as it has been recently updated with ADDED SQ. FOOTAGE. It features a cozy living room, huge dining room w/fpl, modern kitchen, 2 bedrooms and 13/4 baths on the main level, gleemimh wood floors,and seperate laundry area. The newly completed upper level has an extra room (appx 250 sq ft.) with skylight and private 1/2 bath. The yard is fully fenced with detached garage,a gazebo,super garden area and very very private.</t>
  </si>
  <si>
    <t>G-7</t>
  </si>
  <si>
    <t>http://locmedia.nwmls.com/DO_NOT_LINK/bigphoto/323/27151323.jpg?tsp=20070817134438</t>
  </si>
  <si>
    <t>2015-B NW 59th St</t>
  </si>
  <si>
    <t>_2007</t>
  </si>
  <si>
    <t>Forced Air, Insert, Wall</t>
  </si>
  <si>
    <t>Dishwasher, Garbage Disposal, Microwave, Range/Oven</t>
  </si>
  <si>
    <t>Gas/Garage</t>
  </si>
  <si>
    <t>From NW Market, go North on 20th, Left on 59th, just ahead on Left</t>
  </si>
  <si>
    <t>Bath Off Master, Dining Room, Skylights, Vaulted Ceilings, Walk-in Closet</t>
  </si>
  <si>
    <t>Short walk to new Ballard Library and park!! Purchase early &amp;amp; select from a long list of options - Thousands of countertop, flooring, appliance and other options to personalize your new home. Large open main floor that opens up to your private deck make this a great floorplan! Oversized attached garage for extra storage. Master suite offers a walk in closet. Level 4 built green!</t>
  </si>
  <si>
    <t>E-4</t>
  </si>
  <si>
    <t>6249 6th Ave NW</t>
  </si>
  <si>
    <t>Concrete, Fir/Softwood, Hardwood, Vinyl, Wall to Wall Carpet</t>
  </si>
  <si>
    <t>elec/basement</t>
  </si>
  <si>
    <t>From 15th Ave NW, head east to 6th Ave NW, turn right , 2nd house on right</t>
  </si>
  <si>
    <t>Cable TV, Fenced-Partially, Patio</t>
  </si>
  <si>
    <t xml:space="preserve"> Portion 20 and 21</t>
  </si>
  <si>
    <t>Lovely Ballard 3 bedroom, 2 bath Cape Cod, Freshly painted and remodeled...gleaming wood floors, spacious living room with brick fireplace, large kitchen with tile and granite, thermo windows, finished basement + private, fenced yard...Vacant and ready to go!</t>
  </si>
  <si>
    <t>G-3</t>
  </si>
  <si>
    <t>http://locmedia.nwmls.com/DO_NOT_LINK/bigphoto/381/27090381.jpg?tsp=20070830174913</t>
  </si>
  <si>
    <t>7730 Sunnyside Ave N</t>
  </si>
  <si>
    <t>_1930</t>
  </si>
  <si>
    <t>Dishwasher, Range/Oven</t>
  </si>
  <si>
    <t>Unfinished</t>
  </si>
  <si>
    <t>From E Greel Lake Dr N. go north on Sunnyside to house on right. From N 80th St go south on Sunnyside.</t>
  </si>
  <si>
    <t>Dining Room</t>
  </si>
  <si>
    <t>Deck, Fenced-Partially</t>
  </si>
  <si>
    <t>Charming and full of character, this adorable home is just blocks from Green Lake with all the fine dining, shopping and amenities this area offers. Situated on a quiet street this 2 bedroom 1 bath home features newly finished hardwood floors, coved ceilings, formal dining room and attractive tiled fireplace. Level yard with deck. Unfinished basement with expansion potential and a single car garage.</t>
  </si>
  <si>
    <t>http://locmedia.nwmls.com/DO_NOT_LINK/bigphoto/784/27166784.jpg?tsp=20070911204613</t>
  </si>
  <si>
    <t>7214 2nd Ave NW</t>
  </si>
  <si>
    <t>Gas/Basement</t>
  </si>
  <si>
    <t>From Greenwood Ave N. Heading West On N. 72nd right on 2nd Ave NW</t>
  </si>
  <si>
    <t>Dble Pane/Strm Windw, High Tech Cabling, Security System</t>
  </si>
  <si>
    <t>Cable TV, High Speed Internet, Nat. Gas Available</t>
  </si>
  <si>
    <t xml:space="preserve"> 15-16</t>
  </si>
  <si>
    <t>1928 Phinney Ridge bungalow with many period details.2Br-1Bth, living room with mantled fireplace and crown molding. Kitchen with southern exposure has new stainless refrigerator and range. Front and back porch. Unfinished basement with good ceiling height, Nice backyard with mature plantings and Detached garage. Upgrades include 200amp service, high-tech cabling,security system and copper plumbing. A short walk to the best Phinney Ridge shops and restaurants.</t>
  </si>
  <si>
    <t>G-2</t>
  </si>
  <si>
    <t>http://locmedia.nwmls.com/DO_NOT_LINK/bigphoto/563/27168563.jpg?tsp=20070926144917</t>
  </si>
  <si>
    <t>12011 Dayton Ave N</t>
  </si>
  <si>
    <t>_1929</t>
  </si>
  <si>
    <t>Mountain, Partial</t>
  </si>
  <si>
    <t>Ceramic Tile, Concrete, Hardwood, Wall to Wall Carpet</t>
  </si>
  <si>
    <t>Electric/Basement</t>
  </si>
  <si>
    <t>Aurora Ave to N 125th St. turn west past Lowes, go to Dayton Ave N and turn south to property (on west side of street).</t>
  </si>
  <si>
    <t>Cable TV, Deck, Fenced-Partially, High Speed Internet, Nat. Gas Available, Patio, RV Parking, Shop</t>
  </si>
  <si>
    <t>Much bigger than it looks from the street! All copper plumbing, new 200 amp electric panel. New oak floor and paint. Good size formal dining room and living room with classic fireplace. Great floor plan w 2 bedrooms and a bath on main and 3 bedrooms and 3/4 bath on lower level. Beautiful mature landscaping on large level lot. Detached garage with shop area. Large deck for summer entertaining and your BBQ. Only 15 minutes to downtown and still a quiet oasis where you can hear the birds.</t>
  </si>
  <si>
    <t>H-4</t>
  </si>
  <si>
    <t>http://locmedia.nwmls.com/DO_NOT_LINK/bigphoto/504/27091504.jpg?tsp=20070824150007</t>
  </si>
  <si>
    <t>636 NW 87th St</t>
  </si>
  <si>
    <t>_1931</t>
  </si>
  <si>
    <t>Heat Pump</t>
  </si>
  <si>
    <t>Dishwasher, Double Oven, Dryer, Garbage Disposal, Microwave, Range/Oven, Refrigerator, Washer, See Remarks</t>
  </si>
  <si>
    <t>Concrete, Hardwood, Vinyl, Wall to Wall Carpet</t>
  </si>
  <si>
    <t>From I-5, Go West on N 85th. ST., Then North on 6th. Ave. NW., Then West on NW 87th. St., Home on North Side of Street.</t>
  </si>
  <si>
    <t>Dining Room, Dble Pane/Strm Windw, Security System</t>
  </si>
  <si>
    <t>Fenced-Fully, RV Parking, Shop, Sprinkler System</t>
  </si>
  <si>
    <t>Great Street Appeal. Home is awaiting your touches. All Appliances stay plus the Freezer. A Ton of Storage Space. Double Pane or Storm Windows on Main Floor. Plum, Apple, &amp;amp; Pear Trees. Shop in Basement. Room for your RV.</t>
  </si>
  <si>
    <t>G-1</t>
  </si>
  <si>
    <t>http://locmedia.nwmls.com/DO_NOT_LINK/bigphoto/868/27191868.jpg?tsp=20071025123212</t>
  </si>
  <si>
    <t>7326 22nd Ave NW</t>
  </si>
  <si>
    <t>_1908</t>
  </si>
  <si>
    <t>Dishwasher, Garbage Disposal, Range/Oven</t>
  </si>
  <si>
    <t>Ceramic Tile, Concrete, Fir/Softwood</t>
  </si>
  <si>
    <t>From 15th go West on 73rd, North on 22nds Ave NW, home is on East side of 22nd.</t>
  </si>
  <si>
    <t>Bath Off Master, Ceiling Fan(s), Dble Pane/Strm Windw, French Doors</t>
  </si>
  <si>
    <t>Cable TV, Fenced-Fully, High Speed Internet, Patio, RV Parking</t>
  </si>
  <si>
    <t xml:space="preserve"> 11-12</t>
  </si>
  <si>
    <t>1,906 ASF-MOVE IN READY! 2 bed/2 bath w/9' ceilings.Vinyl Windows &amp;amp; Gas Heat. Mstr ste w/ sauna shower,dbl sinks &amp;amp; walk-in clst. Wood &amp;amp; Tile flrs. Bsmnt w/storage,Rec room or guest area &amp;amp; 1/2 bath. Patio for BBQ's. Fenced Back Yard. Private, Gated, Off-Street Prkg 3+ cars or RV &amp;amp; finished 1 car Garage(308 SF). Home has been pre-inspected-ready for a buyer! EZ to downtown, schools and Parks. Much bigger than it looks. Schedule a showing today.</t>
  </si>
  <si>
    <t>http://locmedia.nwmls.com/DO_NOT_LINK/bigphoto/547/27191547.jpg?tsp=20071107055208</t>
  </si>
  <si>
    <t>8036 Dibble Ave NW</t>
  </si>
  <si>
    <t>_1937</t>
  </si>
  <si>
    <t>80TH NW TO DIBBLE AVE NW- NORTH</t>
  </si>
  <si>
    <t>Cable TV, Deck, Fenced-Partially, Patio</t>
  </si>
  <si>
    <t>HOME SWEET HOME!This is a bright,cozy home,move-in ready. 2 bedrooms(plus)1.75 baths,hardwood floors w/new maple floors in kitchen. Coved ceilings, fireplace, dining room w/garden window. Finished basement w/new carpeting. 2006 oil furnace, plenty of storage. Deck off kitchen and garden/patio area in fenced back yard. Single car garage with alley access. Home Warranty provided. BUYER BONUS $5000.00 in closing costs paid by seller w/agreed upon offer!</t>
  </si>
  <si>
    <t>http://locmedia.nwmls.com/DO_NOT_LINK/bigphoto/015/27181015.jpg?tsp=20071010133250</t>
  </si>
  <si>
    <t>12258 1st Ave NW</t>
  </si>
  <si>
    <t>_1948</t>
  </si>
  <si>
    <t>Mountain, Partial, Sound, Territorial</t>
  </si>
  <si>
    <t>Hardwood, Other Renewable, Wall to Wall Carpet</t>
  </si>
  <si>
    <t>I5N - xt 172 - continue onto 85th, right on Greenwood, Keft on N 122nd, R on 1st Ave NW - brick home on corner lot.</t>
  </si>
  <si>
    <t>Dining Room, Dble Pane/Strm Windw, Jetted/Soaking Tub, Wine Cellar, 2nd Kitchen</t>
  </si>
  <si>
    <t>Deck, Fenced-Fully, Outbuildings</t>
  </si>
  <si>
    <t>Lovely brick home located on a corner lot. Features include hardwood floors, glass block accents, large windows for bright and sunny dayrooms, dining room, original birch cabinets in the kitchen and a jetted tub. One of the three bedrooms have slider to deck. Basement could be MIL apartment. Real parquet wood floors, lots of storage room, 2nd kitchen, wet bar and wine cellar. Kitchen and basement have doors to large fenced backyard w/ garden space and storage shed. New composition roof.</t>
  </si>
  <si>
    <t>http://locmedia.nwmls.com/DO_NOT_LINK/bigphoto/910/27190910.jpg?tsp=20071024102346</t>
  </si>
  <si>
    <t>Crown Hill</t>
  </si>
  <si>
    <t>8720 13th Ave NW</t>
  </si>
  <si>
    <t>_1951</t>
  </si>
  <si>
    <t>Dishwasher, Garbage Disposal, Refrigerator</t>
  </si>
  <si>
    <t>Ceramic Tile, Hardwood, Laminate, Wall to Wall Carpet</t>
  </si>
  <si>
    <t>electric/garage</t>
  </si>
  <si>
    <t>West on 85th St. North onto 13th Ave NW. House on right.</t>
  </si>
  <si>
    <t>Dining Room, Security System</t>
  </si>
  <si>
    <t>Cable TV, Fenced-Fully, Green House, Nat. Gas Available, Patio</t>
  </si>
  <si>
    <t>Beautiful, meticulously maintained 1950's classic brick home. Large &amp;amp; level fenced back yard with a greenhouse and fruit trees. Original charm, hardwood floors, updated kitchen, custom mural in child's bedroom, custom colors, family room and living room each with a fireplace. Attached garage access plus ample space for guest parking. Great location in the city. Turn-key &amp;amp; move in ready! Discounted escrow fees .</t>
  </si>
  <si>
    <t>F-1</t>
  </si>
  <si>
    <t>http://locmedia.nwmls.com/DO_NOT_LINK/bigphoto/561/27195561.jpg?tsp=20071103211514</t>
  </si>
  <si>
    <t>1310 N 82nd St</t>
  </si>
  <si>
    <t>From I-5, take 85th Street West, South on Stone, East on 82nd Street, 2nd house on the left. Please make sure the gates are closed so the dog doesn't get out!</t>
  </si>
  <si>
    <t>Fenced-Partially, Patio, RV Parking</t>
  </si>
  <si>
    <t>Perfect mix of old world charm and modern updates! Hardwood floors, cove ceilings and picture rail throughout this home along with updated plumbing (all the way to the street), new roof, electric garage door opener! Quiet, close in location with easy access to Green Lake, Downtown, I-5 &amp;amp; more! Attached garage, alley access to RV parking in Green Lake Area!! Please don't let the dog out of the yard!</t>
  </si>
  <si>
    <t>J-1</t>
  </si>
  <si>
    <t>7514 28th Ave NW</t>
  </si>
  <si>
    <t>Bay, City, Mountain, See Remarks</t>
  </si>
  <si>
    <t>15, 18</t>
  </si>
  <si>
    <t>Ceramic Tile, Fir/Softwood, Wall to Wall Carpet</t>
  </si>
  <si>
    <t>elec/bsmt</t>
  </si>
  <si>
    <t>A straight shot up or down 28th NW from the main east-west arterials, or take NW 75th from 24th, 5 blocks and turn north.</t>
  </si>
  <si>
    <t>Cable TV, Deck, Fenced-Partially, High Speed Internet, Hot Tub/Spa, RV Parking, Sprinkler System</t>
  </si>
  <si>
    <t xml:space="preserve"> 4-5</t>
  </si>
  <si>
    <t>Move-in ready craftsman bungalow with light-filled rooms, high ceilings with picture moldings, updated above and beyond. Terrific private second story hot tub deck with broad views of Mount Rainier, Elliott Bay and the Seattle skyline. Convenient main floor office or dressing room. Uniquely beautiful gardens with stone and water features. Big south-facing side yard. Multi-use outdoor parking, storage, and work area. Wide residential street in a quiet, stable neighborhood. A must-see home.</t>
  </si>
  <si>
    <t>http://locmedia.nwmls.com/DO_NOT_LINK/bigphoto/495/27187495.jpg?tsp=20071016231331</t>
  </si>
  <si>
    <t>861 NW 65th St</t>
  </si>
  <si>
    <t>_1927</t>
  </si>
  <si>
    <t>From I-5 West on 50th past zoo, Right on Phinney, Left on 65th. House on Left.</t>
  </si>
  <si>
    <t>Ceiling Fan(s), Dining Room, Dble Pane/Strm Windw, Security System</t>
  </si>
  <si>
    <t>Cable TV, Fenced-Fully</t>
  </si>
  <si>
    <t xml:space="preserve"> 3-4</t>
  </si>
  <si>
    <t>Charming, Ballard craftsman with original period details throughout. 3 bed/1 bath with bonus room. Home has been recently updated new int. and ext. paint, wood floors, kitchen counters, s/s appliances and double-paned windows. Enjoy the original fireplace and warm paint colors. Large, newly fenced backyard, perfect for entertaining. Separate garage can be used for 3rd car parking, workshop or storage shed. Easy access to bus, Ballard, Phinney and Hwy. 99. Call this historic beauty your own!!!</t>
  </si>
  <si>
    <t>http://locmedia.nwmls.com/DO_NOT_LINK/bigphoto/140/27192140.jpg?tsp=20071108202917</t>
  </si>
  <si>
    <t>7545 25th Ave NW</t>
  </si>
  <si>
    <t>_1941</t>
  </si>
  <si>
    <t>Ceramic Tile, Hardwood, Vinyl</t>
  </si>
  <si>
    <t>West on 80th, South on 25th NW. or from NW 24th go West on 75th, then north on 25th.</t>
  </si>
  <si>
    <t>Cable TV, Fenced-Fully, Patio</t>
  </si>
  <si>
    <t>Location, location, location: Lovely home on great street! Living &amp;amp; dining spaces are flooded with natural daylight. Entry w/coat closet, formal Dining, living rm w/FP. Large Kitchen w/room for breakfast table. Finished bsmt w/ 3rd bedrm, spacious family rm, 3/4 bath, laundry &amp;amp; storage. Newly refinished Hardwood floors. New 30yr roof &amp;amp; fresh interior paint. Move in ready for you to spend the holidays! Detached garage/alley. Just Steps to Loyal Heights Elementary, community center, bus &amp;amp; park</t>
  </si>
  <si>
    <t>http://locmedia.nwmls.com/DO_NOT_LINK/bigphoto/922/27177922.jpg?tsp=20071004111413</t>
  </si>
  <si>
    <t>Fremont</t>
  </si>
  <si>
    <t>515 N 45th St</t>
  </si>
  <si>
    <t>Fir/Softwood, Hardwood, Vinyl</t>
  </si>
  <si>
    <t>gas/garage</t>
  </si>
  <si>
    <t>From Fremont go west on North 45th to house. From North 46th (busy street) go south on Evanston to house.</t>
  </si>
  <si>
    <t>Bath Off Master</t>
  </si>
  <si>
    <t>Cable TV, Fenced-Partially, High Speed Internet, Sprinkler System</t>
  </si>
  <si>
    <t>Quiet street. Must see this darling interior to judge this one. Sweet master-suite with private bath and balcony. Updated kitchen with granite counters and gorgeous cabinets with glass fronts. Lovely spacious living room/dining room with unique fireplace, period windows and hardwood floors. 2 additional bedrooms with private bath. Hardwood &amp;amp; fir floors through most of house. 1 car garage and basement for storage. Small yard.</t>
  </si>
  <si>
    <t>http://locmedia.nwmls.com/DO_NOT_LINK/bigphoto/813/27161813.jpg?tsp=20070904150815</t>
  </si>
  <si>
    <t>1417 NW 83rd St</t>
  </si>
  <si>
    <t>_1946</t>
  </si>
  <si>
    <t>Electric/Basement bedroom</t>
  </si>
  <si>
    <t>East at 83rd from 15th Ave. N.W.---House on right past MARY Ave.</t>
  </si>
  <si>
    <t>Cable TV, Deck, Fenced-Partially</t>
  </si>
  <si>
    <t>Recently updated CHARMER! A must see for in city living, tiled baths and kitchen. Lots of detail work, off street parking for one car, close to shops and amenities. This will make a great investment property or a ready to move in home! Home comes with a one year warranty paid for by sellers. Sellers willing to carry-back some of downpayment to help you credit worthy clients!! Be creative!</t>
  </si>
  <si>
    <t>http://locmedia.nwmls.com/DO_NOT_LINK/bigphoto/889/27131889.jpg?tsp=20070723122814</t>
  </si>
  <si>
    <t>North Beach</t>
  </si>
  <si>
    <t>8907 31st Ave NW</t>
  </si>
  <si>
    <t>_1938</t>
  </si>
  <si>
    <t>Dryer, Range/Oven, Washer</t>
  </si>
  <si>
    <t>Vinyl, Wall to Wall Carpet</t>
  </si>
  <si>
    <t>take NW 85th ST. to 31st AVE NW, Right, up 4.5 blocks on your left. Parking in rear off Forest Hills PL.</t>
  </si>
  <si>
    <t>North Beach Remodeled Cottage on large Street to Street parklike lot. Less than 1 mile to Golden Gardens beach; dogpark. Lot has large tees &amp;amp; a quiet setting. Great lot for addition or building new in the future. Plenty of off St. parking for 4+ cars, boat trailers or RV. New paint, carpet, bath and light fixtures. Cozy Fireplace, available now!</t>
  </si>
  <si>
    <t>D-1</t>
  </si>
  <si>
    <t>http://locmedia.nwmls.com/DO_NOT_LINK/bigphoto/942/27171942.jpg?tsp=20070919162449</t>
  </si>
  <si>
    <t>7716 Dibble Ave NW</t>
  </si>
  <si>
    <t>Electric, Oil</t>
  </si>
  <si>
    <t>Hardwood, Vinyl</t>
  </si>
  <si>
    <t>Dibble Ave. NW is one block west of 8th Ave. NW</t>
  </si>
  <si>
    <t>Brick Tudor fixer on Dibble Avenue NW, just south of 80th. One of 7 side-by-side brick Tudors built in the late 20's. Much of the OWC still intact. Lots of mahogany, hardwoods and crown mouldings. Room for expansion in basement and attic areas. Spacious living room with fireplace, &amp;amp; separate formal dining room. Two additional roughed-in bedrooms on the second level. Quiet Ballard street with excellent access to downtown Seattle. Opportunity to make this the home you've always dreamed of owning.</t>
  </si>
  <si>
    <t>http://locmedia.nwmls.com/DO_NOT_LINK/bigphoto/797/27192797.jpg?tsp=20071026165055</t>
  </si>
  <si>
    <t>1150 N 83rd St</t>
  </si>
  <si>
    <t>No photos</t>
  </si>
  <si>
    <t>City, Mountain, See Remarks</t>
  </si>
  <si>
    <t>Private</t>
  </si>
  <si>
    <t>Ceramic Tile, Fir/Softwood, See Remarks</t>
  </si>
  <si>
    <t>From I5 N take 85th St. / Aurora Exit. Go West to Stone Way South two blocks to 83rd St. Turn right, 2nd house on right. From 99/Aurora turn East on 85th to Stone Way (same directions as above).</t>
  </si>
  <si>
    <t>Cable TV, Deck, Fenced-Partially, High Speed Internet</t>
  </si>
  <si>
    <t>Beautiful renovated home in desirable Greenlake neighborhood.3 bedrm, 1 bath, light open kitchen w/breakfast nook.Granite tile counters over Hickory cabinets w/stainless steel appliances.Bathroom features granite tile shower w/new fixtures.Refinished original wood floors throughout.Travertine floors in kitchen.New vinyl windows,roof &amp;amp; exterior doors.Fully reconstructed front porch &amp;amp; landscaped.Full basement w/laundry facilities (included).Wonderful views of both the city skyline &amp;amp; Mount Rainier.</t>
  </si>
  <si>
    <t>http://locmedia.nwmls.com/DO_NOT_LINK/bigphoto/222/27192222.jpg?tsp=20071025151633</t>
  </si>
  <si>
    <t>Wallingford</t>
  </si>
  <si>
    <t>1515 N 38th St</t>
  </si>
  <si>
    <t>_1904</t>
  </si>
  <si>
    <t>Ceramic Tile, Fir/Softwood, Hardwood, Vinyl</t>
  </si>
  <si>
    <t>From Stone Way, head east on N 38th to Carr Pl. The house is the SW corner of the intersection of N 38th and Carr Pl.</t>
  </si>
  <si>
    <t>Bath Off Master, Dble Pane/Strm Windw, High Tech Cabling, Walk In Pantry, 2nd Kitchen</t>
  </si>
  <si>
    <t>Nat. Gas Available</t>
  </si>
  <si>
    <t>Almost completely remodeled. Some minor work left to be done. Wood floors. All copper plumbing. Electrical mostly updated. Gas heat. Legal mother-in-law in bsmt with separate entrance. Most appliances less than 4 years old. Corner lot. Garage and 2 space carport. Gas stoves. Exterior professionally restored and painted. Lots of finished attic storage with stair access.</t>
  </si>
  <si>
    <t>J-6</t>
  </si>
  <si>
    <t>http://locmedia.nwmls.com/DO_NOT_LINK/bigphoto/898/27183898.jpg?tsp=20071010132921</t>
  </si>
  <si>
    <t>602 NW 87th St</t>
  </si>
  <si>
    <t>I-5 exit 172. West on N 85th St for 1.5 miles, Right onto 6th Ave NW, left on 87th St. House is on the corner of 6th and 87th.</t>
  </si>
  <si>
    <t>Dining Room, Dble Pane/Strm Windw, Jetted/Soaking Tub, Vaulted Ceilings</t>
  </si>
  <si>
    <t>Deck, Fenced-Partially, Outbuildings</t>
  </si>
  <si>
    <t>$10,000 towards buyer's closing costs with acceptable offer by 11/30/07! Motivated seller says bring all offers NOW! Recently remodeled home retaining its original old-world charm! Kitchen/baths have been nicely updated w/new cabinets, counters, fixtures, appliances. This is a very charming home! Convenient to all amenities that Greenwood has to offer! Sq ft is estimate (tax records do not appear to include recent upstairs addition). Sold as-is without warranty of any kind. Thanks for looking!</t>
  </si>
  <si>
    <t>http://locmedia.nwmls.com/DO_NOT_LINK/bigphoto/272/27195272.jpg?tsp=20071101094057</t>
  </si>
  <si>
    <t>10328 13th Ave NW</t>
  </si>
  <si>
    <t>_1949</t>
  </si>
  <si>
    <t>Hardwood, Vinyl, See Remarks</t>
  </si>
  <si>
    <t>Gas/utility room</t>
  </si>
  <si>
    <t>Going north on 15th NW turn east on NW 100th (just past Swanson't Nursery), north on 13th NW. Going north on 8th NW turn west on 100th.</t>
  </si>
  <si>
    <t>Cable TV, Deck, High Speed Internet, Shop</t>
  </si>
  <si>
    <t>$15k price drop on this mint condition, level entry just 1 blk from Blue Ridge. Beautiful hdwd flrs, frpl w/new surround &amp;amp; mantle, sunny kit w/eat space &amp;amp; all new appls, remodeled bath w/marble tile flrs &amp;amp; deep soaking tub, new light fixtures, spacious bdrms &amp;amp; large conveniently located utility rm. Room to expand w/attached gar + shop w/elec, lg windows &amp;amp; sep entrance that could be converted into artist's sudio or home office. Xtra deep lot w/alley access + 620 sf deck. 2 blks to beach trail.</t>
  </si>
  <si>
    <t>F-6</t>
  </si>
  <si>
    <t>http://locmedia.nwmls.com/DO_NOT_LINK/bigphoto/640/27161640.jpg?tsp=20070904130827</t>
  </si>
  <si>
    <t>8342 23 Ave NW</t>
  </si>
  <si>
    <t>Electric/ Basement</t>
  </si>
  <si>
    <t>west from 99 on 80th or 85th to 23rd N.W.</t>
  </si>
  <si>
    <t>Cable TV, Fenced-Partially, Patio, RV Parking</t>
  </si>
  <si>
    <t>http://locmedia.nwmls.com/DO_NOT_LINK/bigphoto/258/27172258.jpg?tsp=20070921155931</t>
  </si>
  <si>
    <t>2838 NW 70th St</t>
  </si>
  <si>
    <t>_1907</t>
  </si>
  <si>
    <t>Dishwasher, Range/Oven, Refrigerator</t>
  </si>
  <si>
    <t>Electric/basement</t>
  </si>
  <si>
    <t>N I-5 &amp;gt; Right on 80th/85th St Exit &amp;gt; Right onto 80th St &amp;gt; Left onto 28th &amp;gt; Right onto NW 70th St &amp;gt; Home on Right.</t>
  </si>
  <si>
    <t xml:space="preserve"> 7 &amp; 8</t>
  </si>
  <si>
    <t>Ballard Fixer! This 1907 4bed/1bath 2060 sq ft house is located on 2 lots. Tons of potential! If you are an investor or just looking for a fixer then this house is it! Home is an Estate Sale and is sold AS-IS. Seller to do no work orders. Hurry...this one won't last!</t>
  </si>
  <si>
    <t>D-3</t>
  </si>
  <si>
    <t>http://locmedia.nwmls.com/DO_NOT_LINK/bigphoto/187/27195187.jpg?tsp=20071101103513</t>
  </si>
  <si>
    <t>611 N 39th St</t>
  </si>
  <si>
    <t>_1911</t>
  </si>
  <si>
    <t>Forced Air, Stove/Free Stdg</t>
  </si>
  <si>
    <t>Range/Oven, Refrigerator</t>
  </si>
  <si>
    <t>Hardwood, Slate</t>
  </si>
  <si>
    <t>Gas - BSM</t>
  </si>
  <si>
    <t>Fremont Ave going north - west on N 39th St and house is on your left</t>
  </si>
  <si>
    <t>Ceiling Fan(s), Dble Pane/Strm Windw, French Doors</t>
  </si>
  <si>
    <t>Cable TV, Deck, Fenced-Fully, High Speed Internet, Patio</t>
  </si>
  <si>
    <t>Come home to this great bungalow in desirable Fremont - remodeled by owner/architect with stylish finish work. LR w/ pine Hdwd flrs and wood burning FP, French doors open to second BR/Den w/inset carpet tiles &amp;amp; cork panel walls &amp;amp; bookshelves. Enjoy the custom kitch w/resin front cabinets &amp;amp; River rock backsplash, Charming BA w/clawfoot tub,bowl sink &amp;amp; slate flrs. Great storage in BSM w/one car garage &amp;amp; potential for expansion. Perfect location for sustainable living. L 3 zoning.</t>
  </si>
  <si>
    <t>http://locmedia.nwmls.com/DO_NOT_LINK/bigphoto/177/27193177.jpg?tsp=20071028021527</t>
  </si>
  <si>
    <t>107 N 51st St</t>
  </si>
  <si>
    <t>_1965</t>
  </si>
  <si>
    <t>gas/bsmt</t>
  </si>
  <si>
    <t>From 50th to Phinney, north to 51st, west to house. House is located just west of the Woodland Park Zoo &amp;amp; SW of Norse Home.</t>
  </si>
  <si>
    <t>Dining Room, Dble Pane/Strm Windw, 2nd Kitchen</t>
  </si>
  <si>
    <t>Deck, Fenced-Partially, Nat. Gas Available, RV Parking</t>
  </si>
  <si>
    <t>Don't be fooled, home is much larger than it appears. Living room w/fireplace, new finish on hardwood floors. 3 bedrooms,full bath on main. Lower level has light finished room, rec room w/ fireplace, full bath, kitchenette. Separate entry makes this a potential MIL. Freshly painted interior. Deck. Attached garage+off street parking(alley access). EZ maintenance yard. New 200amp electrical panel in 07. New roof 2004. New furnace 2001. Close to Phinney Ridge Market, zoo, Greenlake &amp;amp; Fremont.</t>
  </si>
  <si>
    <t>http://locmedia.nwmls.com/DO_NOT_LINK/bigphoto/775/27196775.jpg?tsp=20071111075832</t>
  </si>
  <si>
    <t>309 NE 56th St</t>
  </si>
  <si>
    <t>_1906</t>
  </si>
  <si>
    <t>Dishwasher, Double Oven, Dryer, Garbage Disposal, Range/Oven, Refrigerator, Washer</t>
  </si>
  <si>
    <t>26, 16</t>
  </si>
  <si>
    <t>Hardwood, Laminate</t>
  </si>
  <si>
    <t>From I-5 north or south, take 50th St exit head west, right on Latona, right on 56th, second house on right.</t>
  </si>
  <si>
    <t>Cable TV, High Speed Internet, Nat. Gas Available, Outbuildings, Patio</t>
  </si>
  <si>
    <t>Welcome to your in-city oasis. Perched high above the street with east and south mountain views this house offers serenity. The built-in wine alcove, arched doorways and a rocking chair front porch add to the charm of this historic Greenlake farmhouse originally built in 1906. Newer appliances (all stay),gas furnace makes utility bills low and maintenance easy. A large professionally landscaped 6000+ lot, with gardens and brick patio to enjoy your days and nights in total seclusion. Cedar shed.</t>
  </si>
  <si>
    <t>B-4</t>
  </si>
  <si>
    <t>http://locmedia.nwmls.com/DO_NOT_LINK/bigphoto/492/27188492.jpg?tsp=20071024111743</t>
  </si>
  <si>
    <t>8209 16th Ave NE</t>
  </si>
  <si>
    <t>Elec/Bsmt.</t>
  </si>
  <si>
    <t>Take 15th Ave. NE to NE 85th St.; EAST to 16th NE: SOUTH to subject on Rt.</t>
  </si>
  <si>
    <t>Cable TV, Dog Run, Fenced-Partially, High Speed Internet, Nat. Gas Available, Patio</t>
  </si>
  <si>
    <t>Classic Seattle Brick Tudor with an open floor plan and lots of natural light. Features hardwood floors, art tiled fireplace, coved and coffered ceilings and original mahogany trim and picture rails. Great space for entertaining with formal living &amp;amp; dining rooms. View of Mt. Rainier on a clear day. Remodeled kitchen with sunlit breakfast nook and lots of cabinet space. High ceilings in basement w/separate entrance - could increase sq. footage to 1930. Large fenced private backyard and patio.</t>
  </si>
  <si>
    <t>C-1</t>
  </si>
  <si>
    <t>http://locmedia.nwmls.com/DO_NOT_LINK/bigphoto/187/27182187.jpg?tsp=20071007140427</t>
  </si>
  <si>
    <t>7747 19th Ave NW</t>
  </si>
  <si>
    <t>Ceramic Tile, Hardwood</t>
  </si>
  <si>
    <t>From 80th, go south on 19th.</t>
  </si>
  <si>
    <t>Dining Room, Dble Pane/Strm Windw, Wine Cellar</t>
  </si>
  <si>
    <t>Cabana/Gazebo, Cable TV, Fenced-Partially, Nat. Gas Available, Patio</t>
  </si>
  <si>
    <t xml:space="preserve"> See Deed</t>
  </si>
  <si>
    <t>Modern style meets vintage chic in this fabulous Loyal Heights home on a great street. Light-filled living room w/fireplace, adjoining dining room &amp;amp; Mt Rainier view. Updated kitchen has stainless appliances, plenty of storage &amp;amp; ceramic tile. Cool sun room adds additional living space and amazing SW exposure. Large 3rd bedroom or media room w/built-ins and wine storage. Sip vino or cocoa by the covered outdoor fireplace any time of the year. Landscaped by noted designer. Welcome home!</t>
  </si>
  <si>
    <t>http://locmedia.nwmls.com/DO_NOT_LINK/bigphoto/782/27197782.jpg?tsp=20071106104336</t>
  </si>
  <si>
    <t>126 NW 55th St</t>
  </si>
  <si>
    <t>_1914</t>
  </si>
  <si>
    <t>Elec/bsmt</t>
  </si>
  <si>
    <t>Take 3rd Ave NW to NW 55th St</t>
  </si>
  <si>
    <t>Cable TV, Nat. Gas Available</t>
  </si>
  <si>
    <t>Fantastic Phinney Ridge home! Open floor plan with a new custom kitchen, hardwood floors, fireplace, sun room/office area. Private backyard with a huge deck. Walk to shops, restaurants and the zoo. This home simply stands out!!</t>
  </si>
  <si>
    <t>http://locmedia.nwmls.com/DO_NOT_LINK/bigphoto/662/27187662.jpg?tsp=20071018080347</t>
  </si>
  <si>
    <t>8836 1st Ave NE</t>
  </si>
  <si>
    <t>NGate Transit Center</t>
  </si>
  <si>
    <t>gas / basement</t>
  </si>
  <si>
    <t>From 5th Ave. NE, either NE 85th or NE 92nd St. goes directly though to 1st Ave. NE. See my sign!</t>
  </si>
  <si>
    <t>Fenced-Partially, Green House, Patio</t>
  </si>
  <si>
    <t>Spacious, solid brick home in Maple Leaf. 4 BD/1.75 BA. Large, bright rooms. Fireplace. Formal dining. Newly finished hardwoods. New carpet in bedrooms. New paint, roof, kitchen countertops. Tiled bathrooms. Family room, utility, &amp;amp; lots of storage in basement. Attached garage &amp;amp; lots of off-street parking. Terraced yard with garden, fruit trees, &amp;amp; greenhouse. Have fun BBQs on the patio. Walk to Greenlake. Close to NGate transit center for easy commute. 1 year home warranty included for buyer!</t>
  </si>
  <si>
    <t>A-1</t>
  </si>
  <si>
    <t>http://locmedia.nwmls.com/DO_NOT_LINK/bigphoto/523/27131523.jpg?tsp=20070726161848</t>
  </si>
  <si>
    <t>340 NE 55th St</t>
  </si>
  <si>
    <t>From I-5 take Ex 169 toward 50th ST. Go straight to 7th Ave. Left on 50th. Right on Latona. Right onto 55th.</t>
  </si>
  <si>
    <t>Tastefully updated quaint home with lots of charm! Great kitchen w/stainless steel appliances, tile counters tops &amp;amp; more. Updated electrical. Hardwood floors throughout main bring elegance. 3 bedrooms, 1.75 bath, &amp;amp; unfinished basement w/lots of potential. The backyard is a Zen-like retreat featuring 2 decks off the back of the house. Great access to downtown, UW , 520, I-5, &amp;amp; Greenlake. Although this hm appears to be close to the freeway. The noise is minimal and not noticeable. Don't miss out!</t>
  </si>
  <si>
    <t>http://locmedia.nwmls.com/DO_NOT_LINK/bigphoto/537/27159537.jpg?tsp=20070831115009</t>
  </si>
  <si>
    <t>307 N 103rd St</t>
  </si>
  <si>
    <t>_1942</t>
  </si>
  <si>
    <t>Double Oven, Refrigerator</t>
  </si>
  <si>
    <t>South on Greenwood turn left on 103rd, house on right.</t>
  </si>
  <si>
    <t>Great location for resident or fabulous opportunity for commercial mixed zoning. Usage such as office, multifamily, retail with apartments on top and restaurants too many possibilities. Buyer to verify. A must see!</t>
  </si>
  <si>
    <t>http://locmedia.nwmls.com/DO_NOT_LINK/bigphoto/501/27187501.jpg?tsp=20071017170625</t>
  </si>
  <si>
    <t>6742 Dibble Ave NW</t>
  </si>
  <si>
    <t>_1912</t>
  </si>
  <si>
    <t>Daylight</t>
  </si>
  <si>
    <t>Concrete, Fir/Softwood, Vinyl</t>
  </si>
  <si>
    <t>elec bsmt</t>
  </si>
  <si>
    <t>Dibble is 2 blocks west of 8th Ave NW</t>
  </si>
  <si>
    <t>Bath Off Master, Ceiling Fan(s), Dining Room, Disabled Access, Dble Pane/Strm Windw</t>
  </si>
  <si>
    <t>Cable TV, Deck, Disabled Access, Fenced-Partially, Nat. Gas Available</t>
  </si>
  <si>
    <t>http://locmedia.nwmls.com/DO_NOT_LINK/bigphoto/380/27198380.jpg?tsp=20071116133954</t>
  </si>
  <si>
    <t>3050 NW 67th St</t>
  </si>
  <si>
    <t>Gas</t>
  </si>
  <si>
    <t>From 32nd Ave NW, go E on NW 67th St</t>
  </si>
  <si>
    <t>Cable TV, Fenced-Partially, Nat. Gas Available, Outbuildings, Patio</t>
  </si>
  <si>
    <t>Beautiful updated Cape Cod on a fabulous lot in prime location! Great floor plan with large spacious rooms. Charm &amp;amp; pizazz with refinished oak floors, radius corners, art-deco fireplace etc. Updated kitchen with lots of cabinet space. Light &amp;amp; open with southern exposure &amp;amp; big picture windows. Huge family room downstairs with fireplace. Most systems updated. Wonderful private large fenced backyard. Located next to a park! Polished &amp;amp; absolutely gorgeous. This is the one you have been waiting for!!</t>
  </si>
  <si>
    <t>http://locmedia.nwmls.com/DO_NOT_LINK/bigphoto/369/27182369.jpg?tsp=20071008094614</t>
  </si>
  <si>
    <t>1311 NW 80th St</t>
  </si>
  <si>
    <t>From I-5, take the N 85th St exit, head west on N 85th, then south (left) on 14th Ave NW, then east (left) on NW 80th St. House is in the middle of the block.</t>
  </si>
  <si>
    <t>Dining Room, Dble Pane/Strm Windw, Jetted/Soaking Tub, Walk-in Closet, Wine Cellar</t>
  </si>
  <si>
    <t>TOTAL REMODEL! Very safe home.Best house at this price!Updated furnace(no oil heat)updated plumbing &amp;amp; electrical.New ss applns &amp;amp; new cabinets, granite slab counters.Newer double-paned windows makes for a very quiet home.New paint in every room, new carpet &amp;amp; a cozy fireplace.Recently refinished hardwood floors.Brand new professionally remodeled basement!1car garage w/new door &amp;amp; alley access.15 mins to downtown &amp;amp;5 mins to Greenlake &amp;amp;5 min to great Ballard shopping.</t>
  </si>
  <si>
    <t>http://locmedia.nwmls.com/DO_NOT_LINK/bigphoto/539/27087539.jpg?tsp=20071010095117</t>
  </si>
  <si>
    <t>6740 11th Ave NW</t>
  </si>
  <si>
    <t>Natural Gas, Wood</t>
  </si>
  <si>
    <t>Fir/Softwood, Vinyl, Wall to Wall Carpet</t>
  </si>
  <si>
    <t>from 15th NW go east on 65th, north on 11th, house is on right two blocks up.</t>
  </si>
  <si>
    <t>Dining Room, French Doors, High Tech Cabling, Security System, Vaulted Ceilings</t>
  </si>
  <si>
    <t>This elegant, beautifully maintained bungalow boasts original fir floors throughout, high ceilings, crown molding, wood fireplace w/mantle, updated kitchen w/tile counter tops, breakfast bar,french doors from the family room lead to a spacious deck and professionally landscaped garden. The baths are updated and the basement is partially finished and is used for an office. It has all the right updates and just enough vintage charm &amp;amp; details to make for a perfect combination.Walk 2 cafes &amp;amp; shops.</t>
  </si>
  <si>
    <t>F-3</t>
  </si>
  <si>
    <t>http://locmedia.nwmls.com/DO_NOT_LINK/bigphoto/093/27197093.jpg?tsp=20071106194805</t>
  </si>
  <si>
    <t>353 NW 74th St</t>
  </si>
  <si>
    <t>Territorial, See Remarks</t>
  </si>
  <si>
    <t>5 N to 85th West. Left on Greenwood. Rt on 74th</t>
  </si>
  <si>
    <t>Dble Pane/Strm Windw, Security System, Walk In Pantry</t>
  </si>
  <si>
    <t>Cable TV, Fenced-Partially, Nat. Gas Available</t>
  </si>
  <si>
    <t>3 Bedroom Ballard Charmer. Come home to your own retreat. Hardwood floors and wood trim throughout. Heated bathroom and kitchen floors for chilly mornings. Impeccably maintained, open floor plan. Professionally landscaped yard. Newly remodeled upstairs bath. Private den. All appliances stay. Too many extras to mention.</t>
  </si>
  <si>
    <t>http://locmedia.nwmls.com/DO_NOT_LINK/bigphoto/805/27191805.jpg?tsp=20071025175431</t>
  </si>
  <si>
    <t>1133 NW 63rd St</t>
  </si>
  <si>
    <t>_1900</t>
  </si>
  <si>
    <t>Fir/Softwood, Laminate, Vinyl</t>
  </si>
  <si>
    <t>Gas/Bathroom</t>
  </si>
  <si>
    <t>From 15th NW, east on NW 63rd to address</t>
  </si>
  <si>
    <t>Ceiling Fan(s), Dble Pane/Strm Windw, Vaulted Ceilings, Walk-in Closet</t>
  </si>
  <si>
    <t xml:space="preserve"> 3 &amp; Por of 16</t>
  </si>
  <si>
    <t>Charming 1900 farmhouse in Ballard features many updates with plenty of elbow room inside and out. Spacious upper floor with two light filled bedrooms. Completely fenced with level yard and productive fruit trees.</t>
  </si>
  <si>
    <t>http://locmedia.nwmls.com/DO_NOT_LINK/bigphoto/984/27177984.jpg?tsp=20071005141504</t>
  </si>
  <si>
    <t>4006 Linden Ave N</t>
  </si>
  <si>
    <t>_1924</t>
  </si>
  <si>
    <t>City, Partial</t>
  </si>
  <si>
    <t>Forced Air, Other-See Remarks</t>
  </si>
  <si>
    <t>One block. East of Fremont Ave N and 40th. Between N. 40th &amp;amp; N. 41st on Linden Ave N.</t>
  </si>
  <si>
    <t>Cable TV, Deck, Fenced-Fully, Patio</t>
  </si>
  <si>
    <t>Location! Only a couple of blocks to downtown Fremont shops and restaurants. Directly across from B.F. Day park. Enjoy 3 bedroom, 1 bath with lots of room to finish basement for added space. Electrical and bathroom has been updated. New front porch made Sof trex composite and backyard wood deck built recently. Front yard has been professionally landscaped along w/private gated backyard. Existing hardwoods throughout that just need some TLC.</t>
  </si>
  <si>
    <t>http://locmedia.nwmls.com/DO_NOT_LINK/bigphoto/642/27172642.jpg?tsp=20071113115037</t>
  </si>
  <si>
    <t>10756 Palatine Ave N</t>
  </si>
  <si>
    <t>Mountain</t>
  </si>
  <si>
    <t>Dishwasher, Double Oven, Dryer, Garbage Disposal, Microwave, Refrigerator, Washer</t>
  </si>
  <si>
    <t>Hardwood, Slate, Vinyl, Wall to Wall Carpet</t>
  </si>
  <si>
    <t>Electric - Lower Level</t>
  </si>
  <si>
    <t>From Greenwood Ave N. West on N 110th St On the Corner of 110th &amp;amp; Palatine</t>
  </si>
  <si>
    <t>Beautiful Broadview Classic! Light, open &amp;amp; spacious floor plan - Formal Living Rm &amp;amp; Dining Rm perfect for entertaining with adjoining Family Rm/Sun Rm. Sunny breadfast nook to greet the morning! Beautiful, sumptuous bath. Updated country kitchen. Lower level for expansion or perfect for the hobbyist(great shop). Verdant greenery surrounds the home. Convenient alley access to a detached garage. Prime convenient Broadview location. You will fall in love with this quality home!</t>
  </si>
  <si>
    <t>http://locmedia.nwmls.com/DO_NOT_LINK/bigphoto/470/27151470.jpg?tsp=20070817140628</t>
  </si>
  <si>
    <t>6724 Dibble Ave NW</t>
  </si>
  <si>
    <t>Baseboard, Forced Air, Wall</t>
  </si>
  <si>
    <t>Fir/Softwood, Hardwood, Laminate, Vinyl</t>
  </si>
  <si>
    <t>Dibble is two blocks west of 8th Ave NW.</t>
  </si>
  <si>
    <t>Dining Room, 2nd Kitchen</t>
  </si>
  <si>
    <t>Cable TV, Fenced-Partially, High Speed Internet, Shop</t>
  </si>
  <si>
    <t>This 1918 Craftsman may be the one! This 3br/2 bath home is one of the best values in Ballard- walk to shopping, dining, drinks &amp;amp; coffee. The new Library, Ballard Farmer's Market, the Locks, Golden Gardens- these are just some of your new neighbors! The main floor retains the charm of the era, and the lower level is an ADU- rent it, or live there. If you need shop space, here it is! Most systems are new or updated: roof, furnace &amp;amp; ducting, H2O heater, tuckpointing, &amp;amp; some electrical. Come see!</t>
  </si>
  <si>
    <t>http://locmedia.nwmls.com/DO_NOT_LINK/bigphoto/786/27200786.jpg?tsp=20071112225949</t>
  </si>
  <si>
    <t>Rating</t>
  </si>
  <si>
    <t>List Date</t>
  </si>
  <si>
    <t>Red Fin # Days</t>
  </si>
  <si>
    <t>Days on Market</t>
  </si>
  <si>
    <t>Viewing</t>
  </si>
  <si>
    <t>Pinehurst</t>
  </si>
  <si>
    <t>1716 NE 125th St</t>
  </si>
  <si>
    <t>_1939</t>
  </si>
  <si>
    <t>Dishwasher, See Remarks</t>
  </si>
  <si>
    <t>North I-5, exit 174 (NE 130th St. / Roosevelt Way), bear R on Roosevelt Way NE, continue on NE 125th St, home on left.</t>
  </si>
  <si>
    <t>Ceiling Fan(s), High Tech Cabling</t>
  </si>
  <si>
    <t>Cable TV, Fenced-Partially, RV Parking</t>
  </si>
  <si>
    <t>Very convenient location. 1939 home has 3 bedrooms and 1 bath. Features include new roof &amp;amp; furnace, large yard w/storage shed, new hardwood floors, fireplace, garage, &amp;amp; large carport. Great neighborhood w/many services &amp;amp; amenities. On major bus lines. Excellent condo alternative. Ample trees including pear tree.</t>
  </si>
  <si>
    <t>C-4</t>
  </si>
  <si>
    <t>http://locmedia.nwmls.com/DO_NOT_LINK/bigphoto/490/27132490.jpg?tsp=20071017092645</t>
  </si>
  <si>
    <t>Meadowbrook</t>
  </si>
  <si>
    <t>11040 34th Ave NE</t>
  </si>
  <si>
    <t>Gas/ Basement</t>
  </si>
  <si>
    <t>1 block north of Nathan Hale High on 34th NE, just east of Summit K-12.</t>
  </si>
  <si>
    <t>Ceiling Fan(s), Dining Room, Security System, Walk-in Closet</t>
  </si>
  <si>
    <t>Cable TV, Fenced-Partially, Nat. Gas Available, RV Parking, Sprinkler System</t>
  </si>
  <si>
    <t>Spacious &amp;amp; charming 1926 era Craftsman home on large level lot with covered front porch located close to schools, bus, swimming pool, &amp;amp; sports facility.Its features include the traditionals- fireplace, hard/softwood floors, &amp;amp; formal dining room with built-ins, as well as more recent upgrades- Large,remodeled bathroom &amp;amp; master bedroom with walk-in-closet. A full basement, a BIG fenced yard with mature landscaping,&amp;amp; a long driveway with a two-car garage/storage loft offers much potential.</t>
  </si>
  <si>
    <t>E-6</t>
  </si>
  <si>
    <t>http://locmedia.nwmls.com/DO_NOT_LINK/bigphoto/411/27133411.jpg?tsp=20070723091220</t>
  </si>
  <si>
    <t>Roosevelt</t>
  </si>
  <si>
    <t>806 NE 60th St</t>
  </si>
  <si>
    <t>_1921</t>
  </si>
  <si>
    <t>Property east of I-5. Use Ravenna Blvd. and turn onto NE 60th from 9th Ave NE</t>
  </si>
  <si>
    <t>The best price on a 1920's built craftsman this close to Green Lake, the U.W and Roosevelt district. Pefect for walking, biking lifestyle but close to I 5. Comfortable ,well loved home with formal entry, dining room,hardwood floors &amp;amp; built ins but priced to allow for kitchen redo, adding 3rd bedroom or? New tear off roof just completed, new gutters and some electrical work as well. On a street of like homes.</t>
  </si>
  <si>
    <t>http://locmedia.nwmls.com/DO_NOT_LINK/bigphoto/974/27085974.jpg?tsp=20070608143008</t>
  </si>
  <si>
    <t>Maple Leaf</t>
  </si>
  <si>
    <t>1524 NE 97th St</t>
  </si>
  <si>
    <t>Microwave, Range/Oven, Refrigerator</t>
  </si>
  <si>
    <t>From I-5 take the Northgate exit and go east to 15th NE and take a right, follow to NE 97th and home is on left about 1 block down the hill.</t>
  </si>
  <si>
    <t>Dining Room, Dble Pane/Strm Windw, Walk-in Closet</t>
  </si>
  <si>
    <t>Wonderful Craftsman home in quiet Maple Leaf neighborhood. Needs just a touch of TLC to make it yours.</t>
  </si>
  <si>
    <t>C-7</t>
  </si>
  <si>
    <t>Wedgwood</t>
  </si>
  <si>
    <t>4210 NE 85th St</t>
  </si>
  <si>
    <t>Oil, Wood</t>
  </si>
  <si>
    <t>Other Renewable, Vinyl, Wall to Wall Carpet</t>
  </si>
  <si>
    <t>From 35th Ave NE - Head East on NE 85th, house on left.</t>
  </si>
  <si>
    <t>Cable TV, Fenced-Fully, Nat. Gas Available, Patio</t>
  </si>
  <si>
    <t>Come and see this charming mid-century rambler located on a wonderful street, this is not on a busy street! This tastefully renovated home offers an open floor plan, radiant heat, new kitchen w/ stainless appliances, hardwood floors and a large secluded fenced back yard - all on a 6,500+ sq ft lot. Separate laundry/mud room off the 1 car attached garage. This lovely home is move in ready!</t>
  </si>
  <si>
    <t>http://locmedia.nwmls.com/DO_NOT_LINK/bigphoto/314/27182314.jpg?tsp=20071010140226</t>
  </si>
  <si>
    <t>3253 NE 97th St</t>
  </si>
  <si>
    <t>colSpan=2&gt;</t>
  </si>
  <si>
    <t>&lt;B&gt;ApprvAssry Unit&lt;/B&gt;</t>
  </si>
  <si>
    <t>From NE 75th go N. until NE 97, make a left, 2nd house from the corner on your left.</t>
  </si>
  <si>
    <t>Dining Room, Dble Pane/Strm Windw, Walk In Pantry</t>
  </si>
  <si>
    <t>Cable TV, Fenced-Partially, Nat. Gas Available, Patio, RV Parking, Shop</t>
  </si>
  <si>
    <t>An In-City oasis! Huge property-mature garden w/fruit trees (figs, apples) grapes and berries, gentle stream, makes this story-book home a place to enjoy w/your family and friends. It features 3bd,1.75ba and a family rm/office w/french doors out to the patio. Hrdwd floors in most of the home. Newly painted in/out. Newer kitchen and appliances. Some double pane windows. Lrg garage w/shop. New construction on the street. Close to UW, Children's &amp;amp; UW hosp, UVillage. Easy access to freeways.</t>
  </si>
  <si>
    <t>E-7</t>
  </si>
  <si>
    <t>http://locmedia.nwmls.com/DO_NOT_LINK/bigphoto/900/27165900.jpg?tsp=20070912171812</t>
  </si>
  <si>
    <t>8854 1st Ave NE</t>
  </si>
  <si>
    <t>Take I-5 exit 172 to merge onto N 85th St toward Aurora Ave N 0.7 mi, turn right at Wallingford Ave N 0.4 mi, turn right at N 92nd St 0.4 mi, turn right at 1st Ave NE</t>
  </si>
  <si>
    <t>This wonderfully remodeled home that has been brought back to life in style! From the remodeled kitchen to the landscaping, the owner has left no stone unturned in reviving this beautiful home on a corner lot. The moment you enter, you'll notice the shine from the hardwood floors that look new. Upstairs boasts a huge master bedroom w/new carpet &amp;amp; fresh paint. The basement also has new carpet &amp;amp; paint &amp;amp; is perfect for your new rec room with a gorgeous 3/4 bath.</t>
  </si>
  <si>
    <t>B-1</t>
  </si>
  <si>
    <t>http://locmedia.nwmls.com/DO_NOT_LINK/bigphoto/340/27180340.jpg?tsp=20071007145754</t>
  </si>
  <si>
    <t>4110 NE 105th St</t>
  </si>
  <si>
    <t>Forced Air, Wall</t>
  </si>
  <si>
    <t>Hardwood, See Remarks</t>
  </si>
  <si>
    <t>Elect./Main</t>
  </si>
  <si>
    <t>From 35th Ave NE, turn east on NE 105th to house on left at 4110.</t>
  </si>
  <si>
    <t>Cable TV, Fenced-Partially, Outbuildings, Patio, Shop</t>
  </si>
  <si>
    <t>Picture perfect charm. Mid century bungalow. Better than new. Pvt, quiet, 1/5 acre, strict attention to detail. New roof, new furnace, new craftsman shingle siding, new gutter &amp;amp; drain system, new windows, refin. cherry hdwd flrs, new travertine bthrm flrs, new granite entry &amp;amp; frplc surround, gas log frplc, stylish period mantle, crown molding, decorator colors, all appls stay, lovely level property, detached 2 car gar. w/ shop area. Classic, solid home for the holidays. Let's talk! This is HOME!</t>
  </si>
  <si>
    <t>http://locmedia.nwmls.com/DO_NOT_LINK/bigphoto/920/27188920.jpg?tsp=20071019112034</t>
  </si>
  <si>
    <t>Olympic Hills</t>
  </si>
  <si>
    <t>13344 23rd Ave NE</t>
  </si>
  <si>
    <t>_1959</t>
  </si>
  <si>
    <t>Hardwood, Laminate, Wall to Wall Carpet</t>
  </si>
  <si>
    <t>Basement/Gas</t>
  </si>
  <si>
    <t>From Lake City Way/Hwy 522, turn west on NE 127th, follow to curve north - onto 23rd Ave NE, (From I-5 northbound exit @130th; From I-5 southbound, exit @ NE 145th St.)</t>
  </si>
  <si>
    <t>Bath Off Master, Dining Room, Dble Pane/Strm Windw</t>
  </si>
  <si>
    <t>Deck</t>
  </si>
  <si>
    <t>Sunny western exposure mid-century home with welcoming floor plan. Built in 1959 and immaculately maintained. 3 bedrooms, 1.5 bathrooms and hardwoods on the main floor. Much sought after finished rec room &amp;amp; project areas on lower level. Oversized 2-car garage with workshop &amp;amp; bathroom. Dining room opens onto lovely entertainment sized yard for gardener's paradise and active play. Friendly neighborhood for walking with easy access to Lake City Farmer's Market, Library, shops and restaurants.</t>
  </si>
  <si>
    <t>http://locmedia.nwmls.com/DO_NOT_LINK/bigphoto/490/27174490.jpg?tsp=20070927171505</t>
  </si>
  <si>
    <t>9017 25th Ave NE</t>
  </si>
  <si>
    <t>Crawl</t>
  </si>
  <si>
    <t>From I-5 S take exit 172. 85th St E bound to Lake City Way. Right on 95th St. Right on 25th. From I-5 N take exit 171. Right on 95th. Right on 25th.</t>
  </si>
  <si>
    <t>Bath Off Master, Dining Room, Dble Pane/Strm Windw, High Tech Cabling, Jetted/Soaking Tub, Skylights</t>
  </si>
  <si>
    <t>Cable TV, Deck, Fenced-Partially, High Speed Internet, Nat. Gas Available, Outbuildings</t>
  </si>
  <si>
    <t xml:space="preserve"> 3 AC 5</t>
  </si>
  <si>
    <t>This 3bd 2bth has been completely remodeled in and out.Kitchen features:granite slab counters,custom cabinetry,matching stainless appliances.Bath includes jetted tub and modern fixtures. Home also has all new carpet,paint,E.ef.windows,E.ef.wash/dry,gas furnace,H20 heater and restored oak flooring. New roof w/warranty.Private backyard is perfect for entertaining and features a new wood deck.Located in the ever popular Wedgwood neigborhood, this home is a must see.Please visit us today!</t>
  </si>
  <si>
    <t>http://locmedia.nwmls.com/DO_NOT_LINK/bigphoto/472/27161472.jpg?tsp=20071013160555</t>
  </si>
  <si>
    <t>Victory Heights</t>
  </si>
  <si>
    <t>11025 20th Ave NE</t>
  </si>
  <si>
    <t>Dishwasher, Dryer, Refrigerator, Washer</t>
  </si>
  <si>
    <t>East or West on NE NORTHGATE WAY, North on 20TH AVE NE to Property.</t>
  </si>
  <si>
    <t>Skylights, Vaulted Ceilings</t>
  </si>
  <si>
    <t>Shop</t>
  </si>
  <si>
    <t>Solid, Well-Built, Nearly Impeccable!, Located on a Lovely Street w/other well-maintained homes, Craftsman brick, daylight Rambler, 2 bedrooms, 2 baths, 2 rec rooms w/2nd bath. Two Fireplaces, 1 up/1 down, Gourmet Kitchen with French doors to backyard, Sparkling hardwoods recently updated thru-out. Designer colors. One of the lower rec rooms w/bath was used as Master Bedoom (window not to code for egress), Applnces included, shop/storage on lower level, Buyer to verify bldg. square footage.</t>
  </si>
  <si>
    <t>D-5</t>
  </si>
  <si>
    <t>http://locmedia.nwmls.com/DO_NOT_LINK/bigphoto/237/27183237.jpg?tsp=20071011181507</t>
  </si>
  <si>
    <t>Jackson Park</t>
  </si>
  <si>
    <t>13624 4th Ave NE</t>
  </si>
  <si>
    <t>Ceramic Tile, Hardwood, Laminate, Vinyl, Wall to Wall Carpet</t>
  </si>
  <si>
    <t>Ele / lower level</t>
  </si>
  <si>
    <t>I-5 N - Take exit #174 toward NE 130th St/Roosevelt Way - Merge onto 5th Ave NE - Left @ NE 130th St - Right @ 3rd Ave NE - Right @ NE 136th St - Left @ 4th Ave NE - House is on the right.</t>
  </si>
  <si>
    <t>Ceiling Fan(s), Dining Room, 2nd Kitchen</t>
  </si>
  <si>
    <t>Deck, Fenced-Partially, RV Parking, Sprinkler System</t>
  </si>
  <si>
    <t>New price + $5,000 BUYER BONUS...Immaculate move-in ready cond w/daylight bsmnt features 4 bdrms + den/offc + rec area,2 baths,2 kitchens. Cmpltd updted w/new paint, marble and hardwood flrs. Daylight bsmnt w/own frpl, 2nd kitchen, full bath &amp;amp; separate entry. Updated kitchen w/marble countertops. Stunning landscaping w/ water fountain in the front yard &amp;amp; fish pond in the bckyrd. Easy access to I-5, only minutes to schls, parks, lakes, golf course &amp;amp; Northgate shopping mall. ALL APPLIANCES STAY!</t>
  </si>
  <si>
    <t>B-3</t>
  </si>
  <si>
    <t>http://locmedia.nwmls.com/DO_NOT_LINK/bigphoto/210/27180210.jpg?tsp=20071006202240</t>
  </si>
  <si>
    <t>Bryant</t>
  </si>
  <si>
    <t>6227 40th Ave NE</t>
  </si>
  <si>
    <t>Sand Point Way to 40th Ave Ne, north on 4oth Ave Ne, just past 62nd, house on left.</t>
  </si>
  <si>
    <t>Deck, Fenced-Fully, Gated Entry</t>
  </si>
  <si>
    <t>Bright and irresistibly charming home in Bryant! Excellent location near Metro Market, PCC, UW, Burke Gilman Trail, and Children's Hospital. Front and back yard are fully fenced with impressive custom fencing. Enjoy the lovely landscaping, garden space and back deck. The Basement is fully finished and can be converted into an extra bedroom. The main bath has been renovated an all appliances are only 2 years old. Don't miss this opportunity!</t>
  </si>
  <si>
    <t>http://locmedia.nwmls.com/DO_NOT_LINK/bigphoto/277/27186277.jpg?tsp=20071015150127</t>
  </si>
  <si>
    <t>1010 NE 89th St</t>
  </si>
  <si>
    <t>_1915</t>
  </si>
  <si>
    <t>Fir/Softwood, Hardwood, Vinyl, Wall to Wall Carpet</t>
  </si>
  <si>
    <t>From Roosevelt go east on 89th. The house is the first one on the left hand side</t>
  </si>
  <si>
    <t>Ceiling Fan(s), High Tech Cabling, Hot Tub/Spa, Vaulted Ceilings</t>
  </si>
  <si>
    <t>Cable TV, Fenced-Partially, Hot Tub/Spa, Nat. Gas Available, RV Parking</t>
  </si>
  <si>
    <t>One of a kind home features lush landscaping w/ pond, mature trees, entertainment deck and fenced yard. Lg living room w/ soaring ceilings, wood floors, wood stove and built in aquarium. Huge dining room features garden window. Completely updated gourmet kitchen w/ SS appliances. Lower level includes den, 3rd bedroom, 3/4 bath and lots of storage space.</t>
  </si>
  <si>
    <t>http://locmedia.nwmls.com/DO_NOT_LINK/bigphoto/530/27195530.jpg?tsp=20071105112115</t>
  </si>
  <si>
    <t>11538 31st Ave NE</t>
  </si>
  <si>
    <t>North on Lake City Way, right on 117th, house on corner of 31st and 117th.</t>
  </si>
  <si>
    <t>Bath Off Master, Dining Room, Walk-in Closet</t>
  </si>
  <si>
    <t>Cable TV, Fenced-Partially, Outbuildings</t>
  </si>
  <si>
    <t>Comfortable, much-loved home, 1st time on the market in 50+ years. The main floor has a circular floor plan, large living room with coved ceilings and a wood-burning fireplace, dining room and spacious kitchen w/loads of storage. Main floor bedroom has adjoining full bathroom. Laundry, storage, 3/4 bath and rec room in lower level. Attached 2 car tandem garage with work benches. Private corner lot with nice yard and mature landscaping.Brand new electrical panel, new roof installed by end Nov.</t>
  </si>
  <si>
    <t>E-5</t>
  </si>
  <si>
    <t>http://locmedia.nwmls.com/DO_NOT_LINK/bigphoto/740/27139740.jpg?tsp=20070803112108</t>
  </si>
  <si>
    <t>8274 30th Ave NE</t>
  </si>
  <si>
    <t>North I-5, Take exit 171 for WA-22 towards Lk. City Way/Bothell, Keep Right @ fork, follow NE 73rd St, L @ 12th Ave NE, R @ NE 75th St, L @ 30th Ave NE</t>
  </si>
  <si>
    <t>Charming, well maintained 2 bedroom home with gorgeous hardwood floors and lots of character. Apx 1610 sq ft including a lg basement, rec room, den, laundry room &amp;amp; storage. Lg yard with plenty of room for entertaining. Bright kitchen w/large window. Close to restaurants, U Village &amp;amp; easy bus access.</t>
  </si>
  <si>
    <t>http://locmedia.nwmls.com/DO_NOT_LINK/bigphoto/392/27195392.jpg?tsp=20071101104722</t>
  </si>
  <si>
    <t>1720 NE 97th St</t>
  </si>
  <si>
    <t>From Lake City Way head north on 15th Ave NE and east on 97th St. Home on left.</t>
  </si>
  <si>
    <t>Bath Off Master, Ceiling Fan(s), Dining Room, French Doors, High Tech Cabling, Jetted/Soaking Tub, Skylights, Walk-in Closet</t>
  </si>
  <si>
    <t>Cable TV, Deck, Fenced-Fully, High Speed Internet, Nat. Gas Available, Outbuildings, Patio</t>
  </si>
  <si>
    <t>On the other side of the wht picket fence is the hm for you! From the fp and built-ins of the spacious living rm, to the Mstr Suite w/jetted tub, dble vanity &amp;amp; huge WIC. The lght &amp;amp; brght islnd kit has a stovetop/grill, dble ovens, lg desk/prep area &amp;amp; a ton of counter &amp;amp; cabinet space! Open the french drs &amp;amp; you are greeted by the fully fenced yd. Your storage needs will be met w/easy access to attic space, bsmnt &amp;amp; strg shd. Alley access at the rear, &amp;amp; parking pad at front, provide ample prkng.</t>
  </si>
  <si>
    <t>http://locmedia.nwmls.com/DO_NOT_LINK/bigphoto/523/27201523.jpg?tsp=20071113234350</t>
  </si>
  <si>
    <t>810 NE 96 St</t>
  </si>
  <si>
    <t>Dishwasher, Garbage Disposal, Microwave, Range/Oven, Refrigerator</t>
  </si>
  <si>
    <t>66, 67</t>
  </si>
  <si>
    <t>basement, gas</t>
  </si>
  <si>
    <t>between 5th and Roosevelt N E</t>
  </si>
  <si>
    <t>Cable TV, Fenced-Partially, Nat. Gas Available, Patio, RV Parking</t>
  </si>
  <si>
    <t>Like a brand new house,with character!With this house you will see new roof,gas furnace,windows new kitchen with granite counter tops and stainless appl.The basement has a great playroom or a theater room!The yard gives you lots of parking for whatever,and garden space,with a covered patio to enjoy.Great location next to elementary and shopping,freeway.wow</t>
  </si>
  <si>
    <t>B-7</t>
  </si>
  <si>
    <t>http://locmedia.nwmls.com/DO_NOT_LINK/bigphoto/144/27172144.jpg?tsp=20070920120323</t>
  </si>
  <si>
    <t>Cedar Park</t>
  </si>
  <si>
    <t>9746 45th Ave NE</t>
  </si>
  <si>
    <t>_1986</t>
  </si>
  <si>
    <t>E from Lake City Way to NE 95th. E on NE 95th to 45th NE. N on 45th to property.</t>
  </si>
  <si>
    <t>Conveniently located in the Matthews Beach/Cedar Park area. NW Contemporary Design. Entry offers fam rm or home office &amp;amp; 2 car gar. Main floor features dining, updated kitc, spac liv rm w/fp, west facing deck, 2 bedrooms, laundry &amp;amp; full bath. Upper level offers master suite w/bath featuring soaking tub + separate shower &amp;amp; W. facing deck gives private outdoor space. Freshly painted in/out, all new carpet. Short walk or bike to Burke Gilman Trail &amp;amp; U of W. Close to Wedgwood &amp;amp; U Village shopping.</t>
  </si>
  <si>
    <t>F-7</t>
  </si>
  <si>
    <t>http://locmedia.nwmls.com/DO_NOT_LINK/bigphoto/546/27198546.jpg?tsp=20071107130541</t>
  </si>
  <si>
    <t>5702 35th Ave NE</t>
  </si>
  <si>
    <t>Mountain, See Remarks</t>
  </si>
  <si>
    <t>From 35th Ave NE, go to 57th, on corner of 57th and 35th</t>
  </si>
  <si>
    <t>Dble Pane/Strm Windw, 2nd Kitchen</t>
  </si>
  <si>
    <t>20K Price Drop! Newly Remodeled Bryant Craftsman! Enjoy a beautiful view of Mt Rainier from your brand new kitchen. Completely redone with new flooring, maple cabinets, granite counters, top-end stainless appl. designer paint. From the kitchen savor your morning coffee from the cozy covered deck!! Both bathrooms are new, upstairs was remodeled and downstairs is brand new!!Room to grow in the high ceiling basement, it is partially finished with a new bath, and sink and cabinets for a 2nd kitchen.</t>
  </si>
  <si>
    <t>http://locmedia.nwmls.com/DO_NOT_LINK/bigphoto/881/27172881.jpg?tsp=20070925190158</t>
  </si>
  <si>
    <t>7706 35th Ave NE</t>
  </si>
  <si>
    <t>Exit I-5 at 85th, left unto Banner Way NE, Left at 75th St. NE, left on 35th Ave. Ne. Home on right.</t>
  </si>
  <si>
    <t>Dining Room, Dble Pane/Strm Windw, Skylights, Wet Bar</t>
  </si>
  <si>
    <t>Cable TV, Deck, Fenced-Fully, Nat. Gas Available</t>
  </si>
  <si>
    <t xml:space="preserve"> 8, parts of 7 &amp; 9</t>
  </si>
  <si>
    <t>Home is much bigger that it appears. Charming &amp;amp; very spacious updated 5 bedroom property in great Wedgwood location. Beautiful gleaming hardwood floors on main level, new carpet on lower level, freshly painted with decorator's colors. 2 spacious bedrooms on main level. Lower level features 3 bedrooms, bonus room, wet bar with refrigerator separate entrance. Enjoy entertaining on the spacious deck. Ideal location, close to schools, parks, UW, bus, Northgate, U Village and downtown.</t>
  </si>
  <si>
    <t>http://locmedia.nwmls.com/DO_NOT_LINK/bigphoto/666/27130666.jpg?tsp=20071029072125</t>
  </si>
  <si>
    <t>1236 NE 96th St</t>
  </si>
  <si>
    <t>_1934</t>
  </si>
  <si>
    <t>Ceramic Tile, Fir/Softwood</t>
  </si>
  <si>
    <t>From Roosevelt, head east on 96th, on left just past 12th.</t>
  </si>
  <si>
    <t>Bath Off Master, Dining Room, French Doors, Walk-in Closet</t>
  </si>
  <si>
    <t>Cute as a button Tudor in Maple Leaf. Lovely views of Cascades from the enchanting master bedroom. There's even a view from the closet dressing area! Wonderful gardens in both front &amp;amp; back yards. Precious breakfast nook has heated floors for the chill of Fall. Living room has beamed ceilings, a bay window &amp;amp; built in benches w/storage by the fireplace. French doors on two sides of the dining room, light floods in. Lots of expansion potential in the basement &amp;amp; a two car garage off the alley!</t>
  </si>
  <si>
    <t>http://locmedia.nwmls.com/DO_NOT_LINK/bigphoto/615/27163615.jpg?tsp=20070907115620</t>
  </si>
  <si>
    <t>8516 5th Ave NE</t>
  </si>
  <si>
    <t>City, Mountain, Territorial</t>
  </si>
  <si>
    <t>I-5 to lake city way exit, left on 80th, right on 5th, house is up a few block on the right next to the gas station.</t>
  </si>
  <si>
    <t>Cable TV, Fenced-Partially, Nat. Gas Available, Outbuildings</t>
  </si>
  <si>
    <t>Sitting privately above the street this fabulous home features views of the Olympic Mountains &amp;amp; downtown. Gleaming hrdwds welcome you into the dining/living area. Beautifully remodeled kitchen w/SS appl's, cherry cabinets &amp;amp; quaint breakfast nook.Main flr master,second rm great for office space, completely updated baths, fully finished basmnt w/ 2 add'l bdrms &amp;amp; laundry facilities. Don't miss the spacious bonus room upstairs, perfect playroom! Rear yard offers a serene oasis w/ mature landscaping</t>
  </si>
  <si>
    <t>http://locmedia.nwmls.com/DO_NOT_LINK/bigphoto/608/27154608.jpg?tsp=20070823100838</t>
  </si>
  <si>
    <t>3805 NE 110th St</t>
  </si>
  <si>
    <t>Hardwood, Wall to Wall Carpet, See Remarks</t>
  </si>
  <si>
    <t>Sand Point Way to 110th. West to 38th. Corner of 38th and 110th. From Lake City Way, West on 115th to 38th, South on 38th to 110th.</t>
  </si>
  <si>
    <t>Dining Room, Dble Pane/Strm Windw, High Tech Cabling</t>
  </si>
  <si>
    <t>Cable TV, Deck, Fenced-Fully, High Speed Internet, Patio, RV Parking</t>
  </si>
  <si>
    <t>Ravenna</t>
  </si>
  <si>
    <t>7011 24th Ave NE</t>
  </si>
  <si>
    <t>_1971</t>
  </si>
  <si>
    <t>Insert</t>
  </si>
  <si>
    <t>71'76</t>
  </si>
  <si>
    <t>Ceramic Tile, Slate, Vinyl, Wall to Wall Carpet</t>
  </si>
  <si>
    <t>E on 65th, N on 24th, 2 blocks, house on L.</t>
  </si>
  <si>
    <t>Bath Off Master, Dining Room, Wet Bar</t>
  </si>
  <si>
    <t>Cable TV, Fenced-Partially, Outbuildings, Patio</t>
  </si>
  <si>
    <t>Updated contemporary home in sought-after Ravenna neighborhood. 1st floor features spacious great room with fireplace, modernized kitchen &amp;amp; full bath plus large master bedroom with tons of closet space. Downstairs offers another ample bdrm, full bath and laundry room. Low maintenance backyard offers charming patio area. Located minutes from U Village, walking distance to coffee shops, restaurants and parks. Zoned for duplex (buyer to verify), downstairs wired for kitchen.</t>
  </si>
  <si>
    <t>http://locmedia.nwmls.com/DO_NOT_LINK/bigphoto/437/27184437.jpg?tsp=20071012171503</t>
  </si>
  <si>
    <t>10716 19th Ave NE</t>
  </si>
  <si>
    <t>From Northgate Way turn south onto 19th. Home on the left.</t>
  </si>
  <si>
    <t>Terrific mid-century home! A complete remodel that lives much larger than it appears from the street. Original charm perfectly blended w/ today: new appliances &amp;amp; slab granite in kitchen, new bathrooms, carpet, roof, deck, privacy fence, lighting, updated wiring, refinished hardwoods. Master suite addition on back of house w/ huge walk-in closet, full bath, sliders to deck &amp;amp; private backyard. Large shop in basement w/ MIL potential. 1/2 block to park, busline, &amp;amp; easy walk to restaurants &amp;amp; shops.</t>
  </si>
  <si>
    <t>C-6</t>
  </si>
  <si>
    <t>http://locmedia.nwmls.com/DO_NOT_LINK/bigphoto/170/27200170.jpg?tsp=20071115210313</t>
  </si>
  <si>
    <t>8009 Brooklyn Ave NE</t>
  </si>
  <si>
    <t>Fir/Softwood, Hardwood</t>
  </si>
  <si>
    <t>From Roosevelt turn east on 80th NE and north on Brooklyn. House on west side of street</t>
  </si>
  <si>
    <t>French Doors</t>
  </si>
  <si>
    <t>Cable TV, Fenced-Fully, Nat. Gas Available, Patio, RV Parking</t>
  </si>
  <si>
    <t>A charming craftsman with updated systems and special features. Who could ask for more? Bathed in soothing colors with hardwood and fir floors, lovely moldings, bookshelves that bank the fireplace and French doors.The roomy updated kitchen has window seats and the tile bath keeps the character intact. An expanded master looks out to lovely rear yard. Basement hs tall cielings. Located on a street to street lot, this home is only blocks from the park. Off street parking for 2 cars in the rear.</t>
  </si>
  <si>
    <t>C-2</t>
  </si>
  <si>
    <t>http://locmedia.nwmls.com/DO_NOT_LINK/bigphoto/082/27162082.jpg?tsp=20070904203012</t>
  </si>
  <si>
    <t>http://locmedia.nwmls.com/DO_NOT_LINK/bigphoto/590/27165590.jpg?tsp=20070911091110</t>
  </si>
  <si>
    <t>12010 36th Ave NE</t>
  </si>
  <si>
    <t>Stove/Free Stdg, Other-See Remarks</t>
  </si>
  <si>
    <t>Electric/Bsmt</t>
  </si>
  <si>
    <t>Drive N on 35th Ave NE to 120th, turn East onto 36th Ave NE &amp;amp; N to 12010 36th Ave NE</t>
  </si>
  <si>
    <t>Ceiling Fan(s), Dining Room, Skylights, Vaulted Ceilings</t>
  </si>
  <si>
    <t>Cable TV, Deck, Fenced-Partially, Nat. Gas Available, Patio</t>
  </si>
  <si>
    <t>Searching for an income N/C ADU, (extra house on property) plus a perfect get away on a large lot. See this! 2 homes on nearly 8,000+ sq ft. Well maintained, new full bth, some updated plumbing, wiring! 3 bdrms; 2 on main plus 1 up. Second house has 1 bdrm, 3/4 bth, loft, kitchenette; guest qtrs, studio, private office or rental. Main house is open; light filled areas, skylight, gas free-standing frpl. SW orientation nice features throughout! Decks for entertaining; mature plantings.</t>
  </si>
  <si>
    <t>http://locmedia.nwmls.com/DO_NOT_LINK/bigphoto/949/27176949.jpg?tsp=20071110140029</t>
  </si>
  <si>
    <t>Other-See Remarks</t>
  </si>
  <si>
    <t>See Remarks</t>
  </si>
  <si>
    <t>From NE 95th Street, North of 25th Ave. NE, House is on the Right</t>
  </si>
  <si>
    <t>Vaulted Ceilings</t>
  </si>
  <si>
    <t xml:space="preserve"> 19-20</t>
  </si>
  <si>
    <t>Owner DOES NOT care what sale price is,as long as he owes no money after closing, AND as long as lender approves shortsale, with no additional funds due.Jimi Hendrix's Brother's House. 4 Bedrooms, 1 3/4 Baths, Finished Rec Room, 2 Fireplaces, On Greenbelt, with Babbling Brook, Vaulted Beamed Ceilings W/Clear Story Windows. Solid House. House is Full of Trash, No Water or Power, and Needs Repairs,but Good Home. PreForeclosure. Sale Subject to Short Sale Approval by Lender.</t>
  </si>
  <si>
    <t>D-7</t>
  </si>
  <si>
    <t>http://locmedia.nwmls.com/DO_NOT_LINK/bigphoto/605/27194605.jpg?tsp=20071031062444</t>
  </si>
  <si>
    <t>7526 39th Ave NE</t>
  </si>
  <si>
    <t>Electric, Natural Gas, Wood</t>
  </si>
  <si>
    <t>In-Ground</t>
  </si>
  <si>
    <t>40 Gal. Gas-Garage</t>
  </si>
  <si>
    <t>Take the WA-522 Exit, EXIT 171- toward BOTHELL/ LAKE CITY WAY. Take the N.E. 73RD ST. ramp. Turn SLIGHT LEFT onto NE 73RD ST. Turn L onto 12TH AVE NE. Turn R onto NE 75TH ST. Turn L onto 39TH Ave.</t>
  </si>
  <si>
    <t>Bath Off Master, Dining Room, Dble Pane/Strm Windw, Security System, Skylights, Walk-in Closet</t>
  </si>
  <si>
    <t>Cable TV, Fenced-Fully, Nat. Gas Available, Outbuildings, Patio</t>
  </si>
  <si>
    <t>Wedgwood rambler located near excellent schools and convenient shopping. Enjoy an arboreal setting with mature terraced landscaping, stone fountain and an updated easy care in-ground pool. Master bedroom features attached 3 piece bath and walk-in closet, with glass doors opening to private backyard. Real brick fireplace in front room with tile accent. Granite counter tops and stainless steel appliances in kitchen, accented by glass-front cabinets.</t>
  </si>
  <si>
    <t>http://locmedia.nwmls.com/DO_NOT_LINK/bigphoto/939/27200939.jpg?tsp=20071113122307</t>
  </si>
  <si>
    <t>9215 25th Ave NE</t>
  </si>
  <si>
    <t>Fir/Softwood</t>
  </si>
  <si>
    <t>From 35th Ave NE go West on NE 95th St to 25th Ave NE then South to home From I-5 North take Lake City Way exit and head North down hill to stoplight at NE 95th St then right to 25th Ave NE and South</t>
  </si>
  <si>
    <t xml:space="preserve"> 3 AC</t>
  </si>
  <si>
    <t>This beautiful loving home loaded with old world charm was built in 1928 and inspires with vintage touches full of grace and character. This thoughtful remake of a classic craftsman includes newly refinished softwood floors, a tiled bath, and a modern gourmet kitchen complete with professional restaurant style gas range and all stainless steel appliances for todays lifestyle. A truly sublime property located in a serene setting on gently sloping grounds with old mature trees and Western sunsets.</t>
  </si>
  <si>
    <t>http://locmedia.nwmls.com/DO_NOT_LINK/bigphoto/229/27190229.jpg?tsp=20071026145346</t>
  </si>
  <si>
    <t>University District</t>
  </si>
  <si>
    <t>5601 8th Ave NE</t>
  </si>
  <si>
    <t>_1923</t>
  </si>
  <si>
    <t>From Roosevelt going South, go right on 57th to 8th. From50th Ave NE, go north on 8th, to home</t>
  </si>
  <si>
    <t>Solid craftsman home with great bones on a sunny corner with a detached garage. Formal Dining room, hardwood floors and original craftsman detailing throughout. Full unfinished basement has great potential(2 more beds, rec rm and a bath?) for your improvement. Great access to UW, Green Lake and downtown. This is a wise investment!</t>
  </si>
  <si>
    <t>http://locmedia.nwmls.com/DO_NOT_LINK/bigphoto/098/27196098.jpg?tsp=20071105195507</t>
  </si>
  <si>
    <t>211 NE 91st</t>
  </si>
  <si>
    <t>Gas/garage</t>
  </si>
  <si>
    <t>5th NE to 91st then west to house.</t>
  </si>
  <si>
    <t>Bath Off Master, Dining Room, Dble Pane/Strm Windw, French Doors, Jetted/Soaking Tub, Skylights, Vaulted Ceilings, Walk In Pantry</t>
  </si>
  <si>
    <t>Cable TV, Deck, Dog Run, Fenced-Fully, Nat. Gas Available, Outbuildings, Patio</t>
  </si>
  <si>
    <t>Spacious 4 bedroom, 3 bath home. Vaulted wood ceilings, dramatic stone fireplace. French doors from dining room to deck. Kitchen has imported tile counters, gas range, pantry &amp;amp; breakfast space. Master bedroom with 3/4 bath. Jacuzzi tub. Lower: Huge family room, large bedroom &amp;amp; 3/4 bath. New exterior siding &amp;amp; paint July 2007. 16K roof installed in 2003. Doublepane windows. Gas heat/hot water. Two car garage. Fully fenced, very private, EZ care, backyard w/deck. Apple, pear, silk &amp;amp; magnolia trees.</t>
  </si>
  <si>
    <t>http://locmedia.nwmls.com/DO_NOT_LINK/bigphoto/410/27085410.jpg?tsp=20070730001920</t>
  </si>
  <si>
    <t>http://locmedia.nwmls.com/DO_NOT_LINK/bigphoto/790/27193790.jpg?tsp=20071123141640</t>
  </si>
  <si>
    <t>You Won't Find a Better Home for This Price! Must Come In to See All this 2-Story Brick Charmer has to Offer! Almost 2,400 SqFt!4Bd,2Bth, Hardwood Floors,Updated Kitchen&amp;amp;Baths.New:Roof,Paint,Fixtures,Hot Water Heater.Newer Furnace,Plumbing&amp;amp;Electrical. Lifetime Warranty Storm Windows. Large,Level &amp;amp; Fenced Lot w/Beautiful Landscape+Dramatic Water Feature.Enjoy Sunsets from your Entertainment-sized Covered Porch.Bonus Rm Plus+Family Rm or Fabulous Master Suite w/2nd Gas Fireplace! Bring All Offers!</t>
  </si>
  <si>
    <t>http://locmedia.nwmls.com/DO_NOT_LINK/bigphoto/590/27194590.jpg?tsp=20071123100517</t>
  </si>
  <si>
    <t>http://locmedia.nwmls.com/DO_NOT_LINK/bigphoto/757/27096757.jpg?tsp=20071119165750</t>
  </si>
  <si>
    <t>http://locmedia.nwmls.com/DO_NOT_LINK/bigphoto/834/27195834.jpg?tsp=20071121105115</t>
  </si>
  <si>
    <t>Delightful Cape Cod Mench! Beautifully detailed original woodwork, gorgeous hardwood floors, &amp;amp; formal dining rm overlooking mature pretty plantings.Classic brick faced fireplace, spacious family rm., covered patio, large level lot, double pane windows, &amp;amp; alley access to detached gar. High ceilinged basement has potential for more finished space or 3rd bed. All this in fabulous Loyal Heights location near parks, Golden Gardens Beach, restaurants, &amp;amp; shopping. Adorable &amp;amp; updated!</t>
  </si>
  <si>
    <t>OWC Ballard Craftsman w/ lovely original fir floors in generously proportioned living room &amp;amp; dining room, and nice size bedrooms. Big windows, great light, *3 full* baths! 2 on main plus one bath in bsmt. Spacious kitchen, fenced back yard with climbing tree and handicapped ramp. Private driveway to detached garage. Replumbed to street, some new wiring. Potential to double living sq ft by finishing bsmt. Close but not too close to bus on 8th NW.</t>
  </si>
  <si>
    <t>6626 28th Ave NW</t>
  </si>
  <si>
    <t>_1910</t>
  </si>
  <si>
    <t>Dishwasher, Microwave, Range/Oven, Refrigerator</t>
  </si>
  <si>
    <t>Ceramic Tile, Fir/Softwood, Hardwood</t>
  </si>
  <si>
    <t>West on 65th to 28th, then north on 28th. House will be on right</t>
  </si>
  <si>
    <t>Ceiling Fan(s), Dining Room, Dble Pane/Strm Windw, French Doors</t>
  </si>
  <si>
    <t>Fenced-Partially</t>
  </si>
  <si>
    <t>Lovely Craftsman w/lots of old world charm as well as updates! You'll find wonderful living &amp;amp; dining room spaces, enhanced by 9 1/2 foot ceilings, a window bench &amp;amp; lots of daylight. Beautiful hardwood floors. Craftsman style lighting fixtures. Very spacious kitchen w/ fir floors, new countertops &amp;amp; lots of cabinet/counter space. Large updated bath w/newer plumbing. Full bsmt w/ office space. Detached garage-shop. Southwestfacing yard w/fruit trees. New roof before closing. Close to shops/park</t>
  </si>
  <si>
    <t>http://locmedia.nwmls.com/DO_NOT_LINK/bigphoto/386/27202386.jpg?tsp=20071116120541</t>
  </si>
  <si>
    <t>13710 30 NE</t>
  </si>
  <si>
    <t>Dishwasher, Dryer, Microwave, Refrigerator, Washer</t>
  </si>
  <si>
    <t>electric, utility room</t>
  </si>
  <si>
    <t>From NE 125th turn north on 30th NE. House is on the right just past 137th.</t>
  </si>
  <si>
    <t>Bath Off Master, Dining Room, Dble Pane/Strm Windw, Security System</t>
  </si>
  <si>
    <t>Cable TV, Deck, Fenced-Fully, Outbuildings, Shop, Sprinkler System</t>
  </si>
  <si>
    <t>One livel living at its best in this 3 bdr, 1 3/4 bath home. Updated kitchen looks out to private fenced back yard with huge entertainment deck. Living room has fireplac, separate dining room, hardwoods, new paint inside and out, airconditioned bedrooms and separate laundry/storage room. Heated shop in back yard.</t>
  </si>
  <si>
    <t>http://locmedia.nwmls.com/DO_NOT_LINK/bigphoto/179/27205179.jpg?tsp=20071122124033</t>
  </si>
  <si>
    <t>11544 24th Ave NE</t>
  </si>
  <si>
    <t>_1957</t>
  </si>
  <si>
    <t>Dishwasher, Dryer, Range/Oven, Refrigerator, Washer, See Remarks</t>
  </si>
  <si>
    <t>Daylight, Unfinished</t>
  </si>
  <si>
    <t>From Northgate Way, left(N) 15th NE, right(E) NE 115th, left(N) on 24th. From Lake City Way, left(W) on NE 115th, right(N) on 24th</t>
  </si>
  <si>
    <t>Home for now and room for the future! Main floor has 3 Bedrooms and 1 bath. Unfinished daylight basement has wood framed floors, 1/2 bath, utility room and fireplace. Basement could easily be turned into family room, home theater or office, and 3 more bedrooms. Main floor features built in planting box in entry and china case in dining room. Hardwood floors in the bedrooms and under carpet in the living room and dining room. Mountain views. minutes from Northgate Mall and I5</t>
  </si>
  <si>
    <t>http://locmedia.nwmls.com/DO_NOT_LINK/bigphoto/164/27205164.jpg?tsp=20071121205402</t>
  </si>
  <si>
    <t>Sand Point</t>
  </si>
  <si>
    <t>7548 44 Ave NE</t>
  </si>
  <si>
    <t>I-5 to 75th, left on 44th, house on right.</t>
  </si>
  <si>
    <t>RV Parking</t>
  </si>
  <si>
    <t>Rare opportunity to find 200 sf in the terrific location, great street and one block from Sand Point Golf Club. Charming 3 bedroom home waiting for a little TLC. Detached garage and beautiful 6000 sf lot for gardens and games. Minutes to U of Washington, Greenlake, shops, parks and services.</t>
  </si>
  <si>
    <t>http://locmedia.nwmls.com/DO_NOT_LINK/bigphoto/347/27203347.jpg?tsp=20071116180425</t>
  </si>
  <si>
    <t>Skip</t>
  </si>
  <si>
    <t>Busy street?</t>
  </si>
  <si>
    <t>External brick with greenhouse in back</t>
  </si>
  <si>
    <t>Right on 125th</t>
  </si>
  <si>
    <t>Medowbrook neighborhood</t>
  </si>
  <si>
    <t>Meadowbrook and lots of wood panelling</t>
  </si>
  <si>
    <t>Lot too small</t>
  </si>
  <si>
    <t>Dated and white carpet</t>
  </si>
  <si>
    <t>By the Chevron</t>
  </si>
  <si>
    <t>Viewed</t>
  </si>
  <si>
    <t>Downgraded due to size and road noise</t>
  </si>
  <si>
    <t>Icky Sink</t>
  </si>
  <si>
    <t>Decent view, not much else</t>
  </si>
  <si>
    <t>Visit</t>
  </si>
  <si>
    <t>Lot size 2480 sq ft</t>
  </si>
  <si>
    <t>Fenced in corner</t>
  </si>
  <si>
    <t>Right by I-5</t>
  </si>
  <si>
    <t>Ang rates lower because of stove</t>
  </si>
  <si>
    <t>Squatty photos</t>
  </si>
  <si>
    <t>Near Carkeek</t>
  </si>
  <si>
    <t>White carpet</t>
  </si>
  <si>
    <t>Too much blue</t>
  </si>
  <si>
    <t>Hot tub on roof.  Funky house</t>
  </si>
  <si>
    <t>Cancelled, and lot is potentially too small</t>
  </si>
  <si>
    <t>Nice view.  Closet in attic</t>
  </si>
  <si>
    <t>Shade blocks view of neighbor</t>
  </si>
  <si>
    <t>Strange gnome garden</t>
  </si>
  <si>
    <t>Brick house, nothing great.</t>
  </si>
  <si>
    <t>Too much carpet</t>
  </si>
  <si>
    <t>Dude in picture</t>
  </si>
  <si>
    <t>Downgraded due to dicey neighborhood</t>
  </si>
  <si>
    <t>Near 99</t>
  </si>
  <si>
    <t>Lots of panelling in basement</t>
  </si>
  <si>
    <t>Sweet entry.</t>
  </si>
  <si>
    <t>Neighborhood?</t>
  </si>
  <si>
    <t>Backs up to a power station and dumpy house</t>
  </si>
  <si>
    <t>Redfin thinks MLS # is 27173560</t>
  </si>
  <si>
    <t>http://www.windermere.com/index.cfm?fuseaction=Listing.PropertySearchResults&amp;startrow=1&amp;searchString=ptyp=1|st=|premier=|sss=|ar=|cou=|cit=|minPrice=300000|maxPrice=500000|br=|bth=|minSqft=|maxSqft=|water=|ybtMin=|ybtMax=|hsn=|stor=|vew=|daysback=|NC=|ls=|address=|ln=|sub=|zip=|searchAgentMetauser_ID=|showPhotos=1|extentNorth=47.74427968343437|extentSouth=47.63284571677152|extentEast=-122.2965830293872|extentWest=-122.46566273261449|zoomLevel=|mapCenterX=|mapCenterY=|mapExtentBorder=|mapExtentLeft=-1452.3486508639671|mapExtentRight=-1443.0701120511817|mapExtentTop=3302.4998216128665|mapExtentBottom=3294.791868797037|listingAction=show|mapExtentLeftDefault=-1452.3486508639671|mapExtentRightDefault=-1443.0701120511817|mapExtentTopDefault=3302.4998216128665|mapExtentBottomDefault=3294.791868797037|agencyID=|amenities=0|sftype=listing.SearchPropertyMapv2|mapHeight=320|mapWidth=428|sortOrder=1|searchMLS=|oh=</t>
  </si>
  <si>
    <t>Windermere</t>
  </si>
  <si>
    <t>Status</t>
  </si>
  <si>
    <t>Area</t>
  </si>
  <si>
    <t>Address</t>
  </si>
  <si>
    <t>ListPrice</t>
  </si>
  <si>
    <t>YearBuilt</t>
  </si>
  <si>
    <t>HouseSize</t>
  </si>
  <si>
    <t>LotSize</t>
  </si>
  <si>
    <t>Bedrooms</t>
  </si>
  <si>
    <t>Bathrooms</t>
  </si>
  <si>
    <t>FirePlaces</t>
  </si>
  <si>
    <t>MapLink</t>
  </si>
  <si>
    <t>Main Picture</t>
  </si>
  <si>
    <t>PixLink</t>
  </si>
  <si>
    <t>View</t>
  </si>
  <si>
    <t>Heat_Cool</t>
  </si>
  <si>
    <t>Energy</t>
  </si>
  <si>
    <t>Appliances</t>
  </si>
  <si>
    <t>BusNear</t>
  </si>
  <si>
    <t>BusRoute</t>
  </si>
  <si>
    <t>Pool</t>
  </si>
  <si>
    <t>Water</t>
  </si>
  <si>
    <t>Sewer</t>
  </si>
  <si>
    <t>Flooring</t>
  </si>
  <si>
    <t>WaterHeater</t>
  </si>
  <si>
    <t>TaxYear</t>
  </si>
  <si>
    <t>TaxesAnnual</t>
  </si>
  <si>
    <t>Directions</t>
  </si>
  <si>
    <t>InteriorFeatures</t>
  </si>
  <si>
    <t>SiteFeatures</t>
  </si>
  <si>
    <t>Latitude</t>
  </si>
  <si>
    <t>Longitude</t>
  </si>
  <si>
    <t>City</t>
  </si>
  <si>
    <t>Zip</t>
  </si>
  <si>
    <t>County</t>
  </si>
  <si>
    <t>Lot</t>
  </si>
  <si>
    <t>Unit</t>
  </si>
  <si>
    <t>SoldPrice</t>
  </si>
  <si>
    <t>LotSizeAc</t>
  </si>
  <si>
    <t>MktgRemarks</t>
  </si>
  <si>
    <t>Map</t>
  </si>
  <si>
    <t>Grid</t>
  </si>
  <si>
    <t>HyperLink</t>
  </si>
  <si>
    <t>Date Added</t>
  </si>
  <si>
    <t>D:\Data\FolderShare\Home\Excel\RentalData</t>
  </si>
  <si>
    <t>The best price on a 1920's built Craftsman this close to Green Lake, the U.W. and Roosevelt district. Perfect for walking/biking lifestyle but close to I-5. Comfortable, well loved home with formal entry, dining room, hardwood floors &amp;amp; built-ins but priced to allow for kitchen remodel, adding 3rd bedroom or ??? New tear-off roof just completed, new gutters and some electrical work as well. Located on a street of like homes.</t>
  </si>
  <si>
    <t>http://locmedia.nwmls.com/DO_NOT_LINK/bigphoto/974/27085974.jpg?tsp=20071126135937</t>
  </si>
  <si>
    <t>$4,000 Buyer Bonus!! Must Come Inside to See All this 2-Story Brick Charmer has to Offer! Best Price on Market. Appx.2,400 SqFt!4Bd,2Bth, Hardwood Floors,Updated Kitchen&amp;amp;Baths.New:Roof,Paint,Fixtures,Hot Water Heater.Newer Furnace,Plumbing&amp;amp;Electrical. Lifetime Warranty Storm Windows. Large,Level &amp;amp; Fenced Lot w/Beautiful Landscape+Dramatic Water Feature.Enjoy Sunsets from your Entertainment-sized Covered Porch.Bonus Rm Plus+Family Rm or Fabulous Master Suite w/2nd Gas Fireplace! Bring All Offers!</t>
  </si>
  <si>
    <t>Beautifully updated 2bdrm Craftsman in sought after Ballard/Greenwood reflects quality workmanship! Home features remodeled kitchen w/stainless appliances, Dining Room, LR w/cozy wood stove. Updated bath w/granite shower &amp;amp; heated tile floor. Finished bsmt w/bonus room and laundry room. Cedar sauna opens onto fenced backyard w/dog kennel, fenced yard and full-sun garden area. Huge 650 sqft detached garage with storage/workbench on 3 walls. 30-yr roof w/transferable warranty.</t>
  </si>
  <si>
    <t>http://locmedia.nwmls.com/DO_NOT_LINK/bigphoto/376/27180376.jpg?tsp=20071127223300</t>
  </si>
  <si>
    <t>Rare opportunity to find 2000 sf in the terrific location, great street and one block from Sand Point Golf Club. Charming 3 bedroom home waiting for a little TLC. Detached garage and beautiful 6000 sf lot for gardens and games. Minutes to U of Washington, Greenlake, shops, parks and services.</t>
  </si>
  <si>
    <t>Home for now and room for the future! 3 Bedrooms,1 bath on main floor. Unfinished daylight basement has wood framed floors, 1/2 bath, utility room and fireplace. Basement could easily be turned into family room, home theater or office, and 3 more bedrooms. Home features built in planting box in entry and china case in dining room. Hardwood floors in the bedrooms and under carpet in the living and dining room. Mountain views. Minutes from Northgate Mall and I5. Home Warranty for Buyers</t>
  </si>
  <si>
    <t>http://www.windermere.com/index.cfm?fuseaction=Listing.PropertySearchResults&amp;searchString=ptyp=1|st=|premier=|sss=|ar=|cou=|cit=|minPrice=300000|maxPrice=600000|br=|bth=|minSqft=|maxSqft=|water=|ybtMin=|ybtMax=|hsn=|stor=|vew=|daysback=|NC=|ls=|address=|ln=|sub=|zip=98117|searchAgentMetauser_ID=|showPhotos=1|extentNorth=|extentSouth=|extentEast=|extentWest=|zoomLevel=|mapCenterX=|mapCenterY=|mapExtentBorder=|mapExtentLeft=|mapExtentRight=|mapExtentTop=|mapExtentBottom=|listingAction=|mapExtentLeftDefault=|mapExtentRightDefault=|mapExtentTopDefault=|mapExtentBottomDefault=|agencyID=|amenities=0|sftype=Listing.SearchPropertyAddress|mapHeight=428|mapWidth=320|sortOrder=1|searchMLS=|oh=</t>
  </si>
  <si>
    <t>ZipPrice</t>
  </si>
  <si>
    <t>http://locator.nwmls.com/scripts/mgrqispi.dll?APPNAME=Locator&amp;PRGNAME=MLSLogin&amp;ARGUMENT=lTGmPH3gZKprsGBYNIDVhCqp42SCNQ0vfInzP9LNMis%3D&amp;KeyRid=1</t>
  </si>
  <si>
    <t>N30</t>
  </si>
  <si>
    <t>Going North on Aurora, turn right at 143rd (going east) and go 2 blocks. Make another right onto Lenora Place &amp;amp; Home will be on your left about 2 homes down. There is off street parking.</t>
  </si>
  <si>
    <t>Don't miss this Darling 1940's Cape Cod home with newly carpeted M-I-L downstairs. Boasting classic 1940's features, good interior colors, oak hardwood floors &amp;amp; corner windows. The Kitchen updates include Bamboo flooring &amp;amp; new counters, with laundry off the kitchen. Unique to this home is a seperate entrance to the lower level. Enjoy the rent, use it as a shop/studio, or restore this home back with an interior staircase. Set on a quiet lane w/nice yard this is move-in ready &amp;amp; very well priced!</t>
  </si>
  <si>
    <t>Short walk to new Ballard Library and park!! Purchase early &amp;amp; select from a long list of options - Thousands of countertop, flooring, appliance and other options to personalize your new home. Large open main floor that opens up to your private deck make this a great floorplan! Oversized attached garage for extra storage. Master suite offers a walk in closet. Level 4 built green! Cork floors and stainless countertops included, but you can select from hundred of other personal choices!</t>
  </si>
  <si>
    <t>1,906 ASF-MOVE IN READY! 2 bed/2 bath w/9' ceilings.Vinyl Windows &amp;amp; Gas Heat. Mstr ste w/ sauna shower,dbl sinks &amp;amp; walk-in clst. Wood &amp;amp; Tile flrs. Bsmnt w/storage,Rec room or guest area &amp;amp; 1/2 bath. Patio for BBQ's. Fenced Back Yard. Private, Gated, Off-Street Prkg 3+ cars or RV &amp;amp; finished 1 car Garage(308 SF). Home has been pre-inspected-ready for a buyer! EZ to downtown, schools and Parks. Make your purchase before this years end!</t>
  </si>
  <si>
    <t>http://locmedia.nwmls.com/DO_NOT_LINK/bigphoto/889/27131889.jpg?tsp=20071020134308</t>
  </si>
  <si>
    <t>12833 Ashworth Ave N</t>
  </si>
  <si>
    <t>elect/basement and garage</t>
  </si>
  <si>
    <t>Take 130th St to Meridian. Go South. Go West on 128th St. North on Ashworth Ave N. Home on left.</t>
  </si>
  <si>
    <t>Dining Room, Dble Pane/Strm Windw, Loft, Skylights</t>
  </si>
  <si>
    <t>Cable TV, Deck, Dog Run, Fenced-Fully, Fenced-Partially, Green House, High Speed Internet, Nat. Gas Available, Outbuildings, Patio, RV Parking, Shop</t>
  </si>
  <si>
    <t>Wonderfull in city oasis.House w/ remodeled bath w/ Slate floors, shower and wainscotting, plus 2 shower heads and granite counters.New plumbing and elect.Also a huge detached 2 car garage with shop,loft space, a seperate office w/ half bath, and artist studio w/ skylights and sliders to deck.Great yard, 8x14 greenhouse has power,water,&amp;amp; solar controled venting roof.A truly wonderfull garden space in the city.The private courtyard has a deck for your BBQ's,and koi pond for your enjoyment.</t>
  </si>
  <si>
    <t>J-4</t>
  </si>
  <si>
    <t>http://locmedia.nwmls.com/DO_NOT_LINK/bigphoto/426/27205426.jpg?tsp=20071127204501</t>
  </si>
  <si>
    <t>923 NW 100th St</t>
  </si>
  <si>
    <t>Central Air, Forced Air, Heat Pump</t>
  </si>
  <si>
    <t>Dishwasher, Garbage Disposal, Range/Oven, Trash Compactor</t>
  </si>
  <si>
    <t>Roughed In</t>
  </si>
  <si>
    <t>I5 North,exit 172, continue ontly N 85th St, right on Hwy99, Lft N 105th St, Lft Holman Rd N-turns into Holman Rd NW, rt onto 3rd NW, lft NW 103, continue onto NW 100th Pl, rt onto NW 100th Street.</t>
  </si>
  <si>
    <t>Dining Room, Security System, Skylights</t>
  </si>
  <si>
    <t>This superb 1950's brick home sits on a great corner lot. Interior features include an updated kitchen with cherry cabinets, granite countertops and hardwood floors, spacious living room with cozy wood-burning fireplace and a formal dining room with door onto the large deck. The basement offers a semi-finished rec room and 2nd full bath. With the oversized garage/shop and carport, there's plenty of room for parking. And in the fenced backyard, there's a patio perfect for entertaining.</t>
  </si>
  <si>
    <t>http://locmedia.nwmls.com/DO_NOT_LINK/bigphoto/851/27204851.jpg?tsp=20071128111621</t>
  </si>
  <si>
    <t>7055 Dibble Ave NW</t>
  </si>
  <si>
    <t>Dibble is between 8th and 9th NW</t>
  </si>
  <si>
    <t>This sweet 1911 bungalow is located on a quiet street. The large eucalyptus in the front echoes the huge maple in the back. The living and dining rooms have boxed beamed ceilings, picture rail and built-in cabinetry. One bedroom has French doors opening to the large back deck which catches plenty of afternoon sun. The unfinished basement offers options and the attached garage is always a nice feature.</t>
  </si>
  <si>
    <t>http://locmedia.nwmls.com/DO_NOT_LINK/bigphoto/377/27207377.jpg?tsp=20071130090459</t>
  </si>
  <si>
    <t>Lake City</t>
  </si>
  <si>
    <t>2819 NE 117th St</t>
  </si>
  <si>
    <t>From Lake City way heading north take a right onto NE 117th St. home is on the right hand side of the street.</t>
  </si>
  <si>
    <t>Fenced-Fully, Patio</t>
  </si>
  <si>
    <t>Massive amount of instant equity! Investors and homebuyers view today! This home located minutes from seattle in Lake City is mostly finished with a full remodel. It features 4 bedrooms, 2 bathrooms, large kitchen with new cabinets and hardwood. Will need finishing touches but is well worth it. Finished it would make a great rental or cozy family home! Excellent deal investor couldn't finish needs to sell immediately. Call for additional information!</t>
  </si>
  <si>
    <t>http://locmedia.nwmls.com/DO_NOT_LINK/bigphoto/781/27205781.jpg?tsp=20071126104414</t>
  </si>
  <si>
    <t>11549 25th Ave NE</t>
  </si>
  <si>
    <t>_1954</t>
  </si>
  <si>
    <t>Bamboo/Cork, Hardwood, Wall to Wall Carpet</t>
  </si>
  <si>
    <t>N or S on Lake City Way, go west on 113th, N on 25th</t>
  </si>
  <si>
    <t>Ceiling Fan(s), Dble Pane/Strm Windw, Skylights, Vaulted Ceilings, Walk-in Closet</t>
  </si>
  <si>
    <t>Cable TV, Fenced-Partially, High Speed Internet, Nat. Gas Available, Outbuildings, Patio</t>
  </si>
  <si>
    <t>Come home to the inviting warmth of an open floor plan that encourages intimacy and sharing between family and friends. The remodeled kitchen sits at the heart of the home. A huge family room w/vaulted ceiling and walls of windows overlooks a parklike backyard. The kitchen offers everything that a chef needs - gas stove, double sinks, lots of counter and cabinet space and a cozy breakfast bar. 3 nice sized bedrooms and 2 remodeled bths. Elegant formal living room w/hdwds and gracious fireplace.</t>
  </si>
  <si>
    <t>http://locmedia.nwmls.com/DO_NOT_LINK/bigphoto/766/27205766.jpg?tsp=20071127083801</t>
  </si>
  <si>
    <t>6529 36th Ave NE</t>
  </si>
  <si>
    <t>Dishwasher, Microwave, Range/Oven</t>
  </si>
  <si>
    <t>Ceramic Tile, Concrete, Hardwood, Vinyl</t>
  </si>
  <si>
    <t>Take 35th Ave NE to NE 36th St &amp;amp; head east 1 block to 36th Ave NE, turn right, go approx 1 block &amp;amp; look for sign on right (west side) of the street. (Light green house).</t>
  </si>
  <si>
    <t>Bryant - Well maintained hm with a territorial view. Looks toward the Cascades &amp;amp; Bellevue. On main flr there are 2 bdrms &amp;amp; a full bath that has been tastefully updated, beautifully refin dark hrdwd flrs, a kitchen, living rm &amp;amp; dining rm. Downstairs there is a family rm, storage &amp;amp; craft area, 3/4 bath &amp;amp; laundry rm. A captivating large private, tiered backyard, fenced w/lovely patio &amp;amp; a plum tree. Walk to the library &amp;amp; loads of shopping on 35th. Public trans close &amp;amp; Burke Gilman Trail. A must see!</t>
  </si>
  <si>
    <t>http://locmedia.nwmls.com/DO_NOT_LINK/bigphoto/082/27206082.jpg?tsp=20071127133626</t>
  </si>
  <si>
    <t>7752 36th Ave NE</t>
  </si>
  <si>
    <t>I-5 N, Exit Bothell/Lake City Way. Veer right. Left on 15th. Right on 75th. Left at 36th. Follow to 7752 36th Ave NE. I-5 S, Exit 80th/85th St. Follow 80th (becomes 75th). Left on 36th</t>
  </si>
  <si>
    <t>Outbuildings, Patio</t>
  </si>
  <si>
    <t>Charming 2 bedroom, 1 bathroom home in Wedgwood! Beautifully landscaped with a private, fenced-in backyard complete with deck &amp;amp; patio. Perfect for summer entertaining. Immaculate, updated inside with hardwoods throughout. Large, bright kitchen with vaulted ceiling opens up to backyard deck. Crown molding in living &amp;amp; dining rooms. Large living area off kitchen. Outdoor shed in backyard for storage &amp;amp; an attached workshop on side of house with electricity, fully lit &amp;amp; powered. Great location!</t>
  </si>
  <si>
    <t>http://locmedia.nwmls.com/DO_NOT_LINK/bigphoto/393/27207393.jpg?tsp=20071129135833</t>
  </si>
  <si>
    <t>Ang gave this a 3, but it seems small and a bit too rustic</t>
  </si>
  <si>
    <t>A lot like the Crown Hill house with a smaller yard.</t>
  </si>
  <si>
    <t>Good sized lot</t>
  </si>
  <si>
    <t>Not many pictures, and none good.  Decent sized lot, but right off of Lake City Way</t>
  </si>
  <si>
    <t>Pictures were nicer than house</t>
  </si>
  <si>
    <t>Close to Lake City Way, no side walks, but everything else is nice</t>
  </si>
  <si>
    <t>Beautifully updated 2bdrm Craftsman in sought after Ballard/Greenwood reflects quality workmanship! Home features remodeled kitchen w/stainless appliances, dining room, living room w/cozy wood stove. Updated bath w/granite shower &amp;amp; heated tile floor. Finished bsmt w/bonus room and laundry room. Cedar sauna opens onto fenced backyard w/dog kennel, fenced garden, patio &amp;amp; fruit trees. Handyman's dream includes spacious detached 650 sq ft garage. Freshly painted inside/out! 30yr roof w/warranty.</t>
  </si>
  <si>
    <t>Brick house, on 100th.  Nothing great</t>
  </si>
  <si>
    <t>Cute, but too small</t>
  </si>
  <si>
    <t>http://locmedia.nwmls.com/DO_NOT_LINK/bigphoto/377/27207377.jpg?tsp=20071203095826</t>
  </si>
  <si>
    <t>Reduced Price + $5K BUYER BONUS...Immaculate move-in ready cond w/daylight bsmnt features 4 bdrms + den/offc + rec area,2 baths,2 kitchens. Cmpltd updted w/new paint, marble and hardwood flrs. Daylight bsmnt w/own frpl, 2nd kitchen, full bath &amp;amp; separate entry. Updated kitchen w/marble countertops. Stunning landscaping w/ water fountain in the front yard &amp;amp; fish pond in the bckyrd. Easy access to I-5, only minutes to schls, parks, lakes, golf course &amp;amp; Northgate shopping mall. ALL APPLIANCES STAY!</t>
  </si>
  <si>
    <t>http://locmedia.nwmls.com/DO_NOT_LINK/bigphoto/210/27180210.jpg?tsp=20071205103455</t>
  </si>
  <si>
    <t>Going North on Aurora, turn right at 143rd (going east) and go 2 blocks. Make another right onto Lenora Place &amp;amp; Home will be on your left about 2 homes down. There is off street parking in front.</t>
  </si>
  <si>
    <t>A great buy for in-city living and in great condition! This comfortable 1940's Cape Cod home has it all. Live on the main floor &amp;amp; enjoy home ownership while you rent out the lower level, a legal mother-in-law, newly carpeted &amp;amp; spacious. This classic home boasts oak &amp;amp; bamboo floors, two nice kitchens &amp;amp; four bedrooms. Located on a quiet lane with good features including big yard, handsome outbuilding &amp;amp; offstreet parking &amp;amp; an easy metro commute to downtown. It's well priced &amp;amp; move-in ready!</t>
  </si>
  <si>
    <t>http://locmedia.nwmls.com/DO_NOT_LINK/bigphoto/040/p_nophoto.jpg?tsp=18000101000001</t>
  </si>
  <si>
    <t>Fun Craftsman in heart of Ballard! Old world charm along with updates. Wonderful living &amp;amp; dining room spaces are enhanced by 9 1/2 foot ceilings. Cozy window bench in Dining rm. Lots of daylight. Beautiful hardwood floors. Craftsman style ligh fixtures. Large kitchen w/ fir floors, new countertops &amp;amp; lots of cabinet/counter space. Updated bath w/newer plumbing. Full bsmt w/ office space. Detached garage-shop. Southwestfacing yard w/fruit trees. New roof. Close to shops/park/bus &amp;amp; school.</t>
  </si>
  <si>
    <t>Fabulour location! Darling home,Rare opportunity to find 2000 sf on this great street,one block from Sand Point Golf Club.Charming 3 bedroom home waiting for a little TLC.Basement w/sep. entrance. Detached garage and beautiful 6000 sf lot for gardens and games.Xtra parking. Minutes to U of WA, Greenlake, shops, parks and services.Come see for yourself!</t>
  </si>
  <si>
    <t>d:\FolderShare</t>
  </si>
</sst>
</file>

<file path=xl/styles.xml><?xml version="1.0" encoding="utf-8"?>
<styleSheet xmlns="http://schemas.openxmlformats.org/spreadsheetml/2006/main">
  <fonts count="8">
    <font>
      <sz val="11"/>
      <color theme="1"/>
      <name val="Calibri"/>
      <family val="2"/>
      <scheme val="minor"/>
    </font>
    <font>
      <sz val="10"/>
      <name val="Arial"/>
      <family val="2"/>
    </font>
    <font>
      <b/>
      <sz val="10"/>
      <name val="Arial"/>
      <family val="2"/>
    </font>
    <font>
      <sz val="10"/>
      <name val="Arial"/>
      <family val="2"/>
    </font>
    <font>
      <u/>
      <sz val="10"/>
      <color theme="10"/>
      <name val="Arial"/>
      <family val="2"/>
    </font>
    <font>
      <sz val="8"/>
      <color indexed="81"/>
      <name val="Tahoma"/>
      <family val="2"/>
    </font>
    <font>
      <sz val="9"/>
      <color indexed="81"/>
      <name val="Tahoma"/>
      <family val="2"/>
    </font>
    <font>
      <sz val="8"/>
      <color indexed="81"/>
      <name val="Tahoma"/>
      <charset val="1"/>
    </font>
  </fonts>
  <fills count="4">
    <fill>
      <patternFill patternType="none"/>
    </fill>
    <fill>
      <patternFill patternType="gray125"/>
    </fill>
    <fill>
      <patternFill patternType="solid">
        <fgColor theme="9" tint="0.59999389629810485"/>
        <bgColor indexed="64"/>
      </patternFill>
    </fill>
    <fill>
      <patternFill patternType="solid">
        <fgColor theme="4" tint="0.59999389629810485"/>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alignment vertical="top"/>
      <protection locked="0"/>
    </xf>
  </cellStyleXfs>
  <cellXfs count="18">
    <xf numFmtId="0" fontId="0" fillId="0" borderId="0" xfId="0"/>
    <xf numFmtId="0" fontId="1" fillId="0" borderId="0" xfId="1"/>
    <xf numFmtId="0" fontId="2" fillId="0" borderId="0" xfId="1" applyFont="1"/>
    <xf numFmtId="0" fontId="3" fillId="0" borderId="0" xfId="1" applyFont="1"/>
    <xf numFmtId="0" fontId="4" fillId="0" borderId="0" xfId="2" applyAlignment="1" applyProtection="1"/>
    <xf numFmtId="3" fontId="0" fillId="0" borderId="0" xfId="0" applyNumberFormat="1"/>
    <xf numFmtId="0" fontId="0" fillId="0" borderId="0" xfId="0" quotePrefix="1"/>
    <xf numFmtId="14" fontId="1" fillId="0" borderId="0" xfId="1" applyNumberFormat="1"/>
    <xf numFmtId="1" fontId="1" fillId="0" borderId="0" xfId="1" applyNumberFormat="1"/>
    <xf numFmtId="14" fontId="0" fillId="0" borderId="0" xfId="0" applyNumberFormat="1"/>
    <xf numFmtId="0" fontId="4" fillId="0" borderId="0" xfId="2" applyNumberFormat="1" applyAlignment="1" applyProtection="1"/>
    <xf numFmtId="0" fontId="4" fillId="2" borderId="0" xfId="2" applyFill="1" applyAlignment="1" applyProtection="1"/>
    <xf numFmtId="0" fontId="0" fillId="3" borderId="0" xfId="0" applyFill="1"/>
    <xf numFmtId="0" fontId="4" fillId="3" borderId="0" xfId="2" applyFill="1" applyAlignment="1" applyProtection="1"/>
    <xf numFmtId="3" fontId="0" fillId="3" borderId="0" xfId="0" applyNumberFormat="1" applyFill="1"/>
    <xf numFmtId="0" fontId="0" fillId="2" borderId="0" xfId="0" applyFill="1"/>
    <xf numFmtId="3" fontId="0" fillId="2" borderId="0" xfId="0" applyNumberFormat="1" applyFill="1"/>
    <xf numFmtId="0" fontId="0" fillId="0" borderId="0" xfId="0" applyNumberFormat="1"/>
  </cellXfs>
  <cellStyles count="3">
    <cellStyle name="Hyperlink" xfId="2" builtinId="8"/>
    <cellStyle name="Normal" xfId="0" builtinId="0"/>
    <cellStyle name="Normal 2" xfId="1"/>
  </cellStyles>
  <dxfs count="7">
    <dxf>
      <fill>
        <patternFill>
          <bgColor theme="9" tint="0.79998168889431442"/>
        </patternFill>
      </fill>
    </dxf>
    <dxf>
      <fill>
        <patternFill>
          <fgColor indexed="64"/>
          <bgColor rgb="FFFFFF99"/>
        </patternFill>
      </fill>
    </dxf>
    <dxf>
      <fill>
        <patternFill>
          <bgColor theme="7" tint="0.79998168889431442"/>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bgColor theme="7" tint="0.79998168889431442"/>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0</xdr:colOff>
      <xdr:row>6</xdr:row>
      <xdr:rowOff>0</xdr:rowOff>
    </xdr:from>
    <xdr:to>
      <xdr:col>1</xdr:col>
      <xdr:colOff>1162050</xdr:colOff>
      <xdr:row>8</xdr:row>
      <xdr:rowOff>0</xdr:rowOff>
    </xdr:to>
    <xdr:sp macro="[0]!ImportMLSRecords" textlink="">
      <xdr:nvSpPr>
        <xdr:cNvPr id="2" name="Rounded Rectangle 1"/>
        <xdr:cNvSpPr/>
      </xdr:nvSpPr>
      <xdr:spPr>
        <a:xfrm>
          <a:off x="1543050" y="971550"/>
          <a:ext cx="116205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Read</a:t>
          </a:r>
          <a:r>
            <a:rPr lang="en-US" sz="1100" baseline="0"/>
            <a:t> HTML</a:t>
          </a:r>
          <a:endParaRPr lang="en-US" sz="1100"/>
        </a:p>
      </xdr:txBody>
    </xdr:sp>
    <xdr:clientData/>
  </xdr:twoCellAnchor>
  <xdr:twoCellAnchor>
    <xdr:from>
      <xdr:col>1</xdr:col>
      <xdr:colOff>1724025</xdr:colOff>
      <xdr:row>6</xdr:row>
      <xdr:rowOff>9525</xdr:rowOff>
    </xdr:from>
    <xdr:to>
      <xdr:col>1</xdr:col>
      <xdr:colOff>2800350</xdr:colOff>
      <xdr:row>7</xdr:row>
      <xdr:rowOff>152400</xdr:rowOff>
    </xdr:to>
    <xdr:sp macro="[0]!Startup" textlink="">
      <xdr:nvSpPr>
        <xdr:cNvPr id="3" name="Rounded Rectangle 2"/>
        <xdr:cNvSpPr/>
      </xdr:nvSpPr>
      <xdr:spPr>
        <a:xfrm>
          <a:off x="3267075" y="981075"/>
          <a:ext cx="1076325"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Commands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Dave\Application%20Data\Microsoft\Excel\ImportNWMLS_11_25_07.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Ratings"/>
      <sheetName val="Houses"/>
      <sheetName val="Tracking"/>
      <sheetName val="Configuration"/>
    </sheetNames>
    <sheetDataSet>
      <sheetData sheetId="0" refreshError="1"/>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locator.nwmls.com/scripts/mgrqispi.dll?APPNAME=Locator&amp;PRGNAME=MLSLogin&amp;ARGUMENT=lTGmPH3gZKprsGBYNIDVhB8ue5nFOLEH83YiH87jPxI%3D&amp;KeyRid=1" TargetMode="External"/><Relationship Id="rId7" Type="http://schemas.openxmlformats.org/officeDocument/2006/relationships/printerSettings" Target="../printerSettings/printerSettings2.bin"/><Relationship Id="rId2" Type="http://schemas.openxmlformats.org/officeDocument/2006/relationships/hyperlink" Target="http://locator.nwmls.com/scripts/mgrqispi.dll?APPNAME=Locator&amp;PRGNAME=MLSLogin&amp;ARGUMENT=lTGmPH3gZKprsGBYNIDVhP3RXUVMiQzDn0K7PT3ufP4%3D&amp;KeyRid=1" TargetMode="External"/><Relationship Id="rId1" Type="http://schemas.openxmlformats.org/officeDocument/2006/relationships/hyperlink" Target="http://locator.nwmls.com/scripts/mgrqispi.dll?APPNAME=Locator&amp;PRGNAME=MLSLogin&amp;ARGUMENT=lTGmPH3gZKprsGBYNIDVhORss%2B799zvscAgyzAomx44%3D&amp;KeyRid=1" TargetMode="External"/><Relationship Id="rId6" Type="http://schemas.openxmlformats.org/officeDocument/2006/relationships/hyperlink" Target="http://locator.nwmls.com/scripts/mgrqispi.dll?APPNAME=Locator&amp;PRGNAME=MLSLogin&amp;ARGUMENT=lTGmPH3gZKprsGBYNIDVhB8ue5nFOLEH83YiH87jPxI%3D&amp;KeyRid=1" TargetMode="External"/><Relationship Id="rId5" Type="http://schemas.openxmlformats.org/officeDocument/2006/relationships/hyperlink" Target="http://locator.nwmls.com/scripts/mgrqispi.dll?APPNAME=Locator&amp;PRGNAME=MLSLogin&amp;ARGUMENT=lTGmPH3gZKprsGBYNIDVhP3RXUVMiQzDn0K7PT3ufP4%3D&amp;KeyRid=1" TargetMode="External"/><Relationship Id="rId4" Type="http://schemas.openxmlformats.org/officeDocument/2006/relationships/hyperlink" Target="http://locator.nwmls.com/scripts/mgrqispi.dll?APPNAME=Locator&amp;PRGNAME=MLSLogin&amp;ARGUMENT=lTGmPH3gZKprsGBYNIDVhORss%2B799zvscAgyzAomx44%3D&amp;KeyRid=1" TargetMode="Externa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0"/>
  <dimension ref="A1:AZ113"/>
  <sheetViews>
    <sheetView tabSelected="1" workbookViewId="0">
      <selection activeCell="B109" sqref="B109"/>
    </sheetView>
  </sheetViews>
  <sheetFormatPr defaultRowHeight="15"/>
  <cols>
    <col min="1" max="2" width="9.140625" customWidth="1"/>
    <col min="3" max="3" width="9.140625" hidden="1" customWidth="1"/>
    <col min="4" max="11" width="9.140625" customWidth="1"/>
    <col min="12" max="12" width="9.140625" hidden="1" customWidth="1"/>
    <col min="13" max="13" width="9.140625" customWidth="1"/>
    <col min="14" max="14" width="9.140625" hidden="1" customWidth="1"/>
    <col min="15" max="15" width="9.140625" customWidth="1"/>
    <col min="16" max="45" width="9.140625" hidden="1" customWidth="1"/>
    <col min="46" max="47" width="9.140625" customWidth="1"/>
    <col min="48" max="48" width="10.7109375" style="9" hidden="1" customWidth="1"/>
    <col min="49" max="49" width="10" hidden="1" customWidth="1"/>
    <col min="50" max="51" width="9.140625" customWidth="1"/>
    <col min="52" max="52" width="16.42578125" hidden="1" customWidth="1"/>
  </cols>
  <sheetData>
    <row r="1" spans="1:52">
      <c r="A1" t="s">
        <v>16</v>
      </c>
      <c r="B1" t="s">
        <v>946</v>
      </c>
      <c r="C1" t="s">
        <v>947</v>
      </c>
      <c r="D1" t="s">
        <v>17</v>
      </c>
      <c r="E1" t="s">
        <v>948</v>
      </c>
      <c r="F1" t="s">
        <v>949</v>
      </c>
      <c r="G1" t="s">
        <v>950</v>
      </c>
      <c r="H1" t="s">
        <v>951</v>
      </c>
      <c r="I1" t="s">
        <v>952</v>
      </c>
      <c r="J1" t="s">
        <v>953</v>
      </c>
      <c r="K1" t="s">
        <v>954</v>
      </c>
      <c r="L1" t="s">
        <v>955</v>
      </c>
      <c r="M1" t="s">
        <v>956</v>
      </c>
      <c r="N1" t="s">
        <v>957</v>
      </c>
      <c r="O1" t="s">
        <v>958</v>
      </c>
      <c r="P1" t="s">
        <v>959</v>
      </c>
      <c r="Q1" t="s">
        <v>960</v>
      </c>
      <c r="R1" t="s">
        <v>961</v>
      </c>
      <c r="S1" t="s">
        <v>962</v>
      </c>
      <c r="T1" t="s">
        <v>18</v>
      </c>
      <c r="U1" t="s">
        <v>963</v>
      </c>
      <c r="V1" t="s">
        <v>964</v>
      </c>
      <c r="W1" t="s">
        <v>965</v>
      </c>
      <c r="X1" t="s">
        <v>966</v>
      </c>
      <c r="Y1" t="s">
        <v>967</v>
      </c>
      <c r="Z1" t="s">
        <v>968</v>
      </c>
      <c r="AA1" t="s">
        <v>969</v>
      </c>
      <c r="AB1" t="s">
        <v>970</v>
      </c>
      <c r="AC1" t="s">
        <v>971</v>
      </c>
      <c r="AD1" t="s">
        <v>972</v>
      </c>
      <c r="AE1" t="s">
        <v>973</v>
      </c>
      <c r="AF1" t="s">
        <v>974</v>
      </c>
      <c r="AG1" t="s">
        <v>975</v>
      </c>
      <c r="AH1" t="s">
        <v>976</v>
      </c>
      <c r="AI1" t="s">
        <v>977</v>
      </c>
      <c r="AJ1" t="s">
        <v>978</v>
      </c>
      <c r="AK1" t="s">
        <v>979</v>
      </c>
      <c r="AL1" t="s">
        <v>980</v>
      </c>
      <c r="AM1" t="s">
        <v>981</v>
      </c>
      <c r="AN1" t="s">
        <v>982</v>
      </c>
      <c r="AO1" t="s">
        <v>983</v>
      </c>
      <c r="AP1" t="s">
        <v>984</v>
      </c>
      <c r="AQ1" t="s">
        <v>985</v>
      </c>
      <c r="AR1" t="s">
        <v>986</v>
      </c>
      <c r="AS1" t="s">
        <v>987</v>
      </c>
      <c r="AT1" t="s">
        <v>619</v>
      </c>
      <c r="AU1" t="s">
        <v>3</v>
      </c>
      <c r="AV1" s="9" t="s">
        <v>620</v>
      </c>
      <c r="AW1" t="s">
        <v>621</v>
      </c>
      <c r="AX1" t="s">
        <v>622</v>
      </c>
      <c r="AY1" t="s">
        <v>623</v>
      </c>
      <c r="AZ1" t="s">
        <v>988</v>
      </c>
    </row>
    <row r="2" spans="1:52">
      <c r="A2">
        <v>27085410</v>
      </c>
      <c r="B2" s="4" t="str">
        <f>HYPERLINK("http://locmedia.nwmls.com/DO_NOT_LINK/bigphoto/410/27085410.jpg?tsp=20070730001920","Pending")</f>
        <v>Pending</v>
      </c>
      <c r="C2">
        <v>710</v>
      </c>
      <c r="D2" t="s">
        <v>649</v>
      </c>
      <c r="E2" t="s">
        <v>863</v>
      </c>
      <c r="F2" s="5">
        <v>484500</v>
      </c>
      <c r="G2" t="s">
        <v>803</v>
      </c>
      <c r="H2">
        <v>2580</v>
      </c>
      <c r="I2">
        <v>5040</v>
      </c>
      <c r="J2">
        <v>4</v>
      </c>
      <c r="K2">
        <v>2.5</v>
      </c>
      <c r="L2">
        <v>2</v>
      </c>
      <c r="M2" s="4" t="str">
        <f>HYPERLINK("http://locsearch.nwmls.com//ReturnMap.aspx?hidMLS=NWML&amp;VHW=47.695000:-122.326460:.25:&amp;Z=4&amp;H=300&amp;W=400&amp;PP=47.695000:-122.326460:1:027085410","Map")</f>
        <v>Map</v>
      </c>
      <c r="N2" s="4" t="str">
        <f>HYPERLINK("http://locmedia.nwmls.com/DO_NOT_LINK/bigphoto/410/27085410.jpg?tsp=20070730001920","Photo")</f>
        <v>Photo</v>
      </c>
      <c r="O2" s="4" t="str">
        <f>HYPERLINK("http://locator.nwmls.com/scripts/mgrqispi.dll?APPNAME=Locator&amp;PRGNAME=MLSPictureDescriptions&amp;ARGUMENTS=-N268127191,-N27085410,-AE","More")</f>
        <v>More</v>
      </c>
      <c r="Q2" t="s">
        <v>56</v>
      </c>
      <c r="R2" t="s">
        <v>95</v>
      </c>
      <c r="S2" t="s">
        <v>199</v>
      </c>
      <c r="T2" t="s">
        <v>44</v>
      </c>
      <c r="U2" t="s">
        <v>26</v>
      </c>
      <c r="X2" t="s">
        <v>27</v>
      </c>
      <c r="Y2" t="s">
        <v>28</v>
      </c>
      <c r="Z2" t="s">
        <v>423</v>
      </c>
      <c r="AA2" t="s">
        <v>864</v>
      </c>
      <c r="AB2">
        <v>2007</v>
      </c>
      <c r="AC2">
        <v>3791</v>
      </c>
      <c r="AD2" t="s">
        <v>865</v>
      </c>
      <c r="AE2" t="s">
        <v>866</v>
      </c>
      <c r="AF2" t="s">
        <v>867</v>
      </c>
      <c r="AG2">
        <v>47.695</v>
      </c>
      <c r="AH2">
        <v>-122.32646</v>
      </c>
      <c r="AI2" t="s">
        <v>33</v>
      </c>
      <c r="AJ2">
        <v>98115</v>
      </c>
      <c r="AK2" t="s">
        <v>34</v>
      </c>
      <c r="AL2" t="s">
        <v>35</v>
      </c>
      <c r="AM2" t="s">
        <v>35</v>
      </c>
      <c r="AO2">
        <v>0.11600000000000001</v>
      </c>
      <c r="AP2" t="s">
        <v>868</v>
      </c>
      <c r="AQ2">
        <v>505</v>
      </c>
      <c r="AR2" t="s">
        <v>761</v>
      </c>
      <c r="AS2" t="s">
        <v>869</v>
      </c>
      <c r="AT2">
        <v>2</v>
      </c>
      <c r="AW2" s="17"/>
      <c r="AX2">
        <f t="shared" ref="AX2:AX33" ca="1" si="0">IF(ISBLANK($AW2),TODAY()-$AZ2,TODAY()-$AV2)</f>
        <v>25</v>
      </c>
      <c r="AZ2" s="9">
        <v>39408</v>
      </c>
    </row>
    <row r="3" spans="1:52">
      <c r="A3">
        <v>27085974</v>
      </c>
      <c r="B3" s="11" t="str">
        <f>HYPERLINK("http://locmedia.nwmls.com/DO_NOT_LINK/bigphoto/974/27085974.jpg?tsp=20071126135937","Pending/BU")</f>
        <v>Pending/BU</v>
      </c>
      <c r="C3">
        <v>710</v>
      </c>
      <c r="D3" t="s">
        <v>643</v>
      </c>
      <c r="E3" t="s">
        <v>644</v>
      </c>
      <c r="F3" s="5">
        <v>410000</v>
      </c>
      <c r="G3" t="s">
        <v>645</v>
      </c>
      <c r="H3">
        <v>1810</v>
      </c>
      <c r="I3">
        <v>2501</v>
      </c>
      <c r="J3">
        <v>2</v>
      </c>
      <c r="K3">
        <v>1.5</v>
      </c>
      <c r="L3">
        <v>1</v>
      </c>
      <c r="M3" s="4" t="str">
        <f>HYPERLINK("http://locsearch.nwmls.com//ReturnMap.aspx?hidMLS=NWML&amp;VHW=47.672227:-122.319677:.25:&amp;Z=4&amp;H=300&amp;W=400&amp;PP=47.672227:-122.319677:1:027085974","Map")</f>
        <v>Map</v>
      </c>
      <c r="N3" s="4" t="str">
        <f>HYPERLINK("http://locmedia.nwmls.com/DO_NOT_LINK/bigphoto/974/27085974.jpg?tsp=20071126135937","Photo")</f>
        <v>Photo</v>
      </c>
      <c r="O3" s="4" t="str">
        <f>HYPERLINK("http://locator.nwmls.com/scripts/mgrqispi.dll?APPNAME=Locator&amp;PRGNAME=MLSPictureDescriptions&amp;ARGUMENTS=-N268127191,-N27085974,-AE","More")</f>
        <v>More</v>
      </c>
      <c r="P3" t="s">
        <v>41</v>
      </c>
      <c r="Q3" t="s">
        <v>56</v>
      </c>
      <c r="R3" t="s">
        <v>116</v>
      </c>
      <c r="S3" t="s">
        <v>43</v>
      </c>
      <c r="T3" t="s">
        <v>300</v>
      </c>
      <c r="U3" t="s">
        <v>26</v>
      </c>
      <c r="X3" t="s">
        <v>27</v>
      </c>
      <c r="Y3" t="s">
        <v>28</v>
      </c>
      <c r="Z3" t="s">
        <v>150</v>
      </c>
      <c r="AA3" t="s">
        <v>119</v>
      </c>
      <c r="AB3">
        <v>2006</v>
      </c>
      <c r="AC3">
        <v>3373</v>
      </c>
      <c r="AD3" t="s">
        <v>646</v>
      </c>
      <c r="AE3" t="s">
        <v>302</v>
      </c>
      <c r="AG3">
        <v>47.672226999999999</v>
      </c>
      <c r="AH3">
        <v>-122.319677</v>
      </c>
      <c r="AI3" t="s">
        <v>33</v>
      </c>
      <c r="AJ3">
        <v>98115</v>
      </c>
      <c r="AK3" t="s">
        <v>34</v>
      </c>
      <c r="AL3" t="s">
        <v>35</v>
      </c>
      <c r="AM3" t="s">
        <v>35</v>
      </c>
      <c r="AO3">
        <v>5.7000000000000002E-2</v>
      </c>
      <c r="AP3" s="12" t="s">
        <v>990</v>
      </c>
      <c r="AQ3">
        <v>535</v>
      </c>
      <c r="AR3" t="s">
        <v>509</v>
      </c>
      <c r="AS3" s="12" t="s">
        <v>991</v>
      </c>
      <c r="AT3">
        <v>2</v>
      </c>
      <c r="AW3" s="17"/>
      <c r="AX3">
        <f t="shared" ca="1" si="0"/>
        <v>25</v>
      </c>
      <c r="AZ3" s="9">
        <v>39408</v>
      </c>
    </row>
    <row r="4" spans="1:52">
      <c r="A4">
        <v>27087539</v>
      </c>
      <c r="B4" s="13" t="str">
        <f>HYPERLINK("http://locmedia.nwmls.com/DO_NOT_LINK/bigphoto/539/27087539.jpg?tsp=20071010095117","Sold")</f>
        <v>Sold</v>
      </c>
      <c r="C4">
        <v>705</v>
      </c>
      <c r="D4" t="s">
        <v>81</v>
      </c>
      <c r="E4" t="s">
        <v>566</v>
      </c>
      <c r="F4" s="5">
        <v>489950</v>
      </c>
      <c r="G4" t="s">
        <v>270</v>
      </c>
      <c r="H4">
        <v>1840</v>
      </c>
      <c r="I4">
        <v>4051</v>
      </c>
      <c r="J4">
        <v>4</v>
      </c>
      <c r="K4">
        <v>2</v>
      </c>
      <c r="L4">
        <v>1</v>
      </c>
      <c r="M4" s="4" t="str">
        <f>HYPERLINK("http://locsearch.nwmls.com//ReturnMap.aspx?hidMLS=NWML&amp;VHW=47.686900:-122.373311:.25:&amp;Z=4&amp;H=300&amp;W=400&amp;PP=47.686900:-122.373311:1:027087539","Map")</f>
        <v>Map</v>
      </c>
      <c r="N4" s="4" t="str">
        <f>HYPERLINK("http://locmedia.nwmls.com/DO_NOT_LINK/bigphoto/539/27087539.jpg?tsp=20071010095117","Photo")</f>
        <v>Photo</v>
      </c>
      <c r="O4" s="4" t="str">
        <f>HYPERLINK("http://locator.nwmls.com/scripts/mgrqispi.dll?APPNAME=Locator&amp;PRGNAME=MLSPictureDescriptions&amp;ARGUMENTS=-N300606369,-N27087539,-AE","More")</f>
        <v>More</v>
      </c>
      <c r="Q4" t="s">
        <v>56</v>
      </c>
      <c r="R4" t="s">
        <v>95</v>
      </c>
      <c r="S4" t="s">
        <v>24</v>
      </c>
      <c r="T4" t="s">
        <v>72</v>
      </c>
      <c r="X4" t="s">
        <v>17</v>
      </c>
      <c r="Y4" t="s">
        <v>28</v>
      </c>
      <c r="Z4" t="s">
        <v>184</v>
      </c>
      <c r="AB4">
        <v>2007</v>
      </c>
      <c r="AC4">
        <v>3076</v>
      </c>
      <c r="AD4" t="s">
        <v>567</v>
      </c>
      <c r="AE4" t="s">
        <v>568</v>
      </c>
      <c r="AF4" t="s">
        <v>303</v>
      </c>
      <c r="AG4">
        <v>47.686900000000001</v>
      </c>
      <c r="AH4">
        <v>-122.373311</v>
      </c>
      <c r="AI4" t="s">
        <v>33</v>
      </c>
      <c r="AJ4">
        <v>98117</v>
      </c>
      <c r="AK4" t="s">
        <v>34</v>
      </c>
      <c r="AL4">
        <v>10</v>
      </c>
      <c r="AM4" t="s">
        <v>35</v>
      </c>
      <c r="AN4" s="12">
        <v>485000</v>
      </c>
      <c r="AO4">
        <v>9.2999999999999999E-2</v>
      </c>
      <c r="AP4" t="s">
        <v>569</v>
      </c>
      <c r="AQ4">
        <v>534</v>
      </c>
      <c r="AR4" t="s">
        <v>91</v>
      </c>
      <c r="AS4" t="s">
        <v>570</v>
      </c>
      <c r="AT4">
        <v>2</v>
      </c>
      <c r="AW4" s="17"/>
      <c r="AX4">
        <f t="shared" ca="1" si="0"/>
        <v>28</v>
      </c>
      <c r="AZ4" s="9">
        <v>39405</v>
      </c>
    </row>
    <row r="5" spans="1:52">
      <c r="A5">
        <v>27090381</v>
      </c>
      <c r="B5" s="13" t="str">
        <f>HYPERLINK("http://locmedia.nwmls.com/DO_NOT_LINK/bigphoto/381/27090381.jpg?tsp=20070830174913","Expired")</f>
        <v>Expired</v>
      </c>
      <c r="C5">
        <v>705</v>
      </c>
      <c r="D5" t="s">
        <v>81</v>
      </c>
      <c r="E5" t="s">
        <v>288</v>
      </c>
      <c r="F5" s="5">
        <v>450000</v>
      </c>
      <c r="G5" t="s">
        <v>261</v>
      </c>
      <c r="H5">
        <v>1520</v>
      </c>
      <c r="I5">
        <v>4000</v>
      </c>
      <c r="J5">
        <v>3</v>
      </c>
      <c r="K5">
        <v>1.75</v>
      </c>
      <c r="L5">
        <v>1</v>
      </c>
      <c r="M5" s="4" t="str">
        <f>HYPERLINK("http://locsearch.nwmls.com//ReturnMap.aspx?hidMLS=NWML&amp;VHW=47.675619:-122.364001:.25:&amp;Z=4&amp;H=300&amp;W=400&amp;PP=47.675619:-122.364001:1:027090381","Map")</f>
        <v>Map</v>
      </c>
      <c r="N5" s="4" t="str">
        <f>HYPERLINK("http://locmedia.nwmls.com/DO_NOT_LINK/bigphoto/381/27090381.jpg?tsp=20070830174913","Photo")</f>
        <v>Photo</v>
      </c>
      <c r="O5" s="4" t="str">
        <f>HYPERLINK("http://locator.nwmls.com/scripts/mgrqispi.dll?APPNAME=Locator&amp;PRGNAME=MLSPictureDescriptions&amp;ARGUMENTS=-N300606369,-N27090381,-AE","More")</f>
        <v>More</v>
      </c>
      <c r="Q5" t="s">
        <v>56</v>
      </c>
      <c r="R5" t="s">
        <v>116</v>
      </c>
      <c r="S5" t="s">
        <v>199</v>
      </c>
      <c r="T5" t="s">
        <v>129</v>
      </c>
      <c r="U5" t="s">
        <v>26</v>
      </c>
      <c r="X5" t="s">
        <v>27</v>
      </c>
      <c r="Y5" t="s">
        <v>28</v>
      </c>
      <c r="Z5" t="s">
        <v>289</v>
      </c>
      <c r="AA5" t="s">
        <v>290</v>
      </c>
      <c r="AB5">
        <v>2006</v>
      </c>
      <c r="AC5">
        <v>3104</v>
      </c>
      <c r="AD5" t="s">
        <v>291</v>
      </c>
      <c r="AE5" t="s">
        <v>121</v>
      </c>
      <c r="AF5" t="s">
        <v>292</v>
      </c>
      <c r="AG5">
        <v>47.675618999999998</v>
      </c>
      <c r="AH5">
        <v>-122.364001</v>
      </c>
      <c r="AI5" t="s">
        <v>33</v>
      </c>
      <c r="AJ5">
        <v>98107</v>
      </c>
      <c r="AK5" t="s">
        <v>34</v>
      </c>
      <c r="AL5" t="s">
        <v>293</v>
      </c>
      <c r="AM5" t="s">
        <v>35</v>
      </c>
      <c r="AO5">
        <v>9.1999999999999998E-2</v>
      </c>
      <c r="AP5" t="s">
        <v>294</v>
      </c>
      <c r="AQ5">
        <v>534</v>
      </c>
      <c r="AR5" t="s">
        <v>295</v>
      </c>
      <c r="AS5" t="s">
        <v>296</v>
      </c>
      <c r="AT5">
        <v>4</v>
      </c>
      <c r="AV5" s="9">
        <v>39224</v>
      </c>
      <c r="AW5" s="17">
        <v>187</v>
      </c>
      <c r="AX5">
        <f t="shared" ca="1" si="0"/>
        <v>209</v>
      </c>
      <c r="AY5" t="s">
        <v>907</v>
      </c>
      <c r="AZ5" s="9">
        <v>39405</v>
      </c>
    </row>
    <row r="6" spans="1:52">
      <c r="A6">
        <v>27091504</v>
      </c>
      <c r="B6" s="13" t="str">
        <f>HYPERLINK("http://locmedia.nwmls.com/DO_NOT_LINK/bigphoto/504/27091504.jpg?tsp=20070824150007","Temp. Off Mrkt.")</f>
        <v>Temp. Off Mrkt.</v>
      </c>
      <c r="C6">
        <v>705</v>
      </c>
      <c r="D6" t="s">
        <v>113</v>
      </c>
      <c r="E6" t="s">
        <v>315</v>
      </c>
      <c r="F6" s="5">
        <v>455000</v>
      </c>
      <c r="G6" t="s">
        <v>316</v>
      </c>
      <c r="H6">
        <v>2800</v>
      </c>
      <c r="I6">
        <v>6591</v>
      </c>
      <c r="J6">
        <v>5</v>
      </c>
      <c r="K6">
        <v>1.75</v>
      </c>
      <c r="L6">
        <v>1</v>
      </c>
      <c r="M6" s="4" t="str">
        <f>HYPERLINK("http://locsearch.nwmls.com//ReturnMap.aspx?hidMLS=NWML&amp;VHW=47.716396:-122.352888:.25:&amp;Z=4&amp;H=300&amp;W=400&amp;PP=47.716396:-122.352888:1:027091504","Map")</f>
        <v>Map</v>
      </c>
      <c r="N6" s="4" t="str">
        <f>HYPERLINK("http://locmedia.nwmls.com/DO_NOT_LINK/bigphoto/504/27091504.jpg?tsp=20070824150007","Photo")</f>
        <v>Photo</v>
      </c>
      <c r="O6" s="4" t="str">
        <f>HYPERLINK("http://locator.nwmls.com/scripts/mgrqispi.dll?APPNAME=Locator&amp;PRGNAME=MLSPictureDescriptions&amp;ARGUMENTS=-N300606369,-N27091504,-AE","More")</f>
        <v>More</v>
      </c>
      <c r="P6" t="s">
        <v>317</v>
      </c>
      <c r="Q6" t="s">
        <v>56</v>
      </c>
      <c r="R6" t="s">
        <v>95</v>
      </c>
      <c r="S6" t="s">
        <v>128</v>
      </c>
      <c r="T6" t="s">
        <v>44</v>
      </c>
      <c r="U6" t="s">
        <v>26</v>
      </c>
      <c r="X6" t="s">
        <v>27</v>
      </c>
      <c r="Y6" t="s">
        <v>28</v>
      </c>
      <c r="Z6" t="s">
        <v>318</v>
      </c>
      <c r="AA6" t="s">
        <v>319</v>
      </c>
      <c r="AB6">
        <v>2006</v>
      </c>
      <c r="AC6">
        <v>3133</v>
      </c>
      <c r="AD6" t="s">
        <v>320</v>
      </c>
      <c r="AE6" t="s">
        <v>302</v>
      </c>
      <c r="AF6" t="s">
        <v>321</v>
      </c>
      <c r="AG6">
        <v>47.716396000000003</v>
      </c>
      <c r="AH6">
        <v>-122.35288799999999</v>
      </c>
      <c r="AI6" t="s">
        <v>33</v>
      </c>
      <c r="AJ6">
        <v>98133</v>
      </c>
      <c r="AK6" t="s">
        <v>34</v>
      </c>
      <c r="AL6">
        <v>15</v>
      </c>
      <c r="AM6" t="s">
        <v>35</v>
      </c>
      <c r="AO6">
        <v>0.151</v>
      </c>
      <c r="AP6" t="s">
        <v>322</v>
      </c>
      <c r="AQ6">
        <v>504</v>
      </c>
      <c r="AR6" t="s">
        <v>323</v>
      </c>
      <c r="AS6" t="s">
        <v>324</v>
      </c>
      <c r="AT6">
        <v>1</v>
      </c>
      <c r="AW6" s="17"/>
      <c r="AX6">
        <f t="shared" ca="1" si="0"/>
        <v>28</v>
      </c>
      <c r="AZ6" s="9">
        <v>39405</v>
      </c>
    </row>
    <row r="7" spans="1:52">
      <c r="A7">
        <v>27096757</v>
      </c>
      <c r="B7" s="4" t="str">
        <f>HYPERLINK("http://locmedia.nwmls.com/DO_NOT_LINK/bigphoto/757/27096757.jpg?tsp=20071119165750","Active")</f>
        <v>Active</v>
      </c>
      <c r="C7">
        <v>705</v>
      </c>
      <c r="D7" t="s">
        <v>81</v>
      </c>
      <c r="E7" t="s">
        <v>279</v>
      </c>
      <c r="F7" s="14">
        <v>439990</v>
      </c>
      <c r="G7" t="s">
        <v>280</v>
      </c>
      <c r="H7">
        <v>1620</v>
      </c>
      <c r="I7">
        <v>0</v>
      </c>
      <c r="J7">
        <v>3</v>
      </c>
      <c r="K7">
        <v>2.5</v>
      </c>
      <c r="L7">
        <v>1</v>
      </c>
      <c r="M7" s="4" t="str">
        <f>HYPERLINK("http://locsearch.nwmls.com//ReturnMap.aspx?hidMLS=NWML&amp;VHW=47.671653:-122.382535:.25:&amp;Z=4&amp;H=300&amp;W=400&amp;PP=47.671653:-122.382535:1:027096757","Map")</f>
        <v>Map</v>
      </c>
      <c r="N7" s="4" t="str">
        <f>HYPERLINK("http://locmedia.nwmls.com/DO_NOT_LINK/bigphoto/757/27096757.jpg?tsp=20071119165750","Photo")</f>
        <v>Photo</v>
      </c>
      <c r="O7" s="4" t="str">
        <f>HYPERLINK("http://locator.nwmls.com/scripts/mgrqispi.dll?APPNAME=Locator&amp;PRGNAME=MLSPictureDescriptions&amp;ARGUMENTS=-N300606369,-N27096757,-AE","More")</f>
        <v>More</v>
      </c>
      <c r="Q7" t="s">
        <v>281</v>
      </c>
      <c r="R7" t="s">
        <v>57</v>
      </c>
      <c r="S7" t="s">
        <v>282</v>
      </c>
      <c r="U7" t="s">
        <v>26</v>
      </c>
      <c r="X7" t="s">
        <v>17</v>
      </c>
      <c r="Y7" t="s">
        <v>28</v>
      </c>
      <c r="Z7" t="s">
        <v>253</v>
      </c>
      <c r="AA7" t="s">
        <v>283</v>
      </c>
      <c r="AB7">
        <v>2007</v>
      </c>
      <c r="AD7" t="s">
        <v>284</v>
      </c>
      <c r="AE7" t="s">
        <v>285</v>
      </c>
      <c r="AF7" t="s">
        <v>122</v>
      </c>
      <c r="AG7" s="12">
        <v>47.671652999999999</v>
      </c>
      <c r="AH7" s="12">
        <v>-122.382535</v>
      </c>
      <c r="AI7" t="s">
        <v>33</v>
      </c>
      <c r="AJ7">
        <v>98107</v>
      </c>
      <c r="AK7" t="s">
        <v>34</v>
      </c>
      <c r="AL7" t="s">
        <v>35</v>
      </c>
      <c r="AM7" t="s">
        <v>35</v>
      </c>
      <c r="AO7">
        <v>0</v>
      </c>
      <c r="AP7" s="12" t="s">
        <v>1003</v>
      </c>
      <c r="AQ7">
        <v>534</v>
      </c>
      <c r="AR7" t="s">
        <v>287</v>
      </c>
      <c r="AS7" s="12" t="s">
        <v>873</v>
      </c>
      <c r="AT7">
        <v>1</v>
      </c>
      <c r="AW7" s="17"/>
      <c r="AX7">
        <f t="shared" ca="1" si="0"/>
        <v>28</v>
      </c>
      <c r="AZ7" s="9">
        <v>39405</v>
      </c>
    </row>
    <row r="8" spans="1:52">
      <c r="A8">
        <v>27113171</v>
      </c>
      <c r="B8" s="4" t="str">
        <f>HYPERLINK("http://locmedia.nwmls.com/DO_NOT_LINK/bigphoto/171/27113171.jpg?tsp=20070803133120","Active")</f>
        <v>Active</v>
      </c>
      <c r="C8">
        <v>705</v>
      </c>
      <c r="D8" t="s">
        <v>19</v>
      </c>
      <c r="E8" t="s">
        <v>102</v>
      </c>
      <c r="F8" s="14">
        <v>389900</v>
      </c>
      <c r="G8" t="s">
        <v>103</v>
      </c>
      <c r="H8">
        <v>1250</v>
      </c>
      <c r="I8">
        <v>5250</v>
      </c>
      <c r="J8">
        <v>3</v>
      </c>
      <c r="K8">
        <v>2</v>
      </c>
      <c r="L8">
        <v>1</v>
      </c>
      <c r="M8" s="4" t="str">
        <f>HYPERLINK("http://locsearch.nwmls.com//ReturnMap.aspx?hidMLS=NWML&amp;VHW=47.732896:-122.334270:.25:&amp;Z=4&amp;H=300&amp;W=400&amp;PP=47.732896:-122.334270:1:027113171","Map")</f>
        <v>Map</v>
      </c>
      <c r="N8" s="4" t="str">
        <f>HYPERLINK("http://locmedia.nwmls.com/DO_NOT_LINK/bigphoto/171/27113171.jpg?tsp=20070803133120","Photo")</f>
        <v>Photo</v>
      </c>
      <c r="O8" s="4" t="str">
        <f>HYPERLINK("http://locator.nwmls.com/scripts/mgrqispi.dll?APPNAME=Locator&amp;PRGNAME=MLSPictureDescriptions&amp;ARGUMENTS=-N300606369,-N27113171,-AE","More")</f>
        <v>More</v>
      </c>
      <c r="Q8" t="s">
        <v>56</v>
      </c>
      <c r="R8" t="s">
        <v>95</v>
      </c>
      <c r="S8" t="s">
        <v>24</v>
      </c>
      <c r="T8" t="s">
        <v>25</v>
      </c>
      <c r="V8">
        <v>348</v>
      </c>
      <c r="X8" t="s">
        <v>27</v>
      </c>
      <c r="Y8" t="s">
        <v>28</v>
      </c>
      <c r="Z8" t="s">
        <v>104</v>
      </c>
      <c r="AA8" t="s">
        <v>105</v>
      </c>
      <c r="AB8">
        <v>2007</v>
      </c>
      <c r="AC8">
        <v>2343</v>
      </c>
      <c r="AD8" t="s">
        <v>106</v>
      </c>
      <c r="AE8" t="s">
        <v>107</v>
      </c>
      <c r="AF8" t="s">
        <v>108</v>
      </c>
      <c r="AG8" s="12">
        <v>47.732895999999997</v>
      </c>
      <c r="AH8" s="12">
        <v>-122.33427</v>
      </c>
      <c r="AI8" t="s">
        <v>33</v>
      </c>
      <c r="AJ8">
        <v>98133</v>
      </c>
      <c r="AK8" t="s">
        <v>34</v>
      </c>
      <c r="AL8" t="s">
        <v>109</v>
      </c>
      <c r="AM8" t="s">
        <v>35</v>
      </c>
      <c r="AO8">
        <v>0.121</v>
      </c>
      <c r="AP8" t="s">
        <v>110</v>
      </c>
      <c r="AQ8">
        <v>505</v>
      </c>
      <c r="AR8" t="s">
        <v>111</v>
      </c>
      <c r="AS8" t="s">
        <v>112</v>
      </c>
      <c r="AT8">
        <v>3</v>
      </c>
      <c r="AW8" s="17"/>
      <c r="AX8">
        <f t="shared" ca="1" si="0"/>
        <v>28</v>
      </c>
      <c r="AZ8" s="9">
        <v>39405</v>
      </c>
    </row>
    <row r="9" spans="1:52">
      <c r="A9">
        <v>27130666</v>
      </c>
      <c r="B9" s="4" t="str">
        <f>HYPERLINK("http://locmedia.nwmls.com/DO_NOT_LINK/bigphoto/666/27130666.jpg?tsp=20071029072125","Active")</f>
        <v>Active</v>
      </c>
      <c r="C9">
        <v>710</v>
      </c>
      <c r="D9" t="s">
        <v>656</v>
      </c>
      <c r="E9" t="s">
        <v>776</v>
      </c>
      <c r="F9" s="5">
        <v>479950</v>
      </c>
      <c r="G9" t="s">
        <v>413</v>
      </c>
      <c r="H9">
        <v>1800</v>
      </c>
      <c r="I9">
        <v>5000</v>
      </c>
      <c r="J9">
        <v>5</v>
      </c>
      <c r="K9">
        <v>1.75</v>
      </c>
      <c r="L9">
        <v>1</v>
      </c>
      <c r="M9" s="4" t="str">
        <f>HYPERLINK("http://locsearch.nwmls.com//ReturnMap.aspx?hidMLS=NWML&amp;VHW=47.685146:-122.290600:.25:&amp;Z=4&amp;H=300&amp;W=400&amp;PP=47.685146:-122.290600:1:027130666","Map")</f>
        <v>Map</v>
      </c>
      <c r="N9" s="4" t="str">
        <f>HYPERLINK("http://locmedia.nwmls.com/DO_NOT_LINK/bigphoto/666/27130666.jpg?tsp=20071029072125","Photo")</f>
        <v>Photo</v>
      </c>
      <c r="O9" s="4" t="str">
        <f>HYPERLINK("http://locator.nwmls.com/scripts/mgrqispi.dll?APPNAME=Locator&amp;PRGNAME=MLSPictureDescriptions&amp;ARGUMENTS=-N268127191,-N27130666,-AE","More")</f>
        <v>More</v>
      </c>
      <c r="P9" t="s">
        <v>41</v>
      </c>
      <c r="Q9" t="s">
        <v>56</v>
      </c>
      <c r="R9" t="s">
        <v>95</v>
      </c>
      <c r="S9" t="s">
        <v>43</v>
      </c>
      <c r="T9" t="s">
        <v>44</v>
      </c>
      <c r="V9" s="6" t="s">
        <v>59</v>
      </c>
      <c r="X9" t="s">
        <v>27</v>
      </c>
      <c r="Y9" t="s">
        <v>28</v>
      </c>
      <c r="Z9" t="s">
        <v>176</v>
      </c>
      <c r="AB9">
        <v>2007</v>
      </c>
      <c r="AC9">
        <v>2799</v>
      </c>
      <c r="AD9" t="s">
        <v>777</v>
      </c>
      <c r="AE9" t="s">
        <v>778</v>
      </c>
      <c r="AF9" t="s">
        <v>779</v>
      </c>
      <c r="AG9">
        <v>47.685146000000003</v>
      </c>
      <c r="AH9">
        <v>-122.2906</v>
      </c>
      <c r="AI9" t="s">
        <v>33</v>
      </c>
      <c r="AJ9">
        <v>98115</v>
      </c>
      <c r="AK9" t="s">
        <v>34</v>
      </c>
      <c r="AL9" t="s">
        <v>780</v>
      </c>
      <c r="AM9" t="s">
        <v>35</v>
      </c>
      <c r="AO9">
        <v>0.115</v>
      </c>
      <c r="AP9" t="s">
        <v>781</v>
      </c>
      <c r="AQ9">
        <v>535</v>
      </c>
      <c r="AR9" t="s">
        <v>196</v>
      </c>
      <c r="AS9" t="s">
        <v>782</v>
      </c>
      <c r="AT9">
        <v>3</v>
      </c>
      <c r="AU9" t="s">
        <v>908</v>
      </c>
      <c r="AW9" s="17"/>
      <c r="AX9">
        <f t="shared" ca="1" si="0"/>
        <v>25</v>
      </c>
      <c r="AZ9" s="9">
        <v>39408</v>
      </c>
    </row>
    <row r="10" spans="1:52">
      <c r="A10">
        <v>27131523</v>
      </c>
      <c r="B10" s="4" t="str">
        <f>HYPERLINK("http://locmedia.nwmls.com/DO_NOT_LINK/bigphoto/523/27131523.jpg?tsp=20070726161848","Active")</f>
        <v>Active</v>
      </c>
      <c r="C10">
        <v>705</v>
      </c>
      <c r="D10" t="s">
        <v>66</v>
      </c>
      <c r="E10" t="s">
        <v>533</v>
      </c>
      <c r="F10" s="5">
        <v>499950</v>
      </c>
      <c r="G10" t="s">
        <v>94</v>
      </c>
      <c r="H10">
        <v>2590</v>
      </c>
      <c r="I10">
        <v>6480</v>
      </c>
      <c r="J10">
        <v>4</v>
      </c>
      <c r="K10">
        <v>1.75</v>
      </c>
      <c r="L10">
        <v>1</v>
      </c>
      <c r="M10" s="4" t="str">
        <f>HYPERLINK("http://locsearch.nwmls.com//ReturnMap.aspx?hidMLS=NWML&amp;VHW=47.693429:-122.328400:.25:&amp;Z=4&amp;H=300&amp;W=400&amp;PP=47.693429:-122.328400:1:027131523","Map")</f>
        <v>Map</v>
      </c>
      <c r="N10" s="4" t="str">
        <f>HYPERLINK("http://locmedia.nwmls.com/DO_NOT_LINK/bigphoto/523/27131523.jpg?tsp=20070726161848","Photo")</f>
        <v>Photo</v>
      </c>
      <c r="O10" s="4" t="str">
        <f>HYPERLINK("http://locator.nwmls.com/scripts/mgrqispi.dll?APPNAME=Locator&amp;PRGNAME=MLSPictureDescriptions&amp;ARGUMENTS=-N300606369,-N27131523,-AE","More")</f>
        <v>More</v>
      </c>
      <c r="P10" t="s">
        <v>41</v>
      </c>
      <c r="Q10" t="s">
        <v>167</v>
      </c>
      <c r="R10" t="s">
        <v>95</v>
      </c>
      <c r="S10" t="s">
        <v>199</v>
      </c>
      <c r="T10" t="s">
        <v>129</v>
      </c>
      <c r="U10" t="s">
        <v>26</v>
      </c>
      <c r="V10" t="s">
        <v>534</v>
      </c>
      <c r="X10" t="s">
        <v>27</v>
      </c>
      <c r="Y10" t="s">
        <v>28</v>
      </c>
      <c r="Z10" t="s">
        <v>96</v>
      </c>
      <c r="AA10" t="s">
        <v>535</v>
      </c>
      <c r="AB10">
        <v>2007</v>
      </c>
      <c r="AC10">
        <v>3587</v>
      </c>
      <c r="AD10" t="s">
        <v>536</v>
      </c>
      <c r="AE10" t="s">
        <v>121</v>
      </c>
      <c r="AF10" t="s">
        <v>537</v>
      </c>
      <c r="AG10">
        <v>47.693429000000002</v>
      </c>
      <c r="AH10">
        <v>-122.3284</v>
      </c>
      <c r="AI10" t="s">
        <v>33</v>
      </c>
      <c r="AJ10">
        <v>98115</v>
      </c>
      <c r="AK10" t="s">
        <v>34</v>
      </c>
      <c r="AL10" t="s">
        <v>35</v>
      </c>
      <c r="AM10" t="s">
        <v>35</v>
      </c>
      <c r="AO10">
        <v>0.14899999999999999</v>
      </c>
      <c r="AP10" t="s">
        <v>538</v>
      </c>
      <c r="AQ10">
        <v>535</v>
      </c>
      <c r="AR10" t="s">
        <v>539</v>
      </c>
      <c r="AS10" t="s">
        <v>540</v>
      </c>
      <c r="AT10">
        <v>2</v>
      </c>
      <c r="AU10" t="s">
        <v>909</v>
      </c>
      <c r="AW10" s="17"/>
      <c r="AX10">
        <f t="shared" ca="1" si="0"/>
        <v>28</v>
      </c>
      <c r="AZ10" s="9">
        <v>39405</v>
      </c>
    </row>
    <row r="11" spans="1:52">
      <c r="A11">
        <v>27131889</v>
      </c>
      <c r="B11" s="13" t="str">
        <f>HYPERLINK("http://locmedia.nwmls.com/DO_NOT_LINK/bigphoto/889/27131889.jpg?tsp=20071020134308","Cancelled")</f>
        <v>Cancelled</v>
      </c>
      <c r="C11">
        <v>705</v>
      </c>
      <c r="D11" t="s">
        <v>361</v>
      </c>
      <c r="E11" t="s">
        <v>412</v>
      </c>
      <c r="F11" s="5">
        <v>475000</v>
      </c>
      <c r="G11" t="s">
        <v>413</v>
      </c>
      <c r="H11">
        <v>1540</v>
      </c>
      <c r="I11">
        <v>3740</v>
      </c>
      <c r="J11">
        <v>4</v>
      </c>
      <c r="K11">
        <v>2</v>
      </c>
      <c r="L11">
        <v>1</v>
      </c>
      <c r="M11" s="4" t="str">
        <f>HYPERLINK("http://locsearch.nwmls.com//ReturnMap.aspx?hidMLS=NWML&amp;VHW=47.688740:-122.374946:.25:&amp;Z=4&amp;H=300&amp;W=400&amp;PP=47.688740:-122.374946:1:027131889","Map")</f>
        <v>Map</v>
      </c>
      <c r="N11" s="4" t="str">
        <f>HYPERLINK("http://locmedia.nwmls.com/DO_NOT_LINK/bigphoto/889/27131889.jpg?tsp=20071020134308","Photo")</f>
        <v>Photo</v>
      </c>
      <c r="O11" s="4" t="str">
        <f>HYPERLINK("http://locator.nwmls.com/scripts/mgrqispi.dll?APPNAME=Locator&amp;PRGNAME=MLSPictureDescriptions&amp;ARGUMENTS=-N300606369,-N27131889,-AE","More")</f>
        <v>More</v>
      </c>
      <c r="Q11" t="s">
        <v>56</v>
      </c>
      <c r="R11" t="s">
        <v>116</v>
      </c>
      <c r="S11" t="s">
        <v>58</v>
      </c>
      <c r="T11" t="s">
        <v>72</v>
      </c>
      <c r="U11" t="s">
        <v>26</v>
      </c>
      <c r="V11" s="6" t="s">
        <v>59</v>
      </c>
      <c r="X11" t="s">
        <v>27</v>
      </c>
      <c r="Y11" t="s">
        <v>28</v>
      </c>
      <c r="Z11" t="s">
        <v>29</v>
      </c>
      <c r="AA11" t="s">
        <v>414</v>
      </c>
      <c r="AB11">
        <v>2007</v>
      </c>
      <c r="AC11">
        <v>3485</v>
      </c>
      <c r="AD11" t="s">
        <v>415</v>
      </c>
      <c r="AF11" t="s">
        <v>416</v>
      </c>
      <c r="AG11" s="12">
        <v>47.688740000000003</v>
      </c>
      <c r="AH11">
        <v>-122.37494599999999</v>
      </c>
      <c r="AI11" t="s">
        <v>33</v>
      </c>
      <c r="AJ11">
        <v>98117</v>
      </c>
      <c r="AK11" t="s">
        <v>34</v>
      </c>
      <c r="AL11" t="s">
        <v>35</v>
      </c>
      <c r="AM11" t="s">
        <v>35</v>
      </c>
      <c r="AO11">
        <v>8.5999999999999993E-2</v>
      </c>
      <c r="AP11" t="s">
        <v>417</v>
      </c>
      <c r="AQ11">
        <v>534</v>
      </c>
      <c r="AR11" t="s">
        <v>371</v>
      </c>
      <c r="AS11" s="12" t="s">
        <v>1005</v>
      </c>
      <c r="AT11">
        <v>1</v>
      </c>
      <c r="AW11" s="17"/>
      <c r="AX11">
        <f t="shared" ca="1" si="0"/>
        <v>28</v>
      </c>
      <c r="AZ11" s="9">
        <v>39405</v>
      </c>
    </row>
    <row r="12" spans="1:52">
      <c r="A12">
        <v>27132490</v>
      </c>
      <c r="B12" s="4" t="str">
        <f>HYPERLINK("http://locmedia.nwmls.com/DO_NOT_LINK/bigphoto/490/27132490.jpg?tsp=20071017092645","Active")</f>
        <v>Active</v>
      </c>
      <c r="C12">
        <v>710</v>
      </c>
      <c r="D12" t="s">
        <v>624</v>
      </c>
      <c r="E12" t="s">
        <v>625</v>
      </c>
      <c r="F12" s="5">
        <v>399000</v>
      </c>
      <c r="G12" t="s">
        <v>626</v>
      </c>
      <c r="H12">
        <v>1850</v>
      </c>
      <c r="I12">
        <v>9804</v>
      </c>
      <c r="J12">
        <v>3</v>
      </c>
      <c r="K12">
        <v>1</v>
      </c>
      <c r="L12">
        <v>1</v>
      </c>
      <c r="M12" s="4" t="str">
        <f>HYPERLINK("http://locsearch.nwmls.com//ReturnMap.aspx?hidMLS=NWML&amp;VHW=47.719401:-122.310001:.25:&amp;Z=4&amp;H=300&amp;W=400&amp;PP=47.719401:-122.310001:1:027132490","Map")</f>
        <v>Map</v>
      </c>
      <c r="N12" s="4" t="str">
        <f>HYPERLINK("http://locmedia.nwmls.com/DO_NOT_LINK/bigphoto/490/27132490.jpg?tsp=20071017092645","Photo")</f>
        <v>Photo</v>
      </c>
      <c r="O12" s="4" t="str">
        <f>HYPERLINK("http://locator.nwmls.com/scripts/mgrqispi.dll?APPNAME=Locator&amp;PRGNAME=MLSPictureDescriptions&amp;ARGUMENTS=-N268127191,-N27132490,-AE","More")</f>
        <v>More</v>
      </c>
      <c r="P12" t="s">
        <v>604</v>
      </c>
      <c r="Q12" t="s">
        <v>56</v>
      </c>
      <c r="R12" t="s">
        <v>116</v>
      </c>
      <c r="S12" t="s">
        <v>627</v>
      </c>
      <c r="T12" t="s">
        <v>300</v>
      </c>
      <c r="U12" t="s">
        <v>26</v>
      </c>
      <c r="V12" s="6" t="s">
        <v>59</v>
      </c>
      <c r="X12" t="s">
        <v>27</v>
      </c>
      <c r="Y12" t="s">
        <v>28</v>
      </c>
      <c r="Z12" t="s">
        <v>176</v>
      </c>
      <c r="AB12">
        <v>2006</v>
      </c>
      <c r="AC12">
        <v>3700</v>
      </c>
      <c r="AD12" t="s">
        <v>628</v>
      </c>
      <c r="AE12" t="s">
        <v>629</v>
      </c>
      <c r="AF12" t="s">
        <v>630</v>
      </c>
      <c r="AG12">
        <v>47.719400999999998</v>
      </c>
      <c r="AH12">
        <v>-122.310001</v>
      </c>
      <c r="AI12" t="s">
        <v>33</v>
      </c>
      <c r="AJ12">
        <v>98125</v>
      </c>
      <c r="AK12" t="s">
        <v>34</v>
      </c>
      <c r="AL12" t="s">
        <v>35</v>
      </c>
      <c r="AM12" t="s">
        <v>35</v>
      </c>
      <c r="AO12">
        <v>0.22500000000000001</v>
      </c>
      <c r="AP12" t="s">
        <v>631</v>
      </c>
      <c r="AQ12">
        <v>505</v>
      </c>
      <c r="AR12" t="s">
        <v>632</v>
      </c>
      <c r="AS12" t="s">
        <v>633</v>
      </c>
      <c r="AT12">
        <v>2</v>
      </c>
      <c r="AU12" t="s">
        <v>910</v>
      </c>
      <c r="AW12" s="17"/>
      <c r="AX12">
        <f t="shared" ca="1" si="0"/>
        <v>25</v>
      </c>
      <c r="AZ12" s="9">
        <v>39408</v>
      </c>
    </row>
    <row r="13" spans="1:52">
      <c r="A13">
        <v>27133411</v>
      </c>
      <c r="B13" s="4" t="str">
        <f>HYPERLINK("http://locmedia.nwmls.com/DO_NOT_LINK/bigphoto/411/27133411.jpg?tsp=20070723091220","Active")</f>
        <v>Active</v>
      </c>
      <c r="C13">
        <v>710</v>
      </c>
      <c r="D13" t="s">
        <v>634</v>
      </c>
      <c r="E13" t="s">
        <v>635</v>
      </c>
      <c r="F13" s="5">
        <v>399000</v>
      </c>
      <c r="G13" t="s">
        <v>138</v>
      </c>
      <c r="H13">
        <v>1030</v>
      </c>
      <c r="I13">
        <v>8385</v>
      </c>
      <c r="J13">
        <v>3</v>
      </c>
      <c r="K13">
        <v>1</v>
      </c>
      <c r="L13">
        <v>1</v>
      </c>
      <c r="M13" s="4" t="str">
        <f>HYPERLINK("http://locsearch.nwmls.com//ReturnMap.aspx?hidMLS=NWML&amp;VHW=47.709699:-122.292100:.25:&amp;Z=4&amp;H=300&amp;W=400&amp;PP=47.709699:-122.292100:1:027133411","Map")</f>
        <v>Map</v>
      </c>
      <c r="N13" s="4" t="str">
        <f>HYPERLINK("http://locmedia.nwmls.com/DO_NOT_LINK/bigphoto/411/27133411.jpg?tsp=20070723091220","Photo")</f>
        <v>Photo</v>
      </c>
      <c r="O13" s="4" t="str">
        <f>HYPERLINK("http://locator.nwmls.com/scripts/mgrqispi.dll?APPNAME=Locator&amp;PRGNAME=MLSPictureDescriptions&amp;ARGUMENTS=-N268127191,-N27133411,-AE","More")</f>
        <v>More</v>
      </c>
      <c r="P13" t="s">
        <v>41</v>
      </c>
      <c r="Q13" t="s">
        <v>56</v>
      </c>
      <c r="R13" t="s">
        <v>57</v>
      </c>
      <c r="S13" t="s">
        <v>43</v>
      </c>
      <c r="T13" t="s">
        <v>129</v>
      </c>
      <c r="U13" t="s">
        <v>26</v>
      </c>
      <c r="V13" s="6" t="s">
        <v>59</v>
      </c>
      <c r="W13" t="s">
        <v>17</v>
      </c>
      <c r="X13" t="s">
        <v>27</v>
      </c>
      <c r="Y13" t="s">
        <v>28</v>
      </c>
      <c r="Z13" t="s">
        <v>405</v>
      </c>
      <c r="AA13" t="s">
        <v>636</v>
      </c>
      <c r="AB13">
        <v>2007</v>
      </c>
      <c r="AC13">
        <v>2613</v>
      </c>
      <c r="AD13" t="s">
        <v>637</v>
      </c>
      <c r="AE13" t="s">
        <v>638</v>
      </c>
      <c r="AF13" t="s">
        <v>639</v>
      </c>
      <c r="AG13">
        <v>47.709699000000001</v>
      </c>
      <c r="AH13">
        <v>-122.2921</v>
      </c>
      <c r="AI13" t="s">
        <v>33</v>
      </c>
      <c r="AJ13">
        <v>98125</v>
      </c>
      <c r="AK13" t="s">
        <v>34</v>
      </c>
      <c r="AL13">
        <v>8</v>
      </c>
      <c r="AM13" t="s">
        <v>35</v>
      </c>
      <c r="AO13">
        <v>0.192</v>
      </c>
      <c r="AP13" t="s">
        <v>640</v>
      </c>
      <c r="AQ13">
        <v>505</v>
      </c>
      <c r="AR13" t="s">
        <v>641</v>
      </c>
      <c r="AS13" t="s">
        <v>642</v>
      </c>
      <c r="AT13">
        <v>2</v>
      </c>
      <c r="AU13" t="s">
        <v>911</v>
      </c>
      <c r="AW13" s="17"/>
      <c r="AX13">
        <f t="shared" ca="1" si="0"/>
        <v>25</v>
      </c>
      <c r="AZ13" s="9">
        <v>39408</v>
      </c>
    </row>
    <row r="14" spans="1:52">
      <c r="A14">
        <v>27139740</v>
      </c>
      <c r="B14" s="13" t="str">
        <f>HYPERLINK("http://locmedia.nwmls.com/DO_NOT_LINK/bigphoto/740/27139740.jpg?tsp=20070803112108","Cancelled")</f>
        <v>Cancelled</v>
      </c>
      <c r="C14">
        <v>710</v>
      </c>
      <c r="D14" t="s">
        <v>634</v>
      </c>
      <c r="E14" t="s">
        <v>737</v>
      </c>
      <c r="F14" s="5">
        <v>470000</v>
      </c>
      <c r="G14" t="s">
        <v>546</v>
      </c>
      <c r="H14">
        <v>2540</v>
      </c>
      <c r="I14">
        <v>4950</v>
      </c>
      <c r="J14">
        <v>3</v>
      </c>
      <c r="K14">
        <v>3</v>
      </c>
      <c r="L14">
        <v>2</v>
      </c>
      <c r="M14" s="4" t="str">
        <f>HYPERLINK("http://locsearch.nwmls.com//ReturnMap.aspx?hidMLS=NWML&amp;VHW=47.713189:-122.294954:.25:&amp;Z=4&amp;H=300&amp;W=400&amp;PP=47.713189:-122.294954:1:027139740","Map")</f>
        <v>Map</v>
      </c>
      <c r="N14" s="4" t="str">
        <f>HYPERLINK("http://locmedia.nwmls.com/DO_NOT_LINK/bigphoto/740/27139740.jpg?tsp=20070803112108","Photo")</f>
        <v>Photo</v>
      </c>
      <c r="O14" s="4" t="str">
        <f>HYPERLINK("http://locator.nwmls.com/scripts/mgrqispi.dll?APPNAME=Locator&amp;PRGNAME=MLSPictureDescriptions&amp;ARGUMENTS=-N268127191,-N27139740,-AE","More")</f>
        <v>More</v>
      </c>
      <c r="Q14" t="s">
        <v>167</v>
      </c>
      <c r="R14" t="s">
        <v>429</v>
      </c>
      <c r="S14" t="s">
        <v>475</v>
      </c>
      <c r="T14" t="s">
        <v>129</v>
      </c>
      <c r="U14" t="s">
        <v>26</v>
      </c>
      <c r="V14" s="6" t="s">
        <v>59</v>
      </c>
      <c r="X14" t="s">
        <v>27</v>
      </c>
      <c r="Y14" t="s">
        <v>28</v>
      </c>
      <c r="Z14" t="s">
        <v>430</v>
      </c>
      <c r="AB14">
        <v>2006</v>
      </c>
      <c r="AC14">
        <v>3200</v>
      </c>
      <c r="AD14" t="s">
        <v>738</v>
      </c>
      <c r="AE14" t="s">
        <v>739</v>
      </c>
      <c r="AF14" t="s">
        <v>740</v>
      </c>
      <c r="AG14">
        <v>47.713189</v>
      </c>
      <c r="AH14">
        <v>-122.294954</v>
      </c>
      <c r="AI14" t="s">
        <v>33</v>
      </c>
      <c r="AJ14">
        <v>98125</v>
      </c>
      <c r="AK14" t="s">
        <v>34</v>
      </c>
      <c r="AL14" t="s">
        <v>35</v>
      </c>
      <c r="AM14" t="s">
        <v>35</v>
      </c>
      <c r="AO14">
        <v>0.114</v>
      </c>
      <c r="AP14" t="s">
        <v>741</v>
      </c>
      <c r="AQ14">
        <v>505</v>
      </c>
      <c r="AR14" t="s">
        <v>742</v>
      </c>
      <c r="AS14" t="s">
        <v>743</v>
      </c>
      <c r="AT14">
        <v>2</v>
      </c>
      <c r="AU14" t="s">
        <v>912</v>
      </c>
      <c r="AW14" s="17"/>
      <c r="AX14">
        <f t="shared" ca="1" si="0"/>
        <v>25</v>
      </c>
      <c r="AZ14" s="9">
        <v>39408</v>
      </c>
    </row>
    <row r="15" spans="1:52">
      <c r="A15">
        <v>27147967</v>
      </c>
      <c r="B15" s="13" t="str">
        <f>HYPERLINK("http://locmedia.nwmls.com/DO_NOT_LINK/bigphoto/967/27147967.jpg?tsp=20071024153813","Expired")</f>
        <v>Expired</v>
      </c>
      <c r="C15">
        <v>705</v>
      </c>
      <c r="D15" t="s">
        <v>224</v>
      </c>
      <c r="E15" t="s">
        <v>260</v>
      </c>
      <c r="F15" s="5">
        <v>449500</v>
      </c>
      <c r="G15" t="s">
        <v>261</v>
      </c>
      <c r="H15">
        <v>1730</v>
      </c>
      <c r="I15">
        <v>3500</v>
      </c>
      <c r="J15">
        <v>2</v>
      </c>
      <c r="K15">
        <v>1</v>
      </c>
      <c r="L15">
        <v>1</v>
      </c>
      <c r="M15" s="4" t="str">
        <f>HYPERLINK("http://locsearch.nwmls.com//ReturnMap.aspx?hidMLS=NWML&amp;VHW=47.675854:-122.358501:.25:&amp;Z=4&amp;H=300&amp;W=400&amp;PP=47.675854:-122.358501:1:027147967","Map")</f>
        <v>Map</v>
      </c>
      <c r="N15" s="4" t="str">
        <f>HYPERLINK("http://locmedia.nwmls.com/DO_NOT_LINK/bigphoto/967/27147967.jpg?tsp=20071024153813","Photo")</f>
        <v>Photo</v>
      </c>
      <c r="O15" s="4" t="str">
        <f>HYPERLINK("http://locator.nwmls.com/scripts/mgrqispi.dll?APPNAME=Locator&amp;PRGNAME=MLSPictureDescriptions&amp;ARGUMENTS=-N300606369,-N27147967,-AE","More")</f>
        <v>More</v>
      </c>
      <c r="P15" t="s">
        <v>262</v>
      </c>
      <c r="Q15" t="s">
        <v>42</v>
      </c>
      <c r="R15" t="s">
        <v>23</v>
      </c>
      <c r="S15" t="s">
        <v>199</v>
      </c>
      <c r="T15" t="s">
        <v>263</v>
      </c>
      <c r="V15" s="6" t="s">
        <v>59</v>
      </c>
      <c r="X15" t="s">
        <v>27</v>
      </c>
      <c r="Y15" t="s">
        <v>28</v>
      </c>
      <c r="Z15" t="s">
        <v>150</v>
      </c>
      <c r="AA15" t="s">
        <v>264</v>
      </c>
      <c r="AB15">
        <v>2007</v>
      </c>
      <c r="AC15">
        <v>3476</v>
      </c>
      <c r="AD15" t="s">
        <v>265</v>
      </c>
      <c r="AF15" t="s">
        <v>266</v>
      </c>
      <c r="AG15">
        <v>47.675854000000001</v>
      </c>
      <c r="AH15">
        <v>-122.358501</v>
      </c>
      <c r="AI15" t="s">
        <v>33</v>
      </c>
      <c r="AJ15">
        <v>98107</v>
      </c>
      <c r="AK15" t="s">
        <v>34</v>
      </c>
      <c r="AL15" t="s">
        <v>35</v>
      </c>
      <c r="AM15" t="s">
        <v>35</v>
      </c>
      <c r="AO15">
        <v>0.08</v>
      </c>
      <c r="AP15" t="s">
        <v>267</v>
      </c>
      <c r="AQ15">
        <v>534</v>
      </c>
      <c r="AR15" t="s">
        <v>172</v>
      </c>
      <c r="AS15" t="s">
        <v>268</v>
      </c>
      <c r="AT15">
        <v>1</v>
      </c>
      <c r="AU15" t="s">
        <v>913</v>
      </c>
      <c r="AW15" s="17"/>
      <c r="AX15">
        <f t="shared" ca="1" si="0"/>
        <v>28</v>
      </c>
      <c r="AZ15" s="9">
        <v>39405</v>
      </c>
    </row>
    <row r="16" spans="1:52">
      <c r="A16">
        <v>27151323</v>
      </c>
      <c r="B16" s="13" t="str">
        <f>HYPERLINK("http://locmedia.nwmls.com/DO_NOT_LINK/bigphoto/323/27151323.jpg?tsp=20070817134438","Expired")</f>
        <v>Expired</v>
      </c>
      <c r="C16">
        <v>705</v>
      </c>
      <c r="D16" t="s">
        <v>81</v>
      </c>
      <c r="E16" t="s">
        <v>269</v>
      </c>
      <c r="F16" s="5">
        <v>449950</v>
      </c>
      <c r="G16" t="s">
        <v>270</v>
      </c>
      <c r="H16">
        <v>1130</v>
      </c>
      <c r="I16">
        <v>5400</v>
      </c>
      <c r="J16">
        <v>2</v>
      </c>
      <c r="K16">
        <v>2.25</v>
      </c>
      <c r="L16">
        <v>1</v>
      </c>
      <c r="M16" s="4" t="str">
        <f>HYPERLINK("http://locsearch.nwmls.com//ReturnMap.aspx?hidMLS=NWML&amp;VHW=47.699514:-122.363400:.25:&amp;Z=4&amp;H=300&amp;W=400&amp;PP=47.699514:-122.363400:1:027151323","Map")</f>
        <v>Map</v>
      </c>
      <c r="N16" s="4" t="str">
        <f>HYPERLINK("http://locmedia.nwmls.com/DO_NOT_LINK/bigphoto/323/27151323.jpg?tsp=20070817134438","Photo")</f>
        <v>Photo</v>
      </c>
      <c r="O16" s="4" t="str">
        <f>HYPERLINK("http://locator.nwmls.com/scripts/mgrqispi.dll?APPNAME=Locator&amp;PRGNAME=MLSPictureDescriptions&amp;ARGUMENTS=-N300606369,-N27151323,-AE","More")</f>
        <v>More</v>
      </c>
      <c r="Q16" t="s">
        <v>167</v>
      </c>
      <c r="R16" t="s">
        <v>57</v>
      </c>
      <c r="S16" t="s">
        <v>271</v>
      </c>
      <c r="U16" t="s">
        <v>26</v>
      </c>
      <c r="X16" t="s">
        <v>27</v>
      </c>
      <c r="Y16" t="s">
        <v>28</v>
      </c>
      <c r="Z16" t="s">
        <v>272</v>
      </c>
      <c r="AB16">
        <v>2007</v>
      </c>
      <c r="AC16">
        <v>2752</v>
      </c>
      <c r="AD16" t="s">
        <v>273</v>
      </c>
      <c r="AE16" t="s">
        <v>274</v>
      </c>
      <c r="AF16" t="s">
        <v>275</v>
      </c>
      <c r="AG16">
        <v>47.699514000000001</v>
      </c>
      <c r="AH16">
        <v>-122.3634</v>
      </c>
      <c r="AI16" t="s">
        <v>33</v>
      </c>
      <c r="AJ16">
        <v>98117</v>
      </c>
      <c r="AK16" t="s">
        <v>34</v>
      </c>
      <c r="AL16" t="s">
        <v>35</v>
      </c>
      <c r="AM16" t="s">
        <v>35</v>
      </c>
      <c r="AO16">
        <v>0.124</v>
      </c>
      <c r="AP16" t="s">
        <v>276</v>
      </c>
      <c r="AQ16">
        <v>504</v>
      </c>
      <c r="AR16" t="s">
        <v>277</v>
      </c>
      <c r="AS16" t="s">
        <v>278</v>
      </c>
      <c r="AT16">
        <v>2</v>
      </c>
      <c r="AW16" s="17"/>
      <c r="AX16">
        <f t="shared" ca="1" si="0"/>
        <v>28</v>
      </c>
      <c r="AZ16" s="9">
        <v>39405</v>
      </c>
    </row>
    <row r="17" spans="1:52">
      <c r="A17">
        <v>27151470</v>
      </c>
      <c r="B17" s="4" t="str">
        <f>HYPERLINK("http://locmedia.nwmls.com/DO_NOT_LINK/bigphoto/470/27151470.jpg?tsp=20070817140628","Cancelled")</f>
        <v>Cancelled</v>
      </c>
      <c r="C17">
        <v>705</v>
      </c>
      <c r="D17" t="s">
        <v>113</v>
      </c>
      <c r="E17" t="s">
        <v>603</v>
      </c>
      <c r="F17" s="5">
        <v>499000</v>
      </c>
      <c r="G17" t="s">
        <v>596</v>
      </c>
      <c r="H17">
        <v>2980</v>
      </c>
      <c r="I17">
        <v>7767</v>
      </c>
      <c r="J17">
        <v>4</v>
      </c>
      <c r="K17">
        <v>1</v>
      </c>
      <c r="L17">
        <v>1</v>
      </c>
      <c r="M17" s="4" t="str">
        <f>HYPERLINK("http://locsearch.nwmls.com//ReturnMap.aspx?hidMLS=NWML&amp;VHW=47.708552:-122.356800:.25:&amp;Z=4&amp;H=300&amp;W=400&amp;PP=47.708552:-122.356800:1:027151470","Map")</f>
        <v>Map</v>
      </c>
      <c r="N17" s="4" t="str">
        <f>HYPERLINK("http://locmedia.nwmls.com/DO_NOT_LINK/bigphoto/470/27151470.jpg?tsp=20070817140628","Photo")</f>
        <v>Photo</v>
      </c>
      <c r="O17" s="4" t="str">
        <f>HYPERLINK("http://locator.nwmls.com/scripts/mgrqispi.dll?APPNAME=Locator&amp;PRGNAME=MLSPictureDescriptions&amp;ARGUMENTS=-N300606369,-N27151470,-AE","More")</f>
        <v>More</v>
      </c>
      <c r="P17" t="s">
        <v>604</v>
      </c>
      <c r="Q17" t="s">
        <v>56</v>
      </c>
      <c r="R17" t="s">
        <v>116</v>
      </c>
      <c r="S17" t="s">
        <v>605</v>
      </c>
      <c r="T17" t="s">
        <v>300</v>
      </c>
      <c r="V17" s="6" t="s">
        <v>59</v>
      </c>
      <c r="X17" t="s">
        <v>27</v>
      </c>
      <c r="Y17" t="s">
        <v>28</v>
      </c>
      <c r="Z17" t="s">
        <v>606</v>
      </c>
      <c r="AA17" t="s">
        <v>607</v>
      </c>
      <c r="AB17">
        <v>2006</v>
      </c>
      <c r="AC17">
        <v>3764</v>
      </c>
      <c r="AD17" t="s">
        <v>608</v>
      </c>
      <c r="AE17" t="s">
        <v>121</v>
      </c>
      <c r="AF17" t="s">
        <v>122</v>
      </c>
      <c r="AG17">
        <v>47.708551999999997</v>
      </c>
      <c r="AH17">
        <v>-122.35680000000001</v>
      </c>
      <c r="AI17" t="s">
        <v>33</v>
      </c>
      <c r="AJ17">
        <v>98133</v>
      </c>
      <c r="AK17" t="s">
        <v>34</v>
      </c>
      <c r="AL17" t="s">
        <v>35</v>
      </c>
      <c r="AM17" t="s">
        <v>35</v>
      </c>
      <c r="AO17">
        <v>0.17799999999999999</v>
      </c>
      <c r="AP17" t="s">
        <v>609</v>
      </c>
      <c r="AQ17">
        <v>504</v>
      </c>
      <c r="AR17" t="s">
        <v>64</v>
      </c>
      <c r="AS17" t="s">
        <v>610</v>
      </c>
      <c r="AT17">
        <v>2</v>
      </c>
      <c r="AU17" t="s">
        <v>914</v>
      </c>
      <c r="AW17" s="17"/>
      <c r="AX17">
        <f t="shared" ca="1" si="0"/>
        <v>28</v>
      </c>
      <c r="AZ17" s="9">
        <v>39405</v>
      </c>
    </row>
    <row r="18" spans="1:52">
      <c r="A18">
        <v>27154608</v>
      </c>
      <c r="B18" s="13" t="str">
        <f>HYPERLINK("http://locmedia.nwmls.com/DO_NOT_LINK/bigphoto/608/27154608.jpg?tsp=20070823100838","Cancelled")</f>
        <v>Cancelled</v>
      </c>
      <c r="C18">
        <v>710</v>
      </c>
      <c r="D18" t="s">
        <v>649</v>
      </c>
      <c r="E18" t="s">
        <v>790</v>
      </c>
      <c r="F18" s="5">
        <v>485000</v>
      </c>
      <c r="G18" t="s">
        <v>226</v>
      </c>
      <c r="H18">
        <v>2840</v>
      </c>
      <c r="I18">
        <v>7548</v>
      </c>
      <c r="J18">
        <v>4</v>
      </c>
      <c r="K18">
        <v>2</v>
      </c>
      <c r="M18" s="4" t="str">
        <f>HYPERLINK("http://locsearch.nwmls.com//ReturnMap.aspx?hidMLS=NWML&amp;VHW=47.690948:-122.323000:.25:&amp;Z=4&amp;H=300&amp;W=400&amp;PP=47.690948:-122.323000:1:027154608","Map")</f>
        <v>Map</v>
      </c>
      <c r="N18" s="4" t="str">
        <f>HYPERLINK("http://locmedia.nwmls.com/DO_NOT_LINK/bigphoto/608/27154608.jpg?tsp=20070823100838","Photo")</f>
        <v>Photo</v>
      </c>
      <c r="O18" s="4" t="str">
        <f>HYPERLINK("http://locator.nwmls.com/scripts/mgrqispi.dll?APPNAME=Locator&amp;PRGNAME=MLSPictureDescriptions&amp;ARGUMENTS=-N268127191,-N27154608,-AE","More")</f>
        <v>More</v>
      </c>
      <c r="P18" t="s">
        <v>791</v>
      </c>
      <c r="Q18" t="s">
        <v>56</v>
      </c>
      <c r="R18" t="s">
        <v>95</v>
      </c>
      <c r="S18" t="s">
        <v>175</v>
      </c>
      <c r="T18" t="s">
        <v>72</v>
      </c>
      <c r="U18" t="s">
        <v>26</v>
      </c>
      <c r="X18" t="s">
        <v>27</v>
      </c>
      <c r="Y18" t="s">
        <v>28</v>
      </c>
      <c r="Z18" t="s">
        <v>184</v>
      </c>
      <c r="AA18" t="s">
        <v>18</v>
      </c>
      <c r="AB18">
        <v>2007</v>
      </c>
      <c r="AC18">
        <v>3086</v>
      </c>
      <c r="AD18" t="s">
        <v>792</v>
      </c>
      <c r="AE18" t="s">
        <v>121</v>
      </c>
      <c r="AF18" t="s">
        <v>793</v>
      </c>
      <c r="AG18">
        <v>47.690947999999999</v>
      </c>
      <c r="AH18">
        <v>-122.32299999999999</v>
      </c>
      <c r="AI18" t="s">
        <v>33</v>
      </c>
      <c r="AJ18">
        <v>98115</v>
      </c>
      <c r="AK18" t="s">
        <v>34</v>
      </c>
      <c r="AL18" t="s">
        <v>35</v>
      </c>
      <c r="AM18" t="s">
        <v>35</v>
      </c>
      <c r="AO18">
        <v>0.17299999999999999</v>
      </c>
      <c r="AP18" t="s">
        <v>794</v>
      </c>
      <c r="AQ18">
        <v>535</v>
      </c>
      <c r="AR18" t="s">
        <v>676</v>
      </c>
      <c r="AS18" t="s">
        <v>795</v>
      </c>
      <c r="AT18">
        <v>1</v>
      </c>
      <c r="AU18" t="s">
        <v>915</v>
      </c>
      <c r="AW18" s="17"/>
      <c r="AX18">
        <f t="shared" ca="1" si="0"/>
        <v>25</v>
      </c>
      <c r="AY18" t="s">
        <v>916</v>
      </c>
      <c r="AZ18" s="9">
        <v>39408</v>
      </c>
    </row>
    <row r="19" spans="1:52">
      <c r="A19">
        <v>27159537</v>
      </c>
      <c r="B19" s="4" t="str">
        <f>HYPERLINK("http://locmedia.nwmls.com/DO_NOT_LINK/bigphoto/537/27159537.jpg?tsp=20070831115009","Active")</f>
        <v>Active</v>
      </c>
      <c r="C19">
        <v>705</v>
      </c>
      <c r="D19" t="s">
        <v>66</v>
      </c>
      <c r="E19" t="s">
        <v>541</v>
      </c>
      <c r="F19" s="5">
        <v>499999</v>
      </c>
      <c r="G19" t="s">
        <v>138</v>
      </c>
      <c r="H19">
        <v>1460</v>
      </c>
      <c r="I19">
        <v>3060</v>
      </c>
      <c r="J19">
        <v>3</v>
      </c>
      <c r="K19">
        <v>1.75</v>
      </c>
      <c r="M19" s="4" t="str">
        <f>HYPERLINK("http://locsearch.nwmls.com//ReturnMap.aspx?hidMLS=NWML&amp;VHW=47.668601:-122.323785:.25:&amp;Z=4&amp;H=300&amp;W=400&amp;PP=47.668601:-122.323785:1:027159537","Map")</f>
        <v>Map</v>
      </c>
      <c r="N19" s="4" t="str">
        <f>HYPERLINK("http://locmedia.nwmls.com/DO_NOT_LINK/bigphoto/537/27159537.jpg?tsp=20070831115009","Photo")</f>
        <v>Photo</v>
      </c>
      <c r="O19" s="4" t="str">
        <f>HYPERLINK("http://locator.nwmls.com/scripts/mgrqispi.dll?APPNAME=Locator&amp;PRGNAME=MLSPictureDescriptions&amp;ARGUMENTS=-N300606369,-N27159537,-AE","More")</f>
        <v>More</v>
      </c>
      <c r="P19" t="s">
        <v>41</v>
      </c>
      <c r="Q19" t="s">
        <v>56</v>
      </c>
      <c r="R19" t="s">
        <v>116</v>
      </c>
      <c r="T19" t="s">
        <v>300</v>
      </c>
      <c r="V19" s="6" t="s">
        <v>59</v>
      </c>
      <c r="X19" t="s">
        <v>27</v>
      </c>
      <c r="Y19" t="s">
        <v>28</v>
      </c>
      <c r="Z19" t="s">
        <v>365</v>
      </c>
      <c r="AB19">
        <v>2006</v>
      </c>
      <c r="AC19">
        <v>3865</v>
      </c>
      <c r="AD19" t="s">
        <v>542</v>
      </c>
      <c r="AF19" t="s">
        <v>392</v>
      </c>
      <c r="AG19">
        <v>47.668601000000002</v>
      </c>
      <c r="AH19">
        <v>-122.323785</v>
      </c>
      <c r="AI19" t="s">
        <v>33</v>
      </c>
      <c r="AJ19">
        <v>98105</v>
      </c>
      <c r="AK19" t="s">
        <v>34</v>
      </c>
      <c r="AL19">
        <v>6</v>
      </c>
      <c r="AM19" t="s">
        <v>35</v>
      </c>
      <c r="AO19">
        <v>7.0000000000000007E-2</v>
      </c>
      <c r="AP19" t="s">
        <v>543</v>
      </c>
      <c r="AQ19">
        <v>535</v>
      </c>
      <c r="AR19" t="s">
        <v>509</v>
      </c>
      <c r="AS19" t="s">
        <v>544</v>
      </c>
      <c r="AT19">
        <v>1</v>
      </c>
      <c r="AU19" t="s">
        <v>913</v>
      </c>
      <c r="AW19" s="17"/>
      <c r="AX19">
        <f t="shared" ca="1" si="0"/>
        <v>28</v>
      </c>
      <c r="AZ19" s="9">
        <v>39405</v>
      </c>
    </row>
    <row r="20" spans="1:52">
      <c r="A20">
        <v>27161472</v>
      </c>
      <c r="B20" s="13" t="str">
        <f>HYPERLINK("http://locmedia.nwmls.com/DO_NOT_LINK/bigphoto/472/27161472.jpg?tsp=20071013160555","Expired")</f>
        <v>Expired</v>
      </c>
      <c r="C20">
        <v>710</v>
      </c>
      <c r="D20" t="s">
        <v>656</v>
      </c>
      <c r="E20" t="s">
        <v>696</v>
      </c>
      <c r="F20" s="5">
        <v>449950</v>
      </c>
      <c r="G20" t="s">
        <v>115</v>
      </c>
      <c r="H20">
        <v>1180</v>
      </c>
      <c r="I20">
        <v>5413</v>
      </c>
      <c r="J20">
        <v>3</v>
      </c>
      <c r="K20">
        <v>2</v>
      </c>
      <c r="M20" s="4" t="str">
        <f>HYPERLINK("http://locsearch.nwmls.com//ReturnMap.aspx?hidMLS=NWML&amp;VHW=47.694426:-122.301491:.25:&amp;Z=4&amp;H=300&amp;W=400&amp;PP=47.694426:-122.301491:1:027161472","Map")</f>
        <v>Map</v>
      </c>
      <c r="N20" s="4" t="str">
        <f>HYPERLINK("http://locmedia.nwmls.com/DO_NOT_LINK/bigphoto/472/27161472.jpg?tsp=20071013160555","Photo")</f>
        <v>Photo</v>
      </c>
      <c r="O20" s="4" t="str">
        <f>HYPERLINK("http://locator.nwmls.com/scripts/mgrqispi.dll?APPNAME=Locator&amp;PRGNAME=MLSPictureDescriptions&amp;ARGUMENTS=-N268127191,-N27161472,-AE","More")</f>
        <v>More</v>
      </c>
      <c r="Q20" t="s">
        <v>56</v>
      </c>
      <c r="R20" t="s">
        <v>57</v>
      </c>
      <c r="S20" t="s">
        <v>199</v>
      </c>
      <c r="T20" t="s">
        <v>25</v>
      </c>
      <c r="U20" t="s">
        <v>26</v>
      </c>
      <c r="V20" s="6" t="s">
        <v>59</v>
      </c>
      <c r="X20" t="s">
        <v>27</v>
      </c>
      <c r="Y20" t="s">
        <v>28</v>
      </c>
      <c r="Z20" t="s">
        <v>184</v>
      </c>
      <c r="AA20" t="s">
        <v>697</v>
      </c>
      <c r="AB20">
        <v>2007</v>
      </c>
      <c r="AC20">
        <v>2993</v>
      </c>
      <c r="AD20" t="s">
        <v>698</v>
      </c>
      <c r="AE20" t="s">
        <v>699</v>
      </c>
      <c r="AF20" t="s">
        <v>700</v>
      </c>
      <c r="AG20">
        <v>47.694426</v>
      </c>
      <c r="AH20">
        <v>-122.301491</v>
      </c>
      <c r="AI20" t="s">
        <v>33</v>
      </c>
      <c r="AJ20">
        <v>98115</v>
      </c>
      <c r="AK20" t="s">
        <v>34</v>
      </c>
      <c r="AL20" t="s">
        <v>701</v>
      </c>
      <c r="AM20" t="s">
        <v>35</v>
      </c>
      <c r="AO20">
        <v>0.124</v>
      </c>
      <c r="AP20" t="s">
        <v>702</v>
      </c>
      <c r="AQ20">
        <v>535</v>
      </c>
      <c r="AR20" t="s">
        <v>426</v>
      </c>
      <c r="AS20" t="s">
        <v>703</v>
      </c>
      <c r="AT20">
        <v>4</v>
      </c>
      <c r="AU20" t="s">
        <v>917</v>
      </c>
      <c r="AV20" s="9">
        <v>39329</v>
      </c>
      <c r="AW20" s="17">
        <v>82</v>
      </c>
      <c r="AX20">
        <f t="shared" ca="1" si="0"/>
        <v>104</v>
      </c>
      <c r="AY20" t="s">
        <v>916</v>
      </c>
      <c r="AZ20" s="9">
        <v>39408</v>
      </c>
    </row>
    <row r="21" spans="1:52">
      <c r="A21">
        <v>27161640</v>
      </c>
      <c r="B21" s="4" t="str">
        <f>HYPERLINK("http://locmedia.nwmls.com/DO_NOT_LINK/bigphoto/640/27161640.jpg?tsp=20070904130827","Active")</f>
        <v>Active</v>
      </c>
      <c r="C21">
        <v>705</v>
      </c>
      <c r="D21" t="s">
        <v>361</v>
      </c>
      <c r="E21" t="s">
        <v>459</v>
      </c>
      <c r="F21" s="5">
        <v>484950</v>
      </c>
      <c r="G21" t="s">
        <v>460</v>
      </c>
      <c r="H21">
        <v>0</v>
      </c>
      <c r="I21">
        <v>6930</v>
      </c>
      <c r="J21">
        <v>2</v>
      </c>
      <c r="K21">
        <v>1</v>
      </c>
      <c r="L21">
        <v>1</v>
      </c>
      <c r="M21" s="4" t="str">
        <f>HYPERLINK("http://locsearch.nwmls.com//ReturnMap.aspx?hidMLS=NWML&amp;VHW=47.704270:-122.372770:.25:&amp;Z=4&amp;H=300&amp;W=400&amp;PP=47.704270:-122.372770:1:027161640","Map")</f>
        <v>Map</v>
      </c>
      <c r="N21" s="4" t="str">
        <f>HYPERLINK("http://locmedia.nwmls.com/DO_NOT_LINK/bigphoto/640/27161640.jpg?tsp=20070904130827","Photo")</f>
        <v>Photo</v>
      </c>
      <c r="O21" s="4" t="str">
        <f>HYPERLINK("http://locator.nwmls.com/scripts/mgrqispi.dll?APPNAME=Locator&amp;PRGNAME=MLSPictureDescriptions&amp;ARGUMENTS=-N300606369,-N27161640,-AE","More")</f>
        <v>More</v>
      </c>
      <c r="Q21" t="s">
        <v>56</v>
      </c>
      <c r="R21" t="s">
        <v>95</v>
      </c>
      <c r="S21" t="s">
        <v>199</v>
      </c>
      <c r="T21" t="s">
        <v>25</v>
      </c>
      <c r="U21" t="s">
        <v>26</v>
      </c>
      <c r="V21" t="s">
        <v>380</v>
      </c>
      <c r="X21" t="s">
        <v>27</v>
      </c>
      <c r="Y21" t="s">
        <v>28</v>
      </c>
      <c r="Z21" t="s">
        <v>461</v>
      </c>
      <c r="AA21" t="s">
        <v>462</v>
      </c>
      <c r="AB21">
        <v>2007</v>
      </c>
      <c r="AC21">
        <v>2863</v>
      </c>
      <c r="AD21" t="s">
        <v>463</v>
      </c>
      <c r="AE21" t="s">
        <v>121</v>
      </c>
      <c r="AF21" t="s">
        <v>464</v>
      </c>
      <c r="AG21" s="15">
        <v>47.704270000000001</v>
      </c>
      <c r="AH21" s="15">
        <v>-122.37277</v>
      </c>
      <c r="AI21" t="s">
        <v>33</v>
      </c>
      <c r="AJ21">
        <v>98177</v>
      </c>
      <c r="AK21" t="s">
        <v>34</v>
      </c>
      <c r="AL21">
        <v>3</v>
      </c>
      <c r="AM21" t="s">
        <v>35</v>
      </c>
      <c r="AO21">
        <v>0.159</v>
      </c>
      <c r="AP21" t="s">
        <v>465</v>
      </c>
      <c r="AQ21">
        <v>504</v>
      </c>
      <c r="AR21" t="s">
        <v>466</v>
      </c>
      <c r="AS21" t="s">
        <v>467</v>
      </c>
      <c r="AT21">
        <v>4</v>
      </c>
      <c r="AV21" s="9">
        <v>39329</v>
      </c>
      <c r="AW21" s="17">
        <v>82</v>
      </c>
      <c r="AX21">
        <f t="shared" ca="1" si="0"/>
        <v>104</v>
      </c>
      <c r="AY21" t="s">
        <v>907</v>
      </c>
      <c r="AZ21" s="9">
        <v>39405</v>
      </c>
    </row>
    <row r="22" spans="1:52">
      <c r="A22">
        <v>27161705</v>
      </c>
      <c r="B22" s="4" t="str">
        <f>HYPERLINK("http://locmedia.nwmls.com/DO_NOT_LINK/bigphoto/705/27161705.jpg?tsp=20071019095934","Active")</f>
        <v>Active</v>
      </c>
      <c r="C22">
        <v>705</v>
      </c>
      <c r="D22" t="s">
        <v>81</v>
      </c>
      <c r="E22" t="s">
        <v>182</v>
      </c>
      <c r="F22" s="5">
        <v>415000</v>
      </c>
      <c r="G22" t="s">
        <v>183</v>
      </c>
      <c r="H22">
        <v>920</v>
      </c>
      <c r="I22">
        <v>0</v>
      </c>
      <c r="J22">
        <v>2</v>
      </c>
      <c r="K22">
        <v>1</v>
      </c>
      <c r="M22" s="4" t="str">
        <f>HYPERLINK("http://locsearch.nwmls.com//ReturnMap.aspx?hidMLS=NWML&amp;VHW=47.676857:-122.388637:.25:&amp;Z=4&amp;H=300&amp;W=400&amp;PP=47.676857:-122.388637:1:027161705","Map")</f>
        <v>Map</v>
      </c>
      <c r="N22" s="4" t="str">
        <f>HYPERLINK("http://locmedia.nwmls.com/DO_NOT_LINK/bigphoto/705/27161705.jpg?tsp=20071019095934","Photo")</f>
        <v>Photo</v>
      </c>
      <c r="O22" s="4" t="str">
        <f>HYPERLINK("http://locator.nwmls.com/scripts/mgrqispi.dll?APPNAME=Locator&amp;PRGNAME=MLSPictureDescriptions&amp;ARGUMENTS=-N300606369,-N27161705,-AE","More")</f>
        <v>More</v>
      </c>
      <c r="Q22" t="s">
        <v>56</v>
      </c>
      <c r="R22" t="s">
        <v>95</v>
      </c>
      <c r="T22" t="s">
        <v>25</v>
      </c>
      <c r="U22" t="s">
        <v>26</v>
      </c>
      <c r="X22" t="s">
        <v>27</v>
      </c>
      <c r="Y22" t="s">
        <v>28</v>
      </c>
      <c r="Z22" t="s">
        <v>184</v>
      </c>
      <c r="AB22">
        <v>2006</v>
      </c>
      <c r="AC22">
        <v>2770</v>
      </c>
      <c r="AD22" t="s">
        <v>185</v>
      </c>
      <c r="AE22" t="s">
        <v>186</v>
      </c>
      <c r="AF22" t="s">
        <v>187</v>
      </c>
      <c r="AG22" s="12">
        <v>47.676856999999998</v>
      </c>
      <c r="AH22" s="12">
        <v>-122.388637</v>
      </c>
      <c r="AI22" t="s">
        <v>33</v>
      </c>
      <c r="AJ22">
        <v>98117</v>
      </c>
      <c r="AK22" t="s">
        <v>34</v>
      </c>
      <c r="AL22" t="s">
        <v>35</v>
      </c>
      <c r="AM22" t="s">
        <v>35</v>
      </c>
      <c r="AO22">
        <v>0</v>
      </c>
      <c r="AP22" t="s">
        <v>188</v>
      </c>
      <c r="AQ22">
        <v>534</v>
      </c>
      <c r="AR22" t="s">
        <v>189</v>
      </c>
      <c r="AS22" t="s">
        <v>190</v>
      </c>
      <c r="AT22">
        <v>3</v>
      </c>
      <c r="AU22" t="s">
        <v>918</v>
      </c>
      <c r="AW22" s="17"/>
      <c r="AX22">
        <f t="shared" ca="1" si="0"/>
        <v>28</v>
      </c>
      <c r="AZ22" s="9">
        <v>39405</v>
      </c>
    </row>
    <row r="23" spans="1:52">
      <c r="A23">
        <v>27161813</v>
      </c>
      <c r="B23" s="4" t="str">
        <f>HYPERLINK("http://locmedia.nwmls.com/DO_NOT_LINK/bigphoto/813/27161813.jpg?tsp=20070904150815","Active")</f>
        <v>Active</v>
      </c>
      <c r="C23">
        <v>705</v>
      </c>
      <c r="D23" t="s">
        <v>403</v>
      </c>
      <c r="E23" t="s">
        <v>404</v>
      </c>
      <c r="F23" s="5">
        <v>474950</v>
      </c>
      <c r="G23" t="s">
        <v>270</v>
      </c>
      <c r="H23">
        <v>1140</v>
      </c>
      <c r="I23">
        <v>2500</v>
      </c>
      <c r="J23">
        <v>3</v>
      </c>
      <c r="K23">
        <v>1.75</v>
      </c>
      <c r="L23">
        <v>1</v>
      </c>
      <c r="M23" s="4" t="str">
        <f>HYPERLINK("http://locsearch.nwmls.com//ReturnMap.aspx?hidMLS=NWML&amp;VHW=47.661400:-122.351500:.25:&amp;Z=4&amp;H=300&amp;W=400&amp;PP=47.661400:-122.351500:1:027161813","Map")</f>
        <v>Map</v>
      </c>
      <c r="N23" s="4" t="str">
        <f>HYPERLINK("http://locmedia.nwmls.com/DO_NOT_LINK/bigphoto/813/27161813.jpg?tsp=20070904150815","Photo")</f>
        <v>Photo</v>
      </c>
      <c r="O23" s="4" t="str">
        <f>HYPERLINK("http://locator.nwmls.com/scripts/mgrqispi.dll?APPNAME=Locator&amp;PRGNAME=MLSPictureDescriptions&amp;ARGUMENTS=-N300606369,-N27161813,-AE","More")</f>
        <v>More</v>
      </c>
      <c r="Q23" t="s">
        <v>56</v>
      </c>
      <c r="R23" t="s">
        <v>95</v>
      </c>
      <c r="S23" t="s">
        <v>24</v>
      </c>
      <c r="T23" t="s">
        <v>300</v>
      </c>
      <c r="U23" t="s">
        <v>26</v>
      </c>
      <c r="V23" s="6" t="s">
        <v>59</v>
      </c>
      <c r="X23" t="s">
        <v>27</v>
      </c>
      <c r="Y23" t="s">
        <v>28</v>
      </c>
      <c r="Z23" t="s">
        <v>405</v>
      </c>
      <c r="AA23" t="s">
        <v>406</v>
      </c>
      <c r="AB23">
        <v>2007</v>
      </c>
      <c r="AC23">
        <v>3735</v>
      </c>
      <c r="AD23" t="s">
        <v>407</v>
      </c>
      <c r="AE23" t="s">
        <v>408</v>
      </c>
      <c r="AF23" t="s">
        <v>409</v>
      </c>
      <c r="AG23">
        <v>47.6614</v>
      </c>
      <c r="AH23">
        <v>-122.3515</v>
      </c>
      <c r="AI23" t="s">
        <v>33</v>
      </c>
      <c r="AJ23">
        <v>98103</v>
      </c>
      <c r="AK23" t="s">
        <v>34</v>
      </c>
      <c r="AL23">
        <v>18</v>
      </c>
      <c r="AM23" t="s">
        <v>35</v>
      </c>
      <c r="AO23">
        <v>5.7000000000000002E-2</v>
      </c>
      <c r="AP23" t="s">
        <v>410</v>
      </c>
      <c r="AQ23">
        <v>534</v>
      </c>
      <c r="AR23" t="s">
        <v>124</v>
      </c>
      <c r="AS23" t="s">
        <v>411</v>
      </c>
      <c r="AT23">
        <v>1</v>
      </c>
      <c r="AU23" t="s">
        <v>913</v>
      </c>
      <c r="AW23" s="17"/>
      <c r="AX23">
        <f t="shared" ca="1" si="0"/>
        <v>28</v>
      </c>
      <c r="AZ23" s="9">
        <v>39405</v>
      </c>
    </row>
    <row r="24" spans="1:52">
      <c r="A24">
        <v>27162082</v>
      </c>
      <c r="B24" s="4" t="str">
        <f>HYPERLINK("http://locmedia.nwmls.com/DO_NOT_LINK/bigphoto/082/27162082.jpg?tsp=20070904203012","Active")</f>
        <v>Active</v>
      </c>
      <c r="C24">
        <v>710</v>
      </c>
      <c r="D24" t="s">
        <v>649</v>
      </c>
      <c r="E24" t="s">
        <v>817</v>
      </c>
      <c r="F24" s="5">
        <v>499000</v>
      </c>
      <c r="G24" t="s">
        <v>83</v>
      </c>
      <c r="H24">
        <v>2000</v>
      </c>
      <c r="I24">
        <v>3863</v>
      </c>
      <c r="J24">
        <v>2</v>
      </c>
      <c r="K24">
        <v>1</v>
      </c>
      <c r="L24">
        <v>1</v>
      </c>
      <c r="M24" s="4" t="str">
        <f>HYPERLINK("http://locsearch.nwmls.com//ReturnMap.aspx?hidMLS=NWML&amp;VHW=47.687041:-122.314301:.25:&amp;Z=4&amp;H=300&amp;W=400&amp;PP=47.687041:-122.314301:1:027162082","Map")</f>
        <v>Map</v>
      </c>
      <c r="N24" s="4" t="str">
        <f>HYPERLINK("http://locmedia.nwmls.com/DO_NOT_LINK/bigphoto/082/27162082.jpg?tsp=20070904203012","Photo")</f>
        <v>Photo</v>
      </c>
      <c r="O24" s="4" t="str">
        <f>HYPERLINK("http://locator.nwmls.com/scripts/mgrqispi.dll?APPNAME=Locator&amp;PRGNAME=MLSPictureDescriptions&amp;ARGUMENTS=-N268127191,-N27162082,-AE","More")</f>
        <v>More</v>
      </c>
      <c r="Q24" t="s">
        <v>56</v>
      </c>
      <c r="R24" t="s">
        <v>116</v>
      </c>
      <c r="S24" t="s">
        <v>199</v>
      </c>
      <c r="T24" t="s">
        <v>300</v>
      </c>
      <c r="V24" s="6" t="s">
        <v>59</v>
      </c>
      <c r="X24" t="s">
        <v>27</v>
      </c>
      <c r="Y24" t="s">
        <v>28</v>
      </c>
      <c r="Z24" t="s">
        <v>818</v>
      </c>
      <c r="AB24">
        <v>2007</v>
      </c>
      <c r="AC24">
        <v>3309</v>
      </c>
      <c r="AD24" t="s">
        <v>819</v>
      </c>
      <c r="AE24" t="s">
        <v>820</v>
      </c>
      <c r="AF24" t="s">
        <v>821</v>
      </c>
      <c r="AG24">
        <v>47.687041000000001</v>
      </c>
      <c r="AH24">
        <v>-122.314301</v>
      </c>
      <c r="AI24" t="s">
        <v>33</v>
      </c>
      <c r="AJ24">
        <v>98115</v>
      </c>
      <c r="AK24" t="s">
        <v>34</v>
      </c>
      <c r="AL24" t="s">
        <v>35</v>
      </c>
      <c r="AM24" t="s">
        <v>35</v>
      </c>
      <c r="AO24">
        <v>8.8999999999999996E-2</v>
      </c>
      <c r="AP24" t="s">
        <v>822</v>
      </c>
      <c r="AQ24">
        <v>535</v>
      </c>
      <c r="AR24" t="s">
        <v>823</v>
      </c>
      <c r="AS24" t="s">
        <v>824</v>
      </c>
      <c r="AT24">
        <v>4</v>
      </c>
      <c r="AU24" t="s">
        <v>908</v>
      </c>
      <c r="AV24" s="9">
        <v>39329</v>
      </c>
      <c r="AW24" s="17">
        <v>82</v>
      </c>
      <c r="AX24">
        <f t="shared" ca="1" si="0"/>
        <v>104</v>
      </c>
      <c r="AY24" t="s">
        <v>907</v>
      </c>
      <c r="AZ24" s="9">
        <v>39408</v>
      </c>
    </row>
    <row r="25" spans="1:52">
      <c r="A25">
        <v>27163040</v>
      </c>
      <c r="B25" s="11" t="str">
        <f>HYPERLINK("http://locmedia.nwmls.com/DO_NOT_LINK/bigphoto/040/p_nophoto.jpg?tsp=18000101000001","Expired")</f>
        <v>Expired</v>
      </c>
      <c r="C25">
        <v>705</v>
      </c>
      <c r="D25" t="s">
        <v>53</v>
      </c>
      <c r="E25" t="s">
        <v>241</v>
      </c>
      <c r="F25" s="5">
        <v>439500</v>
      </c>
      <c r="G25" t="s">
        <v>242</v>
      </c>
      <c r="H25">
        <v>1790</v>
      </c>
      <c r="I25">
        <v>3302</v>
      </c>
      <c r="J25">
        <v>3</v>
      </c>
      <c r="K25">
        <v>2</v>
      </c>
      <c r="L25">
        <v>1</v>
      </c>
      <c r="M25" t="s">
        <v>243</v>
      </c>
      <c r="N25" s="4" t="str">
        <f>HYPERLINK("http://locmedia.nwmls.com/DO_NOT_LINK/bigphoto/040/p_nophoto.jpg?tsp=18000101000001","Photo")</f>
        <v>Photo</v>
      </c>
      <c r="O25" s="11" t="s">
        <v>435</v>
      </c>
      <c r="P25" t="s">
        <v>41</v>
      </c>
      <c r="Q25" t="s">
        <v>22</v>
      </c>
      <c r="R25" t="s">
        <v>23</v>
      </c>
      <c r="S25" t="s">
        <v>199</v>
      </c>
      <c r="T25" t="s">
        <v>25</v>
      </c>
      <c r="U25" t="s">
        <v>26</v>
      </c>
      <c r="V25" s="6" t="s">
        <v>59</v>
      </c>
      <c r="X25" t="s">
        <v>27</v>
      </c>
      <c r="Y25" t="s">
        <v>28</v>
      </c>
      <c r="Z25" t="s">
        <v>244</v>
      </c>
      <c r="AB25">
        <v>2007</v>
      </c>
      <c r="AC25">
        <v>3309</v>
      </c>
      <c r="AD25" t="s">
        <v>245</v>
      </c>
      <c r="AE25" t="s">
        <v>246</v>
      </c>
      <c r="AF25" t="s">
        <v>247</v>
      </c>
      <c r="AI25" t="s">
        <v>33</v>
      </c>
      <c r="AJ25">
        <v>98117</v>
      </c>
      <c r="AK25" t="s">
        <v>34</v>
      </c>
      <c r="AL25" t="s">
        <v>35</v>
      </c>
      <c r="AM25" t="s">
        <v>35</v>
      </c>
      <c r="AO25">
        <v>7.5999999999999998E-2</v>
      </c>
      <c r="AP25" t="s">
        <v>248</v>
      </c>
      <c r="AQ25">
        <v>504</v>
      </c>
      <c r="AR25" t="s">
        <v>204</v>
      </c>
      <c r="AS25" s="15" t="s">
        <v>1065</v>
      </c>
      <c r="AT25">
        <v>1</v>
      </c>
      <c r="AU25" t="s">
        <v>913</v>
      </c>
      <c r="AW25" s="17"/>
      <c r="AX25">
        <f t="shared" ca="1" si="0"/>
        <v>28</v>
      </c>
      <c r="AZ25" s="9">
        <v>39405</v>
      </c>
    </row>
    <row r="26" spans="1:52">
      <c r="A26">
        <v>27163615</v>
      </c>
      <c r="B26" s="13" t="str">
        <f>HYPERLINK("http://locmedia.nwmls.com/DO_NOT_LINK/bigphoto/615/27163615.jpg?tsp=20070907115620","Rented")</f>
        <v>Rented</v>
      </c>
      <c r="C26">
        <v>710</v>
      </c>
      <c r="D26" t="s">
        <v>649</v>
      </c>
      <c r="E26" t="s">
        <v>783</v>
      </c>
      <c r="F26" s="5">
        <v>480000</v>
      </c>
      <c r="G26" t="s">
        <v>784</v>
      </c>
      <c r="H26">
        <v>0</v>
      </c>
      <c r="I26">
        <v>5080</v>
      </c>
      <c r="J26">
        <v>2</v>
      </c>
      <c r="K26">
        <v>1.5</v>
      </c>
      <c r="L26">
        <v>1</v>
      </c>
      <c r="M26" s="4" t="str">
        <f>HYPERLINK("http://locsearch.nwmls.com//ReturnMap.aspx?hidMLS=NWML&amp;VHW=47.698501:-122.313312:.25:&amp;Z=4&amp;H=300&amp;W=400&amp;PP=47.698501:-122.313312:1:027163615","Map")</f>
        <v>Map</v>
      </c>
      <c r="N26" s="4" t="str">
        <f>HYPERLINK("http://locmedia.nwmls.com/DO_NOT_LINK/bigphoto/615/27163615.jpg?tsp=20070907115620","Photo")</f>
        <v>Photo</v>
      </c>
      <c r="O26" s="4" t="str">
        <f>HYPERLINK("http://locator.nwmls.com/scripts/mgrqispi.dll?APPNAME=Locator&amp;PRGNAME=MLSPictureDescriptions&amp;ARGUMENTS=-N268127191,-N27163615,-AE","More")</f>
        <v>More</v>
      </c>
      <c r="P26" t="s">
        <v>262</v>
      </c>
      <c r="Q26" t="s">
        <v>56</v>
      </c>
      <c r="R26" t="s">
        <v>95</v>
      </c>
      <c r="S26" t="s">
        <v>175</v>
      </c>
      <c r="T26" t="s">
        <v>300</v>
      </c>
      <c r="U26" t="s">
        <v>26</v>
      </c>
      <c r="V26" s="6" t="s">
        <v>59</v>
      </c>
      <c r="X26" t="s">
        <v>27</v>
      </c>
      <c r="Y26" t="s">
        <v>28</v>
      </c>
      <c r="Z26" t="s">
        <v>785</v>
      </c>
      <c r="AB26">
        <v>2007</v>
      </c>
      <c r="AC26">
        <v>2956</v>
      </c>
      <c r="AD26" t="s">
        <v>786</v>
      </c>
      <c r="AE26" t="s">
        <v>787</v>
      </c>
      <c r="AG26">
        <v>47.698501</v>
      </c>
      <c r="AH26">
        <v>-122.313312</v>
      </c>
      <c r="AI26" t="s">
        <v>33</v>
      </c>
      <c r="AJ26">
        <v>98115</v>
      </c>
      <c r="AK26" t="s">
        <v>34</v>
      </c>
      <c r="AL26" t="s">
        <v>35</v>
      </c>
      <c r="AM26" t="s">
        <v>35</v>
      </c>
      <c r="AO26">
        <v>0.11700000000000001</v>
      </c>
      <c r="AP26" t="s">
        <v>788</v>
      </c>
      <c r="AQ26">
        <v>505</v>
      </c>
      <c r="AR26" t="s">
        <v>655</v>
      </c>
      <c r="AS26" t="s">
        <v>789</v>
      </c>
      <c r="AT26">
        <v>4</v>
      </c>
      <c r="AV26" s="9">
        <v>39331</v>
      </c>
      <c r="AW26" s="17">
        <v>80</v>
      </c>
      <c r="AX26">
        <f t="shared" ca="1" si="0"/>
        <v>102</v>
      </c>
      <c r="AY26" t="s">
        <v>907</v>
      </c>
      <c r="AZ26" s="9">
        <v>39408</v>
      </c>
    </row>
    <row r="27" spans="1:52">
      <c r="A27">
        <v>27165590</v>
      </c>
      <c r="B27" s="11" t="str">
        <f>HYPERLINK("http://locmedia.nwmls.com/DO_NOT_LINK/bigphoto/590/27165590.jpg?tsp=20070911091110","Cancelled")</f>
        <v>Cancelled</v>
      </c>
      <c r="C27">
        <v>710</v>
      </c>
      <c r="D27" t="s">
        <v>801</v>
      </c>
      <c r="E27" t="s">
        <v>511</v>
      </c>
      <c r="F27" s="5">
        <v>499000</v>
      </c>
      <c r="G27" t="s">
        <v>316</v>
      </c>
      <c r="H27">
        <v>1290</v>
      </c>
      <c r="I27">
        <v>3790</v>
      </c>
      <c r="J27">
        <v>3</v>
      </c>
      <c r="K27">
        <v>1</v>
      </c>
      <c r="L27">
        <v>1</v>
      </c>
      <c r="M27" s="4" t="str">
        <f>HYPERLINK("http://locsearch.nwmls.com//ReturnMap.aspx?hidMLS=NWML&amp;VHW=47.688826:-122.311119:.25:&amp;Z=4&amp;H=300&amp;W=400&amp;PP=47.688826:-122.311119:1:027165590","Map")</f>
        <v>Map</v>
      </c>
      <c r="N27" s="4" t="str">
        <f>HYPERLINK("http://locmedia.nwmls.com/DO_NOT_LINK/bigphoto/590/27165590.jpg?tsp=20070911091110","Photo")</f>
        <v>Photo</v>
      </c>
      <c r="O27" s="4" t="str">
        <f>HYPERLINK("http://locator.nwmls.com/scripts/mgrqispi.dll?APPNAME=Locator&amp;PRGNAME=MLSPictureDescriptions&amp;ARGUMENTS=-N268127191,-N27165590,-AE","More")</f>
        <v>More</v>
      </c>
      <c r="P27" t="s">
        <v>262</v>
      </c>
      <c r="Q27" t="s">
        <v>56</v>
      </c>
      <c r="R27" t="s">
        <v>116</v>
      </c>
      <c r="S27" t="s">
        <v>128</v>
      </c>
      <c r="T27" t="s">
        <v>300</v>
      </c>
      <c r="U27" t="s">
        <v>26</v>
      </c>
      <c r="X27" t="s">
        <v>27</v>
      </c>
      <c r="Y27" t="s">
        <v>28</v>
      </c>
      <c r="Z27" t="s">
        <v>207</v>
      </c>
      <c r="AA27" t="s">
        <v>512</v>
      </c>
      <c r="AB27">
        <v>2007</v>
      </c>
      <c r="AC27">
        <v>2956</v>
      </c>
      <c r="AD27" t="s">
        <v>513</v>
      </c>
      <c r="AE27" t="s">
        <v>238</v>
      </c>
      <c r="AF27" t="s">
        <v>514</v>
      </c>
      <c r="AG27">
        <v>47.688825999999999</v>
      </c>
      <c r="AH27">
        <v>-122.31111900000001</v>
      </c>
      <c r="AI27" t="s">
        <v>33</v>
      </c>
      <c r="AJ27">
        <v>98115</v>
      </c>
      <c r="AK27" t="s">
        <v>34</v>
      </c>
      <c r="AL27" t="s">
        <v>35</v>
      </c>
      <c r="AM27" t="s">
        <v>35</v>
      </c>
      <c r="AO27">
        <v>8.6999999999999994E-2</v>
      </c>
      <c r="AP27" t="s">
        <v>515</v>
      </c>
      <c r="AQ27">
        <v>535</v>
      </c>
      <c r="AR27" t="s">
        <v>516</v>
      </c>
      <c r="AS27" t="s">
        <v>825</v>
      </c>
      <c r="AT27">
        <v>4</v>
      </c>
      <c r="AV27" s="9">
        <v>39336</v>
      </c>
      <c r="AW27" s="17">
        <v>75</v>
      </c>
      <c r="AX27">
        <f t="shared" ca="1" si="0"/>
        <v>97</v>
      </c>
      <c r="AY27" t="s">
        <v>907</v>
      </c>
      <c r="AZ27" s="9">
        <v>39408</v>
      </c>
    </row>
    <row r="28" spans="1:52">
      <c r="A28">
        <v>27165900</v>
      </c>
      <c r="B28" s="4" t="str">
        <f>HYPERLINK("http://locmedia.nwmls.com/DO_NOT_LINK/bigphoto/900/27165900.jpg?tsp=20070912171812","Active")</f>
        <v>Active</v>
      </c>
      <c r="C28">
        <v>710</v>
      </c>
      <c r="D28" t="s">
        <v>656</v>
      </c>
      <c r="E28" t="s">
        <v>664</v>
      </c>
      <c r="F28" s="5">
        <v>439000</v>
      </c>
      <c r="G28" t="s">
        <v>115</v>
      </c>
      <c r="H28">
        <v>1435</v>
      </c>
      <c r="I28">
        <v>12506</v>
      </c>
      <c r="J28">
        <v>3</v>
      </c>
      <c r="K28">
        <v>1.75</v>
      </c>
      <c r="L28">
        <v>1</v>
      </c>
      <c r="M28" s="4" t="str">
        <f>HYPERLINK("http://locsearch.nwmls.com//ReturnMap.aspx?hidMLS=NWML&amp;VHW=47.699283:-122.291081:.25:&amp;Z=4&amp;H=300&amp;W=400&amp;PP=47.699283:-122.291081:1:027165900","Map")</f>
        <v>Map</v>
      </c>
      <c r="N28" s="4" t="str">
        <f>HYPERLINK("http://locmedia.nwmls.com/DO_NOT_LINK/bigphoto/900/27165900.jpg?tsp=20070912171812","Photo")</f>
        <v>Photo</v>
      </c>
      <c r="O28" s="4" t="str">
        <f>HYPERLINK("http://locator.nwmls.com/scripts/mgrqispi.dll?APPNAME=Locator&amp;PRGNAME=MLSPictureDescriptions&amp;ARGUMENTS=-N268127191,-N27165900,-AE","More")</f>
        <v>More</v>
      </c>
      <c r="P28" t="s">
        <v>580</v>
      </c>
      <c r="Q28" t="s">
        <v>56</v>
      </c>
      <c r="R28" t="s">
        <v>116</v>
      </c>
      <c r="S28" t="s">
        <v>128</v>
      </c>
      <c r="T28" t="s">
        <v>25</v>
      </c>
      <c r="U28" t="s">
        <v>665</v>
      </c>
      <c r="V28" t="s">
        <v>666</v>
      </c>
      <c r="X28" t="s">
        <v>27</v>
      </c>
      <c r="Y28" t="s">
        <v>28</v>
      </c>
      <c r="Z28" t="s">
        <v>430</v>
      </c>
      <c r="AB28">
        <v>2006</v>
      </c>
      <c r="AC28">
        <v>3030</v>
      </c>
      <c r="AD28" t="s">
        <v>667</v>
      </c>
      <c r="AE28" t="s">
        <v>668</v>
      </c>
      <c r="AF28" t="s">
        <v>669</v>
      </c>
      <c r="AG28" s="12">
        <v>47.699283000000001</v>
      </c>
      <c r="AH28" s="12">
        <v>-122.29108100000001</v>
      </c>
      <c r="AI28" t="s">
        <v>33</v>
      </c>
      <c r="AJ28">
        <v>98115</v>
      </c>
      <c r="AK28" t="s">
        <v>34</v>
      </c>
      <c r="AL28">
        <v>3</v>
      </c>
      <c r="AM28" t="s">
        <v>35</v>
      </c>
      <c r="AO28">
        <v>0.28699999999999998</v>
      </c>
      <c r="AP28" t="s">
        <v>670</v>
      </c>
      <c r="AQ28">
        <v>505</v>
      </c>
      <c r="AR28" t="s">
        <v>671</v>
      </c>
      <c r="AS28" t="s">
        <v>672</v>
      </c>
      <c r="AT28">
        <v>2</v>
      </c>
      <c r="AW28" s="17"/>
      <c r="AX28">
        <f t="shared" ca="1" si="0"/>
        <v>25</v>
      </c>
      <c r="AZ28" s="9">
        <v>39408</v>
      </c>
    </row>
    <row r="29" spans="1:52">
      <c r="A29">
        <v>27166784</v>
      </c>
      <c r="B29" s="4" t="str">
        <f>HYPERLINK("http://locmedia.nwmls.com/DO_NOT_LINK/bigphoto/784/27166784.jpg?tsp=20070911204613","Active")</f>
        <v>Active</v>
      </c>
      <c r="C29">
        <v>705</v>
      </c>
      <c r="D29" t="s">
        <v>66</v>
      </c>
      <c r="E29" t="s">
        <v>297</v>
      </c>
      <c r="F29" s="5">
        <v>450000</v>
      </c>
      <c r="G29" t="s">
        <v>298</v>
      </c>
      <c r="H29">
        <v>0</v>
      </c>
      <c r="I29">
        <v>4000</v>
      </c>
      <c r="J29">
        <v>2</v>
      </c>
      <c r="K29">
        <v>1</v>
      </c>
      <c r="L29">
        <v>1</v>
      </c>
      <c r="M29" s="4" t="str">
        <f>HYPERLINK("http://locsearch.nwmls.com//ReturnMap.aspx?hidMLS=NWML&amp;VHW=47.685959:-122.329400:.25:&amp;Z=4&amp;H=300&amp;W=400&amp;PP=47.685959:-122.329400:1:027166784","Map")</f>
        <v>Map</v>
      </c>
      <c r="N29" s="4" t="str">
        <f>HYPERLINK("http://locmedia.nwmls.com/DO_NOT_LINK/bigphoto/784/27166784.jpg?tsp=20070911204613","Photo")</f>
        <v>Photo</v>
      </c>
      <c r="O29" s="4" t="str">
        <f>HYPERLINK("http://locator.nwmls.com/scripts/mgrqispi.dll?APPNAME=Locator&amp;PRGNAME=MLSPictureDescriptions&amp;ARGUMENTS=-N300606369,-N27166784,-AE","More")</f>
        <v>More</v>
      </c>
      <c r="Q29" t="s">
        <v>56</v>
      </c>
      <c r="R29" t="s">
        <v>95</v>
      </c>
      <c r="S29" t="s">
        <v>299</v>
      </c>
      <c r="T29" t="s">
        <v>300</v>
      </c>
      <c r="U29" t="s">
        <v>26</v>
      </c>
      <c r="V29" s="6" t="s">
        <v>59</v>
      </c>
      <c r="X29" t="s">
        <v>27</v>
      </c>
      <c r="Y29" t="s">
        <v>28</v>
      </c>
      <c r="AB29">
        <v>2007</v>
      </c>
      <c r="AC29">
        <v>3587</v>
      </c>
      <c r="AD29" t="s">
        <v>301</v>
      </c>
      <c r="AE29" t="s">
        <v>302</v>
      </c>
      <c r="AF29" t="s">
        <v>303</v>
      </c>
      <c r="AG29">
        <v>47.685958999999997</v>
      </c>
      <c r="AH29">
        <v>-122.32940000000001</v>
      </c>
      <c r="AI29" t="s">
        <v>33</v>
      </c>
      <c r="AJ29">
        <v>98103</v>
      </c>
      <c r="AK29" t="s">
        <v>34</v>
      </c>
      <c r="AL29" t="s">
        <v>35</v>
      </c>
      <c r="AM29" t="s">
        <v>35</v>
      </c>
      <c r="AO29">
        <v>9.1999999999999998E-2</v>
      </c>
      <c r="AP29" t="s">
        <v>304</v>
      </c>
      <c r="AQ29">
        <v>535</v>
      </c>
      <c r="AR29" t="s">
        <v>111</v>
      </c>
      <c r="AS29" t="s">
        <v>305</v>
      </c>
      <c r="AT29">
        <v>3</v>
      </c>
      <c r="AW29" s="17"/>
      <c r="AX29">
        <f t="shared" ca="1" si="0"/>
        <v>28</v>
      </c>
      <c r="AZ29" s="9">
        <v>39405</v>
      </c>
    </row>
    <row r="30" spans="1:52">
      <c r="A30">
        <v>27166950</v>
      </c>
      <c r="B30" s="4" t="str">
        <f>HYPERLINK("http://locmedia.nwmls.com/DO_NOT_LINK/bigphoto/950/27166950.jpg?tsp=20070912125923","Active")</f>
        <v>Active</v>
      </c>
      <c r="C30">
        <v>705</v>
      </c>
      <c r="D30" t="s">
        <v>81</v>
      </c>
      <c r="E30" t="s">
        <v>250</v>
      </c>
      <c r="F30" s="5">
        <v>445000</v>
      </c>
      <c r="G30" t="s">
        <v>55</v>
      </c>
      <c r="H30">
        <v>1340</v>
      </c>
      <c r="I30">
        <v>4000</v>
      </c>
      <c r="J30">
        <v>3</v>
      </c>
      <c r="K30">
        <v>2</v>
      </c>
      <c r="M30" s="4" t="str">
        <f>HYPERLINK("http://locsearch.nwmls.com//ReturnMap.aspx?hidMLS=NWML&amp;VHW=47.692061:-122.381101:.25:&amp;Z=4&amp;H=300&amp;W=400&amp;PP=47.692061:-122.381101:1:027166950","Map")</f>
        <v>Map</v>
      </c>
      <c r="N30" s="4" t="str">
        <f>HYPERLINK("http://locmedia.nwmls.com/DO_NOT_LINK/bigphoto/950/27166950.jpg?tsp=20070912125923","Photo")</f>
        <v>Photo</v>
      </c>
      <c r="O30" s="4" t="str">
        <f>HYPERLINK("http://locator.nwmls.com/scripts/mgrqispi.dll?APPNAME=Locator&amp;PRGNAME=MLSPictureDescriptions&amp;ARGUMENTS=-N300606369,-N27166950,-AE","More")</f>
        <v>More</v>
      </c>
      <c r="P30" t="s">
        <v>251</v>
      </c>
      <c r="Q30" t="s">
        <v>56</v>
      </c>
      <c r="R30" t="s">
        <v>116</v>
      </c>
      <c r="S30" t="s">
        <v>24</v>
      </c>
      <c r="T30" t="s">
        <v>25</v>
      </c>
      <c r="U30" t="s">
        <v>26</v>
      </c>
      <c r="V30" t="s">
        <v>252</v>
      </c>
      <c r="X30" t="s">
        <v>27</v>
      </c>
      <c r="Y30" t="s">
        <v>28</v>
      </c>
      <c r="Z30" t="s">
        <v>253</v>
      </c>
      <c r="AB30">
        <v>2006</v>
      </c>
      <c r="AC30">
        <v>3281</v>
      </c>
      <c r="AD30" t="s">
        <v>254</v>
      </c>
      <c r="AE30" t="s">
        <v>255</v>
      </c>
      <c r="AF30" t="s">
        <v>256</v>
      </c>
      <c r="AG30">
        <v>47.692061000000002</v>
      </c>
      <c r="AH30">
        <v>-122.381101</v>
      </c>
      <c r="AI30" t="s">
        <v>33</v>
      </c>
      <c r="AJ30">
        <v>98117</v>
      </c>
      <c r="AK30" t="s">
        <v>34</v>
      </c>
      <c r="AL30" t="s">
        <v>35</v>
      </c>
      <c r="AM30" t="s">
        <v>35</v>
      </c>
      <c r="AO30">
        <v>9.1999999999999998E-2</v>
      </c>
      <c r="AP30" t="s">
        <v>257</v>
      </c>
      <c r="AQ30">
        <v>534</v>
      </c>
      <c r="AR30" t="s">
        <v>258</v>
      </c>
      <c r="AS30" t="s">
        <v>259</v>
      </c>
      <c r="AT30">
        <v>3</v>
      </c>
      <c r="AU30" t="s">
        <v>919</v>
      </c>
      <c r="AW30" s="17"/>
      <c r="AX30">
        <f t="shared" ca="1" si="0"/>
        <v>28</v>
      </c>
      <c r="AZ30" s="9">
        <v>39405</v>
      </c>
    </row>
    <row r="31" spans="1:52">
      <c r="A31">
        <v>27168563</v>
      </c>
      <c r="B31" s="4" t="str">
        <f>HYPERLINK("http://locmedia.nwmls.com/DO_NOT_LINK/bigphoto/563/27168563.jpg?tsp=20070926144917","Active")</f>
        <v>Active</v>
      </c>
      <c r="C31">
        <v>705</v>
      </c>
      <c r="D31" t="s">
        <v>224</v>
      </c>
      <c r="E31" t="s">
        <v>306</v>
      </c>
      <c r="F31" s="5">
        <v>450000</v>
      </c>
      <c r="G31" t="s">
        <v>127</v>
      </c>
      <c r="H31">
        <v>1340</v>
      </c>
      <c r="I31">
        <v>3250</v>
      </c>
      <c r="J31">
        <v>2</v>
      </c>
      <c r="K31">
        <v>1</v>
      </c>
      <c r="L31">
        <v>1</v>
      </c>
      <c r="M31" s="4" t="str">
        <f>HYPERLINK("http://locsearch.nwmls.com//ReturnMap.aspx?hidMLS=NWML&amp;VHW=47.681202:-122.359400:.25:&amp;Z=4&amp;H=300&amp;W=400&amp;PP=47.681202:-122.359400:1:027168563","Map")</f>
        <v>Map</v>
      </c>
      <c r="N31" s="4" t="str">
        <f>HYPERLINK("http://locmedia.nwmls.com/DO_NOT_LINK/bigphoto/563/27168563.jpg?tsp=20070926144917","Photo")</f>
        <v>Photo</v>
      </c>
      <c r="O31" s="4" t="str">
        <f>HYPERLINK("http://locator.nwmls.com/scripts/mgrqispi.dll?APPNAME=Locator&amp;PRGNAME=MLSPictureDescriptions&amp;ARGUMENTS=-N300606369,-N27168563,-AE","More")</f>
        <v>More</v>
      </c>
      <c r="Q31" t="s">
        <v>56</v>
      </c>
      <c r="R31" t="s">
        <v>95</v>
      </c>
      <c r="S31" t="s">
        <v>43</v>
      </c>
      <c r="T31" t="s">
        <v>300</v>
      </c>
      <c r="U31" t="s">
        <v>26</v>
      </c>
      <c r="V31" s="6" t="s">
        <v>59</v>
      </c>
      <c r="X31" t="s">
        <v>27</v>
      </c>
      <c r="Y31" t="s">
        <v>28</v>
      </c>
      <c r="Z31" t="s">
        <v>176</v>
      </c>
      <c r="AA31" t="s">
        <v>307</v>
      </c>
      <c r="AB31">
        <v>2007</v>
      </c>
      <c r="AC31">
        <v>3847</v>
      </c>
      <c r="AD31" t="s">
        <v>308</v>
      </c>
      <c r="AE31" t="s">
        <v>309</v>
      </c>
      <c r="AF31" t="s">
        <v>310</v>
      </c>
      <c r="AG31">
        <v>47.681201999999999</v>
      </c>
      <c r="AH31">
        <v>-122.35939999999999</v>
      </c>
      <c r="AI31" t="s">
        <v>33</v>
      </c>
      <c r="AJ31">
        <v>98117</v>
      </c>
      <c r="AK31" t="s">
        <v>34</v>
      </c>
      <c r="AL31" t="s">
        <v>311</v>
      </c>
      <c r="AM31" t="s">
        <v>35</v>
      </c>
      <c r="AO31">
        <v>7.4999999999999997E-2</v>
      </c>
      <c r="AP31" t="s">
        <v>312</v>
      </c>
      <c r="AQ31">
        <v>534</v>
      </c>
      <c r="AR31" t="s">
        <v>313</v>
      </c>
      <c r="AS31" t="s">
        <v>314</v>
      </c>
      <c r="AT31">
        <v>3</v>
      </c>
      <c r="AW31" s="17"/>
      <c r="AX31">
        <f t="shared" ca="1" si="0"/>
        <v>28</v>
      </c>
      <c r="AZ31" s="9">
        <v>39405</v>
      </c>
    </row>
    <row r="32" spans="1:52">
      <c r="A32">
        <v>27168653</v>
      </c>
      <c r="B32" s="13" t="str">
        <f>HYPERLINK("http://locmedia.nwmls.com/DO_NOT_LINK/bigphoto/653/27168653.jpg?tsp=20070917150225","Contingent")</f>
        <v>Contingent</v>
      </c>
      <c r="C32">
        <v>705</v>
      </c>
      <c r="D32" t="s">
        <v>19</v>
      </c>
      <c r="E32" t="s">
        <v>174</v>
      </c>
      <c r="F32" s="5">
        <v>415000</v>
      </c>
      <c r="G32" t="s">
        <v>115</v>
      </c>
      <c r="H32">
        <v>1860</v>
      </c>
      <c r="I32">
        <v>7200</v>
      </c>
      <c r="J32">
        <v>3</v>
      </c>
      <c r="K32">
        <v>1</v>
      </c>
      <c r="L32">
        <v>2</v>
      </c>
      <c r="M32" s="4" t="str">
        <f>HYPERLINK("http://locsearch.nwmls.com//ReturnMap.aspx?hidMLS=NWML&amp;VHW=47.716449:-122.335535:.25:&amp;Z=4&amp;H=300&amp;W=400&amp;PP=47.716449:-122.335535:1:027168653","Map")</f>
        <v>Map</v>
      </c>
      <c r="N32" s="4" t="str">
        <f>HYPERLINK("http://locmedia.nwmls.com/DO_NOT_LINK/bigphoto/653/27168653.jpg?tsp=20070917150225","Photo")</f>
        <v>Photo</v>
      </c>
      <c r="O32" s="4" t="str">
        <f>HYPERLINK("http://locator.nwmls.com/scripts/mgrqispi.dll?APPNAME=Locator&amp;PRGNAME=MLSPictureDescriptions&amp;ARGUMENTS=-N300606369,-N27168653,-AE","More")</f>
        <v>More</v>
      </c>
      <c r="Q32" t="s">
        <v>56</v>
      </c>
      <c r="R32" t="s">
        <v>23</v>
      </c>
      <c r="S32" t="s">
        <v>175</v>
      </c>
      <c r="T32" t="s">
        <v>129</v>
      </c>
      <c r="U32" t="s">
        <v>26</v>
      </c>
      <c r="V32" s="6" t="s">
        <v>59</v>
      </c>
      <c r="X32" t="s">
        <v>27</v>
      </c>
      <c r="Y32" t="s">
        <v>28</v>
      </c>
      <c r="Z32" t="s">
        <v>176</v>
      </c>
      <c r="AB32">
        <v>2007</v>
      </c>
      <c r="AC32">
        <v>3216</v>
      </c>
      <c r="AD32" t="s">
        <v>177</v>
      </c>
      <c r="AE32" t="s">
        <v>178</v>
      </c>
      <c r="AF32" t="s">
        <v>179</v>
      </c>
      <c r="AG32" s="12">
        <v>47.716448999999997</v>
      </c>
      <c r="AH32" s="12">
        <v>-122.33553499999999</v>
      </c>
      <c r="AI32" t="s">
        <v>33</v>
      </c>
      <c r="AJ32">
        <v>98133</v>
      </c>
      <c r="AK32" t="s">
        <v>34</v>
      </c>
      <c r="AL32" t="s">
        <v>35</v>
      </c>
      <c r="AM32" t="s">
        <v>35</v>
      </c>
      <c r="AO32">
        <v>0.16500000000000001</v>
      </c>
      <c r="AP32" t="s">
        <v>180</v>
      </c>
      <c r="AQ32">
        <v>505</v>
      </c>
      <c r="AR32" t="s">
        <v>37</v>
      </c>
      <c r="AS32" t="s">
        <v>181</v>
      </c>
      <c r="AT32">
        <v>2</v>
      </c>
      <c r="AV32" s="9">
        <v>39339</v>
      </c>
      <c r="AW32" s="17">
        <v>72</v>
      </c>
      <c r="AX32">
        <f t="shared" ca="1" si="0"/>
        <v>94</v>
      </c>
      <c r="AZ32" s="9">
        <v>39405</v>
      </c>
    </row>
    <row r="33" spans="1:52">
      <c r="A33">
        <v>27171486</v>
      </c>
      <c r="B33" s="4" t="str">
        <f>HYPERLINK("http://locmedia.nwmls.com/DO_NOT_LINK/bigphoto/486/27171486.jpg?tsp=20070919100138","Active")</f>
        <v>Active</v>
      </c>
      <c r="C33">
        <v>705</v>
      </c>
      <c r="D33" t="s">
        <v>19</v>
      </c>
      <c r="E33" t="s">
        <v>155</v>
      </c>
      <c r="F33" s="5">
        <v>399999</v>
      </c>
      <c r="G33" t="s">
        <v>156</v>
      </c>
      <c r="H33">
        <v>1780</v>
      </c>
      <c r="I33">
        <v>0</v>
      </c>
      <c r="J33">
        <v>3</v>
      </c>
      <c r="K33">
        <v>2.5</v>
      </c>
      <c r="L33">
        <v>1</v>
      </c>
      <c r="M33" s="4" t="str">
        <f>HYPERLINK("http://locsearch.nwmls.com//ReturnMap.aspx?hidMLS=NWML&amp;VHW=47.714545:-122.340266:.25:&amp;Z=4&amp;H=300&amp;W=400&amp;PP=47.714545:-122.340266:1:027171486","Map")</f>
        <v>Map</v>
      </c>
      <c r="N33" s="4" t="str">
        <f>HYPERLINK("http://locmedia.nwmls.com/DO_NOT_LINK/bigphoto/486/27171486.jpg?tsp=20070919100138","Photo")</f>
        <v>Photo</v>
      </c>
      <c r="O33" s="4" t="str">
        <f>HYPERLINK("http://locator.nwmls.com/scripts/mgrqispi.dll?APPNAME=Locator&amp;PRGNAME=MLSPictureDescriptions&amp;ARGUMENTS=-N300606369,-N27171486,-AE","More")</f>
        <v>More</v>
      </c>
      <c r="Q33" t="s">
        <v>157</v>
      </c>
      <c r="R33" t="s">
        <v>95</v>
      </c>
      <c r="S33" t="s">
        <v>158</v>
      </c>
      <c r="T33" t="s">
        <v>25</v>
      </c>
      <c r="U33" t="s">
        <v>26</v>
      </c>
      <c r="V33" t="s">
        <v>159</v>
      </c>
      <c r="X33" t="s">
        <v>27</v>
      </c>
      <c r="Y33" t="s">
        <v>28</v>
      </c>
      <c r="Z33" t="s">
        <v>96</v>
      </c>
      <c r="AB33">
        <v>2007</v>
      </c>
      <c r="AC33">
        <v>2910</v>
      </c>
      <c r="AD33" t="s">
        <v>160</v>
      </c>
      <c r="AE33" t="s">
        <v>161</v>
      </c>
      <c r="AF33" t="s">
        <v>162</v>
      </c>
      <c r="AG33" s="12">
        <v>47.714545000000001</v>
      </c>
      <c r="AH33" s="12">
        <v>-122.340266</v>
      </c>
      <c r="AI33" t="s">
        <v>33</v>
      </c>
      <c r="AJ33">
        <v>98133</v>
      </c>
      <c r="AK33" t="s">
        <v>34</v>
      </c>
      <c r="AL33">
        <v>39</v>
      </c>
      <c r="AM33" t="s">
        <v>35</v>
      </c>
      <c r="AO33">
        <v>0</v>
      </c>
      <c r="AP33" t="s">
        <v>163</v>
      </c>
      <c r="AQ33">
        <v>504</v>
      </c>
      <c r="AR33" t="s">
        <v>164</v>
      </c>
      <c r="AS33" t="s">
        <v>165</v>
      </c>
      <c r="AT33">
        <v>1</v>
      </c>
      <c r="AU33" t="s">
        <v>913</v>
      </c>
      <c r="AW33" s="17"/>
      <c r="AX33">
        <f t="shared" ca="1" si="0"/>
        <v>28</v>
      </c>
      <c r="AZ33" s="9">
        <v>39405</v>
      </c>
    </row>
    <row r="34" spans="1:52">
      <c r="A34">
        <v>27171942</v>
      </c>
      <c r="B34" s="4" t="str">
        <f>HYPERLINK("http://locmedia.nwmls.com/DO_NOT_LINK/bigphoto/942/27171942.jpg?tsp=20070919162449","Active")</f>
        <v>Active</v>
      </c>
      <c r="C34">
        <v>705</v>
      </c>
      <c r="D34" t="s">
        <v>419</v>
      </c>
      <c r="E34" t="s">
        <v>420</v>
      </c>
      <c r="F34" s="5">
        <v>475000</v>
      </c>
      <c r="G34" t="s">
        <v>421</v>
      </c>
      <c r="H34">
        <v>1160</v>
      </c>
      <c r="I34">
        <v>7590</v>
      </c>
      <c r="J34">
        <v>2</v>
      </c>
      <c r="K34">
        <v>1</v>
      </c>
      <c r="L34">
        <v>1</v>
      </c>
      <c r="M34" s="4" t="str">
        <f>HYPERLINK("http://locsearch.nwmls.com//ReturnMap.aspx?hidMLS=NWML&amp;VHW=47.693852:-122.396901:.25:&amp;Z=4&amp;H=300&amp;W=400&amp;PP=47.693852:-122.396901:1:027171942","Map")</f>
        <v>Map</v>
      </c>
      <c r="N34" s="4" t="str">
        <f>HYPERLINK("http://locmedia.nwmls.com/DO_NOT_LINK/bigphoto/942/27171942.jpg?tsp=20070919162449","Photo")</f>
        <v>Photo</v>
      </c>
      <c r="O34" s="4" t="str">
        <f>HYPERLINK("http://locator.nwmls.com/scripts/mgrqispi.dll?APPNAME=Locator&amp;PRGNAME=MLSPictureDescriptions&amp;ARGUMENTS=-N300606369,-N27171942,-AE","More")</f>
        <v>More</v>
      </c>
      <c r="Q34" t="s">
        <v>56</v>
      </c>
      <c r="R34" t="s">
        <v>116</v>
      </c>
      <c r="S34" t="s">
        <v>422</v>
      </c>
      <c r="T34" t="s">
        <v>300</v>
      </c>
      <c r="U34" t="s">
        <v>26</v>
      </c>
      <c r="V34" s="6" t="s">
        <v>59</v>
      </c>
      <c r="X34" t="s">
        <v>27</v>
      </c>
      <c r="Y34" t="s">
        <v>28</v>
      </c>
      <c r="Z34" t="s">
        <v>423</v>
      </c>
      <c r="AB34">
        <v>2006</v>
      </c>
      <c r="AC34">
        <v>2816</v>
      </c>
      <c r="AD34" t="s">
        <v>424</v>
      </c>
      <c r="AG34">
        <v>47.693852</v>
      </c>
      <c r="AH34">
        <v>-122.396901</v>
      </c>
      <c r="AI34" t="s">
        <v>33</v>
      </c>
      <c r="AJ34">
        <v>98117</v>
      </c>
      <c r="AK34" t="s">
        <v>34</v>
      </c>
      <c r="AL34" t="s">
        <v>35</v>
      </c>
      <c r="AM34" t="s">
        <v>35</v>
      </c>
      <c r="AO34">
        <v>0.17399999999999999</v>
      </c>
      <c r="AP34" t="s">
        <v>425</v>
      </c>
      <c r="AQ34">
        <v>534</v>
      </c>
      <c r="AR34" t="s">
        <v>426</v>
      </c>
      <c r="AS34" t="s">
        <v>427</v>
      </c>
      <c r="AT34">
        <v>4</v>
      </c>
      <c r="AV34" s="9">
        <v>39344</v>
      </c>
      <c r="AW34" s="17">
        <v>67</v>
      </c>
      <c r="AX34">
        <f t="shared" ref="AX34:AX53" ca="1" si="1">IF(ISBLANK($AW34),TODAY()-$AZ34,TODAY()-$AV34)</f>
        <v>89</v>
      </c>
      <c r="AY34" t="s">
        <v>920</v>
      </c>
      <c r="AZ34" s="9">
        <v>39405</v>
      </c>
    </row>
    <row r="35" spans="1:52">
      <c r="A35">
        <v>27172144</v>
      </c>
      <c r="B35" s="4" t="str">
        <f>HYPERLINK("http://locmedia.nwmls.com/DO_NOT_LINK/bigphoto/144/27172144.jpg?tsp=20070920120323","Active")</f>
        <v>Active</v>
      </c>
      <c r="C35">
        <v>710</v>
      </c>
      <c r="D35" t="s">
        <v>649</v>
      </c>
      <c r="E35" t="s">
        <v>754</v>
      </c>
      <c r="F35" s="5">
        <v>475000</v>
      </c>
      <c r="G35" t="s">
        <v>138</v>
      </c>
      <c r="H35">
        <v>1920</v>
      </c>
      <c r="I35">
        <v>6360</v>
      </c>
      <c r="J35">
        <v>3</v>
      </c>
      <c r="K35">
        <v>3</v>
      </c>
      <c r="L35">
        <v>1</v>
      </c>
      <c r="M35" t="s">
        <v>243</v>
      </c>
      <c r="N35" s="4" t="str">
        <f>HYPERLINK("http://locmedia.nwmls.com/DO_NOT_LINK/bigphoto/144/27172144.jpg?tsp=20070920120323","Photo")</f>
        <v>Photo</v>
      </c>
      <c r="O35" t="s">
        <v>435</v>
      </c>
      <c r="P35" t="s">
        <v>41</v>
      </c>
      <c r="Q35" t="s">
        <v>56</v>
      </c>
      <c r="R35" t="s">
        <v>95</v>
      </c>
      <c r="S35" t="s">
        <v>755</v>
      </c>
      <c r="T35" t="s">
        <v>72</v>
      </c>
      <c r="U35" t="s">
        <v>26</v>
      </c>
      <c r="V35" t="s">
        <v>756</v>
      </c>
      <c r="X35" t="s">
        <v>27</v>
      </c>
      <c r="Y35" t="s">
        <v>28</v>
      </c>
      <c r="Z35" t="s">
        <v>184</v>
      </c>
      <c r="AA35" t="s">
        <v>757</v>
      </c>
      <c r="AB35">
        <v>2007</v>
      </c>
      <c r="AC35">
        <v>500</v>
      </c>
      <c r="AD35" t="s">
        <v>758</v>
      </c>
      <c r="AE35" t="s">
        <v>692</v>
      </c>
      <c r="AF35" t="s">
        <v>759</v>
      </c>
      <c r="AI35" t="s">
        <v>33</v>
      </c>
      <c r="AJ35">
        <v>98116</v>
      </c>
      <c r="AK35" t="s">
        <v>34</v>
      </c>
      <c r="AL35" t="s">
        <v>35</v>
      </c>
      <c r="AM35" t="s">
        <v>35</v>
      </c>
      <c r="AO35">
        <v>0.14599999999999999</v>
      </c>
      <c r="AP35" t="s">
        <v>760</v>
      </c>
      <c r="AQ35">
        <v>505</v>
      </c>
      <c r="AR35" t="s">
        <v>761</v>
      </c>
      <c r="AS35" t="s">
        <v>762</v>
      </c>
      <c r="AT35">
        <v>3</v>
      </c>
      <c r="AW35" s="17"/>
      <c r="AX35">
        <f t="shared" ca="1" si="1"/>
        <v>25</v>
      </c>
      <c r="AZ35" s="9">
        <v>39408</v>
      </c>
    </row>
    <row r="36" spans="1:52">
      <c r="A36">
        <v>27172258</v>
      </c>
      <c r="B36" s="4" t="str">
        <f>HYPERLINK("http://locmedia.nwmls.com/DO_NOT_LINK/bigphoto/258/27172258.jpg?tsp=20070921155931","Active")</f>
        <v>Active</v>
      </c>
      <c r="C36">
        <v>705</v>
      </c>
      <c r="D36" t="s">
        <v>81</v>
      </c>
      <c r="E36" t="s">
        <v>468</v>
      </c>
      <c r="F36" s="14">
        <v>475000</v>
      </c>
      <c r="G36" t="s">
        <v>270</v>
      </c>
      <c r="H36">
        <v>2000</v>
      </c>
      <c r="I36">
        <v>4700</v>
      </c>
      <c r="J36">
        <v>2</v>
      </c>
      <c r="K36">
        <v>1</v>
      </c>
      <c r="L36">
        <v>1</v>
      </c>
      <c r="M36" s="4" t="str">
        <f>HYPERLINK("http://locsearch.nwmls.com//ReturnMap.aspx?hidMLS=NWML&amp;VHW=47.689964:-122.385420:.25:&amp;Z=4&amp;H=300&amp;W=400&amp;PP=47.689964:-122.385420:1:027172258","Map")</f>
        <v>Map</v>
      </c>
      <c r="N36" s="4" t="str">
        <f>HYPERLINK("http://locmedia.nwmls.com/DO_NOT_LINK/bigphoto/258/27172258.jpg?tsp=20070921155931","Photo")</f>
        <v>Photo</v>
      </c>
      <c r="O36" s="4" t="str">
        <f>HYPERLINK("http://locator.nwmls.com/scripts/mgrqispi.dll?APPNAME=Locator&amp;PRGNAME=MLSPictureDescriptions&amp;ARGUMENTS=-N300606369,-N27172258,-AE","More")</f>
        <v>More</v>
      </c>
      <c r="Q36" t="s">
        <v>56</v>
      </c>
      <c r="R36" t="s">
        <v>116</v>
      </c>
      <c r="S36" t="s">
        <v>128</v>
      </c>
      <c r="T36" t="s">
        <v>129</v>
      </c>
      <c r="U36" t="s">
        <v>26</v>
      </c>
      <c r="V36" s="6" t="s">
        <v>59</v>
      </c>
      <c r="X36" t="s">
        <v>27</v>
      </c>
      <c r="Y36" t="s">
        <v>28</v>
      </c>
      <c r="Z36" t="s">
        <v>430</v>
      </c>
      <c r="AA36" t="s">
        <v>469</v>
      </c>
      <c r="AB36">
        <v>2007</v>
      </c>
      <c r="AC36">
        <v>3318</v>
      </c>
      <c r="AD36" t="s">
        <v>470</v>
      </c>
      <c r="AE36" t="s">
        <v>121</v>
      </c>
      <c r="AF36" t="s">
        <v>471</v>
      </c>
      <c r="AG36">
        <v>47.689964000000003</v>
      </c>
      <c r="AH36" s="12">
        <v>-122.38542</v>
      </c>
      <c r="AI36" t="s">
        <v>33</v>
      </c>
      <c r="AJ36">
        <v>98117</v>
      </c>
      <c r="AK36" t="s">
        <v>34</v>
      </c>
      <c r="AL36" t="s">
        <v>35</v>
      </c>
      <c r="AM36" t="s">
        <v>35</v>
      </c>
      <c r="AO36">
        <v>0.108</v>
      </c>
      <c r="AP36" s="12" t="s">
        <v>875</v>
      </c>
      <c r="AQ36">
        <v>534</v>
      </c>
      <c r="AR36" t="s">
        <v>258</v>
      </c>
      <c r="AS36" t="s">
        <v>472</v>
      </c>
      <c r="AT36">
        <v>4</v>
      </c>
      <c r="AV36" s="9">
        <v>39346</v>
      </c>
      <c r="AW36" s="17">
        <v>65</v>
      </c>
      <c r="AX36">
        <f t="shared" ca="1" si="1"/>
        <v>87</v>
      </c>
      <c r="AY36" t="s">
        <v>907</v>
      </c>
      <c r="AZ36" s="9">
        <v>39405</v>
      </c>
    </row>
    <row r="37" spans="1:52">
      <c r="A37">
        <v>27172642</v>
      </c>
      <c r="B37" s="4" t="str">
        <f>HYPERLINK("http://locmedia.nwmls.com/DO_NOT_LINK/bigphoto/642/27172642.jpg?tsp=20071113115037","Cancelled")</f>
        <v>Cancelled</v>
      </c>
      <c r="C37">
        <v>705</v>
      </c>
      <c r="D37" t="s">
        <v>403</v>
      </c>
      <c r="E37" t="s">
        <v>595</v>
      </c>
      <c r="F37" s="5">
        <v>479000</v>
      </c>
      <c r="G37" t="s">
        <v>596</v>
      </c>
      <c r="H37">
        <v>1150</v>
      </c>
      <c r="I37">
        <v>3200</v>
      </c>
      <c r="J37">
        <v>3</v>
      </c>
      <c r="K37">
        <v>1</v>
      </c>
      <c r="L37">
        <v>1</v>
      </c>
      <c r="M37" s="4" t="str">
        <f>HYPERLINK("http://locsearch.nwmls.com//ReturnMap.aspx?hidMLS=NWML&amp;VHW=47.655651:-122.348600:.25:&amp;Z=4&amp;H=300&amp;W=400&amp;PP=47.655651:-122.348600:1:027172642","Map")</f>
        <v>Map</v>
      </c>
      <c r="N37" s="4" t="str">
        <f>HYPERLINK("http://locmedia.nwmls.com/DO_NOT_LINK/bigphoto/642/27172642.jpg?tsp=20071113115037","Photo")</f>
        <v>Photo</v>
      </c>
      <c r="O37" s="4" t="str">
        <f>HYPERLINK("http://locator.nwmls.com/scripts/mgrqispi.dll?APPNAME=Locator&amp;PRGNAME=MLSPictureDescriptions&amp;ARGUMENTS=-N300606369,-N27172642,-AE","More")</f>
        <v>More</v>
      </c>
      <c r="P37" t="s">
        <v>597</v>
      </c>
      <c r="Q37" t="s">
        <v>598</v>
      </c>
      <c r="R37" t="s">
        <v>429</v>
      </c>
      <c r="S37" t="s">
        <v>128</v>
      </c>
      <c r="T37" t="s">
        <v>263</v>
      </c>
      <c r="X37" t="s">
        <v>27</v>
      </c>
      <c r="Y37" t="s">
        <v>28</v>
      </c>
      <c r="Z37" t="s">
        <v>505</v>
      </c>
      <c r="AA37" t="s">
        <v>18</v>
      </c>
      <c r="AB37">
        <v>2007</v>
      </c>
      <c r="AC37">
        <v>2928</v>
      </c>
      <c r="AD37" t="s">
        <v>599</v>
      </c>
      <c r="AF37" t="s">
        <v>600</v>
      </c>
      <c r="AG37">
        <v>47.655650999999999</v>
      </c>
      <c r="AH37">
        <v>-122.3486</v>
      </c>
      <c r="AI37" t="s">
        <v>33</v>
      </c>
      <c r="AJ37">
        <v>98103</v>
      </c>
      <c r="AK37" t="s">
        <v>34</v>
      </c>
      <c r="AL37">
        <v>12</v>
      </c>
      <c r="AM37" t="s">
        <v>35</v>
      </c>
      <c r="AO37">
        <v>7.2999999999999995E-2</v>
      </c>
      <c r="AP37" t="s">
        <v>601</v>
      </c>
      <c r="AQ37">
        <v>534</v>
      </c>
      <c r="AR37" t="s">
        <v>64</v>
      </c>
      <c r="AS37" t="s">
        <v>602</v>
      </c>
      <c r="AT37">
        <v>1</v>
      </c>
      <c r="AU37" t="s">
        <v>913</v>
      </c>
      <c r="AW37" s="17"/>
      <c r="AX37">
        <f t="shared" ca="1" si="1"/>
        <v>28</v>
      </c>
      <c r="AZ37" s="9">
        <v>39405</v>
      </c>
    </row>
    <row r="38" spans="1:52">
      <c r="A38">
        <v>27172881</v>
      </c>
      <c r="B38" s="11" t="str">
        <f>HYPERLINK("http://locmedia.nwmls.com/DO_NOT_LINK/bigphoto/881/27172881.jpg?tsp=20070925190158","Active - STI")</f>
        <v>Active - STI</v>
      </c>
      <c r="C38">
        <v>710</v>
      </c>
      <c r="D38" t="s">
        <v>723</v>
      </c>
      <c r="E38" t="s">
        <v>770</v>
      </c>
      <c r="F38" s="5">
        <v>479950</v>
      </c>
      <c r="G38" t="s">
        <v>596</v>
      </c>
      <c r="H38">
        <v>1850</v>
      </c>
      <c r="I38">
        <v>0</v>
      </c>
      <c r="J38">
        <v>3</v>
      </c>
      <c r="K38">
        <v>2</v>
      </c>
      <c r="L38">
        <v>1</v>
      </c>
      <c r="M38" s="4" t="str">
        <f>HYPERLINK("http://locsearch.nwmls.com//ReturnMap.aspx?hidMLS=NWML&amp;VHW=47.670458:-122.290200:.25:&amp;Z=4&amp;H=300&amp;W=400&amp;PP=47.670458:-122.290200:1:027172881","Map")</f>
        <v>Map</v>
      </c>
      <c r="N38" s="4" t="str">
        <f>HYPERLINK("http://locmedia.nwmls.com/DO_NOT_LINK/bigphoto/881/27172881.jpg?tsp=20070925190158","Photo")</f>
        <v>Photo</v>
      </c>
      <c r="O38" s="4" t="str">
        <f>HYPERLINK("http://locator.nwmls.com/scripts/mgrqispi.dll?APPNAME=Locator&amp;PRGNAME=MLSPictureDescriptions&amp;ARGUMENTS=-N268127191,-N27172881,-AE","More")</f>
        <v>More</v>
      </c>
      <c r="P38" t="s">
        <v>771</v>
      </c>
      <c r="Q38" t="s">
        <v>56</v>
      </c>
      <c r="R38" t="s">
        <v>95</v>
      </c>
      <c r="S38" t="s">
        <v>299</v>
      </c>
      <c r="T38" t="s">
        <v>129</v>
      </c>
      <c r="U38" t="s">
        <v>26</v>
      </c>
      <c r="V38" s="6" t="s">
        <v>59</v>
      </c>
      <c r="X38" t="s">
        <v>27</v>
      </c>
      <c r="Y38" t="s">
        <v>28</v>
      </c>
      <c r="Z38" t="s">
        <v>715</v>
      </c>
      <c r="AB38">
        <v>2006</v>
      </c>
      <c r="AC38">
        <v>2000</v>
      </c>
      <c r="AD38" t="s">
        <v>772</v>
      </c>
      <c r="AE38" t="s">
        <v>773</v>
      </c>
      <c r="AF38" t="s">
        <v>416</v>
      </c>
      <c r="AG38">
        <v>47.670458000000004</v>
      </c>
      <c r="AH38">
        <v>-122.2902</v>
      </c>
      <c r="AI38" t="s">
        <v>33</v>
      </c>
      <c r="AJ38">
        <v>98105</v>
      </c>
      <c r="AK38" t="s">
        <v>34</v>
      </c>
      <c r="AL38" t="s">
        <v>35</v>
      </c>
      <c r="AM38" t="s">
        <v>35</v>
      </c>
      <c r="AO38">
        <v>0</v>
      </c>
      <c r="AP38" t="s">
        <v>774</v>
      </c>
      <c r="AQ38">
        <v>535</v>
      </c>
      <c r="AR38" t="s">
        <v>287</v>
      </c>
      <c r="AS38" t="s">
        <v>775</v>
      </c>
      <c r="AT38">
        <v>1</v>
      </c>
      <c r="AU38" t="s">
        <v>921</v>
      </c>
      <c r="AW38" s="17"/>
      <c r="AX38">
        <f t="shared" ca="1" si="1"/>
        <v>25</v>
      </c>
      <c r="AZ38" s="9">
        <v>39408</v>
      </c>
    </row>
    <row r="39" spans="1:52">
      <c r="A39">
        <v>27174450</v>
      </c>
      <c r="B39" s="4" t="str">
        <f>HYPERLINK("http://locmedia.nwmls.com/DO_NOT_LINK/bigphoto/450/27174450.jpg?tsp=20070924145616","Active")</f>
        <v>Active</v>
      </c>
      <c r="C39">
        <v>705</v>
      </c>
      <c r="D39" t="s">
        <v>146</v>
      </c>
      <c r="E39" t="s">
        <v>191</v>
      </c>
      <c r="F39" s="5">
        <v>417990</v>
      </c>
      <c r="G39" t="s">
        <v>55</v>
      </c>
      <c r="H39">
        <v>1060</v>
      </c>
      <c r="I39">
        <v>3880</v>
      </c>
      <c r="J39">
        <v>2</v>
      </c>
      <c r="K39">
        <v>1</v>
      </c>
      <c r="L39">
        <v>1</v>
      </c>
      <c r="M39" s="4" t="str">
        <f>HYPERLINK("http://locsearch.nwmls.com//ReturnMap.aspx?hidMLS=NWML&amp;VHW=47.685322:-122.389801:.25:&amp;Z=4&amp;H=300&amp;W=400&amp;PP=47.685322:-122.389801:1:027174450","Map")</f>
        <v>Map</v>
      </c>
      <c r="N39" s="4" t="str">
        <f>HYPERLINK("http://locmedia.nwmls.com/DO_NOT_LINK/bigphoto/450/27174450.jpg?tsp=20070924145616","Photo")</f>
        <v>Photo</v>
      </c>
      <c r="O39" s="4" t="str">
        <f>HYPERLINK("http://locator.nwmls.com/scripts/mgrqispi.dll?APPNAME=Locator&amp;PRGNAME=MLSPictureDescriptions&amp;ARGUMENTS=-N300606369,-N27174450,-AE","More")</f>
        <v>More</v>
      </c>
      <c r="P39" t="s">
        <v>41</v>
      </c>
      <c r="Q39" t="s">
        <v>56</v>
      </c>
      <c r="R39" t="s">
        <v>116</v>
      </c>
      <c r="S39" t="s">
        <v>24</v>
      </c>
      <c r="T39" t="s">
        <v>25</v>
      </c>
      <c r="U39" t="s">
        <v>26</v>
      </c>
      <c r="V39" s="6" t="s">
        <v>59</v>
      </c>
      <c r="X39" t="s">
        <v>27</v>
      </c>
      <c r="Y39" t="s">
        <v>28</v>
      </c>
      <c r="Z39" t="s">
        <v>150</v>
      </c>
      <c r="AB39">
        <v>2007</v>
      </c>
      <c r="AC39">
        <v>2585</v>
      </c>
      <c r="AD39" t="s">
        <v>192</v>
      </c>
      <c r="AE39" t="s">
        <v>193</v>
      </c>
      <c r="AF39" t="s">
        <v>194</v>
      </c>
      <c r="AG39">
        <v>47.685321999999999</v>
      </c>
      <c r="AH39">
        <v>-122.38980100000001</v>
      </c>
      <c r="AI39" t="s">
        <v>33</v>
      </c>
      <c r="AJ39">
        <v>98117</v>
      </c>
      <c r="AK39" t="s">
        <v>34</v>
      </c>
      <c r="AL39" t="s">
        <v>35</v>
      </c>
      <c r="AM39" t="s">
        <v>35</v>
      </c>
      <c r="AO39">
        <v>8.8999999999999996E-2</v>
      </c>
      <c r="AP39" t="s">
        <v>195</v>
      </c>
      <c r="AQ39">
        <v>534</v>
      </c>
      <c r="AR39" t="s">
        <v>196</v>
      </c>
      <c r="AS39" t="s">
        <v>197</v>
      </c>
      <c r="AT39">
        <v>3</v>
      </c>
      <c r="AW39" s="17"/>
      <c r="AX39">
        <f t="shared" ca="1" si="1"/>
        <v>28</v>
      </c>
      <c r="AZ39" s="9">
        <v>39405</v>
      </c>
    </row>
    <row r="40" spans="1:52">
      <c r="A40">
        <v>27174490</v>
      </c>
      <c r="B40" s="11" t="str">
        <f>HYPERLINK("http://locmedia.nwmls.com/DO_NOT_LINK/bigphoto/490/27174490.jpg?tsp=20070927171505","Pending")</f>
        <v>Pending</v>
      </c>
      <c r="C40">
        <v>710</v>
      </c>
      <c r="D40" t="s">
        <v>686</v>
      </c>
      <c r="E40" t="s">
        <v>687</v>
      </c>
      <c r="F40" s="5">
        <v>449950</v>
      </c>
      <c r="G40" t="s">
        <v>688</v>
      </c>
      <c r="H40">
        <v>1930</v>
      </c>
      <c r="I40">
        <v>8100</v>
      </c>
      <c r="J40">
        <v>3</v>
      </c>
      <c r="K40">
        <v>2</v>
      </c>
      <c r="L40">
        <v>2</v>
      </c>
      <c r="M40" s="4" t="str">
        <f>HYPERLINK("http://locsearch.nwmls.com//ReturnMap.aspx?hidMLS=NWML&amp;VHW=47.726090:-122.304600:.25:&amp;Z=4&amp;H=300&amp;W=400&amp;PP=47.726090:-122.304600:1:027174490","Map")</f>
        <v>Map</v>
      </c>
      <c r="N40" s="4" t="str">
        <f>HYPERLINK("http://locmedia.nwmls.com/DO_NOT_LINK/bigphoto/490/27174490.jpg?tsp=20070927171505","Photo")</f>
        <v>Photo</v>
      </c>
      <c r="O40" s="4" t="str">
        <f>HYPERLINK("http://locator.nwmls.com/scripts/mgrqispi.dll?APPNAME=Locator&amp;PRGNAME=MLSPictureDescriptions&amp;ARGUMENTS=-N268127191,-N27174490,-AE","More")</f>
        <v>More</v>
      </c>
      <c r="P40" t="s">
        <v>41</v>
      </c>
      <c r="Q40" t="s">
        <v>56</v>
      </c>
      <c r="R40" t="s">
        <v>95</v>
      </c>
      <c r="S40" t="s">
        <v>128</v>
      </c>
      <c r="T40" t="s">
        <v>44</v>
      </c>
      <c r="U40" t="s">
        <v>26</v>
      </c>
      <c r="V40" s="6" t="s">
        <v>59</v>
      </c>
      <c r="X40" t="s">
        <v>27</v>
      </c>
      <c r="Y40" t="s">
        <v>28</v>
      </c>
      <c r="Z40" t="s">
        <v>689</v>
      </c>
      <c r="AA40" t="s">
        <v>690</v>
      </c>
      <c r="AB40">
        <v>2007</v>
      </c>
      <c r="AD40" t="s">
        <v>691</v>
      </c>
      <c r="AE40" t="s">
        <v>692</v>
      </c>
      <c r="AF40" t="s">
        <v>693</v>
      </c>
      <c r="AG40">
        <v>47.726089999999999</v>
      </c>
      <c r="AH40">
        <v>-122.30459999999999</v>
      </c>
      <c r="AI40" t="s">
        <v>33</v>
      </c>
      <c r="AJ40">
        <v>98125</v>
      </c>
      <c r="AK40" t="s">
        <v>34</v>
      </c>
      <c r="AL40" t="s">
        <v>35</v>
      </c>
      <c r="AM40" t="s">
        <v>35</v>
      </c>
      <c r="AO40">
        <v>0.186</v>
      </c>
      <c r="AP40" t="s">
        <v>694</v>
      </c>
      <c r="AQ40">
        <v>505</v>
      </c>
      <c r="AR40" t="s">
        <v>480</v>
      </c>
      <c r="AS40" t="s">
        <v>695</v>
      </c>
      <c r="AT40">
        <v>1</v>
      </c>
      <c r="AW40" s="17"/>
      <c r="AX40">
        <f t="shared" ca="1" si="1"/>
        <v>25</v>
      </c>
      <c r="AZ40" s="9">
        <v>39408</v>
      </c>
    </row>
    <row r="41" spans="1:52">
      <c r="A41">
        <v>27176949</v>
      </c>
      <c r="B41" s="4" t="str">
        <f>HYPERLINK("http://locmedia.nwmls.com/DO_NOT_LINK/bigphoto/949/27176949.jpg?tsp=20071110140029","Active")</f>
        <v>Active</v>
      </c>
      <c r="C41">
        <v>710</v>
      </c>
      <c r="D41" t="s">
        <v>634</v>
      </c>
      <c r="E41" t="s">
        <v>826</v>
      </c>
      <c r="F41" s="5">
        <v>499950</v>
      </c>
      <c r="G41" t="s">
        <v>413</v>
      </c>
      <c r="H41">
        <v>1230</v>
      </c>
      <c r="I41">
        <v>8774</v>
      </c>
      <c r="J41">
        <v>3</v>
      </c>
      <c r="K41">
        <v>1</v>
      </c>
      <c r="L41">
        <v>1</v>
      </c>
      <c r="M41" s="4" t="str">
        <f>HYPERLINK("http://locsearch.nwmls.com//ReturnMap.aspx?hidMLS=NWML&amp;VHW=47.715997:-122.289300:.25:&amp;Z=4&amp;H=300&amp;W=400&amp;PP=47.715997:-122.289300:1:027176949","Map")</f>
        <v>Map</v>
      </c>
      <c r="N41" s="4" t="str">
        <f>HYPERLINK("http://locmedia.nwmls.com/DO_NOT_LINK/bigphoto/949/27176949.jpg?tsp=20071110140029","Photo")</f>
        <v>Photo</v>
      </c>
      <c r="O41" s="4" t="str">
        <f>HYPERLINK("http://locator.nwmls.com/scripts/mgrqispi.dll?APPNAME=Locator&amp;PRGNAME=MLSPictureDescriptions&amp;ARGUMENTS=-N268127191,-N27176949,-AE","More")</f>
        <v>More</v>
      </c>
      <c r="Q41" t="s">
        <v>827</v>
      </c>
      <c r="R41" t="s">
        <v>57</v>
      </c>
      <c r="S41" t="s">
        <v>755</v>
      </c>
      <c r="T41" t="s">
        <v>129</v>
      </c>
      <c r="U41" t="s">
        <v>26</v>
      </c>
      <c r="V41" s="6" t="s">
        <v>59</v>
      </c>
      <c r="X41" t="s">
        <v>27</v>
      </c>
      <c r="Y41" t="s">
        <v>28</v>
      </c>
      <c r="Z41" t="s">
        <v>184</v>
      </c>
      <c r="AA41" t="s">
        <v>828</v>
      </c>
      <c r="AB41">
        <v>2007</v>
      </c>
      <c r="AC41">
        <v>2900</v>
      </c>
      <c r="AD41" t="s">
        <v>829</v>
      </c>
      <c r="AE41" t="s">
        <v>830</v>
      </c>
      <c r="AF41" t="s">
        <v>831</v>
      </c>
      <c r="AG41">
        <v>47.715997000000002</v>
      </c>
      <c r="AH41">
        <v>-122.2893</v>
      </c>
      <c r="AI41" t="s">
        <v>33</v>
      </c>
      <c r="AJ41">
        <v>98125</v>
      </c>
      <c r="AK41" t="s">
        <v>34</v>
      </c>
      <c r="AL41" t="s">
        <v>311</v>
      </c>
      <c r="AM41" t="s">
        <v>35</v>
      </c>
      <c r="AO41">
        <v>0.20100000000000001</v>
      </c>
      <c r="AP41" t="s">
        <v>832</v>
      </c>
      <c r="AQ41">
        <v>505</v>
      </c>
      <c r="AR41" t="s">
        <v>742</v>
      </c>
      <c r="AS41" t="s">
        <v>833</v>
      </c>
      <c r="AT41">
        <v>3</v>
      </c>
      <c r="AW41" s="17"/>
      <c r="AX41">
        <f t="shared" ca="1" si="1"/>
        <v>25</v>
      </c>
      <c r="AZ41" s="9">
        <v>39408</v>
      </c>
    </row>
    <row r="42" spans="1:52">
      <c r="A42">
        <v>27177922</v>
      </c>
      <c r="B42" s="13" t="str">
        <f>HYPERLINK("http://locmedia.nwmls.com/DO_NOT_LINK/bigphoto/922/27177922.jpg?tsp=20071004111413","Cancelled")</f>
        <v>Cancelled</v>
      </c>
      <c r="C42">
        <v>705</v>
      </c>
      <c r="D42" t="s">
        <v>146</v>
      </c>
      <c r="E42" t="s">
        <v>396</v>
      </c>
      <c r="F42" s="5">
        <v>469950</v>
      </c>
      <c r="G42" t="s">
        <v>397</v>
      </c>
      <c r="H42">
        <v>2060</v>
      </c>
      <c r="I42">
        <v>3880</v>
      </c>
      <c r="J42">
        <v>3</v>
      </c>
      <c r="K42">
        <v>1.75</v>
      </c>
      <c r="L42">
        <v>1</v>
      </c>
      <c r="M42" s="4" t="str">
        <f>HYPERLINK("http://locsearch.nwmls.com//ReturnMap.aspx?hidMLS=NWML&amp;VHW=47.684485:-122.388746:.25:&amp;Z=4&amp;H=300&amp;W=400&amp;PP=47.684485:-122.388746:1:027177922","Map")</f>
        <v>Map</v>
      </c>
      <c r="N42" s="4" t="str">
        <f>HYPERLINK("http://locmedia.nwmls.com/DO_NOT_LINK/bigphoto/922/27177922.jpg?tsp=20071004111413","Photo")</f>
        <v>Photo</v>
      </c>
      <c r="O42" s="4" t="str">
        <f>HYPERLINK("http://locator.nwmls.com/scripts/mgrqispi.dll?APPNAME=Locator&amp;PRGNAME=MLSPictureDescriptions&amp;ARGUMENTS=-N300606369,-N27177922,-AE","More")</f>
        <v>More</v>
      </c>
      <c r="Q42" t="s">
        <v>56</v>
      </c>
      <c r="R42" t="s">
        <v>23</v>
      </c>
      <c r="S42" t="s">
        <v>199</v>
      </c>
      <c r="T42" t="s">
        <v>44</v>
      </c>
      <c r="U42" t="s">
        <v>26</v>
      </c>
      <c r="X42" t="s">
        <v>27</v>
      </c>
      <c r="Y42" t="s">
        <v>28</v>
      </c>
      <c r="Z42" t="s">
        <v>398</v>
      </c>
      <c r="AB42">
        <v>2007</v>
      </c>
      <c r="AC42">
        <v>539</v>
      </c>
      <c r="AD42" t="s">
        <v>399</v>
      </c>
      <c r="AE42" t="s">
        <v>121</v>
      </c>
      <c r="AF42" t="s">
        <v>400</v>
      </c>
      <c r="AG42" s="12">
        <v>47.684485000000002</v>
      </c>
      <c r="AH42" s="12">
        <v>-122.388746</v>
      </c>
      <c r="AI42" t="s">
        <v>33</v>
      </c>
      <c r="AJ42">
        <v>98117</v>
      </c>
      <c r="AK42" t="s">
        <v>34</v>
      </c>
      <c r="AL42" t="s">
        <v>35</v>
      </c>
      <c r="AM42" t="s">
        <v>35</v>
      </c>
      <c r="AO42">
        <v>8.8999999999999996E-2</v>
      </c>
      <c r="AP42" t="s">
        <v>401</v>
      </c>
      <c r="AQ42">
        <v>534</v>
      </c>
      <c r="AR42" t="s">
        <v>196</v>
      </c>
      <c r="AS42" t="s">
        <v>402</v>
      </c>
      <c r="AT42">
        <v>1</v>
      </c>
      <c r="AU42" t="s">
        <v>913</v>
      </c>
      <c r="AW42" s="17"/>
      <c r="AX42">
        <f t="shared" ca="1" si="1"/>
        <v>28</v>
      </c>
      <c r="AZ42" s="9">
        <v>39405</v>
      </c>
    </row>
    <row r="43" spans="1:52">
      <c r="A43">
        <v>27177984</v>
      </c>
      <c r="B43" s="4" t="str">
        <f>HYPERLINK("http://locmedia.nwmls.com/DO_NOT_LINK/bigphoto/984/27177984.jpg?tsp=20071005141504","Expired")</f>
        <v>Expired</v>
      </c>
      <c r="C43">
        <v>705</v>
      </c>
      <c r="D43" t="s">
        <v>81</v>
      </c>
      <c r="E43" t="s">
        <v>586</v>
      </c>
      <c r="F43" s="5">
        <v>437500</v>
      </c>
      <c r="G43" t="s">
        <v>587</v>
      </c>
      <c r="H43">
        <v>1650</v>
      </c>
      <c r="I43">
        <v>5117</v>
      </c>
      <c r="J43">
        <v>3</v>
      </c>
      <c r="K43">
        <v>1</v>
      </c>
      <c r="M43" s="4" t="str">
        <f>HYPERLINK("http://locsearch.nwmls.com//ReturnMap.aspx?hidMLS=NWML&amp;VHW=47.674600:-122.372809:.25:&amp;Z=4&amp;H=300&amp;W=400&amp;PP=47.674600:-122.372809:1:027177984","Map")</f>
        <v>Map</v>
      </c>
      <c r="N43" s="4" t="str">
        <f>HYPERLINK("http://locmedia.nwmls.com/DO_NOT_LINK/bigphoto/984/27177984.jpg?tsp=20071005141504","Photo")</f>
        <v>Photo</v>
      </c>
      <c r="O43" s="4" t="str">
        <f>HYPERLINK("http://locator.nwmls.com/scripts/mgrqispi.dll?APPNAME=Locator&amp;PRGNAME=MLSPictureDescriptions&amp;ARGUMENTS=-N300606369,-N27177984,-AE","More")</f>
        <v>More</v>
      </c>
      <c r="P43" t="s">
        <v>317</v>
      </c>
      <c r="Q43" t="s">
        <v>56</v>
      </c>
      <c r="R43" t="s">
        <v>95</v>
      </c>
      <c r="S43" t="s">
        <v>43</v>
      </c>
      <c r="T43" t="s">
        <v>25</v>
      </c>
      <c r="U43" t="s">
        <v>26</v>
      </c>
      <c r="V43" s="6" t="s">
        <v>59</v>
      </c>
      <c r="X43" t="s">
        <v>27</v>
      </c>
      <c r="Y43" t="s">
        <v>28</v>
      </c>
      <c r="Z43" t="s">
        <v>588</v>
      </c>
      <c r="AA43" t="s">
        <v>589</v>
      </c>
      <c r="AB43">
        <v>2007</v>
      </c>
      <c r="AC43">
        <v>3290</v>
      </c>
      <c r="AD43" t="s">
        <v>590</v>
      </c>
      <c r="AE43" t="s">
        <v>591</v>
      </c>
      <c r="AF43" t="s">
        <v>392</v>
      </c>
      <c r="AG43">
        <v>47.674599999999998</v>
      </c>
      <c r="AH43">
        <v>-122.372809</v>
      </c>
      <c r="AI43" t="s">
        <v>33</v>
      </c>
      <c r="AJ43">
        <v>98107</v>
      </c>
      <c r="AK43" t="s">
        <v>34</v>
      </c>
      <c r="AL43" t="s">
        <v>592</v>
      </c>
      <c r="AM43" t="s">
        <v>35</v>
      </c>
      <c r="AO43">
        <v>0.11700000000000001</v>
      </c>
      <c r="AP43" t="s">
        <v>593</v>
      </c>
      <c r="AQ43">
        <v>534</v>
      </c>
      <c r="AR43" t="s">
        <v>577</v>
      </c>
      <c r="AS43" t="s">
        <v>594</v>
      </c>
      <c r="AT43">
        <v>2</v>
      </c>
      <c r="AU43" t="s">
        <v>922</v>
      </c>
      <c r="AW43" s="17"/>
      <c r="AX43">
        <f t="shared" ca="1" si="1"/>
        <v>28</v>
      </c>
      <c r="AZ43" s="9">
        <v>39405</v>
      </c>
    </row>
    <row r="44" spans="1:52">
      <c r="A44">
        <v>27180210</v>
      </c>
      <c r="B44" s="4" t="str">
        <f>HYPERLINK("http://locmedia.nwmls.com/DO_NOT_LINK/bigphoto/210/27180210.jpg?tsp=20071205103455","Active")</f>
        <v>Active</v>
      </c>
      <c r="C44">
        <v>710</v>
      </c>
      <c r="D44" t="s">
        <v>713</v>
      </c>
      <c r="E44" t="s">
        <v>714</v>
      </c>
      <c r="F44" s="16">
        <v>453000</v>
      </c>
      <c r="G44" t="s">
        <v>21</v>
      </c>
      <c r="H44">
        <v>2500</v>
      </c>
      <c r="I44">
        <v>7749</v>
      </c>
      <c r="J44">
        <v>4</v>
      </c>
      <c r="K44">
        <v>2</v>
      </c>
      <c r="L44">
        <v>2</v>
      </c>
      <c r="M44" s="4" t="str">
        <f>HYPERLINK("http://locsearch.nwmls.com//ReturnMap.aspx?hidMLS=NWML&amp;VHW=47.728533:-122.325424:.25:&amp;Z=4&amp;H=300&amp;W=400&amp;PP=47.728533:-122.325424:1:027180210","Map")</f>
        <v>Map</v>
      </c>
      <c r="N44" s="4" t="str">
        <f>HYPERLINK("http://locmedia.nwmls.com/DO_NOT_LINK/bigphoto/210/27180210.jpg?tsp=20071205103455","Photo")</f>
        <v>Photo</v>
      </c>
      <c r="O44" s="4" t="str">
        <f>HYPERLINK("http://locator.nwmls.com/scripts/mgrqispi.dll?APPNAME=Locator&amp;PRGNAME=MLSPictureDescriptions&amp;ARGUMENTS=-N268127191,-N27180210,-AE","More")</f>
        <v>More</v>
      </c>
      <c r="P44" t="s">
        <v>41</v>
      </c>
      <c r="Q44" t="s">
        <v>167</v>
      </c>
      <c r="R44" t="s">
        <v>429</v>
      </c>
      <c r="S44" t="s">
        <v>24</v>
      </c>
      <c r="T44" t="s">
        <v>44</v>
      </c>
      <c r="U44" t="s">
        <v>26</v>
      </c>
      <c r="X44" t="s">
        <v>27</v>
      </c>
      <c r="Y44" t="s">
        <v>28</v>
      </c>
      <c r="Z44" t="s">
        <v>715</v>
      </c>
      <c r="AA44" t="s">
        <v>716</v>
      </c>
      <c r="AB44">
        <v>2007</v>
      </c>
      <c r="AC44">
        <v>2622</v>
      </c>
      <c r="AD44" t="s">
        <v>717</v>
      </c>
      <c r="AE44" t="s">
        <v>718</v>
      </c>
      <c r="AF44" t="s">
        <v>719</v>
      </c>
      <c r="AG44">
        <v>47.728532999999999</v>
      </c>
      <c r="AH44">
        <v>-122.325424</v>
      </c>
      <c r="AI44" t="s">
        <v>33</v>
      </c>
      <c r="AJ44">
        <v>98125</v>
      </c>
      <c r="AK44" t="s">
        <v>34</v>
      </c>
      <c r="AL44" t="s">
        <v>35</v>
      </c>
      <c r="AM44" t="s">
        <v>35</v>
      </c>
      <c r="AO44">
        <v>0.17799999999999999</v>
      </c>
      <c r="AP44" s="15" t="s">
        <v>1061</v>
      </c>
      <c r="AQ44">
        <v>505</v>
      </c>
      <c r="AR44" t="s">
        <v>721</v>
      </c>
      <c r="AS44" s="15" t="s">
        <v>1062</v>
      </c>
      <c r="AT44">
        <v>1</v>
      </c>
      <c r="AW44" s="17"/>
      <c r="AX44">
        <f t="shared" ca="1" si="1"/>
        <v>25</v>
      </c>
      <c r="AZ44" s="9">
        <v>39408</v>
      </c>
    </row>
    <row r="45" spans="1:52">
      <c r="A45">
        <v>27180340</v>
      </c>
      <c r="B45" s="4" t="str">
        <f>HYPERLINK("http://locmedia.nwmls.com/DO_NOT_LINK/bigphoto/340/27180340.jpg?tsp=20071007145754","Active")</f>
        <v>Active</v>
      </c>
      <c r="C45">
        <v>710</v>
      </c>
      <c r="D45" t="s">
        <v>649</v>
      </c>
      <c r="E45" t="s">
        <v>673</v>
      </c>
      <c r="F45" s="5">
        <v>449900</v>
      </c>
      <c r="G45" t="s">
        <v>94</v>
      </c>
      <c r="H45">
        <v>1920</v>
      </c>
      <c r="I45">
        <v>6752</v>
      </c>
      <c r="J45">
        <v>3</v>
      </c>
      <c r="K45">
        <v>1.75</v>
      </c>
      <c r="L45">
        <v>1</v>
      </c>
      <c r="M45" s="4" t="str">
        <f>HYPERLINK("http://locsearch.nwmls.com//ReturnMap.aspx?hidMLS=NWML&amp;VHW=47.693957:-122.328409:.25:&amp;Z=4&amp;H=300&amp;W=400&amp;PP=47.693957:-122.328409:1:027180340","Map")</f>
        <v>Map</v>
      </c>
      <c r="N45" s="4" t="str">
        <f>HYPERLINK("http://locmedia.nwmls.com/DO_NOT_LINK/bigphoto/340/27180340.jpg?tsp=20071007145754","Photo")</f>
        <v>Photo</v>
      </c>
      <c r="O45" s="4" t="str">
        <f>HYPERLINK("http://locator.nwmls.com/scripts/mgrqispi.dll?APPNAME=Locator&amp;PRGNAME=MLSPictureDescriptions&amp;ARGUMENTS=-N268127191,-N27180340,-AE","More")</f>
        <v>More</v>
      </c>
      <c r="P45" t="s">
        <v>597</v>
      </c>
      <c r="Q45" t="s">
        <v>70</v>
      </c>
      <c r="R45" t="s">
        <v>116</v>
      </c>
      <c r="S45" t="s">
        <v>58</v>
      </c>
      <c r="T45" t="s">
        <v>129</v>
      </c>
      <c r="U45" t="s">
        <v>26</v>
      </c>
      <c r="V45" s="6" t="s">
        <v>59</v>
      </c>
      <c r="X45" t="s">
        <v>27</v>
      </c>
      <c r="Y45" t="s">
        <v>28</v>
      </c>
      <c r="Z45" t="s">
        <v>318</v>
      </c>
      <c r="AB45">
        <v>2007</v>
      </c>
      <c r="AC45">
        <v>3123</v>
      </c>
      <c r="AD45" t="s">
        <v>674</v>
      </c>
      <c r="AE45" t="s">
        <v>238</v>
      </c>
      <c r="AF45" t="s">
        <v>292</v>
      </c>
      <c r="AG45" s="12">
        <v>47.693956999999997</v>
      </c>
      <c r="AH45" s="12">
        <v>-122.32840899999999</v>
      </c>
      <c r="AI45" t="s">
        <v>33</v>
      </c>
      <c r="AJ45">
        <v>98115</v>
      </c>
      <c r="AK45" t="s">
        <v>34</v>
      </c>
      <c r="AL45" t="s">
        <v>35</v>
      </c>
      <c r="AM45" t="s">
        <v>35</v>
      </c>
      <c r="AO45">
        <v>0.155</v>
      </c>
      <c r="AP45" t="s">
        <v>675</v>
      </c>
      <c r="AQ45">
        <v>535</v>
      </c>
      <c r="AR45" t="s">
        <v>676</v>
      </c>
      <c r="AS45" t="s">
        <v>677</v>
      </c>
      <c r="AT45">
        <v>2</v>
      </c>
      <c r="AU45" t="s">
        <v>923</v>
      </c>
      <c r="AW45" s="17"/>
      <c r="AX45">
        <f t="shared" ca="1" si="1"/>
        <v>25</v>
      </c>
      <c r="AZ45" s="9">
        <v>39408</v>
      </c>
    </row>
    <row r="46" spans="1:52">
      <c r="A46">
        <v>27180376</v>
      </c>
      <c r="B46" s="4" t="str">
        <f>HYPERLINK("http://locmedia.nwmls.com/DO_NOT_LINK/bigphoto/376/27180376.jpg?tsp=20071127223300","Active")</f>
        <v>Active</v>
      </c>
      <c r="C46">
        <v>705</v>
      </c>
      <c r="D46" t="s">
        <v>53</v>
      </c>
      <c r="E46" t="s">
        <v>198</v>
      </c>
      <c r="F46" s="14">
        <v>409500</v>
      </c>
      <c r="G46" t="s">
        <v>148</v>
      </c>
      <c r="H46">
        <v>1140</v>
      </c>
      <c r="I46">
        <v>6350</v>
      </c>
      <c r="J46">
        <v>2</v>
      </c>
      <c r="K46">
        <v>1</v>
      </c>
      <c r="L46">
        <v>1</v>
      </c>
      <c r="M46" s="4" t="str">
        <f>HYPERLINK("http://locsearch.nwmls.com//ReturnMap.aspx?hidMLS=NWML&amp;VHW=47.699974:-122.358080:.25:&amp;Z=4&amp;H=300&amp;W=400&amp;PP=47.699974:-122.358080:1:027180376","Map")</f>
        <v>Map</v>
      </c>
      <c r="N46" s="4" t="str">
        <f>HYPERLINK("http://locmedia.nwmls.com/DO_NOT_LINK/bigphoto/376/27180376.jpg?tsp=20071127223300","Photo")</f>
        <v>Photo</v>
      </c>
      <c r="O46" s="4" t="str">
        <f>HYPERLINK("http://locator.nwmls.com/scripts/mgrqispi.dll?APPNAME=Locator&amp;PRGNAME=MLSPictureDescriptions&amp;ARGUMENTS=-N300606369,-N27180376,-AE","More")</f>
        <v>More</v>
      </c>
      <c r="P46" t="s">
        <v>41</v>
      </c>
      <c r="Q46" t="s">
        <v>84</v>
      </c>
      <c r="R46" t="s">
        <v>85</v>
      </c>
      <c r="S46" t="s">
        <v>199</v>
      </c>
      <c r="T46" t="s">
        <v>72</v>
      </c>
      <c r="U46" t="s">
        <v>26</v>
      </c>
      <c r="V46" t="s">
        <v>200</v>
      </c>
      <c r="X46" t="s">
        <v>27</v>
      </c>
      <c r="Y46" t="s">
        <v>28</v>
      </c>
      <c r="Z46" t="s">
        <v>96</v>
      </c>
      <c r="AB46">
        <v>2007</v>
      </c>
      <c r="AC46">
        <v>3012</v>
      </c>
      <c r="AD46" t="s">
        <v>201</v>
      </c>
      <c r="AE46" t="s">
        <v>202</v>
      </c>
      <c r="AF46" t="s">
        <v>203</v>
      </c>
      <c r="AG46">
        <v>47.699973999999997</v>
      </c>
      <c r="AH46" s="12">
        <v>-122.35808</v>
      </c>
      <c r="AI46" t="s">
        <v>33</v>
      </c>
      <c r="AJ46">
        <v>98117</v>
      </c>
      <c r="AK46" t="s">
        <v>34</v>
      </c>
      <c r="AL46">
        <v>7</v>
      </c>
      <c r="AM46" t="s">
        <v>35</v>
      </c>
      <c r="AO46">
        <v>0.14599999999999999</v>
      </c>
      <c r="AP46" s="12" t="s">
        <v>993</v>
      </c>
      <c r="AQ46">
        <v>504</v>
      </c>
      <c r="AR46" t="s">
        <v>204</v>
      </c>
      <c r="AS46" s="12" t="s">
        <v>994</v>
      </c>
      <c r="AT46">
        <v>3</v>
      </c>
      <c r="AU46" t="s">
        <v>924</v>
      </c>
      <c r="AW46" s="17"/>
      <c r="AX46">
        <f t="shared" ca="1" si="1"/>
        <v>28</v>
      </c>
      <c r="AZ46" s="9">
        <v>39405</v>
      </c>
    </row>
    <row r="47" spans="1:52">
      <c r="A47">
        <v>27181015</v>
      </c>
      <c r="B47" s="13" t="str">
        <f>HYPERLINK("http://locmedia.nwmls.com/DO_NOT_LINK/bigphoto/015/27181015.jpg?tsp=20071010133250","Pending")</f>
        <v>Pending</v>
      </c>
      <c r="C47">
        <v>705</v>
      </c>
      <c r="D47" t="s">
        <v>81</v>
      </c>
      <c r="E47" t="s">
        <v>346</v>
      </c>
      <c r="F47" s="5">
        <v>459950</v>
      </c>
      <c r="G47" t="s">
        <v>347</v>
      </c>
      <c r="H47">
        <v>2000</v>
      </c>
      <c r="I47">
        <v>5700</v>
      </c>
      <c r="J47">
        <v>2</v>
      </c>
      <c r="K47">
        <v>1.75</v>
      </c>
      <c r="L47">
        <v>1</v>
      </c>
      <c r="M47" s="4" t="str">
        <f>HYPERLINK("http://locsearch.nwmls.com//ReturnMap.aspx?hidMLS=NWML&amp;VHW=47.687999:-122.367300:.25:&amp;Z=4&amp;H=300&amp;W=400&amp;PP=47.687999:-122.367300:1:027181015","Map")</f>
        <v>Map</v>
      </c>
      <c r="N47" s="4" t="str">
        <f>HYPERLINK("http://locmedia.nwmls.com/DO_NOT_LINK/bigphoto/015/27181015.jpg?tsp=20071010133250","Photo")</f>
        <v>Photo</v>
      </c>
      <c r="O47" s="4" t="str">
        <f>HYPERLINK("http://locator.nwmls.com/scripts/mgrqispi.dll?APPNAME=Locator&amp;PRGNAME=MLSPictureDescriptions&amp;ARGUMENTS=-N300606369,-N27181015,-AE","More")</f>
        <v>More</v>
      </c>
      <c r="P47" t="s">
        <v>41</v>
      </c>
      <c r="Q47" t="s">
        <v>56</v>
      </c>
      <c r="R47" t="s">
        <v>116</v>
      </c>
      <c r="S47" t="s">
        <v>199</v>
      </c>
      <c r="T47" t="s">
        <v>129</v>
      </c>
      <c r="U47" t="s">
        <v>26</v>
      </c>
      <c r="V47" s="6" t="s">
        <v>59</v>
      </c>
      <c r="X47" t="s">
        <v>27</v>
      </c>
      <c r="Y47" t="s">
        <v>28</v>
      </c>
      <c r="Z47" t="s">
        <v>184</v>
      </c>
      <c r="AB47">
        <v>2007</v>
      </c>
      <c r="AC47">
        <v>3392</v>
      </c>
      <c r="AD47" t="s">
        <v>348</v>
      </c>
      <c r="AE47" t="s">
        <v>121</v>
      </c>
      <c r="AF47" t="s">
        <v>349</v>
      </c>
      <c r="AG47">
        <v>47.687998999999998</v>
      </c>
      <c r="AH47">
        <v>-122.3673</v>
      </c>
      <c r="AI47" t="s">
        <v>33</v>
      </c>
      <c r="AJ47">
        <v>98117</v>
      </c>
      <c r="AK47" t="s">
        <v>34</v>
      </c>
      <c r="AL47">
        <v>6</v>
      </c>
      <c r="AM47" t="s">
        <v>35</v>
      </c>
      <c r="AO47">
        <v>0.13100000000000001</v>
      </c>
      <c r="AP47" t="s">
        <v>350</v>
      </c>
      <c r="AQ47">
        <v>534</v>
      </c>
      <c r="AR47" t="s">
        <v>313</v>
      </c>
      <c r="AS47" t="s">
        <v>351</v>
      </c>
      <c r="AT47">
        <v>3</v>
      </c>
      <c r="AW47" s="17"/>
      <c r="AX47">
        <f t="shared" ca="1" si="1"/>
        <v>28</v>
      </c>
      <c r="AZ47" s="9">
        <v>39405</v>
      </c>
    </row>
    <row r="48" spans="1:52">
      <c r="A48">
        <v>27181171</v>
      </c>
      <c r="B48" s="4" t="str">
        <f>HYPERLINK("http://locmedia.nwmls.com/DO_NOT_LINK/bigphoto/171/27181171.jpg?tsp=20071115130032","Active")</f>
        <v>Active</v>
      </c>
      <c r="C48">
        <v>705</v>
      </c>
      <c r="D48" t="s">
        <v>53</v>
      </c>
      <c r="E48" t="s">
        <v>54</v>
      </c>
      <c r="F48" s="5">
        <v>369950</v>
      </c>
      <c r="G48" t="s">
        <v>55</v>
      </c>
      <c r="H48">
        <v>1120</v>
      </c>
      <c r="I48">
        <v>3833</v>
      </c>
      <c r="J48">
        <v>3</v>
      </c>
      <c r="K48">
        <v>1</v>
      </c>
      <c r="L48">
        <v>1</v>
      </c>
      <c r="M48" s="4" t="str">
        <f>HYPERLINK("http://locsearch.nwmls.com//ReturnMap.aspx?hidMLS=NWML&amp;VHW=47.703601:-122.349685:.25:&amp;Z=4&amp;H=300&amp;W=400&amp;PP=47.703601:-122.349685:1:027181171","Map")</f>
        <v>Map</v>
      </c>
      <c r="N48" s="4" t="str">
        <f>HYPERLINK("http://locmedia.nwmls.com/DO_NOT_LINK/bigphoto/171/27181171.jpg?tsp=20071115130032","Photo")</f>
        <v>Photo</v>
      </c>
      <c r="O48" s="4" t="str">
        <f>HYPERLINK("http://locator.nwmls.com/scripts/mgrqispi.dll?APPNAME=Locator&amp;PRGNAME=MLSPictureDescriptions&amp;ARGUMENTS=-N300606369,-N27181171,-AE","More")</f>
        <v>More</v>
      </c>
      <c r="Q48" t="s">
        <v>56</v>
      </c>
      <c r="R48" t="s">
        <v>57</v>
      </c>
      <c r="S48" t="s">
        <v>58</v>
      </c>
      <c r="U48" t="s">
        <v>26</v>
      </c>
      <c r="V48" s="6" t="s">
        <v>59</v>
      </c>
      <c r="X48" t="s">
        <v>27</v>
      </c>
      <c r="Y48" t="s">
        <v>28</v>
      </c>
      <c r="Z48" t="s">
        <v>60</v>
      </c>
      <c r="AB48">
        <v>2007</v>
      </c>
      <c r="AC48">
        <v>2334</v>
      </c>
      <c r="AD48" t="s">
        <v>61</v>
      </c>
      <c r="AF48" t="s">
        <v>62</v>
      </c>
      <c r="AG48">
        <v>47.703600999999999</v>
      </c>
      <c r="AH48">
        <v>-122.34968499999999</v>
      </c>
      <c r="AI48" t="s">
        <v>33</v>
      </c>
      <c r="AJ48">
        <v>98133</v>
      </c>
      <c r="AK48" t="s">
        <v>34</v>
      </c>
      <c r="AL48" t="s">
        <v>35</v>
      </c>
      <c r="AM48" t="s">
        <v>35</v>
      </c>
      <c r="AO48">
        <v>8.7999999999999995E-2</v>
      </c>
      <c r="AP48" t="s">
        <v>63</v>
      </c>
      <c r="AQ48">
        <v>504</v>
      </c>
      <c r="AR48" t="s">
        <v>64</v>
      </c>
      <c r="AS48" t="s">
        <v>65</v>
      </c>
      <c r="AT48">
        <v>1</v>
      </c>
      <c r="AU48" t="s">
        <v>913</v>
      </c>
      <c r="AW48" s="17"/>
      <c r="AX48">
        <f t="shared" ca="1" si="1"/>
        <v>28</v>
      </c>
      <c r="AZ48" s="9">
        <v>39405</v>
      </c>
    </row>
    <row r="49" spans="1:52">
      <c r="A49">
        <v>27181193</v>
      </c>
      <c r="B49" s="13" t="str">
        <f>HYPERLINK("http://locmedia.nwmls.com/DO_NOT_LINK/bigphoto/193/27181193.jpg?tsp=20071005144156","Pending")</f>
        <v>Pending</v>
      </c>
      <c r="C49">
        <v>705</v>
      </c>
      <c r="D49" t="s">
        <v>113</v>
      </c>
      <c r="E49" t="s">
        <v>166</v>
      </c>
      <c r="F49" s="5">
        <v>409950</v>
      </c>
      <c r="G49" t="s">
        <v>21</v>
      </c>
      <c r="H49">
        <v>0</v>
      </c>
      <c r="I49">
        <v>6750</v>
      </c>
      <c r="J49">
        <v>3</v>
      </c>
      <c r="K49">
        <v>1.75</v>
      </c>
      <c r="L49">
        <v>1</v>
      </c>
      <c r="M49" s="4" t="str">
        <f>HYPERLINK("http://locsearch.nwmls.com//ReturnMap.aspx?hidMLS=NWML&amp;VHW=47.729804:-122.358201:.25:&amp;Z=4&amp;H=300&amp;W=400&amp;PP=47.729804:-122.358201:1:027181193","Map")</f>
        <v>Map</v>
      </c>
      <c r="N49" s="4" t="str">
        <f>HYPERLINK("http://locmedia.nwmls.com/DO_NOT_LINK/bigphoto/193/27181193.jpg?tsp=20071005144156","Photo")</f>
        <v>Photo</v>
      </c>
      <c r="O49" s="4" t="str">
        <f>HYPERLINK("http://locator.nwmls.com/scripts/mgrqispi.dll?APPNAME=Locator&amp;PRGNAME=MLSPictureDescriptions&amp;ARGUMENTS=-N300606369,-N27181193,-AE","More")</f>
        <v>More</v>
      </c>
      <c r="Q49" t="s">
        <v>167</v>
      </c>
      <c r="R49" t="s">
        <v>23</v>
      </c>
      <c r="S49" t="s">
        <v>58</v>
      </c>
      <c r="T49" t="s">
        <v>25</v>
      </c>
      <c r="U49" t="s">
        <v>26</v>
      </c>
      <c r="X49" t="s">
        <v>27</v>
      </c>
      <c r="Y49" t="s">
        <v>28</v>
      </c>
      <c r="Z49" t="s">
        <v>150</v>
      </c>
      <c r="AB49">
        <v>2007</v>
      </c>
      <c r="AC49">
        <v>2900</v>
      </c>
      <c r="AD49" t="s">
        <v>168</v>
      </c>
      <c r="AE49" t="s">
        <v>169</v>
      </c>
      <c r="AF49" t="s">
        <v>170</v>
      </c>
      <c r="AG49">
        <v>47.729804000000001</v>
      </c>
      <c r="AH49">
        <v>-122.35820099999999</v>
      </c>
      <c r="AI49" t="s">
        <v>33</v>
      </c>
      <c r="AJ49">
        <v>98177</v>
      </c>
      <c r="AK49" t="s">
        <v>34</v>
      </c>
      <c r="AL49">
        <v>5</v>
      </c>
      <c r="AM49" t="s">
        <v>35</v>
      </c>
      <c r="AO49">
        <v>0.155</v>
      </c>
      <c r="AP49" t="s">
        <v>171</v>
      </c>
      <c r="AQ49">
        <v>504</v>
      </c>
      <c r="AR49" t="s">
        <v>172</v>
      </c>
      <c r="AS49" t="s">
        <v>173</v>
      </c>
      <c r="AT49">
        <v>-5</v>
      </c>
      <c r="AW49" s="17"/>
      <c r="AX49">
        <f t="shared" ca="1" si="1"/>
        <v>28</v>
      </c>
      <c r="AZ49" s="9">
        <v>39405</v>
      </c>
    </row>
    <row r="50" spans="1:52">
      <c r="A50">
        <v>27182064</v>
      </c>
      <c r="B50" s="4" t="str">
        <f>HYPERLINK("http://locmedia.nwmls.com/DO_NOT_LINK/bigphoto/064/27182064.jpg?tsp=20071006190749","Active")</f>
        <v>Active</v>
      </c>
      <c r="C50">
        <v>705</v>
      </c>
      <c r="D50" t="s">
        <v>113</v>
      </c>
      <c r="E50" t="s">
        <v>206</v>
      </c>
      <c r="F50" s="5">
        <v>419000</v>
      </c>
      <c r="G50" t="s">
        <v>21</v>
      </c>
      <c r="H50">
        <v>1871</v>
      </c>
      <c r="I50">
        <v>0</v>
      </c>
      <c r="J50">
        <v>3</v>
      </c>
      <c r="K50">
        <v>1</v>
      </c>
      <c r="M50" s="4" t="str">
        <f>HYPERLINK("http://locsearch.nwmls.com//ReturnMap.aspx?hidMLS=NWML&amp;VHW=47.732301:-122.352013:.25:&amp;Z=4&amp;H=300&amp;W=400&amp;PP=47.732301:-122.352013:1:027182064","Map")</f>
        <v>Map</v>
      </c>
      <c r="N50" s="4" t="str">
        <f>HYPERLINK("http://locmedia.nwmls.com/DO_NOT_LINK/bigphoto/064/27182064.jpg?tsp=20071006190749","Photo")</f>
        <v>Photo</v>
      </c>
      <c r="O50" s="4" t="str">
        <f>HYPERLINK("http://locator.nwmls.com/scripts/mgrqispi.dll?APPNAME=Locator&amp;PRGNAME=MLSPictureDescriptions&amp;ARGUMENTS=-N300606369,-N27182064,-AE","More")</f>
        <v>More</v>
      </c>
      <c r="P50" t="s">
        <v>41</v>
      </c>
      <c r="Q50" t="s">
        <v>56</v>
      </c>
      <c r="R50" t="s">
        <v>95</v>
      </c>
      <c r="S50" t="s">
        <v>24</v>
      </c>
      <c r="T50" t="s">
        <v>25</v>
      </c>
      <c r="U50" t="s">
        <v>26</v>
      </c>
      <c r="V50" s="6" t="s">
        <v>59</v>
      </c>
      <c r="X50" t="s">
        <v>27</v>
      </c>
      <c r="Y50" t="s">
        <v>28</v>
      </c>
      <c r="Z50" t="s">
        <v>207</v>
      </c>
      <c r="AA50" t="s">
        <v>208</v>
      </c>
      <c r="AB50">
        <v>2007</v>
      </c>
      <c r="AC50">
        <v>3039</v>
      </c>
      <c r="AD50" t="s">
        <v>209</v>
      </c>
      <c r="AE50" t="s">
        <v>210</v>
      </c>
      <c r="AF50" t="s">
        <v>211</v>
      </c>
      <c r="AG50">
        <v>47.732301</v>
      </c>
      <c r="AH50">
        <v>-122.352013</v>
      </c>
      <c r="AI50" t="s">
        <v>33</v>
      </c>
      <c r="AJ50">
        <v>98133</v>
      </c>
      <c r="AK50" t="s">
        <v>34</v>
      </c>
      <c r="AL50" t="s">
        <v>35</v>
      </c>
      <c r="AM50" t="s">
        <v>35</v>
      </c>
      <c r="AO50">
        <v>0</v>
      </c>
      <c r="AP50" t="s">
        <v>212</v>
      </c>
      <c r="AQ50">
        <v>504</v>
      </c>
      <c r="AR50" t="s">
        <v>213</v>
      </c>
      <c r="AS50" t="s">
        <v>214</v>
      </c>
      <c r="AT50">
        <v>1</v>
      </c>
      <c r="AU50" t="s">
        <v>913</v>
      </c>
      <c r="AW50" s="17"/>
      <c r="AX50">
        <f t="shared" ca="1" si="1"/>
        <v>28</v>
      </c>
      <c r="AZ50" s="9">
        <v>39405</v>
      </c>
    </row>
    <row r="51" spans="1:52">
      <c r="A51">
        <v>27182187</v>
      </c>
      <c r="B51" s="11" t="str">
        <f>HYPERLINK("http://locmedia.nwmls.com/DO_NOT_LINK/bigphoto/187/27182187.jpg?tsp=20071007140427","Cancelled")</f>
        <v>Cancelled</v>
      </c>
      <c r="C51">
        <v>705</v>
      </c>
      <c r="D51" t="s">
        <v>66</v>
      </c>
      <c r="E51" t="s">
        <v>511</v>
      </c>
      <c r="F51" s="5">
        <v>499000</v>
      </c>
      <c r="G51" t="s">
        <v>316</v>
      </c>
      <c r="H51">
        <v>1290</v>
      </c>
      <c r="I51">
        <v>3790</v>
      </c>
      <c r="J51">
        <v>3</v>
      </c>
      <c r="K51">
        <v>1</v>
      </c>
      <c r="L51">
        <v>1</v>
      </c>
      <c r="M51" s="4" t="str">
        <f>HYPERLINK("http://locsearch.nwmls.com//ReturnMap.aspx?hidMLS=NWML&amp;VHW=47.688826:-122.311119:.25:&amp;Z=4&amp;H=300&amp;W=400&amp;PP=47.688826:-122.311119:1:027182187","Map")</f>
        <v>Map</v>
      </c>
      <c r="N51" s="4" t="str">
        <f>HYPERLINK("http://locmedia.nwmls.com/DO_NOT_LINK/bigphoto/187/27182187.jpg?tsp=20071007140427","Photo")</f>
        <v>Photo</v>
      </c>
      <c r="O51" s="4" t="str">
        <f>HYPERLINK("http://locator.nwmls.com/scripts/mgrqispi.dll?APPNAME=Locator&amp;PRGNAME=MLSPictureDescriptions&amp;ARGUMENTS=-N300606369,-N27182187,-AE","More")</f>
        <v>More</v>
      </c>
      <c r="P51" t="s">
        <v>262</v>
      </c>
      <c r="Q51" t="s">
        <v>56</v>
      </c>
      <c r="R51" t="s">
        <v>116</v>
      </c>
      <c r="S51" t="s">
        <v>128</v>
      </c>
      <c r="T51" t="s">
        <v>300</v>
      </c>
      <c r="U51" t="s">
        <v>26</v>
      </c>
      <c r="X51" t="s">
        <v>27</v>
      </c>
      <c r="Y51" t="s">
        <v>28</v>
      </c>
      <c r="Z51" t="s">
        <v>207</v>
      </c>
      <c r="AA51" t="s">
        <v>512</v>
      </c>
      <c r="AB51">
        <v>2007</v>
      </c>
      <c r="AC51">
        <v>2956</v>
      </c>
      <c r="AD51" t="s">
        <v>513</v>
      </c>
      <c r="AE51" t="s">
        <v>238</v>
      </c>
      <c r="AF51" t="s">
        <v>514</v>
      </c>
      <c r="AG51">
        <v>47.688825999999999</v>
      </c>
      <c r="AH51">
        <v>-122.31111900000001</v>
      </c>
      <c r="AI51" t="s">
        <v>33</v>
      </c>
      <c r="AJ51">
        <v>98115</v>
      </c>
      <c r="AK51" t="s">
        <v>34</v>
      </c>
      <c r="AL51" t="s">
        <v>35</v>
      </c>
      <c r="AM51" t="s">
        <v>35</v>
      </c>
      <c r="AO51">
        <v>8.6999999999999994E-2</v>
      </c>
      <c r="AP51" t="s">
        <v>515</v>
      </c>
      <c r="AQ51">
        <v>535</v>
      </c>
      <c r="AR51" t="s">
        <v>516</v>
      </c>
      <c r="AS51" t="s">
        <v>517</v>
      </c>
      <c r="AT51">
        <v>1</v>
      </c>
      <c r="AU51" t="s">
        <v>913</v>
      </c>
      <c r="AW51" s="17"/>
      <c r="AX51">
        <f t="shared" ca="1" si="1"/>
        <v>28</v>
      </c>
      <c r="AZ51" s="9">
        <v>39405</v>
      </c>
    </row>
    <row r="52" spans="1:52">
      <c r="A52">
        <v>27182314</v>
      </c>
      <c r="B52" s="4" t="str">
        <f>HYPERLINK("http://locmedia.nwmls.com/DO_NOT_LINK/bigphoto/314/27182314.jpg?tsp=20071010140226","Active")</f>
        <v>Active</v>
      </c>
      <c r="C52">
        <v>710</v>
      </c>
      <c r="D52" t="s">
        <v>656</v>
      </c>
      <c r="E52" t="s">
        <v>657</v>
      </c>
      <c r="F52" s="16">
        <v>419000</v>
      </c>
      <c r="G52" t="s">
        <v>21</v>
      </c>
      <c r="H52">
        <v>0</v>
      </c>
      <c r="I52">
        <v>0</v>
      </c>
      <c r="J52">
        <v>2</v>
      </c>
      <c r="K52">
        <v>1</v>
      </c>
      <c r="L52">
        <v>1</v>
      </c>
      <c r="M52" s="4" t="str">
        <f>HYPERLINK("http://locsearch.nwmls.com//ReturnMap.aspx?hidMLS=NWML&amp;VHW=47.690170:-122.283083:.25:&amp;Z=4&amp;H=300&amp;W=400&amp;PP=47.690170:-122.283083:1:027182314","Map")</f>
        <v>Map</v>
      </c>
      <c r="N52" s="4" t="str">
        <f>HYPERLINK("http://locmedia.nwmls.com/DO_NOT_LINK/bigphoto/314/27182314.jpg?tsp=20071010140226","Photo")</f>
        <v>Photo</v>
      </c>
      <c r="O52" s="4" t="str">
        <f>HYPERLINK("http://locator.nwmls.com/scripts/mgrqispi.dll?APPNAME=Locator&amp;PRGNAME=MLSPictureDescriptions&amp;ARGUMENTS=-N268127191,-N27182314,-AE","More")</f>
        <v>More</v>
      </c>
      <c r="Q52" t="s">
        <v>70</v>
      </c>
      <c r="R52" t="s">
        <v>658</v>
      </c>
      <c r="S52" t="s">
        <v>128</v>
      </c>
      <c r="T52" t="s">
        <v>25</v>
      </c>
      <c r="U52" t="s">
        <v>26</v>
      </c>
      <c r="X52" t="s">
        <v>27</v>
      </c>
      <c r="Y52" t="s">
        <v>28</v>
      </c>
      <c r="Z52" t="s">
        <v>659</v>
      </c>
      <c r="AB52">
        <v>2007</v>
      </c>
      <c r="AC52">
        <v>2876</v>
      </c>
      <c r="AD52" t="s">
        <v>660</v>
      </c>
      <c r="AF52" t="s">
        <v>661</v>
      </c>
      <c r="AG52">
        <v>47.690170000000002</v>
      </c>
      <c r="AH52">
        <v>-122.283083</v>
      </c>
      <c r="AI52" t="s">
        <v>33</v>
      </c>
      <c r="AJ52">
        <v>98115</v>
      </c>
      <c r="AK52" t="s">
        <v>34</v>
      </c>
      <c r="AL52" t="s">
        <v>35</v>
      </c>
      <c r="AM52" t="s">
        <v>35</v>
      </c>
      <c r="AO52">
        <v>0</v>
      </c>
      <c r="AP52" t="s">
        <v>662</v>
      </c>
      <c r="AQ52">
        <v>535</v>
      </c>
      <c r="AR52" t="s">
        <v>371</v>
      </c>
      <c r="AS52" t="s">
        <v>663</v>
      </c>
      <c r="AT52">
        <v>3</v>
      </c>
      <c r="AW52" s="17"/>
      <c r="AX52">
        <f t="shared" ca="1" si="1"/>
        <v>25</v>
      </c>
      <c r="AZ52" s="9">
        <v>39408</v>
      </c>
    </row>
    <row r="53" spans="1:52">
      <c r="A53">
        <v>27182369</v>
      </c>
      <c r="B53" s="13" t="str">
        <f>HYPERLINK("http://locmedia.nwmls.com/DO_NOT_LINK/bigphoto/369/27182369.jpg?tsp=20071008094614","Expired")</f>
        <v>Expired</v>
      </c>
      <c r="C53">
        <v>705</v>
      </c>
      <c r="D53" t="s">
        <v>146</v>
      </c>
      <c r="E53" t="s">
        <v>560</v>
      </c>
      <c r="F53" s="5">
        <v>500000</v>
      </c>
      <c r="G53" t="s">
        <v>397</v>
      </c>
      <c r="H53">
        <v>1980</v>
      </c>
      <c r="I53">
        <v>5000</v>
      </c>
      <c r="J53">
        <v>3</v>
      </c>
      <c r="K53">
        <v>1.75</v>
      </c>
      <c r="L53">
        <v>2</v>
      </c>
      <c r="M53" s="4" t="str">
        <f>HYPERLINK("http://locsearch.nwmls.com//ReturnMap.aspx?hidMLS=NWML&amp;VHW=47.677301:-122.397201:.25:&amp;Z=4&amp;H=300&amp;W=400&amp;PP=47.677301:-122.397201:1:027182369","Map")</f>
        <v>Map</v>
      </c>
      <c r="N53" s="4" t="str">
        <f>HYPERLINK("http://locmedia.nwmls.com/DO_NOT_LINK/bigphoto/369/27182369.jpg?tsp=20071008094614","Photo")</f>
        <v>Photo</v>
      </c>
      <c r="O53" s="4" t="str">
        <f>HYPERLINK("http://locator.nwmls.com/scripts/mgrqispi.dll?APPNAME=Locator&amp;PRGNAME=MLSPictureDescriptions&amp;ARGUMENTS=-N300606369,-N27182369,-AE","More")</f>
        <v>More</v>
      </c>
      <c r="P53" t="s">
        <v>41</v>
      </c>
      <c r="Q53" t="s">
        <v>56</v>
      </c>
      <c r="R53" t="s">
        <v>95</v>
      </c>
      <c r="S53" t="s">
        <v>475</v>
      </c>
      <c r="T53" t="s">
        <v>129</v>
      </c>
      <c r="U53" t="s">
        <v>26</v>
      </c>
      <c r="V53" s="6" t="s">
        <v>59</v>
      </c>
      <c r="X53" t="s">
        <v>27</v>
      </c>
      <c r="Y53" t="s">
        <v>28</v>
      </c>
      <c r="Z53" t="s">
        <v>176</v>
      </c>
      <c r="AA53" t="s">
        <v>561</v>
      </c>
      <c r="AB53">
        <v>2007</v>
      </c>
      <c r="AC53">
        <v>3309</v>
      </c>
      <c r="AD53" t="s">
        <v>562</v>
      </c>
      <c r="AE53" t="s">
        <v>121</v>
      </c>
      <c r="AF53" t="s">
        <v>563</v>
      </c>
      <c r="AG53">
        <v>47.677301</v>
      </c>
      <c r="AH53">
        <v>-122.397201</v>
      </c>
      <c r="AI53" t="s">
        <v>33</v>
      </c>
      <c r="AJ53">
        <v>98117</v>
      </c>
      <c r="AK53" t="s">
        <v>34</v>
      </c>
      <c r="AL53" t="s">
        <v>35</v>
      </c>
      <c r="AM53" t="s">
        <v>35</v>
      </c>
      <c r="AO53">
        <v>0.115</v>
      </c>
      <c r="AP53" t="s">
        <v>564</v>
      </c>
      <c r="AQ53">
        <v>534</v>
      </c>
      <c r="AR53" t="s">
        <v>480</v>
      </c>
      <c r="AS53" t="s">
        <v>565</v>
      </c>
      <c r="AT53">
        <v>4</v>
      </c>
      <c r="AU53" t="s">
        <v>925</v>
      </c>
      <c r="AV53" s="9">
        <v>39363</v>
      </c>
      <c r="AW53" s="17">
        <v>48</v>
      </c>
      <c r="AX53">
        <f t="shared" ca="1" si="1"/>
        <v>70</v>
      </c>
      <c r="AY53" t="s">
        <v>907</v>
      </c>
      <c r="AZ53" s="9">
        <v>39405</v>
      </c>
    </row>
    <row r="54" spans="1:52">
      <c r="A54">
        <v>27183237</v>
      </c>
      <c r="B54" s="13" t="str">
        <f>HYPERLINK("http://locmedia.nwmls.com/DO_NOT_LINK/bigphoto/237/27183237.jpg?tsp=20071011181507","Active - STI")</f>
        <v>Active - STI</v>
      </c>
      <c r="C54">
        <v>710</v>
      </c>
      <c r="D54" t="s">
        <v>704</v>
      </c>
      <c r="E54" t="s">
        <v>705</v>
      </c>
      <c r="F54" s="5">
        <v>459500</v>
      </c>
      <c r="G54" t="s">
        <v>148</v>
      </c>
      <c r="H54">
        <v>1900</v>
      </c>
      <c r="I54">
        <v>7200</v>
      </c>
      <c r="J54">
        <v>2</v>
      </c>
      <c r="K54">
        <v>1.75</v>
      </c>
      <c r="L54">
        <v>2</v>
      </c>
      <c r="M54" s="4" t="str">
        <f>HYPERLINK("http://locsearch.nwmls.com//ReturnMap.aspx?hidMLS=NWML&amp;VHW=47.709310:-122.306246:.25:&amp;Z=4&amp;H=300&amp;W=400&amp;PP=47.709310:-122.306246:1:027183237","Map")</f>
        <v>Map</v>
      </c>
      <c r="N54" s="4" t="str">
        <f>HYPERLINK("http://locmedia.nwmls.com/DO_NOT_LINK/bigphoto/237/27183237.jpg?tsp=20071011181507","Photo")</f>
        <v>Photo</v>
      </c>
      <c r="O54" s="4" t="str">
        <f>HYPERLINK("http://locator.nwmls.com/scripts/mgrqispi.dll?APPNAME=Locator&amp;PRGNAME=MLSPictureDescriptions&amp;ARGUMENTS=-N268127191,-N27183237,-AE","More")</f>
        <v>More</v>
      </c>
      <c r="Q54" t="s">
        <v>56</v>
      </c>
      <c r="R54" t="s">
        <v>95</v>
      </c>
      <c r="S54" t="s">
        <v>706</v>
      </c>
      <c r="T54" t="s">
        <v>129</v>
      </c>
      <c r="U54" t="s">
        <v>26</v>
      </c>
      <c r="V54">
        <v>41</v>
      </c>
      <c r="X54" t="s">
        <v>27</v>
      </c>
      <c r="Y54" t="s">
        <v>28</v>
      </c>
      <c r="Z54" t="s">
        <v>104</v>
      </c>
      <c r="AB54">
        <v>2007</v>
      </c>
      <c r="AC54">
        <v>3105</v>
      </c>
      <c r="AD54" t="s">
        <v>707</v>
      </c>
      <c r="AE54" t="s">
        <v>708</v>
      </c>
      <c r="AF54" t="s">
        <v>709</v>
      </c>
      <c r="AG54">
        <v>47.709310000000002</v>
      </c>
      <c r="AH54">
        <v>-122.306246</v>
      </c>
      <c r="AI54" t="s">
        <v>33</v>
      </c>
      <c r="AJ54">
        <v>98125</v>
      </c>
      <c r="AK54" t="s">
        <v>34</v>
      </c>
      <c r="AL54" t="s">
        <v>35</v>
      </c>
      <c r="AM54" t="s">
        <v>35</v>
      </c>
      <c r="AO54">
        <v>0.16500000000000001</v>
      </c>
      <c r="AP54" t="s">
        <v>710</v>
      </c>
      <c r="AQ54">
        <v>505</v>
      </c>
      <c r="AR54" t="s">
        <v>711</v>
      </c>
      <c r="AS54" t="s">
        <v>712</v>
      </c>
      <c r="AT54">
        <v>3</v>
      </c>
      <c r="AV54" s="9">
        <v>39364</v>
      </c>
      <c r="AW54" s="17">
        <v>47</v>
      </c>
      <c r="AX54">
        <v>70</v>
      </c>
      <c r="AZ54" s="9">
        <v>39408</v>
      </c>
    </row>
    <row r="55" spans="1:52">
      <c r="A55">
        <v>27183898</v>
      </c>
      <c r="B55" s="4" t="str">
        <f>HYPERLINK("http://locmedia.nwmls.com/DO_NOT_LINK/bigphoto/898/27183898.jpg?tsp=20071010132921","Active")</f>
        <v>Active</v>
      </c>
      <c r="C55">
        <v>705</v>
      </c>
      <c r="D55" t="s">
        <v>443</v>
      </c>
      <c r="E55" t="s">
        <v>444</v>
      </c>
      <c r="F55" s="5">
        <v>479450</v>
      </c>
      <c r="G55" t="s">
        <v>445</v>
      </c>
      <c r="H55">
        <v>1200</v>
      </c>
      <c r="I55">
        <v>3400</v>
      </c>
      <c r="J55">
        <v>3</v>
      </c>
      <c r="K55">
        <v>3</v>
      </c>
      <c r="M55" s="4" t="str">
        <f>HYPERLINK("http://locsearch.nwmls.com//ReturnMap.aspx?hidMLS=NWML&amp;VHW=47.652700:-122.339581:.25:&amp;Z=4&amp;H=300&amp;W=400&amp;PP=47.652700:-122.339581:1:027183898","Map")</f>
        <v>Map</v>
      </c>
      <c r="N55" s="4" t="str">
        <f>HYPERLINK("http://locmedia.nwmls.com/DO_NOT_LINK/bigphoto/898/27183898.jpg?tsp=20071010132921","Photo")</f>
        <v>Photo</v>
      </c>
      <c r="O55" t="s">
        <v>435</v>
      </c>
      <c r="P55" t="s">
        <v>41</v>
      </c>
      <c r="Q55" t="s">
        <v>56</v>
      </c>
      <c r="R55" t="s">
        <v>95</v>
      </c>
      <c r="S55" t="s">
        <v>43</v>
      </c>
      <c r="T55" t="s">
        <v>44</v>
      </c>
      <c r="U55" t="s">
        <v>26</v>
      </c>
      <c r="V55" s="6" t="s">
        <v>59</v>
      </c>
      <c r="X55" t="s">
        <v>27</v>
      </c>
      <c r="Y55" t="s">
        <v>28</v>
      </c>
      <c r="Z55" t="s">
        <v>446</v>
      </c>
      <c r="AB55">
        <v>2007</v>
      </c>
      <c r="AC55">
        <v>2733</v>
      </c>
      <c r="AD55" t="s">
        <v>447</v>
      </c>
      <c r="AE55" t="s">
        <v>448</v>
      </c>
      <c r="AF55" t="s">
        <v>449</v>
      </c>
      <c r="AG55">
        <v>47.652700000000003</v>
      </c>
      <c r="AH55">
        <v>-122.339581</v>
      </c>
      <c r="AI55" t="s">
        <v>33</v>
      </c>
      <c r="AJ55">
        <v>98103</v>
      </c>
      <c r="AK55" t="s">
        <v>34</v>
      </c>
      <c r="AL55">
        <v>1</v>
      </c>
      <c r="AM55" t="s">
        <v>35</v>
      </c>
      <c r="AO55">
        <v>7.8E-2</v>
      </c>
      <c r="AP55" t="s">
        <v>450</v>
      </c>
      <c r="AQ55">
        <v>534</v>
      </c>
      <c r="AR55" t="s">
        <v>451</v>
      </c>
      <c r="AS55" t="s">
        <v>452</v>
      </c>
      <c r="AT55">
        <v>1</v>
      </c>
      <c r="AU55" t="s">
        <v>913</v>
      </c>
      <c r="AW55" s="17"/>
      <c r="AX55">
        <f t="shared" ref="AX55:AX80" ca="1" si="2">IF(ISBLANK($AW55),TODAY()-$AZ55,TODAY()-$AV55)</f>
        <v>28</v>
      </c>
      <c r="AZ55" s="9">
        <v>39405</v>
      </c>
    </row>
    <row r="56" spans="1:52">
      <c r="A56">
        <v>27184437</v>
      </c>
      <c r="B56" s="4" t="str">
        <f>HYPERLINK("http://locmedia.nwmls.com/DO_NOT_LINK/bigphoto/437/27184437.jpg?tsp=20071012171503","Active")</f>
        <v>Active</v>
      </c>
      <c r="C56">
        <v>710</v>
      </c>
      <c r="D56" t="s">
        <v>801</v>
      </c>
      <c r="E56" t="s">
        <v>802</v>
      </c>
      <c r="F56" s="5">
        <v>489500</v>
      </c>
      <c r="G56" t="s">
        <v>803</v>
      </c>
      <c r="H56">
        <v>1390</v>
      </c>
      <c r="I56">
        <v>2575</v>
      </c>
      <c r="J56">
        <v>2</v>
      </c>
      <c r="K56">
        <v>2</v>
      </c>
      <c r="L56">
        <v>1</v>
      </c>
      <c r="M56" s="4" t="str">
        <f>HYPERLINK("http://locsearch.nwmls.com//ReturnMap.aspx?hidMLS=NWML&amp;VHW=47.679810:-122.301724:.25:&amp;Z=4&amp;H=300&amp;W=400&amp;PP=47.679810:-122.301724:1:027184437","Map")</f>
        <v>Map</v>
      </c>
      <c r="N56" s="4" t="str">
        <f>HYPERLINK("http://locmedia.nwmls.com/DO_NOT_LINK/bigphoto/437/27184437.jpg?tsp=20071012171503","Photo")</f>
        <v>Photo</v>
      </c>
      <c r="O56" s="4" t="str">
        <f>HYPERLINK("http://locator.nwmls.com/scripts/mgrqispi.dll?APPNAME=Locator&amp;PRGNAME=MLSPictureDescriptions&amp;ARGUMENTS=-N268127191,-N27184437,-AE","More")</f>
        <v>More</v>
      </c>
      <c r="P56" t="s">
        <v>41</v>
      </c>
      <c r="Q56" t="s">
        <v>804</v>
      </c>
      <c r="R56" t="s">
        <v>23</v>
      </c>
      <c r="S56" t="s">
        <v>24</v>
      </c>
      <c r="T56" t="s">
        <v>25</v>
      </c>
      <c r="U56" t="s">
        <v>26</v>
      </c>
      <c r="V56" t="s">
        <v>805</v>
      </c>
      <c r="X56" t="s">
        <v>27</v>
      </c>
      <c r="Y56" t="s">
        <v>28</v>
      </c>
      <c r="Z56" t="s">
        <v>806</v>
      </c>
      <c r="AB56">
        <v>2006</v>
      </c>
      <c r="AC56">
        <v>2826</v>
      </c>
      <c r="AD56" t="s">
        <v>807</v>
      </c>
      <c r="AE56" t="s">
        <v>808</v>
      </c>
      <c r="AF56" t="s">
        <v>809</v>
      </c>
      <c r="AG56">
        <v>47.679810000000003</v>
      </c>
      <c r="AH56">
        <v>-122.30172399999999</v>
      </c>
      <c r="AI56" t="s">
        <v>33</v>
      </c>
      <c r="AJ56">
        <v>98115</v>
      </c>
      <c r="AK56" t="s">
        <v>34</v>
      </c>
      <c r="AL56">
        <v>17</v>
      </c>
      <c r="AM56" t="s">
        <v>35</v>
      </c>
      <c r="AO56">
        <v>5.8999999999999997E-2</v>
      </c>
      <c r="AP56" t="s">
        <v>810</v>
      </c>
      <c r="AQ56">
        <v>535</v>
      </c>
      <c r="AR56" t="s">
        <v>480</v>
      </c>
      <c r="AS56" t="s">
        <v>811</v>
      </c>
      <c r="AT56">
        <v>1</v>
      </c>
      <c r="AW56" s="17"/>
      <c r="AX56">
        <f t="shared" ca="1" si="2"/>
        <v>25</v>
      </c>
      <c r="AZ56" s="9">
        <v>39408</v>
      </c>
    </row>
    <row r="57" spans="1:52">
      <c r="A57">
        <v>27185407</v>
      </c>
      <c r="B57" s="4" t="str">
        <f>HYPERLINK("http://locmedia.nwmls.com/DO_NOT_LINK/bigphoto/407/27185407.jpg?tsp=20071013084406","Active")</f>
        <v>Active</v>
      </c>
      <c r="C57">
        <v>705</v>
      </c>
      <c r="D57" t="s">
        <v>33</v>
      </c>
      <c r="E57" t="s">
        <v>93</v>
      </c>
      <c r="F57" s="5">
        <v>385000</v>
      </c>
      <c r="G57" t="s">
        <v>94</v>
      </c>
      <c r="H57">
        <v>1080</v>
      </c>
      <c r="I57">
        <v>8380</v>
      </c>
      <c r="J57">
        <v>2</v>
      </c>
      <c r="K57">
        <v>1</v>
      </c>
      <c r="M57" s="4" t="str">
        <f>HYPERLINK("http://locsearch.nwmls.com//ReturnMap.aspx?hidMLS=NWML&amp;VHW=47.704995:-122.367400:.25:&amp;Z=4&amp;H=300&amp;W=400&amp;PP=47.704995:-122.367400:1:027185407","Map")</f>
        <v>Map</v>
      </c>
      <c r="N57" s="4" t="str">
        <f>HYPERLINK("http://locmedia.nwmls.com/DO_NOT_LINK/bigphoto/407/27185407.jpg?tsp=20071013084406","Photo")</f>
        <v>Photo</v>
      </c>
      <c r="O57" s="4" t="str">
        <f>HYPERLINK("http://locator.nwmls.com/scripts/mgrqispi.dll?APPNAME=Locator&amp;PRGNAME=MLSPictureDescriptions&amp;ARGUMENTS=-N300606369,-N27185407,-AE","More")</f>
        <v>More</v>
      </c>
      <c r="Q57" t="s">
        <v>56</v>
      </c>
      <c r="R57" t="s">
        <v>95</v>
      </c>
      <c r="U57" t="s">
        <v>26</v>
      </c>
      <c r="V57" s="6" t="s">
        <v>59</v>
      </c>
      <c r="X57" t="s">
        <v>27</v>
      </c>
      <c r="Y57" t="s">
        <v>28</v>
      </c>
      <c r="Z57" t="s">
        <v>96</v>
      </c>
      <c r="AB57">
        <v>2007</v>
      </c>
      <c r="AC57">
        <v>2900</v>
      </c>
      <c r="AD57" t="s">
        <v>97</v>
      </c>
      <c r="AF57" t="s">
        <v>98</v>
      </c>
      <c r="AG57">
        <v>47.704994999999997</v>
      </c>
      <c r="AH57">
        <v>-122.3674</v>
      </c>
      <c r="AI57" t="s">
        <v>33</v>
      </c>
      <c r="AJ57">
        <v>98177</v>
      </c>
      <c r="AK57" t="s">
        <v>34</v>
      </c>
      <c r="AL57" t="s">
        <v>35</v>
      </c>
      <c r="AM57" t="s">
        <v>35</v>
      </c>
      <c r="AO57">
        <v>0.192</v>
      </c>
      <c r="AP57" t="s">
        <v>99</v>
      </c>
      <c r="AQ57">
        <v>504</v>
      </c>
      <c r="AR57" t="s">
        <v>100</v>
      </c>
      <c r="AS57" t="s">
        <v>101</v>
      </c>
      <c r="AT57">
        <v>1</v>
      </c>
      <c r="AU57" t="s">
        <v>926</v>
      </c>
      <c r="AW57" s="17"/>
      <c r="AX57">
        <f t="shared" ca="1" si="2"/>
        <v>28</v>
      </c>
      <c r="AZ57" s="9">
        <v>39405</v>
      </c>
    </row>
    <row r="58" spans="1:52">
      <c r="A58">
        <v>27186085</v>
      </c>
      <c r="B58" s="13" t="str">
        <f>HYPERLINK("http://locmedia.nwmls.com/DO_NOT_LINK/bigphoto/085/27186085.jpg?tsp=20071016134757","Pending")</f>
        <v>Pending</v>
      </c>
      <c r="C58">
        <v>705</v>
      </c>
      <c r="D58" t="s">
        <v>113</v>
      </c>
      <c r="E58" t="s">
        <v>215</v>
      </c>
      <c r="F58" s="5">
        <v>425000</v>
      </c>
      <c r="G58" t="s">
        <v>94</v>
      </c>
      <c r="H58">
        <v>1280</v>
      </c>
      <c r="I58">
        <v>6420</v>
      </c>
      <c r="J58">
        <v>3</v>
      </c>
      <c r="K58">
        <v>1.75</v>
      </c>
      <c r="L58">
        <v>2</v>
      </c>
      <c r="M58" s="4" t="str">
        <f>HYPERLINK("http://locsearch.nwmls.com//ReturnMap.aspx?hidMLS=NWML&amp;VHW=47.717016:-122.369537:.25:&amp;Z=4&amp;H=300&amp;W=400&amp;PP=47.717016:-122.369537:1:027186085","Map")</f>
        <v>Map</v>
      </c>
      <c r="N58" s="4" t="str">
        <f>HYPERLINK("http://locmedia.nwmls.com/DO_NOT_LINK/bigphoto/085/27186085.jpg?tsp=20071016134757","Photo")</f>
        <v>Photo</v>
      </c>
      <c r="O58" s="4" t="str">
        <f>HYPERLINK("http://locator.nwmls.com/scripts/mgrqispi.dll?APPNAME=Locator&amp;PRGNAME=MLSPictureDescriptions&amp;ARGUMENTS=-N300606369,-N27186085,-AE","More")</f>
        <v>More</v>
      </c>
      <c r="Q58" t="s">
        <v>56</v>
      </c>
      <c r="R58" t="s">
        <v>95</v>
      </c>
      <c r="S58" t="s">
        <v>128</v>
      </c>
      <c r="T58" t="s">
        <v>25</v>
      </c>
      <c r="U58" t="s">
        <v>26</v>
      </c>
      <c r="V58" s="6" t="s">
        <v>216</v>
      </c>
      <c r="X58" t="s">
        <v>27</v>
      </c>
      <c r="Y58" t="s">
        <v>28</v>
      </c>
      <c r="Z58" t="s">
        <v>217</v>
      </c>
      <c r="AA58" t="s">
        <v>218</v>
      </c>
      <c r="AB58">
        <v>2007</v>
      </c>
      <c r="AC58">
        <v>2864</v>
      </c>
      <c r="AD58" t="s">
        <v>219</v>
      </c>
      <c r="AE58" t="s">
        <v>121</v>
      </c>
      <c r="AF58" t="s">
        <v>220</v>
      </c>
      <c r="AG58">
        <v>47.717016000000001</v>
      </c>
      <c r="AH58">
        <v>-122.36953699999999</v>
      </c>
      <c r="AI58" t="s">
        <v>33</v>
      </c>
      <c r="AJ58">
        <v>98177</v>
      </c>
      <c r="AK58" t="s">
        <v>34</v>
      </c>
      <c r="AL58">
        <v>14</v>
      </c>
      <c r="AM58" t="s">
        <v>35</v>
      </c>
      <c r="AO58">
        <v>0.14699999999999999</v>
      </c>
      <c r="AP58" t="s">
        <v>221</v>
      </c>
      <c r="AQ58">
        <v>504</v>
      </c>
      <c r="AR58" t="s">
        <v>222</v>
      </c>
      <c r="AS58" t="s">
        <v>223</v>
      </c>
      <c r="AT58">
        <v>3</v>
      </c>
      <c r="AW58" s="17"/>
      <c r="AX58">
        <f t="shared" ca="1" si="2"/>
        <v>28</v>
      </c>
      <c r="AZ58" s="9">
        <v>39405</v>
      </c>
    </row>
    <row r="59" spans="1:52">
      <c r="A59">
        <v>27186277</v>
      </c>
      <c r="B59" s="11" t="str">
        <f>HYPERLINK("http://locmedia.nwmls.com/DO_NOT_LINK/bigphoto/277/27186277.jpg?tsp=20071015150127","Cancelled")</f>
        <v>Cancelled</v>
      </c>
      <c r="C59">
        <v>710</v>
      </c>
      <c r="D59" t="s">
        <v>723</v>
      </c>
      <c r="E59" t="s">
        <v>724</v>
      </c>
      <c r="F59" s="5">
        <v>465000</v>
      </c>
      <c r="G59" t="s">
        <v>40</v>
      </c>
      <c r="H59">
        <v>1490</v>
      </c>
      <c r="I59">
        <v>4200</v>
      </c>
      <c r="J59">
        <v>2</v>
      </c>
      <c r="K59">
        <v>1.75</v>
      </c>
      <c r="M59" s="4" t="str">
        <f>HYPERLINK("http://locsearch.nwmls.com//ReturnMap.aspx?hidMLS=NWML&amp;VHW=47.674807:-122.284898:.25:&amp;Z=4&amp;H=300&amp;W=400&amp;PP=47.674807:-122.284898:1:027186277","Map")</f>
        <v>Map</v>
      </c>
      <c r="N59" s="4" t="str">
        <f>HYPERLINK("http://locmedia.nwmls.com/DO_NOT_LINK/bigphoto/277/27186277.jpg?tsp=20071015150127","Photo")</f>
        <v>Photo</v>
      </c>
      <c r="O59" s="4" t="str">
        <f>HYPERLINK("http://locator.nwmls.com/scripts/mgrqispi.dll?APPNAME=Locator&amp;PRGNAME=MLSPictureDescriptions&amp;ARGUMENTS=-N268127191,-N27186277,-AE","More")</f>
        <v>More</v>
      </c>
      <c r="P59" t="s">
        <v>41</v>
      </c>
      <c r="Q59" t="s">
        <v>42</v>
      </c>
      <c r="R59" t="s">
        <v>57</v>
      </c>
      <c r="S59" t="s">
        <v>128</v>
      </c>
      <c r="T59" t="s">
        <v>263</v>
      </c>
      <c r="U59" t="s">
        <v>26</v>
      </c>
      <c r="V59" s="6" t="s">
        <v>59</v>
      </c>
      <c r="X59" t="s">
        <v>27</v>
      </c>
      <c r="Y59" t="s">
        <v>28</v>
      </c>
      <c r="Z59" t="s">
        <v>150</v>
      </c>
      <c r="AB59">
        <v>2007</v>
      </c>
      <c r="AC59">
        <v>3253</v>
      </c>
      <c r="AD59" t="s">
        <v>725</v>
      </c>
      <c r="AE59" t="s">
        <v>692</v>
      </c>
      <c r="AF59" t="s">
        <v>726</v>
      </c>
      <c r="AG59">
        <v>47.674807000000001</v>
      </c>
      <c r="AH59">
        <v>-122.284898</v>
      </c>
      <c r="AI59" t="s">
        <v>33</v>
      </c>
      <c r="AJ59">
        <v>98115</v>
      </c>
      <c r="AK59" t="s">
        <v>34</v>
      </c>
      <c r="AL59">
        <v>7</v>
      </c>
      <c r="AM59" t="s">
        <v>35</v>
      </c>
      <c r="AO59">
        <v>9.6000000000000002E-2</v>
      </c>
      <c r="AP59" t="s">
        <v>727</v>
      </c>
      <c r="AQ59">
        <v>535</v>
      </c>
      <c r="AR59" t="s">
        <v>287</v>
      </c>
      <c r="AS59" t="s">
        <v>728</v>
      </c>
      <c r="AT59">
        <v>3</v>
      </c>
      <c r="AW59" s="17"/>
      <c r="AX59">
        <f t="shared" ca="1" si="2"/>
        <v>25</v>
      </c>
      <c r="AZ59" s="9">
        <v>39408</v>
      </c>
    </row>
    <row r="60" spans="1:52">
      <c r="A60">
        <v>27186837</v>
      </c>
      <c r="B60" s="4" t="str">
        <f>HYPERLINK("http://locmedia.nwmls.com/DO_NOT_LINK/bigphoto/837/27186837.jpg?tsp=20071015230242","Active")</f>
        <v>Active</v>
      </c>
      <c r="C60">
        <v>705</v>
      </c>
      <c r="D60" t="s">
        <v>113</v>
      </c>
      <c r="E60" t="s">
        <v>114</v>
      </c>
      <c r="F60" s="5">
        <v>399950</v>
      </c>
      <c r="G60" t="s">
        <v>115</v>
      </c>
      <c r="H60">
        <v>1500</v>
      </c>
      <c r="I60">
        <v>7460</v>
      </c>
      <c r="J60">
        <v>3</v>
      </c>
      <c r="K60">
        <v>1</v>
      </c>
      <c r="L60">
        <v>1</v>
      </c>
      <c r="M60" s="4" t="str">
        <f>HYPERLINK("http://locsearch.nwmls.com//ReturnMap.aspx?hidMLS=NWML&amp;VHW=47.710500:-122.358416:.25:&amp;Z=4&amp;H=300&amp;W=400&amp;PP=47.710500:-122.358416:1:027186837","Map")</f>
        <v>Map</v>
      </c>
      <c r="N60" s="4" t="str">
        <f>HYPERLINK("http://locmedia.nwmls.com/DO_NOT_LINK/bigphoto/837/27186837.jpg?tsp=20071015230242","Photo")</f>
        <v>Photo</v>
      </c>
      <c r="O60" s="4" t="str">
        <f>HYPERLINK("http://locator.nwmls.com/scripts/mgrqispi.dll?APPNAME=Locator&amp;PRGNAME=MLSPictureDescriptions&amp;ARGUMENTS=-N300606369,-N27186837,-AE","More")</f>
        <v>More</v>
      </c>
      <c r="Q60" t="s">
        <v>56</v>
      </c>
      <c r="R60" t="s">
        <v>116</v>
      </c>
      <c r="S60" t="s">
        <v>117</v>
      </c>
      <c r="V60" s="6" t="s">
        <v>59</v>
      </c>
      <c r="X60" t="s">
        <v>27</v>
      </c>
      <c r="Y60" t="s">
        <v>28</v>
      </c>
      <c r="Z60" t="s">
        <v>118</v>
      </c>
      <c r="AA60" t="s">
        <v>119</v>
      </c>
      <c r="AB60">
        <v>2007</v>
      </c>
      <c r="AC60">
        <v>2965</v>
      </c>
      <c r="AD60" t="s">
        <v>120</v>
      </c>
      <c r="AE60" t="s">
        <v>121</v>
      </c>
      <c r="AF60" t="s">
        <v>122</v>
      </c>
      <c r="AG60">
        <v>47.710500000000003</v>
      </c>
      <c r="AH60">
        <v>-122.35841600000001</v>
      </c>
      <c r="AI60" t="s">
        <v>33</v>
      </c>
      <c r="AJ60">
        <v>98177</v>
      </c>
      <c r="AK60" t="s">
        <v>34</v>
      </c>
      <c r="AL60">
        <v>10</v>
      </c>
      <c r="AM60" t="s">
        <v>35</v>
      </c>
      <c r="AO60">
        <v>0.17100000000000001</v>
      </c>
      <c r="AP60" t="s">
        <v>123</v>
      </c>
      <c r="AQ60">
        <v>504</v>
      </c>
      <c r="AR60" t="s">
        <v>124</v>
      </c>
      <c r="AS60" t="s">
        <v>125</v>
      </c>
      <c r="AT60">
        <v>2</v>
      </c>
      <c r="AU60" t="s">
        <v>927</v>
      </c>
      <c r="AW60" s="17"/>
      <c r="AX60">
        <f t="shared" ca="1" si="2"/>
        <v>28</v>
      </c>
      <c r="AZ60" s="9">
        <v>39405</v>
      </c>
    </row>
    <row r="61" spans="1:52">
      <c r="A61">
        <v>27186914</v>
      </c>
      <c r="B61" s="4" t="str">
        <f>HYPERLINK("http://locmedia.nwmls.com/DO_NOT_LINK/bigphoto/914/27186914.jpg?tsp=20071016113828","Active")</f>
        <v>Active</v>
      </c>
      <c r="C61">
        <v>705</v>
      </c>
      <c r="D61" t="s">
        <v>81</v>
      </c>
      <c r="E61" t="s">
        <v>233</v>
      </c>
      <c r="F61" s="5">
        <v>429500</v>
      </c>
      <c r="G61" t="s">
        <v>234</v>
      </c>
      <c r="H61">
        <v>1350</v>
      </c>
      <c r="I61">
        <v>5100</v>
      </c>
      <c r="J61">
        <v>2</v>
      </c>
      <c r="K61">
        <v>1</v>
      </c>
      <c r="M61" s="4" t="str">
        <f>HYPERLINK("http://locsearch.nwmls.com//ReturnMap.aspx?hidMLS=NWML&amp;VHW=47.679183:-122.390826:.25:&amp;Z=4&amp;H=300&amp;W=400&amp;PP=47.679183:-122.390826:1:027186914","Map")</f>
        <v>Map</v>
      </c>
      <c r="N61" s="4" t="str">
        <f>HYPERLINK("http://locmedia.nwmls.com/DO_NOT_LINK/bigphoto/914/27186914.jpg?tsp=20071016113828","Photo")</f>
        <v>Photo</v>
      </c>
      <c r="O61" s="4" t="str">
        <f>HYPERLINK("http://locator.nwmls.com/scripts/mgrqispi.dll?APPNAME=Locator&amp;PRGNAME=MLSPictureDescriptions&amp;ARGUMENTS=-N300606369,-N27186914,-AE","More")</f>
        <v>More</v>
      </c>
      <c r="P61" t="s">
        <v>41</v>
      </c>
      <c r="Q61" t="s">
        <v>56</v>
      </c>
      <c r="R61" t="s">
        <v>23</v>
      </c>
      <c r="S61" t="s">
        <v>235</v>
      </c>
      <c r="T61" t="s">
        <v>129</v>
      </c>
      <c r="U61" t="s">
        <v>26</v>
      </c>
      <c r="V61" s="6" t="s">
        <v>59</v>
      </c>
      <c r="X61" t="s">
        <v>27</v>
      </c>
      <c r="Y61" t="s">
        <v>28</v>
      </c>
      <c r="Z61" t="s">
        <v>236</v>
      </c>
      <c r="AB61">
        <v>2007</v>
      </c>
      <c r="AC61">
        <v>497</v>
      </c>
      <c r="AD61" t="s">
        <v>237</v>
      </c>
      <c r="AE61" t="s">
        <v>238</v>
      </c>
      <c r="AF61" t="s">
        <v>179</v>
      </c>
      <c r="AG61" s="12">
        <v>47.679183000000002</v>
      </c>
      <c r="AH61" s="12">
        <v>-122.390826</v>
      </c>
      <c r="AI61" t="s">
        <v>33</v>
      </c>
      <c r="AJ61">
        <v>98117</v>
      </c>
      <c r="AK61" t="s">
        <v>34</v>
      </c>
      <c r="AL61" t="s">
        <v>35</v>
      </c>
      <c r="AM61" t="s">
        <v>35</v>
      </c>
      <c r="AO61">
        <v>0.11700000000000001</v>
      </c>
      <c r="AP61" t="s">
        <v>239</v>
      </c>
      <c r="AQ61">
        <v>534</v>
      </c>
      <c r="AR61" t="s">
        <v>189</v>
      </c>
      <c r="AS61" t="s">
        <v>240</v>
      </c>
      <c r="AT61">
        <v>1</v>
      </c>
      <c r="AU61" t="s">
        <v>928</v>
      </c>
      <c r="AW61" s="17"/>
      <c r="AX61">
        <f t="shared" ca="1" si="2"/>
        <v>28</v>
      </c>
      <c r="AZ61" s="9">
        <v>39405</v>
      </c>
    </row>
    <row r="62" spans="1:52">
      <c r="A62">
        <v>27187248</v>
      </c>
      <c r="B62" s="4" t="str">
        <f>HYPERLINK("http://locmedia.nwmls.com/DO_NOT_LINK/bigphoto/248/27187248.jpg?tsp=20071017161507","Active")</f>
        <v>Active</v>
      </c>
      <c r="C62">
        <v>705</v>
      </c>
      <c r="D62" t="s">
        <v>146</v>
      </c>
      <c r="E62" t="s">
        <v>147</v>
      </c>
      <c r="F62" s="5">
        <v>399950</v>
      </c>
      <c r="G62" t="s">
        <v>148</v>
      </c>
      <c r="H62">
        <v>800</v>
      </c>
      <c r="I62">
        <v>2880</v>
      </c>
      <c r="J62">
        <v>2</v>
      </c>
      <c r="K62">
        <v>1</v>
      </c>
      <c r="L62">
        <v>1</v>
      </c>
      <c r="M62" s="4" t="str">
        <f>HYPERLINK("http://locsearch.nwmls.com//ReturnMap.aspx?hidMLS=NWML&amp;VHW=47.686801:-122.394106:.25:&amp;Z=4&amp;H=300&amp;W=400&amp;PP=47.686801:-122.394106:1:027187248","Map")</f>
        <v>Map</v>
      </c>
      <c r="N62" s="4" t="str">
        <f>HYPERLINK("http://locmedia.nwmls.com/DO_NOT_LINK/bigphoto/248/27187248.jpg?tsp=20071017161507","Photo")</f>
        <v>Photo</v>
      </c>
      <c r="O62" s="4" t="str">
        <f>HYPERLINK("http://locator.nwmls.com/scripts/mgrqispi.dll?APPNAME=Locator&amp;PRGNAME=MLSPictureDescriptions&amp;ARGUMENTS=-N300606369,-N27187248,-AE","More")</f>
        <v>More</v>
      </c>
      <c r="Q62" t="s">
        <v>149</v>
      </c>
      <c r="R62" t="s">
        <v>116</v>
      </c>
      <c r="S62" t="s">
        <v>43</v>
      </c>
      <c r="T62" t="s">
        <v>25</v>
      </c>
      <c r="U62" t="s">
        <v>26</v>
      </c>
      <c r="V62" s="6" t="s">
        <v>59</v>
      </c>
      <c r="X62" t="s">
        <v>27</v>
      </c>
      <c r="Y62" t="s">
        <v>28</v>
      </c>
      <c r="Z62" t="s">
        <v>150</v>
      </c>
      <c r="AB62">
        <v>2007</v>
      </c>
      <c r="AC62">
        <v>3215</v>
      </c>
      <c r="AD62" t="s">
        <v>151</v>
      </c>
      <c r="AG62">
        <v>47.686801000000003</v>
      </c>
      <c r="AH62">
        <v>-122.39410599999999</v>
      </c>
      <c r="AI62" t="s">
        <v>33</v>
      </c>
      <c r="AJ62">
        <v>98117</v>
      </c>
      <c r="AK62" t="s">
        <v>34</v>
      </c>
      <c r="AL62" t="s">
        <v>35</v>
      </c>
      <c r="AM62" t="s">
        <v>35</v>
      </c>
      <c r="AO62">
        <v>6.6000000000000003E-2</v>
      </c>
      <c r="AP62" t="s">
        <v>152</v>
      </c>
      <c r="AQ62">
        <v>534</v>
      </c>
      <c r="AR62" t="s">
        <v>153</v>
      </c>
      <c r="AS62" t="s">
        <v>154</v>
      </c>
      <c r="AT62">
        <v>1</v>
      </c>
      <c r="AU62" t="s">
        <v>913</v>
      </c>
      <c r="AW62" s="17"/>
      <c r="AX62">
        <f t="shared" ca="1" si="2"/>
        <v>28</v>
      </c>
      <c r="AZ62" s="9">
        <v>39405</v>
      </c>
    </row>
    <row r="63" spans="1:52">
      <c r="A63">
        <v>27187495</v>
      </c>
      <c r="B63" s="4" t="str">
        <f>HYPERLINK("http://locmedia.nwmls.com/DO_NOT_LINK/bigphoto/495/27187495.jpg?tsp=20071016231331","Active")</f>
        <v>Active</v>
      </c>
      <c r="C63">
        <v>705</v>
      </c>
      <c r="D63" t="s">
        <v>146</v>
      </c>
      <c r="E63" t="s">
        <v>378</v>
      </c>
      <c r="F63" s="5">
        <v>468000</v>
      </c>
      <c r="G63" t="s">
        <v>55</v>
      </c>
      <c r="H63">
        <v>1830</v>
      </c>
      <c r="I63">
        <v>4284</v>
      </c>
      <c r="J63">
        <v>2</v>
      </c>
      <c r="K63">
        <v>1</v>
      </c>
      <c r="M63" s="4" t="str">
        <f>HYPERLINK("http://locsearch.nwmls.com//ReturnMap.aspx?hidMLS=NWML&amp;VHW=47.683585:-122.393020:.25:&amp;Z=4&amp;H=300&amp;W=400&amp;PP=47.683585:-122.393020:1:027187495","Map")</f>
        <v>Map</v>
      </c>
      <c r="N63" s="4" t="str">
        <f>HYPERLINK("http://locmedia.nwmls.com/DO_NOT_LINK/bigphoto/495/27187495.jpg?tsp=20071016231331","Photo")</f>
        <v>Photo</v>
      </c>
      <c r="O63" s="4" t="str">
        <f>HYPERLINK("http://locator.nwmls.com/scripts/mgrqispi.dll?APPNAME=Locator&amp;PRGNAME=MLSPictureDescriptions&amp;ARGUMENTS=-N300606369,-N27187495,-AE","More")</f>
        <v>More</v>
      </c>
      <c r="P63" t="s">
        <v>379</v>
      </c>
      <c r="Q63" t="s">
        <v>56</v>
      </c>
      <c r="R63" t="s">
        <v>116</v>
      </c>
      <c r="S63" t="s">
        <v>58</v>
      </c>
      <c r="T63" t="s">
        <v>300</v>
      </c>
      <c r="U63" t="s">
        <v>26</v>
      </c>
      <c r="V63" t="s">
        <v>380</v>
      </c>
      <c r="X63" t="s">
        <v>27</v>
      </c>
      <c r="Y63" t="s">
        <v>28</v>
      </c>
      <c r="Z63" t="s">
        <v>381</v>
      </c>
      <c r="AA63" t="s">
        <v>382</v>
      </c>
      <c r="AB63">
        <v>2007</v>
      </c>
      <c r="AC63">
        <v>3355</v>
      </c>
      <c r="AD63" t="s">
        <v>383</v>
      </c>
      <c r="AE63" t="s">
        <v>133</v>
      </c>
      <c r="AF63" t="s">
        <v>384</v>
      </c>
      <c r="AG63">
        <v>47.683585000000001</v>
      </c>
      <c r="AH63" s="12">
        <v>-122.39302000000001</v>
      </c>
      <c r="AI63" t="s">
        <v>33</v>
      </c>
      <c r="AJ63">
        <v>98117</v>
      </c>
      <c r="AK63" t="s">
        <v>34</v>
      </c>
      <c r="AL63" t="s">
        <v>385</v>
      </c>
      <c r="AM63" t="s">
        <v>35</v>
      </c>
      <c r="AO63">
        <v>9.8000000000000004E-2</v>
      </c>
      <c r="AP63" t="s">
        <v>386</v>
      </c>
      <c r="AQ63">
        <v>534</v>
      </c>
      <c r="AR63" t="s">
        <v>153</v>
      </c>
      <c r="AS63" t="s">
        <v>387</v>
      </c>
      <c r="AT63">
        <v>1</v>
      </c>
      <c r="AU63" t="s">
        <v>929</v>
      </c>
      <c r="AW63" s="17"/>
      <c r="AX63">
        <f t="shared" ca="1" si="2"/>
        <v>28</v>
      </c>
      <c r="AZ63" s="9">
        <v>39405</v>
      </c>
    </row>
    <row r="64" spans="1:52">
      <c r="A64">
        <v>27187501</v>
      </c>
      <c r="B64" s="4" t="str">
        <f>HYPERLINK("http://locmedia.nwmls.com/DO_NOT_LINK/bigphoto/501/27187501.jpg?tsp=20071017170625","Active")</f>
        <v>Active</v>
      </c>
      <c r="C64">
        <v>705</v>
      </c>
      <c r="D64" t="s">
        <v>53</v>
      </c>
      <c r="E64" t="s">
        <v>545</v>
      </c>
      <c r="F64" s="5">
        <v>499999</v>
      </c>
      <c r="G64" t="s">
        <v>546</v>
      </c>
      <c r="H64">
        <v>1360</v>
      </c>
      <c r="I64">
        <v>4024</v>
      </c>
      <c r="J64">
        <v>3</v>
      </c>
      <c r="K64">
        <v>1.75</v>
      </c>
      <c r="M64" s="4" t="str">
        <f>HYPERLINK("http://locsearch.nwmls.com//ReturnMap.aspx?hidMLS=NWML&amp;VHW=47.703600:-122.354946:.25:&amp;Z=4&amp;H=300&amp;W=400&amp;PP=47.703600:-122.354946:1:027187501","Map")</f>
        <v>Map</v>
      </c>
      <c r="N64" s="4" t="str">
        <f>HYPERLINK("http://locmedia.nwmls.com/DO_NOT_LINK/bigphoto/501/27187501.jpg?tsp=20071017170625","Photo")</f>
        <v>Photo</v>
      </c>
      <c r="O64" s="4" t="str">
        <f>HYPERLINK("http://locator.nwmls.com/scripts/mgrqispi.dll?APPNAME=Locator&amp;PRGNAME=MLSPictureDescriptions&amp;ARGUMENTS=-N300606369,-N27187501,-AE","More")</f>
        <v>More</v>
      </c>
      <c r="Q64" t="s">
        <v>56</v>
      </c>
      <c r="R64" t="s">
        <v>116</v>
      </c>
      <c r="S64" t="s">
        <v>547</v>
      </c>
      <c r="T64" t="s">
        <v>72</v>
      </c>
      <c r="U64" t="s">
        <v>26</v>
      </c>
      <c r="V64" s="6" t="s">
        <v>59</v>
      </c>
      <c r="X64" t="s">
        <v>27</v>
      </c>
      <c r="Y64" t="s">
        <v>28</v>
      </c>
      <c r="Z64" t="s">
        <v>505</v>
      </c>
      <c r="AB64">
        <v>2007</v>
      </c>
      <c r="AC64">
        <v>2334</v>
      </c>
      <c r="AD64" t="s">
        <v>548</v>
      </c>
      <c r="AF64" t="s">
        <v>266</v>
      </c>
      <c r="AG64">
        <v>47.703600000000002</v>
      </c>
      <c r="AH64">
        <v>-122.354946</v>
      </c>
      <c r="AI64" t="s">
        <v>33</v>
      </c>
      <c r="AJ64">
        <v>98133</v>
      </c>
      <c r="AK64" t="s">
        <v>34</v>
      </c>
      <c r="AL64">
        <v>1</v>
      </c>
      <c r="AM64" t="s">
        <v>35</v>
      </c>
      <c r="AO64">
        <v>9.1999999999999998E-2</v>
      </c>
      <c r="AP64" t="s">
        <v>549</v>
      </c>
      <c r="AQ64">
        <v>504</v>
      </c>
      <c r="AR64" t="s">
        <v>64</v>
      </c>
      <c r="AS64" t="s">
        <v>550</v>
      </c>
      <c r="AT64">
        <v>2</v>
      </c>
      <c r="AW64" s="17"/>
      <c r="AX64">
        <f t="shared" ca="1" si="2"/>
        <v>28</v>
      </c>
      <c r="AZ64" s="9">
        <v>39405</v>
      </c>
    </row>
    <row r="65" spans="1:52">
      <c r="A65">
        <v>27187662</v>
      </c>
      <c r="B65" s="13" t="str">
        <f>HYPERLINK("http://locmedia.nwmls.com/DO_NOT_LINK/bigphoto/662/27187662.jpg?tsp=20071018080347","Cancelled")</f>
        <v>Cancelled</v>
      </c>
      <c r="C65">
        <v>705</v>
      </c>
      <c r="D65" t="s">
        <v>224</v>
      </c>
      <c r="E65" t="s">
        <v>526</v>
      </c>
      <c r="F65" s="5">
        <v>499950</v>
      </c>
      <c r="G65" t="s">
        <v>527</v>
      </c>
      <c r="H65">
        <v>0</v>
      </c>
      <c r="I65">
        <v>0</v>
      </c>
      <c r="J65">
        <v>2</v>
      </c>
      <c r="K65">
        <v>1</v>
      </c>
      <c r="L65">
        <v>1</v>
      </c>
      <c r="M65" s="4" t="str">
        <f>HYPERLINK("http://locsearch.nwmls.com//ReturnMap.aspx?hidMLS=NWML&amp;VHW=47.668675:-122.358328:.25:&amp;Z=4&amp;H=300&amp;W=400&amp;PP=47.668675:-122.358328:1:027187662","Map")</f>
        <v>Map</v>
      </c>
      <c r="N65" s="4" t="str">
        <f>HYPERLINK("http://locmedia.nwmls.com/DO_NOT_LINK/bigphoto/662/27187662.jpg?tsp=20071018080347","Photo")</f>
        <v>Photo</v>
      </c>
      <c r="O65" s="4" t="str">
        <f>HYPERLINK("http://locator.nwmls.com/scripts/mgrqispi.dll?APPNAME=Locator&amp;PRGNAME=MLSPictureDescriptions&amp;ARGUMENTS=-N300606369,-N27187662,-AE","More")</f>
        <v>More</v>
      </c>
      <c r="Q65" t="s">
        <v>56</v>
      </c>
      <c r="R65" t="s">
        <v>116</v>
      </c>
      <c r="S65" t="s">
        <v>128</v>
      </c>
      <c r="T65" t="s">
        <v>300</v>
      </c>
      <c r="V65" s="6" t="s">
        <v>59</v>
      </c>
      <c r="X65" t="s">
        <v>27</v>
      </c>
      <c r="Y65" t="s">
        <v>28</v>
      </c>
      <c r="Z65" t="s">
        <v>150</v>
      </c>
      <c r="AA65" t="s">
        <v>528</v>
      </c>
      <c r="AB65">
        <v>2007</v>
      </c>
      <c r="AC65">
        <v>3188</v>
      </c>
      <c r="AD65" t="s">
        <v>529</v>
      </c>
      <c r="AF65" t="s">
        <v>530</v>
      </c>
      <c r="AG65" s="12">
        <v>47.668675</v>
      </c>
      <c r="AH65" s="12">
        <v>-122.358328</v>
      </c>
      <c r="AI65" t="s">
        <v>33</v>
      </c>
      <c r="AJ65">
        <v>98107</v>
      </c>
      <c r="AK65" t="s">
        <v>34</v>
      </c>
      <c r="AL65" t="s">
        <v>35</v>
      </c>
      <c r="AM65" t="s">
        <v>35</v>
      </c>
      <c r="AO65">
        <v>0</v>
      </c>
      <c r="AP65" t="s">
        <v>531</v>
      </c>
      <c r="AQ65">
        <v>534</v>
      </c>
      <c r="AR65" t="s">
        <v>323</v>
      </c>
      <c r="AS65" t="s">
        <v>532</v>
      </c>
      <c r="AT65">
        <v>3</v>
      </c>
      <c r="AU65" t="s">
        <v>930</v>
      </c>
      <c r="AW65" s="17"/>
      <c r="AX65">
        <f t="shared" ca="1" si="2"/>
        <v>28</v>
      </c>
      <c r="AZ65" s="9">
        <v>39405</v>
      </c>
    </row>
    <row r="66" spans="1:52">
      <c r="A66">
        <v>27188492</v>
      </c>
      <c r="B66" s="13" t="str">
        <f>HYPERLINK("http://locmedia.nwmls.com/DO_NOT_LINK/bigphoto/492/27188492.jpg?tsp=20071024111743","Cancelled")</f>
        <v>Cancelled</v>
      </c>
      <c r="C66">
        <v>705</v>
      </c>
      <c r="D66" t="s">
        <v>66</v>
      </c>
      <c r="E66" t="s">
        <v>501</v>
      </c>
      <c r="F66" s="5">
        <v>499000</v>
      </c>
      <c r="G66" t="s">
        <v>502</v>
      </c>
      <c r="H66">
        <v>1150</v>
      </c>
      <c r="I66">
        <v>6120</v>
      </c>
      <c r="J66">
        <v>2</v>
      </c>
      <c r="K66">
        <v>1</v>
      </c>
      <c r="M66" s="4" t="str">
        <f>HYPERLINK("http://locsearch.nwmls.com//ReturnMap.aspx?hidMLS=NWML&amp;VHW=47.669300:-122.325059:.25:&amp;Z=4&amp;H=300&amp;W=400&amp;PP=47.669300:-122.325059:1:027188492","Map")</f>
        <v>Map</v>
      </c>
      <c r="N66" s="4" t="str">
        <f>HYPERLINK("http://locmedia.nwmls.com/DO_NOT_LINK/bigphoto/492/27188492.jpg?tsp=20071024111743","Photo")</f>
        <v>Photo</v>
      </c>
      <c r="O66" s="4" t="str">
        <f>HYPERLINK("http://locator.nwmls.com/scripts/mgrqispi.dll?APPNAME=Locator&amp;PRGNAME=MLSPictureDescriptions&amp;ARGUMENTS=-N300606369,-N27188492,-AE","More")</f>
        <v>More</v>
      </c>
      <c r="P66" t="s">
        <v>262</v>
      </c>
      <c r="Q66" t="s">
        <v>56</v>
      </c>
      <c r="R66" t="s">
        <v>95</v>
      </c>
      <c r="S66" t="s">
        <v>503</v>
      </c>
      <c r="T66" t="s">
        <v>300</v>
      </c>
      <c r="U66" t="s">
        <v>26</v>
      </c>
      <c r="V66" t="s">
        <v>504</v>
      </c>
      <c r="X66" t="s">
        <v>27</v>
      </c>
      <c r="Y66" t="s">
        <v>28</v>
      </c>
      <c r="Z66" t="s">
        <v>505</v>
      </c>
      <c r="AB66">
        <v>2007</v>
      </c>
      <c r="AC66">
        <v>2974</v>
      </c>
      <c r="AD66" t="s">
        <v>506</v>
      </c>
      <c r="AF66" t="s">
        <v>507</v>
      </c>
      <c r="AG66">
        <v>47.6693</v>
      </c>
      <c r="AH66">
        <v>-122.325059</v>
      </c>
      <c r="AI66" t="s">
        <v>33</v>
      </c>
      <c r="AJ66">
        <v>98105</v>
      </c>
      <c r="AK66" t="s">
        <v>34</v>
      </c>
      <c r="AL66">
        <v>1</v>
      </c>
      <c r="AM66" t="s">
        <v>35</v>
      </c>
      <c r="AO66">
        <v>0.14000000000000001</v>
      </c>
      <c r="AP66" t="s">
        <v>508</v>
      </c>
      <c r="AQ66">
        <v>535</v>
      </c>
      <c r="AR66" t="s">
        <v>509</v>
      </c>
      <c r="AS66" t="s">
        <v>510</v>
      </c>
      <c r="AT66">
        <v>3</v>
      </c>
      <c r="AU66" t="s">
        <v>931</v>
      </c>
      <c r="AW66" s="17"/>
      <c r="AX66">
        <f t="shared" ca="1" si="2"/>
        <v>28</v>
      </c>
      <c r="AZ66" s="9">
        <v>39405</v>
      </c>
    </row>
    <row r="67" spans="1:52">
      <c r="A67">
        <v>27188920</v>
      </c>
      <c r="B67" s="4" t="str">
        <f>HYPERLINK("http://locmedia.nwmls.com/DO_NOT_LINK/bigphoto/920/27188920.jpg?tsp=20071019112034","Active")</f>
        <v>Active</v>
      </c>
      <c r="C67">
        <v>710</v>
      </c>
      <c r="D67" t="s">
        <v>656</v>
      </c>
      <c r="E67" t="s">
        <v>678</v>
      </c>
      <c r="F67" s="5">
        <v>449950</v>
      </c>
      <c r="G67" t="s">
        <v>21</v>
      </c>
      <c r="H67">
        <v>930</v>
      </c>
      <c r="I67">
        <v>8712</v>
      </c>
      <c r="J67">
        <v>2</v>
      </c>
      <c r="K67">
        <v>1</v>
      </c>
      <c r="L67">
        <v>1</v>
      </c>
      <c r="M67" s="4" t="str">
        <f>HYPERLINK("http://locsearch.nwmls.com//ReturnMap.aspx?hidMLS=NWML&amp;VHW=47.704701:-122.282915:.25:&amp;Z=4&amp;H=300&amp;W=400&amp;PP=47.704701:-122.282915:1:027188920","Map")</f>
        <v>Map</v>
      </c>
      <c r="N67" s="4" t="str">
        <f>HYPERLINK("http://locmedia.nwmls.com/DO_NOT_LINK/bigphoto/920/27188920.jpg?tsp=20071019112034","Photo")</f>
        <v>Photo</v>
      </c>
      <c r="O67" s="4" t="str">
        <f>HYPERLINK("http://locator.nwmls.com/scripts/mgrqispi.dll?APPNAME=Locator&amp;PRGNAME=MLSPictureDescriptions&amp;ARGUMENTS=-N268127191,-N27188920,-AE","More")</f>
        <v>More</v>
      </c>
      <c r="Q67" t="s">
        <v>679</v>
      </c>
      <c r="R67" t="s">
        <v>57</v>
      </c>
      <c r="S67" t="s">
        <v>128</v>
      </c>
      <c r="T67" t="s">
        <v>25</v>
      </c>
      <c r="U67" t="s">
        <v>26</v>
      </c>
      <c r="V67" s="6" t="s">
        <v>59</v>
      </c>
      <c r="X67" t="s">
        <v>27</v>
      </c>
      <c r="Y67" t="s">
        <v>28</v>
      </c>
      <c r="Z67" t="s">
        <v>680</v>
      </c>
      <c r="AA67" t="s">
        <v>681</v>
      </c>
      <c r="AB67">
        <v>2007</v>
      </c>
      <c r="AC67">
        <v>2881</v>
      </c>
      <c r="AD67" t="s">
        <v>682</v>
      </c>
      <c r="AE67" t="s">
        <v>121</v>
      </c>
      <c r="AF67" t="s">
        <v>683</v>
      </c>
      <c r="AG67">
        <v>47.704701</v>
      </c>
      <c r="AH67">
        <v>-122.282915</v>
      </c>
      <c r="AI67" t="s">
        <v>33</v>
      </c>
      <c r="AJ67">
        <v>98125</v>
      </c>
      <c r="AK67" t="s">
        <v>34</v>
      </c>
      <c r="AL67">
        <v>14</v>
      </c>
      <c r="AM67" t="s">
        <v>35</v>
      </c>
      <c r="AO67">
        <v>0.2</v>
      </c>
      <c r="AP67" t="s">
        <v>684</v>
      </c>
      <c r="AQ67">
        <v>505</v>
      </c>
      <c r="AR67" t="s">
        <v>466</v>
      </c>
      <c r="AS67" t="s">
        <v>685</v>
      </c>
      <c r="AT67">
        <v>3</v>
      </c>
      <c r="AW67" s="17"/>
      <c r="AX67">
        <f t="shared" ca="1" si="2"/>
        <v>25</v>
      </c>
      <c r="AZ67" s="9">
        <v>39408</v>
      </c>
    </row>
    <row r="68" spans="1:52">
      <c r="A68">
        <v>27189991</v>
      </c>
      <c r="B68" s="4" t="str">
        <f>HYPERLINK("http://locmedia.nwmls.com/DO_NOT_LINK/bigphoto/991/27189991.jpg?tsp=20071024144956","Active")</f>
        <v>Active</v>
      </c>
      <c r="C68">
        <v>705</v>
      </c>
      <c r="D68" t="s">
        <v>81</v>
      </c>
      <c r="E68" t="s">
        <v>137</v>
      </c>
      <c r="F68" s="5">
        <v>399950</v>
      </c>
      <c r="G68" t="s">
        <v>138</v>
      </c>
      <c r="H68">
        <v>1540</v>
      </c>
      <c r="I68">
        <v>2500</v>
      </c>
      <c r="J68">
        <v>2</v>
      </c>
      <c r="K68">
        <v>2</v>
      </c>
      <c r="M68" s="4" t="str">
        <f>HYPERLINK("http://locsearch.nwmls.com//ReturnMap.aspx?hidMLS=NWML&amp;VHW=47.683055:-122.373620:.25:&amp;Z=4&amp;H=300&amp;W=400&amp;PP=47.683055:-122.373620:1:027189991","Map")</f>
        <v>Map</v>
      </c>
      <c r="N68" s="4" t="str">
        <f>HYPERLINK("http://locmedia.nwmls.com/DO_NOT_LINK/bigphoto/991/27189991.jpg?tsp=20071024144956","Photo")</f>
        <v>Photo</v>
      </c>
      <c r="O68" s="4" t="str">
        <f>HYPERLINK("http://locator.nwmls.com/scripts/mgrqispi.dll?APPNAME=Locator&amp;PRGNAME=MLSPictureDescriptions&amp;ARGUMENTS=-N300606369,-N27189991,-AE","More")</f>
        <v>More</v>
      </c>
      <c r="P68" t="s">
        <v>41</v>
      </c>
      <c r="Q68" t="s">
        <v>56</v>
      </c>
      <c r="R68" t="s">
        <v>95</v>
      </c>
      <c r="S68" t="s">
        <v>128</v>
      </c>
      <c r="T68" t="s">
        <v>129</v>
      </c>
      <c r="U68" t="s">
        <v>26</v>
      </c>
      <c r="V68" s="6" t="s">
        <v>59</v>
      </c>
      <c r="X68" t="s">
        <v>27</v>
      </c>
      <c r="Y68" t="s">
        <v>28</v>
      </c>
      <c r="Z68" t="s">
        <v>139</v>
      </c>
      <c r="AA68" t="s">
        <v>140</v>
      </c>
      <c r="AB68">
        <v>2007</v>
      </c>
      <c r="AC68">
        <v>2956</v>
      </c>
      <c r="AD68" t="s">
        <v>141</v>
      </c>
      <c r="AE68" t="s">
        <v>142</v>
      </c>
      <c r="AF68" t="s">
        <v>143</v>
      </c>
      <c r="AG68">
        <v>47.683055000000003</v>
      </c>
      <c r="AH68">
        <v>-122.37362</v>
      </c>
      <c r="AI68" t="s">
        <v>33</v>
      </c>
      <c r="AJ68">
        <v>98117</v>
      </c>
      <c r="AK68" t="s">
        <v>34</v>
      </c>
      <c r="AL68">
        <v>48</v>
      </c>
      <c r="AM68" t="s">
        <v>35</v>
      </c>
      <c r="AO68">
        <v>5.7000000000000002E-2</v>
      </c>
      <c r="AP68" t="s">
        <v>144</v>
      </c>
      <c r="AQ68">
        <v>534</v>
      </c>
      <c r="AR68" t="s">
        <v>91</v>
      </c>
      <c r="AS68" t="s">
        <v>145</v>
      </c>
      <c r="AT68">
        <v>1</v>
      </c>
      <c r="AW68" s="17"/>
      <c r="AX68">
        <f t="shared" ca="1" si="2"/>
        <v>28</v>
      </c>
      <c r="AZ68" s="9">
        <v>39405</v>
      </c>
    </row>
    <row r="69" spans="1:52">
      <c r="A69">
        <v>27190229</v>
      </c>
      <c r="B69" s="13" t="str">
        <f>HYPERLINK("http://locmedia.nwmls.com/DO_NOT_LINK/bigphoto/229/27190229.jpg?tsp=20071026145346","Pending")</f>
        <v>Pending</v>
      </c>
      <c r="C69">
        <v>710</v>
      </c>
      <c r="D69" t="s">
        <v>656</v>
      </c>
      <c r="E69" t="s">
        <v>851</v>
      </c>
      <c r="F69" s="5">
        <v>419950</v>
      </c>
      <c r="G69" t="s">
        <v>127</v>
      </c>
      <c r="H69">
        <v>1670</v>
      </c>
      <c r="I69">
        <v>5413</v>
      </c>
      <c r="J69">
        <v>2</v>
      </c>
      <c r="K69">
        <v>1</v>
      </c>
      <c r="M69" s="4" t="str">
        <f>HYPERLINK("http://locsearch.nwmls.com//ReturnMap.aspx?hidMLS=NWML&amp;VHW=47.696244:-122.301501:.25:&amp;Z=4&amp;H=300&amp;W=400&amp;PP=47.696244:-122.301501:1:027190229","Map")</f>
        <v>Map</v>
      </c>
      <c r="N69" s="4" t="str">
        <f>HYPERLINK("http://locmedia.nwmls.com/DO_NOT_LINK/bigphoto/229/27190229.jpg?tsp=20071026145346","Photo")</f>
        <v>Photo</v>
      </c>
      <c r="O69" s="4" t="str">
        <f>HYPERLINK("http://locator.nwmls.com/scripts/mgrqispi.dll?APPNAME=Locator&amp;PRGNAME=MLSPictureDescriptions&amp;ARGUMENTS=-N268127191,-N27190229,-AE","More")</f>
        <v>More</v>
      </c>
      <c r="P69" t="s">
        <v>41</v>
      </c>
      <c r="Q69" t="s">
        <v>56</v>
      </c>
      <c r="R69" t="s">
        <v>95</v>
      </c>
      <c r="S69" t="s">
        <v>58</v>
      </c>
      <c r="T69" t="s">
        <v>300</v>
      </c>
      <c r="U69" t="s">
        <v>26</v>
      </c>
      <c r="V69" s="6" t="s">
        <v>59</v>
      </c>
      <c r="X69" t="s">
        <v>27</v>
      </c>
      <c r="Y69" t="s">
        <v>28</v>
      </c>
      <c r="Z69" t="s">
        <v>852</v>
      </c>
      <c r="AB69">
        <v>2007</v>
      </c>
      <c r="AC69">
        <v>3030</v>
      </c>
      <c r="AD69" t="s">
        <v>853</v>
      </c>
      <c r="AE69" t="s">
        <v>302</v>
      </c>
      <c r="AF69" t="s">
        <v>303</v>
      </c>
      <c r="AG69">
        <v>47.696244</v>
      </c>
      <c r="AH69">
        <v>-122.301501</v>
      </c>
      <c r="AI69" t="s">
        <v>33</v>
      </c>
      <c r="AJ69">
        <v>98115</v>
      </c>
      <c r="AK69" t="s">
        <v>34</v>
      </c>
      <c r="AL69" t="s">
        <v>854</v>
      </c>
      <c r="AM69" t="s">
        <v>35</v>
      </c>
      <c r="AO69">
        <v>0.124</v>
      </c>
      <c r="AP69" t="s">
        <v>855</v>
      </c>
      <c r="AQ69">
        <v>505</v>
      </c>
      <c r="AR69" t="s">
        <v>840</v>
      </c>
      <c r="AS69" t="s">
        <v>856</v>
      </c>
      <c r="AT69">
        <v>-5</v>
      </c>
      <c r="AV69" s="9">
        <v>39381</v>
      </c>
      <c r="AW69" s="17">
        <v>30</v>
      </c>
      <c r="AX69">
        <f t="shared" ca="1" si="2"/>
        <v>52</v>
      </c>
      <c r="AZ69" s="9">
        <v>39408</v>
      </c>
    </row>
    <row r="70" spans="1:52">
      <c r="A70">
        <v>27190910</v>
      </c>
      <c r="B70" s="4" t="str">
        <f>HYPERLINK("http://locmedia.nwmls.com/DO_NOT_LINK/bigphoto/910/27190910.jpg?tsp=20071024102346","Active")</f>
        <v>Active</v>
      </c>
      <c r="C70">
        <v>705</v>
      </c>
      <c r="D70" t="s">
        <v>113</v>
      </c>
      <c r="E70" t="s">
        <v>352</v>
      </c>
      <c r="F70" s="5">
        <v>465000</v>
      </c>
      <c r="G70" t="s">
        <v>353</v>
      </c>
      <c r="H70">
        <v>2280</v>
      </c>
      <c r="I70">
        <v>7020</v>
      </c>
      <c r="J70">
        <v>3</v>
      </c>
      <c r="K70">
        <v>2.5</v>
      </c>
      <c r="M70" s="4" t="str">
        <f>HYPERLINK("http://locsearch.nwmls.com//ReturnMap.aspx?hidMLS=NWML&amp;VHW=47.719443:-122.358291:.25:&amp;Z=4&amp;H=300&amp;W=400&amp;PP=47.719443:-122.358291:1:027190910","Map")</f>
        <v>Map</v>
      </c>
      <c r="N70" s="4" t="str">
        <f>HYPERLINK("http://locmedia.nwmls.com/DO_NOT_LINK/bigphoto/910/27190910.jpg?tsp=20071024102346","Photo")</f>
        <v>Photo</v>
      </c>
      <c r="O70" s="4" t="str">
        <f>HYPERLINK("http://locator.nwmls.com/scripts/mgrqispi.dll?APPNAME=Locator&amp;PRGNAME=MLSPictureDescriptions&amp;ARGUMENTS=-N300606369,-N27190910,-AE","More")</f>
        <v>More</v>
      </c>
      <c r="P70" t="s">
        <v>354</v>
      </c>
      <c r="Q70" t="s">
        <v>56</v>
      </c>
      <c r="R70" t="s">
        <v>116</v>
      </c>
      <c r="S70" t="s">
        <v>86</v>
      </c>
      <c r="T70" t="s">
        <v>72</v>
      </c>
      <c r="U70" t="s">
        <v>26</v>
      </c>
      <c r="V70" s="6" t="s">
        <v>59</v>
      </c>
      <c r="X70" t="s">
        <v>27</v>
      </c>
      <c r="Y70" t="s">
        <v>28</v>
      </c>
      <c r="Z70" t="s">
        <v>355</v>
      </c>
      <c r="AB70">
        <v>2007</v>
      </c>
      <c r="AC70">
        <v>564</v>
      </c>
      <c r="AD70" t="s">
        <v>356</v>
      </c>
      <c r="AE70" t="s">
        <v>357</v>
      </c>
      <c r="AF70" t="s">
        <v>358</v>
      </c>
      <c r="AG70">
        <v>47.719442999999998</v>
      </c>
      <c r="AH70">
        <v>-122.35829099999999</v>
      </c>
      <c r="AI70" t="s">
        <v>33</v>
      </c>
      <c r="AJ70">
        <v>98177</v>
      </c>
      <c r="AK70" t="s">
        <v>34</v>
      </c>
      <c r="AL70" t="s">
        <v>35</v>
      </c>
      <c r="AM70" t="s">
        <v>35</v>
      </c>
      <c r="AO70">
        <v>0.161</v>
      </c>
      <c r="AP70" t="s">
        <v>359</v>
      </c>
      <c r="AQ70">
        <v>504</v>
      </c>
      <c r="AR70" t="s">
        <v>323</v>
      </c>
      <c r="AS70" t="s">
        <v>360</v>
      </c>
      <c r="AT70">
        <v>3</v>
      </c>
      <c r="AW70" s="17"/>
      <c r="AX70">
        <f t="shared" ca="1" si="2"/>
        <v>28</v>
      </c>
      <c r="AZ70" s="9">
        <v>39405</v>
      </c>
    </row>
    <row r="71" spans="1:52">
      <c r="A71">
        <v>27191547</v>
      </c>
      <c r="B71" s="4" t="str">
        <f>HYPERLINK("http://locmedia.nwmls.com/DO_NOT_LINK/bigphoto/547/27191547.jpg?tsp=20071107055208","Active")</f>
        <v>Active</v>
      </c>
      <c r="C71">
        <v>705</v>
      </c>
      <c r="D71" t="s">
        <v>81</v>
      </c>
      <c r="E71" t="s">
        <v>336</v>
      </c>
      <c r="F71" s="14">
        <v>439992</v>
      </c>
      <c r="G71" t="s">
        <v>337</v>
      </c>
      <c r="H71">
        <v>1906</v>
      </c>
      <c r="I71">
        <v>5100</v>
      </c>
      <c r="J71">
        <v>2</v>
      </c>
      <c r="K71">
        <v>2</v>
      </c>
      <c r="M71" s="4" t="str">
        <f>HYPERLINK("http://locsearch.nwmls.com//ReturnMap.aspx?hidMLS=NWML&amp;VHW=47.682159:-122.384316:.25:&amp;Z=4&amp;H=300&amp;W=400&amp;PP=47.682159:-122.384316:1:027191547","Map")</f>
        <v>Map</v>
      </c>
      <c r="N71" s="4" t="str">
        <f>HYPERLINK("http://locmedia.nwmls.com/DO_NOT_LINK/bigphoto/547/27191547.jpg?tsp=20071107055208","Photo")</f>
        <v>Photo</v>
      </c>
      <c r="O71" s="4" t="str">
        <f>HYPERLINK("http://locator.nwmls.com/scripts/mgrqispi.dll?APPNAME=Locator&amp;PRGNAME=MLSPictureDescriptions&amp;ARGUMENTS=-N300606369,-N27191547,-AE","More")</f>
        <v>More</v>
      </c>
      <c r="Q71" t="s">
        <v>56</v>
      </c>
      <c r="R71" t="s">
        <v>95</v>
      </c>
      <c r="S71" t="s">
        <v>338</v>
      </c>
      <c r="T71" t="s">
        <v>263</v>
      </c>
      <c r="U71" t="s">
        <v>26</v>
      </c>
      <c r="V71" s="6" t="s">
        <v>59</v>
      </c>
      <c r="X71" t="s">
        <v>27</v>
      </c>
      <c r="Y71" t="s">
        <v>28</v>
      </c>
      <c r="Z71" t="s">
        <v>339</v>
      </c>
      <c r="AB71">
        <v>2007</v>
      </c>
      <c r="AC71">
        <v>3141</v>
      </c>
      <c r="AD71" t="s">
        <v>340</v>
      </c>
      <c r="AE71" t="s">
        <v>341</v>
      </c>
      <c r="AF71" t="s">
        <v>342</v>
      </c>
      <c r="AG71" s="12">
        <v>47.682158999999999</v>
      </c>
      <c r="AH71" s="12">
        <v>-122.384316</v>
      </c>
      <c r="AI71" t="s">
        <v>33</v>
      </c>
      <c r="AJ71">
        <v>98117</v>
      </c>
      <c r="AK71" t="s">
        <v>34</v>
      </c>
      <c r="AL71" t="s">
        <v>343</v>
      </c>
      <c r="AM71" t="s">
        <v>35</v>
      </c>
      <c r="AO71">
        <v>0.11700000000000001</v>
      </c>
      <c r="AP71" s="12" t="s">
        <v>1004</v>
      </c>
      <c r="AQ71">
        <v>534</v>
      </c>
      <c r="AR71" t="s">
        <v>196</v>
      </c>
      <c r="AS71" t="s">
        <v>345</v>
      </c>
      <c r="AT71">
        <v>1</v>
      </c>
      <c r="AU71" t="s">
        <v>932</v>
      </c>
      <c r="AW71" s="17"/>
      <c r="AX71">
        <f t="shared" ca="1" si="2"/>
        <v>28</v>
      </c>
      <c r="AZ71" s="9">
        <v>39405</v>
      </c>
    </row>
    <row r="72" spans="1:52">
      <c r="A72">
        <v>27191568</v>
      </c>
      <c r="B72" s="4" t="str">
        <f>HYPERLINK("http://locmedia.nwmls.com/DO_NOT_LINK/bigphoto/568/27191568.jpg?tsp=20071025163105","Active")</f>
        <v>Active</v>
      </c>
      <c r="C72">
        <v>705</v>
      </c>
      <c r="D72" t="s">
        <v>66</v>
      </c>
      <c r="E72" t="s">
        <v>67</v>
      </c>
      <c r="F72" s="5">
        <v>374950</v>
      </c>
      <c r="G72" t="s">
        <v>68</v>
      </c>
      <c r="H72">
        <v>1175</v>
      </c>
      <c r="I72">
        <v>1366</v>
      </c>
      <c r="J72">
        <v>2</v>
      </c>
      <c r="K72">
        <v>2.5</v>
      </c>
      <c r="M72" s="4" t="str">
        <f>HYPERLINK("http://locsearch.nwmls.com//ReturnMap.aspx?hidMLS=NWML&amp;VHW=47.695753:-122.341899:.25:&amp;Z=4&amp;H=300&amp;W=400&amp;PP=47.695753:-122.341899:1:027191568","Map")</f>
        <v>Map</v>
      </c>
      <c r="N72" s="4" t="str">
        <f>HYPERLINK("http://locmedia.nwmls.com/DO_NOT_LINK/bigphoto/568/27191568.jpg?tsp=20071025163105","Photo")</f>
        <v>Photo</v>
      </c>
      <c r="O72" s="4" t="str">
        <f>HYPERLINK("http://locator.nwmls.com/scripts/mgrqispi.dll?APPNAME=Locator&amp;PRGNAME=MLSPictureDescriptions&amp;ARGUMENTS=-N300606369,-N27191568,-AE","More")</f>
        <v>More</v>
      </c>
      <c r="P72" t="s">
        <v>69</v>
      </c>
      <c r="Q72" t="s">
        <v>70</v>
      </c>
      <c r="R72" t="s">
        <v>57</v>
      </c>
      <c r="S72" t="s">
        <v>71</v>
      </c>
      <c r="T72" t="s">
        <v>72</v>
      </c>
      <c r="U72" t="s">
        <v>26</v>
      </c>
      <c r="X72" t="s">
        <v>27</v>
      </c>
      <c r="Y72" t="s">
        <v>28</v>
      </c>
      <c r="Z72" t="s">
        <v>73</v>
      </c>
      <c r="AA72" t="s">
        <v>74</v>
      </c>
      <c r="AB72">
        <v>2007</v>
      </c>
      <c r="AC72">
        <v>2715</v>
      </c>
      <c r="AD72" t="s">
        <v>75</v>
      </c>
      <c r="AE72" t="s">
        <v>76</v>
      </c>
      <c r="AF72" t="s">
        <v>77</v>
      </c>
      <c r="AG72">
        <v>47.695753000000003</v>
      </c>
      <c r="AH72">
        <v>-122.341899</v>
      </c>
      <c r="AI72" t="s">
        <v>33</v>
      </c>
      <c r="AJ72">
        <v>98103</v>
      </c>
      <c r="AK72" t="s">
        <v>34</v>
      </c>
      <c r="AL72" t="s">
        <v>35</v>
      </c>
      <c r="AM72" t="s">
        <v>35</v>
      </c>
      <c r="AO72">
        <v>3.1E-2</v>
      </c>
      <c r="AP72" t="s">
        <v>78</v>
      </c>
      <c r="AQ72">
        <v>504</v>
      </c>
      <c r="AR72" t="s">
        <v>79</v>
      </c>
      <c r="AS72" t="s">
        <v>80</v>
      </c>
      <c r="AT72">
        <v>1</v>
      </c>
      <c r="AU72" t="s">
        <v>913</v>
      </c>
      <c r="AW72" s="17"/>
      <c r="AX72">
        <f t="shared" ca="1" si="2"/>
        <v>28</v>
      </c>
      <c r="AZ72" s="9">
        <v>39405</v>
      </c>
    </row>
    <row r="73" spans="1:52">
      <c r="A73">
        <v>27191805</v>
      </c>
      <c r="B73" s="13" t="str">
        <f>HYPERLINK("http://locmedia.nwmls.com/DO_NOT_LINK/bigphoto/805/27191805.jpg?tsp=20071025175431","Pending")</f>
        <v>Pending</v>
      </c>
      <c r="C73">
        <v>705</v>
      </c>
      <c r="D73" t="s">
        <v>81</v>
      </c>
      <c r="E73" t="s">
        <v>579</v>
      </c>
      <c r="F73" s="5">
        <v>459950</v>
      </c>
      <c r="G73" t="s">
        <v>502</v>
      </c>
      <c r="H73">
        <v>0</v>
      </c>
      <c r="I73">
        <v>0</v>
      </c>
      <c r="J73">
        <v>3</v>
      </c>
      <c r="K73">
        <v>2</v>
      </c>
      <c r="M73" s="4" t="str">
        <f>HYPERLINK("http://locsearch.nwmls.com//ReturnMap.aspx?hidMLS=NWML&amp;VHW=47.682514:-122.362927:.25:&amp;Z=4&amp;H=300&amp;W=400&amp;PP=47.682514:-122.362927:1:027191805","Map")</f>
        <v>Map</v>
      </c>
      <c r="N73" s="4" t="str">
        <f>HYPERLINK("http://locmedia.nwmls.com/DO_NOT_LINK/bigphoto/805/27191805.jpg?tsp=20071025175431","Photo")</f>
        <v>Photo</v>
      </c>
      <c r="O73" s="4" t="str">
        <f>HYPERLINK("http://locator.nwmls.com/scripts/mgrqispi.dll?APPNAME=Locator&amp;PRGNAME=MLSPictureDescriptions&amp;ARGUMENTS=-N300606369,-N27191805,-AE","More")</f>
        <v>More</v>
      </c>
      <c r="P73" t="s">
        <v>580</v>
      </c>
      <c r="Q73" t="s">
        <v>327</v>
      </c>
      <c r="R73" t="s">
        <v>57</v>
      </c>
      <c r="S73" t="s">
        <v>199</v>
      </c>
      <c r="V73" s="6" t="s">
        <v>59</v>
      </c>
      <c r="X73" t="s">
        <v>27</v>
      </c>
      <c r="Y73" t="s">
        <v>28</v>
      </c>
      <c r="Z73" t="s">
        <v>176</v>
      </c>
      <c r="AB73">
        <v>2007</v>
      </c>
      <c r="AC73">
        <v>3104</v>
      </c>
      <c r="AD73" t="s">
        <v>581</v>
      </c>
      <c r="AE73" t="s">
        <v>582</v>
      </c>
      <c r="AF73" t="s">
        <v>583</v>
      </c>
      <c r="AG73">
        <v>47.682513999999998</v>
      </c>
      <c r="AH73">
        <v>-122.362927</v>
      </c>
      <c r="AI73" t="s">
        <v>33</v>
      </c>
      <c r="AJ73">
        <v>98117</v>
      </c>
      <c r="AK73" t="s">
        <v>34</v>
      </c>
      <c r="AL73" t="s">
        <v>35</v>
      </c>
      <c r="AM73" t="s">
        <v>35</v>
      </c>
      <c r="AO73">
        <v>0</v>
      </c>
      <c r="AP73" t="s">
        <v>584</v>
      </c>
      <c r="AQ73">
        <v>534</v>
      </c>
      <c r="AR73" t="s">
        <v>313</v>
      </c>
      <c r="AS73" t="s">
        <v>585</v>
      </c>
      <c r="AT73">
        <v>4</v>
      </c>
      <c r="AV73" s="9">
        <v>39380</v>
      </c>
      <c r="AW73" s="17">
        <v>31</v>
      </c>
      <c r="AX73">
        <f t="shared" ca="1" si="2"/>
        <v>53</v>
      </c>
      <c r="AY73" t="s">
        <v>920</v>
      </c>
      <c r="AZ73" s="9">
        <v>39405</v>
      </c>
    </row>
    <row r="74" spans="1:52">
      <c r="A74">
        <v>27191868</v>
      </c>
      <c r="B74" s="4" t="str">
        <f>HYPERLINK("http://locmedia.nwmls.com/DO_NOT_LINK/bigphoto/868/27191868.jpg?tsp=20071025123212","Active")</f>
        <v>Active</v>
      </c>
      <c r="C74">
        <v>705</v>
      </c>
      <c r="D74" t="s">
        <v>53</v>
      </c>
      <c r="E74" t="s">
        <v>325</v>
      </c>
      <c r="F74" s="5">
        <v>459900</v>
      </c>
      <c r="G74" t="s">
        <v>326</v>
      </c>
      <c r="H74">
        <v>2080</v>
      </c>
      <c r="I74">
        <v>4950</v>
      </c>
      <c r="J74">
        <v>3</v>
      </c>
      <c r="K74">
        <v>1.5</v>
      </c>
      <c r="M74" s="4" t="str">
        <f>HYPERLINK("http://locsearch.nwmls.com//ReturnMap.aspx?hidMLS=NWML&amp;VHW=47.692101:-122.364968:.25:&amp;Z=4&amp;H=300&amp;W=400&amp;PP=47.692101:-122.364968:1:027191868","Map")</f>
        <v>Map</v>
      </c>
      <c r="N74" s="4" t="str">
        <f>HYPERLINK("http://locmedia.nwmls.com/DO_NOT_LINK/bigphoto/868/27191868.jpg?tsp=20071025123212","Photo")</f>
        <v>Photo</v>
      </c>
      <c r="O74" s="4" t="str">
        <f>HYPERLINK("http://locator.nwmls.com/scripts/mgrqispi.dll?APPNAME=Locator&amp;PRGNAME=MLSPictureDescriptions&amp;ARGUMENTS=-N300606369,-N27191868,-AE","More")</f>
        <v>More</v>
      </c>
      <c r="Q74" t="s">
        <v>327</v>
      </c>
      <c r="R74" t="s">
        <v>23</v>
      </c>
      <c r="S74" t="s">
        <v>328</v>
      </c>
      <c r="T74" t="s">
        <v>129</v>
      </c>
      <c r="U74" t="s">
        <v>26</v>
      </c>
      <c r="V74" s="6" t="s">
        <v>59</v>
      </c>
      <c r="X74" t="s">
        <v>27</v>
      </c>
      <c r="Y74" t="s">
        <v>28</v>
      </c>
      <c r="Z74" t="s">
        <v>329</v>
      </c>
      <c r="AB74">
        <v>2007</v>
      </c>
      <c r="AC74">
        <v>2807</v>
      </c>
      <c r="AD74" t="s">
        <v>330</v>
      </c>
      <c r="AE74" t="s">
        <v>331</v>
      </c>
      <c r="AF74" t="s">
        <v>332</v>
      </c>
      <c r="AG74">
        <v>47.692101000000001</v>
      </c>
      <c r="AH74">
        <v>-122.364968</v>
      </c>
      <c r="AI74" t="s">
        <v>33</v>
      </c>
      <c r="AJ74">
        <v>98117</v>
      </c>
      <c r="AK74" t="s">
        <v>34</v>
      </c>
      <c r="AL74" t="s">
        <v>35</v>
      </c>
      <c r="AM74" t="s">
        <v>35</v>
      </c>
      <c r="AO74">
        <v>0.114</v>
      </c>
      <c r="AP74" t="s">
        <v>333</v>
      </c>
      <c r="AQ74">
        <v>534</v>
      </c>
      <c r="AR74" t="s">
        <v>334</v>
      </c>
      <c r="AS74" t="s">
        <v>335</v>
      </c>
      <c r="AT74">
        <v>1</v>
      </c>
      <c r="AU74" t="s">
        <v>933</v>
      </c>
      <c r="AW74" s="17"/>
      <c r="AX74">
        <f t="shared" ca="1" si="2"/>
        <v>28</v>
      </c>
      <c r="AZ74" s="9">
        <v>39405</v>
      </c>
    </row>
    <row r="75" spans="1:52">
      <c r="A75">
        <v>27192140</v>
      </c>
      <c r="B75" s="4" t="str">
        <f>HYPERLINK("http://locmedia.nwmls.com/DO_NOT_LINK/bigphoto/140/27192140.jpg?tsp=20071108202917","Active")</f>
        <v>Active</v>
      </c>
      <c r="C75">
        <v>705</v>
      </c>
      <c r="D75" t="s">
        <v>81</v>
      </c>
      <c r="E75" t="s">
        <v>388</v>
      </c>
      <c r="F75" s="5">
        <v>469950</v>
      </c>
      <c r="G75" t="s">
        <v>389</v>
      </c>
      <c r="H75">
        <v>1820</v>
      </c>
      <c r="I75">
        <v>0</v>
      </c>
      <c r="J75">
        <v>3</v>
      </c>
      <c r="K75">
        <v>1</v>
      </c>
      <c r="L75">
        <v>1</v>
      </c>
      <c r="M75" s="4" t="str">
        <f>HYPERLINK("http://locsearch.nwmls.com//ReturnMap.aspx?hidMLS=NWML&amp;VHW=47.676000:-122.368291:.25:&amp;Z=4&amp;H=300&amp;W=400&amp;PP=47.676000:-122.368291:1:027192140","Map")</f>
        <v>Map</v>
      </c>
      <c r="N75" s="4" t="str">
        <f>HYPERLINK("http://locmedia.nwmls.com/DO_NOT_LINK/bigphoto/140/27192140.jpg?tsp=20071108202917","Photo")</f>
        <v>Photo</v>
      </c>
      <c r="O75" s="4" t="str">
        <f>HYPERLINK("http://locator.nwmls.com/scripts/mgrqispi.dll?APPNAME=Locator&amp;PRGNAME=MLSPictureDescriptions&amp;ARGUMENTS=-N300606369,-N27192140,-AE","More")</f>
        <v>More</v>
      </c>
      <c r="P75" t="s">
        <v>41</v>
      </c>
      <c r="Q75" t="s">
        <v>56</v>
      </c>
      <c r="R75" t="s">
        <v>116</v>
      </c>
      <c r="S75" t="s">
        <v>43</v>
      </c>
      <c r="T75" t="s">
        <v>129</v>
      </c>
      <c r="U75" t="s">
        <v>26</v>
      </c>
      <c r="V75" s="6" t="s">
        <v>59</v>
      </c>
      <c r="X75" t="s">
        <v>27</v>
      </c>
      <c r="Y75" t="s">
        <v>28</v>
      </c>
      <c r="Z75" t="s">
        <v>150</v>
      </c>
      <c r="AB75">
        <v>2007</v>
      </c>
      <c r="AC75">
        <v>2867</v>
      </c>
      <c r="AD75" t="s">
        <v>390</v>
      </c>
      <c r="AE75" t="s">
        <v>391</v>
      </c>
      <c r="AF75" t="s">
        <v>392</v>
      </c>
      <c r="AG75">
        <v>47.676000000000002</v>
      </c>
      <c r="AH75">
        <v>-122.368291</v>
      </c>
      <c r="AI75" t="s">
        <v>33</v>
      </c>
      <c r="AJ75">
        <v>98117</v>
      </c>
      <c r="AK75" t="s">
        <v>34</v>
      </c>
      <c r="AL75" t="s">
        <v>393</v>
      </c>
      <c r="AM75" t="s">
        <v>35</v>
      </c>
      <c r="AO75">
        <v>0</v>
      </c>
      <c r="AP75" t="s">
        <v>394</v>
      </c>
      <c r="AQ75">
        <v>534</v>
      </c>
      <c r="AR75" t="s">
        <v>295</v>
      </c>
      <c r="AS75" t="s">
        <v>395</v>
      </c>
      <c r="AT75">
        <v>3</v>
      </c>
      <c r="AW75" s="17"/>
      <c r="AX75">
        <f t="shared" ca="1" si="2"/>
        <v>28</v>
      </c>
      <c r="AZ75" s="9">
        <v>39405</v>
      </c>
    </row>
    <row r="76" spans="1:52">
      <c r="A76">
        <v>27192222</v>
      </c>
      <c r="B76" s="4" t="str">
        <f>HYPERLINK("http://locmedia.nwmls.com/DO_NOT_LINK/bigphoto/222/27192222.jpg?tsp=20071025151633","Active")</f>
        <v>Active</v>
      </c>
      <c r="C76">
        <v>705</v>
      </c>
      <c r="D76" t="s">
        <v>66</v>
      </c>
      <c r="E76" t="s">
        <v>434</v>
      </c>
      <c r="F76" s="5">
        <v>475000</v>
      </c>
      <c r="G76" t="s">
        <v>337</v>
      </c>
      <c r="H76">
        <v>1860</v>
      </c>
      <c r="I76">
        <v>4080</v>
      </c>
      <c r="J76">
        <v>3</v>
      </c>
      <c r="K76">
        <v>1</v>
      </c>
      <c r="M76" s="4" t="str">
        <f>HYPERLINK("http://locsearch.nwmls.com//ReturnMap.aspx?hidMLS=NWML&amp;VHW=47.689101:-122.342226:.25:&amp;Z=4&amp;H=300&amp;W=400&amp;PP=47.689101:-122.342226:1:027192222","Map")</f>
        <v>Map</v>
      </c>
      <c r="N76" s="4" t="str">
        <f>HYPERLINK("http://locmedia.nwmls.com/DO_NOT_LINK/bigphoto/222/27192222.jpg?tsp=20071025151633","Photo")</f>
        <v>Photo</v>
      </c>
      <c r="O76" s="13" t="str">
        <f>HYPERLINK("http://locator.nwmls.com/scripts/mgrqispi.dll?APPNAME=Locator&amp;PRGNAME=MLSPictureDescriptions&amp;ARGUMENTS=-N300606369,-N27192222,-AE","More")</f>
        <v>More</v>
      </c>
      <c r="P76" t="s">
        <v>436</v>
      </c>
      <c r="Q76" t="s">
        <v>56</v>
      </c>
      <c r="R76" t="s">
        <v>95</v>
      </c>
      <c r="S76" t="s">
        <v>24</v>
      </c>
      <c r="T76" t="s">
        <v>300</v>
      </c>
      <c r="U76" t="s">
        <v>26</v>
      </c>
      <c r="V76" s="6" t="s">
        <v>59</v>
      </c>
      <c r="X76" t="s">
        <v>437</v>
      </c>
      <c r="Y76" t="s">
        <v>28</v>
      </c>
      <c r="Z76" t="s">
        <v>438</v>
      </c>
      <c r="AB76">
        <v>2007</v>
      </c>
      <c r="AC76">
        <v>2947</v>
      </c>
      <c r="AD76" t="s">
        <v>439</v>
      </c>
      <c r="AE76" t="s">
        <v>31</v>
      </c>
      <c r="AF76" t="s">
        <v>440</v>
      </c>
      <c r="AG76">
        <v>47.689101000000001</v>
      </c>
      <c r="AH76">
        <v>-122.342226</v>
      </c>
      <c r="AI76" t="s">
        <v>33</v>
      </c>
      <c r="AJ76">
        <v>98103</v>
      </c>
      <c r="AK76" t="s">
        <v>34</v>
      </c>
      <c r="AL76" t="s">
        <v>35</v>
      </c>
      <c r="AM76" t="s">
        <v>35</v>
      </c>
      <c r="AO76">
        <v>9.4E-2</v>
      </c>
      <c r="AP76" t="s">
        <v>441</v>
      </c>
      <c r="AQ76">
        <v>534</v>
      </c>
      <c r="AR76" t="s">
        <v>377</v>
      </c>
      <c r="AS76" t="s">
        <v>442</v>
      </c>
      <c r="AT76">
        <v>4</v>
      </c>
      <c r="AV76" s="9">
        <v>39380</v>
      </c>
      <c r="AW76" s="17">
        <v>31</v>
      </c>
      <c r="AX76">
        <f t="shared" ca="1" si="2"/>
        <v>53</v>
      </c>
      <c r="AY76" t="s">
        <v>920</v>
      </c>
      <c r="AZ76" s="9">
        <v>39405</v>
      </c>
    </row>
    <row r="77" spans="1:52">
      <c r="A77">
        <v>27192797</v>
      </c>
      <c r="B77" s="13" t="str">
        <f>HYPERLINK("http://locmedia.nwmls.com/DO_NOT_LINK/bigphoto/797/27192797.jpg?tsp=20071026165055","Pending")</f>
        <v>Pending</v>
      </c>
      <c r="C77">
        <v>705</v>
      </c>
      <c r="D77" t="s">
        <v>81</v>
      </c>
      <c r="E77" t="s">
        <v>428</v>
      </c>
      <c r="F77" s="5">
        <v>475000</v>
      </c>
      <c r="G77" t="s">
        <v>326</v>
      </c>
      <c r="H77">
        <v>1710</v>
      </c>
      <c r="I77">
        <v>4470</v>
      </c>
      <c r="J77">
        <v>2</v>
      </c>
      <c r="K77">
        <v>1</v>
      </c>
      <c r="L77">
        <v>1</v>
      </c>
      <c r="M77" s="4" t="str">
        <f>HYPERLINK("http://locsearch.nwmls.com//ReturnMap.aspx?hidMLS=NWML&amp;VHW=47.685665:-122.367300:.25:&amp;Z=4&amp;H=300&amp;W=400&amp;PP=47.685665:-122.367300:1:027192797","Map")</f>
        <v>Map</v>
      </c>
      <c r="N77" s="4" t="str">
        <f>HYPERLINK("http://locmedia.nwmls.com/DO_NOT_LINK/bigphoto/797/27192797.jpg?tsp=20071026165055","Photo")</f>
        <v>Photo</v>
      </c>
      <c r="O77" s="4" t="str">
        <f>HYPERLINK("http://locator.nwmls.com/scripts/mgrqispi.dll?APPNAME=Locator&amp;PRGNAME=MLSPictureDescriptions&amp;ARGUMENTS=-N300606369,-N27192797,-AE","More")</f>
        <v>More</v>
      </c>
      <c r="P77" t="s">
        <v>41</v>
      </c>
      <c r="Q77" t="s">
        <v>56</v>
      </c>
      <c r="R77" t="s">
        <v>429</v>
      </c>
      <c r="T77" t="s">
        <v>300</v>
      </c>
      <c r="V77" s="6" t="s">
        <v>59</v>
      </c>
      <c r="X77" t="s">
        <v>27</v>
      </c>
      <c r="Y77" t="s">
        <v>28</v>
      </c>
      <c r="Z77" t="s">
        <v>430</v>
      </c>
      <c r="AB77">
        <v>2007</v>
      </c>
      <c r="AC77">
        <v>4218</v>
      </c>
      <c r="AD77" t="s">
        <v>431</v>
      </c>
      <c r="AG77">
        <v>47.685665</v>
      </c>
      <c r="AH77">
        <v>-122.3673</v>
      </c>
      <c r="AI77" t="s">
        <v>33</v>
      </c>
      <c r="AJ77">
        <v>98117</v>
      </c>
      <c r="AK77" t="s">
        <v>34</v>
      </c>
      <c r="AL77" t="s">
        <v>35</v>
      </c>
      <c r="AM77" t="s">
        <v>35</v>
      </c>
      <c r="AO77">
        <v>0.10299999999999999</v>
      </c>
      <c r="AP77" t="s">
        <v>432</v>
      </c>
      <c r="AQ77">
        <v>534</v>
      </c>
      <c r="AR77" t="s">
        <v>313</v>
      </c>
      <c r="AS77" t="s">
        <v>433</v>
      </c>
      <c r="AT77">
        <v>1</v>
      </c>
      <c r="AU77" t="s">
        <v>934</v>
      </c>
      <c r="AW77" s="17"/>
      <c r="AX77">
        <f t="shared" ca="1" si="2"/>
        <v>28</v>
      </c>
      <c r="AZ77" s="9">
        <v>39405</v>
      </c>
    </row>
    <row r="78" spans="1:52">
      <c r="A78">
        <v>27192998</v>
      </c>
      <c r="B78" s="4" t="str">
        <f>HYPERLINK("http://locmedia.nwmls.com/DO_NOT_LINK/bigphoto/998/27192998.jpg?tsp=20071101104542","Active")</f>
        <v>Active</v>
      </c>
      <c r="C78">
        <v>705</v>
      </c>
      <c r="D78" t="s">
        <v>19</v>
      </c>
      <c r="E78" t="s">
        <v>20</v>
      </c>
      <c r="F78" s="16">
        <v>349500</v>
      </c>
      <c r="G78" t="s">
        <v>21</v>
      </c>
      <c r="H78">
        <v>0</v>
      </c>
      <c r="I78">
        <v>6408</v>
      </c>
      <c r="J78">
        <v>2</v>
      </c>
      <c r="K78">
        <v>1</v>
      </c>
      <c r="M78" s="4" t="str">
        <f>HYPERLINK("http://locsearch.nwmls.com//ReturnMap.aspx?hidMLS=NWML&amp;VHW=47.716991:-122.340631:.25:&amp;Z=4&amp;H=300&amp;W=400&amp;PP=47.716991:-122.340631:1:027192998","Map")</f>
        <v>Map</v>
      </c>
      <c r="N78" s="4" t="str">
        <f>HYPERLINK("http://locmedia.nwmls.com/DO_NOT_LINK/bigphoto/998/27192998.jpg?tsp=20071101104542","Photo")</f>
        <v>Photo</v>
      </c>
      <c r="O78" s="4" t="str">
        <f>HYPERLINK("http://locator.nwmls.com/scripts/mgrqispi.dll?APPNAME=Locator&amp;PRGNAME=MLSPictureDescriptions&amp;ARGUMENTS=-N300606369,-N27192998,-AE","More")</f>
        <v>More</v>
      </c>
      <c r="Q78" t="s">
        <v>22</v>
      </c>
      <c r="R78" t="s">
        <v>23</v>
      </c>
      <c r="S78" t="s">
        <v>24</v>
      </c>
      <c r="T78" t="s">
        <v>25</v>
      </c>
      <c r="U78" t="s">
        <v>26</v>
      </c>
      <c r="X78" t="s">
        <v>27</v>
      </c>
      <c r="Y78" t="s">
        <v>28</v>
      </c>
      <c r="Z78" t="s">
        <v>29</v>
      </c>
      <c r="AB78">
        <v>2007</v>
      </c>
      <c r="AC78">
        <v>2408</v>
      </c>
      <c r="AD78" t="s">
        <v>30</v>
      </c>
      <c r="AE78" t="s">
        <v>31</v>
      </c>
      <c r="AF78" t="s">
        <v>32</v>
      </c>
      <c r="AG78" s="12">
        <v>47.716991</v>
      </c>
      <c r="AH78" s="12">
        <v>-122.340631</v>
      </c>
      <c r="AI78" t="s">
        <v>33</v>
      </c>
      <c r="AJ78">
        <v>98133</v>
      </c>
      <c r="AK78" t="s">
        <v>34</v>
      </c>
      <c r="AL78" t="s">
        <v>35</v>
      </c>
      <c r="AM78" t="s">
        <v>35</v>
      </c>
      <c r="AO78">
        <v>0.14699999999999999</v>
      </c>
      <c r="AP78" t="s">
        <v>36</v>
      </c>
      <c r="AQ78">
        <v>505</v>
      </c>
      <c r="AR78" t="s">
        <v>37</v>
      </c>
      <c r="AS78" t="s">
        <v>38</v>
      </c>
      <c r="AT78">
        <v>3</v>
      </c>
      <c r="AU78" t="s">
        <v>935</v>
      </c>
      <c r="AW78" s="17"/>
      <c r="AX78">
        <f t="shared" ca="1" si="2"/>
        <v>28</v>
      </c>
      <c r="AZ78" s="9">
        <v>39405</v>
      </c>
    </row>
    <row r="79" spans="1:52">
      <c r="A79">
        <v>27193177</v>
      </c>
      <c r="B79" s="11" t="str">
        <f>HYPERLINK("http://locmedia.nwmls.com/DO_NOT_LINK/bigphoto/177/27193177.jpg?tsp=20071028021527","Cancelled")</f>
        <v>Cancelled</v>
      </c>
      <c r="C79">
        <v>705</v>
      </c>
      <c r="D79" t="s">
        <v>403</v>
      </c>
      <c r="E79" t="s">
        <v>482</v>
      </c>
      <c r="F79" s="5">
        <v>498000</v>
      </c>
      <c r="G79" t="s">
        <v>483</v>
      </c>
      <c r="H79">
        <v>1200</v>
      </c>
      <c r="I79">
        <v>2400</v>
      </c>
      <c r="J79">
        <v>2</v>
      </c>
      <c r="K79">
        <v>1</v>
      </c>
      <c r="L79">
        <v>1</v>
      </c>
      <c r="M79" s="4" t="str">
        <f>HYPERLINK("http://locsearch.nwmls.com//ReturnMap.aspx?hidMLS=NWML&amp;VHW=47.654158:-122.350739:.25:&amp;Z=4&amp;H=300&amp;W=400&amp;PP=47.654158:-122.350739:1:027193177","Map")</f>
        <v>Map</v>
      </c>
      <c r="N79" s="4" t="str">
        <f>HYPERLINK("http://locmedia.nwmls.com/DO_NOT_LINK/bigphoto/177/27193177.jpg?tsp=20071028021527","Photo")</f>
        <v>Photo</v>
      </c>
      <c r="O79" s="4" t="str">
        <f>HYPERLINK("http://locator.nwmls.com/scripts/mgrqispi.dll?APPNAME=Locator&amp;PRGNAME=MLSPictureDescriptions&amp;ARGUMENTS=-N300606369,-N27193177,-AE","More")</f>
        <v>More</v>
      </c>
      <c r="P79" t="s">
        <v>41</v>
      </c>
      <c r="Q79" t="s">
        <v>484</v>
      </c>
      <c r="R79" t="s">
        <v>95</v>
      </c>
      <c r="S79" t="s">
        <v>485</v>
      </c>
      <c r="T79" t="s">
        <v>300</v>
      </c>
      <c r="U79" t="s">
        <v>26</v>
      </c>
      <c r="X79" t="s">
        <v>27</v>
      </c>
      <c r="Y79" t="s">
        <v>28</v>
      </c>
      <c r="Z79" t="s">
        <v>486</v>
      </c>
      <c r="AA79" t="s">
        <v>487</v>
      </c>
      <c r="AB79">
        <v>2007</v>
      </c>
      <c r="AC79">
        <v>2510</v>
      </c>
      <c r="AD79" t="s">
        <v>488</v>
      </c>
      <c r="AE79" t="s">
        <v>489</v>
      </c>
      <c r="AF79" t="s">
        <v>490</v>
      </c>
      <c r="AG79">
        <v>47.654158000000002</v>
      </c>
      <c r="AH79">
        <v>-122.350739</v>
      </c>
      <c r="AI79" t="s">
        <v>33</v>
      </c>
      <c r="AJ79">
        <v>98103</v>
      </c>
      <c r="AK79" t="s">
        <v>34</v>
      </c>
      <c r="AL79" t="s">
        <v>35</v>
      </c>
      <c r="AM79" t="s">
        <v>35</v>
      </c>
      <c r="AO79">
        <v>5.5E-2</v>
      </c>
      <c r="AP79" t="s">
        <v>491</v>
      </c>
      <c r="AQ79">
        <v>534</v>
      </c>
      <c r="AR79" t="s">
        <v>64</v>
      </c>
      <c r="AS79" t="s">
        <v>492</v>
      </c>
      <c r="AT79">
        <v>1</v>
      </c>
      <c r="AU79" t="s">
        <v>913</v>
      </c>
      <c r="AW79" s="17"/>
      <c r="AX79">
        <f t="shared" ca="1" si="2"/>
        <v>28</v>
      </c>
      <c r="AZ79" s="9">
        <v>39405</v>
      </c>
    </row>
    <row r="80" spans="1:52">
      <c r="A80">
        <v>27193790</v>
      </c>
      <c r="B80" s="4" t="str">
        <f>HYPERLINK("http://locmedia.nwmls.com/DO_NOT_LINK/bigphoto/790/27193790.jpg?tsp=20071123141640","Active")</f>
        <v>Active</v>
      </c>
      <c r="C80">
        <v>710</v>
      </c>
      <c r="D80" t="s">
        <v>649</v>
      </c>
      <c r="E80" t="s">
        <v>650</v>
      </c>
      <c r="F80" s="5">
        <v>437950</v>
      </c>
      <c r="G80" t="s">
        <v>138</v>
      </c>
      <c r="H80">
        <v>1600</v>
      </c>
      <c r="I80">
        <v>5080</v>
      </c>
      <c r="J80">
        <v>3</v>
      </c>
      <c r="K80">
        <v>2</v>
      </c>
      <c r="M80" s="4" t="str">
        <f>HYPERLINK("http://locsearch.nwmls.com//ReturnMap.aspx?hidMLS=NWML&amp;VHW=47.699416:-122.310841:.25:&amp;Z=4&amp;H=300&amp;W=400&amp;PP=47.699416:-122.310841:1:027193790","Map")</f>
        <v>Map</v>
      </c>
      <c r="N80" s="4" t="str">
        <f>HYPERLINK("http://locmedia.nwmls.com/DO_NOT_LINK/bigphoto/790/27193790.jpg?tsp=20071123141640","Photo")</f>
        <v>Photo</v>
      </c>
      <c r="O80" s="4" t="str">
        <f>HYPERLINK("http://locator.nwmls.com/scripts/mgrqispi.dll?APPNAME=Locator&amp;PRGNAME=MLSPictureDescriptions&amp;ARGUMENTS=-N268127191,-N27193790,-AE","More")</f>
        <v>More</v>
      </c>
      <c r="P80" t="s">
        <v>41</v>
      </c>
      <c r="Q80" t="s">
        <v>22</v>
      </c>
      <c r="R80" t="s">
        <v>23</v>
      </c>
      <c r="S80" t="s">
        <v>651</v>
      </c>
      <c r="T80" t="s">
        <v>44</v>
      </c>
      <c r="U80" t="s">
        <v>26</v>
      </c>
      <c r="V80" s="6" t="s">
        <v>59</v>
      </c>
      <c r="X80" t="s">
        <v>27</v>
      </c>
      <c r="Y80" t="s">
        <v>28</v>
      </c>
      <c r="Z80" t="s">
        <v>430</v>
      </c>
      <c r="AA80" t="s">
        <v>382</v>
      </c>
      <c r="AB80">
        <v>2007</v>
      </c>
      <c r="AC80">
        <v>2557</v>
      </c>
      <c r="AD80" t="s">
        <v>652</v>
      </c>
      <c r="AE80" t="s">
        <v>653</v>
      </c>
      <c r="AF80" t="s">
        <v>179</v>
      </c>
      <c r="AG80">
        <v>47.699415999999999</v>
      </c>
      <c r="AH80">
        <v>-122.310841</v>
      </c>
      <c r="AI80" t="s">
        <v>33</v>
      </c>
      <c r="AJ80">
        <v>98115</v>
      </c>
      <c r="AK80" t="s">
        <v>34</v>
      </c>
      <c r="AL80">
        <v>23</v>
      </c>
      <c r="AM80" t="s">
        <v>35</v>
      </c>
      <c r="AO80">
        <v>0.11700000000000001</v>
      </c>
      <c r="AP80" t="s">
        <v>654</v>
      </c>
      <c r="AQ80">
        <v>505</v>
      </c>
      <c r="AR80" t="s">
        <v>655</v>
      </c>
      <c r="AS80" s="12" t="s">
        <v>870</v>
      </c>
      <c r="AT80">
        <v>1</v>
      </c>
      <c r="AW80" s="17"/>
      <c r="AX80">
        <f t="shared" ca="1" si="2"/>
        <v>25</v>
      </c>
      <c r="AZ80" s="9">
        <v>39408</v>
      </c>
    </row>
    <row r="81" spans="1:52">
      <c r="A81">
        <v>27194200</v>
      </c>
      <c r="B81" s="13" t="str">
        <f>HYPERLINK("http://locmedia.nwmls.com/DO_NOT_LINK/bigphoto/200/27194200.jpg?tsp=20071103174504","Temp. Off Mrkt.")</f>
        <v>Temp. Off Mrkt.</v>
      </c>
      <c r="C81">
        <v>705</v>
      </c>
      <c r="D81" t="s">
        <v>224</v>
      </c>
      <c r="E81" t="s">
        <v>225</v>
      </c>
      <c r="F81" s="5">
        <v>429000</v>
      </c>
      <c r="G81" t="s">
        <v>226</v>
      </c>
      <c r="H81">
        <v>1020</v>
      </c>
      <c r="I81">
        <v>2605</v>
      </c>
      <c r="J81">
        <v>2</v>
      </c>
      <c r="K81">
        <v>1</v>
      </c>
      <c r="L81">
        <v>1</v>
      </c>
      <c r="M81" s="4" t="str">
        <f>HYPERLINK("http://locsearch.nwmls.com//ReturnMap.aspx?hidMLS=NWML&amp;VHW=47.674301:-122.349922:.25:&amp;Z=4&amp;H=300&amp;W=400&amp;PP=47.674301:-122.349922:1:027194200","Map")</f>
        <v>Map</v>
      </c>
      <c r="N81" s="4" t="str">
        <f>HYPERLINK("http://locmedia.nwmls.com/DO_NOT_LINK/bigphoto/200/27194200.jpg?tsp=20071103174504","Photo")</f>
        <v>Photo</v>
      </c>
      <c r="O81" s="4" t="str">
        <f>HYPERLINK("http://locator.nwmls.com/scripts/mgrqispi.dll?APPNAME=Locator&amp;PRGNAME=MLSPictureDescriptions&amp;ARGUMENTS=-N300606369,-N27194200,-AE","More")</f>
        <v>More</v>
      </c>
      <c r="P81" t="s">
        <v>227</v>
      </c>
      <c r="Q81" t="s">
        <v>56</v>
      </c>
      <c r="R81" t="s">
        <v>116</v>
      </c>
      <c r="S81" t="s">
        <v>128</v>
      </c>
      <c r="V81" s="6" t="s">
        <v>59</v>
      </c>
      <c r="X81" t="s">
        <v>27</v>
      </c>
      <c r="Y81" t="s">
        <v>28</v>
      </c>
      <c r="Z81" t="s">
        <v>29</v>
      </c>
      <c r="AB81">
        <v>2007</v>
      </c>
      <c r="AC81">
        <v>2919</v>
      </c>
      <c r="AD81" t="s">
        <v>228</v>
      </c>
      <c r="AE81" t="s">
        <v>229</v>
      </c>
      <c r="AF81" t="s">
        <v>230</v>
      </c>
      <c r="AG81" s="12">
        <v>47.674301</v>
      </c>
      <c r="AH81" s="12">
        <v>-122.34992200000001</v>
      </c>
      <c r="AI81" t="s">
        <v>33</v>
      </c>
      <c r="AJ81">
        <v>98103</v>
      </c>
      <c r="AK81" t="s">
        <v>34</v>
      </c>
      <c r="AL81">
        <v>1</v>
      </c>
      <c r="AM81" t="s">
        <v>35</v>
      </c>
      <c r="AO81">
        <v>0.06</v>
      </c>
      <c r="AP81" t="s">
        <v>231</v>
      </c>
      <c r="AQ81">
        <v>534</v>
      </c>
      <c r="AR81" t="s">
        <v>172</v>
      </c>
      <c r="AS81" t="s">
        <v>232</v>
      </c>
      <c r="AT81">
        <v>1</v>
      </c>
      <c r="AW81" s="17"/>
      <c r="AX81">
        <v>67</v>
      </c>
      <c r="AZ81" s="9">
        <v>39405</v>
      </c>
    </row>
    <row r="82" spans="1:52">
      <c r="A82">
        <v>27194590</v>
      </c>
      <c r="B82" s="13" t="str">
        <f>HYPERLINK("http://locmedia.nwmls.com/DO_NOT_LINK/bigphoto/590/27194590.jpg?tsp=20071123100517","Expired")</f>
        <v>Expired</v>
      </c>
      <c r="C82">
        <v>710</v>
      </c>
      <c r="D82" t="s">
        <v>634</v>
      </c>
      <c r="E82" t="s">
        <v>796</v>
      </c>
      <c r="F82" s="5">
        <v>489500</v>
      </c>
      <c r="G82" t="s">
        <v>115</v>
      </c>
      <c r="H82">
        <v>2370</v>
      </c>
      <c r="I82">
        <v>7000</v>
      </c>
      <c r="J82">
        <v>4</v>
      </c>
      <c r="K82">
        <v>2</v>
      </c>
      <c r="L82">
        <v>2</v>
      </c>
      <c r="M82" s="4" t="str">
        <f>HYPERLINK("http://locsearch.nwmls.com//ReturnMap.aspx?hidMLS=NWML&amp;VHW=47.708361:-122.287807:.25:&amp;Z=4&amp;H=300&amp;W=400&amp;PP=47.708361:-122.287807:1:027194590","Map")</f>
        <v>Map</v>
      </c>
      <c r="N82" s="4" t="str">
        <f>HYPERLINK("http://locmedia.nwmls.com/DO_NOT_LINK/bigphoto/590/27194590.jpg?tsp=20071123100517","Photo")</f>
        <v>Photo</v>
      </c>
      <c r="O82" s="4" t="str">
        <f>HYPERLINK("http://locator.nwmls.com/scripts/mgrqispi.dll?APPNAME=Locator&amp;PRGNAME=MLSPictureDescriptions&amp;ARGUMENTS=-N268127191,-N27194590,-AE","More")</f>
        <v>More</v>
      </c>
      <c r="P82" t="s">
        <v>41</v>
      </c>
      <c r="Q82" t="s">
        <v>56</v>
      </c>
      <c r="R82" t="s">
        <v>95</v>
      </c>
      <c r="S82" t="s">
        <v>199</v>
      </c>
      <c r="T82" t="s">
        <v>553</v>
      </c>
      <c r="U82" t="s">
        <v>26</v>
      </c>
      <c r="V82" s="6" t="s">
        <v>59</v>
      </c>
      <c r="X82" t="s">
        <v>27</v>
      </c>
      <c r="Y82" t="s">
        <v>28</v>
      </c>
      <c r="Z82" t="s">
        <v>797</v>
      </c>
      <c r="AB82">
        <v>2007</v>
      </c>
      <c r="AC82">
        <v>3661</v>
      </c>
      <c r="AD82" t="s">
        <v>798</v>
      </c>
      <c r="AE82" t="s">
        <v>799</v>
      </c>
      <c r="AF82" t="s">
        <v>800</v>
      </c>
      <c r="AG82" s="12">
        <v>47.708360999999996</v>
      </c>
      <c r="AH82" s="12">
        <v>-122.287807</v>
      </c>
      <c r="AI82" t="s">
        <v>33</v>
      </c>
      <c r="AJ82">
        <v>98125</v>
      </c>
      <c r="AK82" t="s">
        <v>34</v>
      </c>
      <c r="AL82" t="s">
        <v>35</v>
      </c>
      <c r="AM82" t="s">
        <v>35</v>
      </c>
      <c r="AO82">
        <v>0.161</v>
      </c>
      <c r="AP82" s="12" t="s">
        <v>992</v>
      </c>
      <c r="AQ82">
        <v>505</v>
      </c>
      <c r="AR82" t="s">
        <v>641</v>
      </c>
      <c r="AS82" s="12" t="s">
        <v>872</v>
      </c>
      <c r="AT82">
        <v>3</v>
      </c>
      <c r="AW82" s="17"/>
      <c r="AX82">
        <f t="shared" ref="AX82:AX98" ca="1" si="3">IF(ISBLANK($AW82),TODAY()-$AZ82,TODAY()-$AV82)</f>
        <v>25</v>
      </c>
      <c r="AZ82" s="9">
        <v>39408</v>
      </c>
    </row>
    <row r="83" spans="1:52">
      <c r="A83">
        <v>27194605</v>
      </c>
      <c r="B83" s="4" t="str">
        <f>HYPERLINK("http://locmedia.nwmls.com/DO_NOT_LINK/bigphoto/605/27194605.jpg?tsp=20071031062444","Active")</f>
        <v>Active</v>
      </c>
      <c r="C83">
        <v>710</v>
      </c>
      <c r="D83" t="s">
        <v>656</v>
      </c>
      <c r="F83" s="5">
        <v>499950</v>
      </c>
      <c r="G83" t="s">
        <v>688</v>
      </c>
      <c r="H83">
        <v>1930</v>
      </c>
      <c r="I83">
        <v>8299</v>
      </c>
      <c r="J83">
        <v>4</v>
      </c>
      <c r="K83">
        <v>1.75</v>
      </c>
      <c r="L83">
        <v>2</v>
      </c>
      <c r="M83" t="s">
        <v>243</v>
      </c>
      <c r="N83" s="4" t="str">
        <f>HYPERLINK("http://locmedia.nwmls.com/DO_NOT_LINK/bigphoto/605/27194605.jpg?tsp=20071031062444","Photo")</f>
        <v>Photo</v>
      </c>
      <c r="O83" s="4" t="str">
        <f>HYPERLINK("http://locator.nwmls.com/scripts/mgrqispi.dll?APPNAME=Locator&amp;PRGNAME=MLSPictureDescriptions&amp;ARGUMENTS=-N268127191,-N27194605,-AE","More")</f>
        <v>More</v>
      </c>
      <c r="P83" t="s">
        <v>41</v>
      </c>
      <c r="Q83" t="s">
        <v>834</v>
      </c>
      <c r="R83" t="s">
        <v>835</v>
      </c>
      <c r="T83" t="s">
        <v>72</v>
      </c>
      <c r="U83" t="s">
        <v>26</v>
      </c>
      <c r="V83" s="6" t="s">
        <v>59</v>
      </c>
      <c r="X83" t="s">
        <v>27</v>
      </c>
      <c r="Y83" t="s">
        <v>28</v>
      </c>
      <c r="Z83" t="s">
        <v>423</v>
      </c>
      <c r="AB83">
        <v>2007</v>
      </c>
      <c r="AC83">
        <v>3429</v>
      </c>
      <c r="AD83" t="s">
        <v>836</v>
      </c>
      <c r="AE83" t="s">
        <v>837</v>
      </c>
      <c r="AI83" t="s">
        <v>33</v>
      </c>
      <c r="AJ83">
        <v>98115</v>
      </c>
      <c r="AK83" t="s">
        <v>34</v>
      </c>
      <c r="AL83" t="s">
        <v>838</v>
      </c>
      <c r="AM83" t="s">
        <v>35</v>
      </c>
      <c r="AO83">
        <v>0.191</v>
      </c>
      <c r="AP83" t="s">
        <v>839</v>
      </c>
      <c r="AQ83">
        <v>505</v>
      </c>
      <c r="AR83" t="s">
        <v>840</v>
      </c>
      <c r="AS83" t="s">
        <v>841</v>
      </c>
      <c r="AT83">
        <v>1</v>
      </c>
      <c r="AW83" s="17"/>
      <c r="AX83">
        <f t="shared" ca="1" si="3"/>
        <v>25</v>
      </c>
      <c r="AZ83" s="9">
        <v>39408</v>
      </c>
    </row>
    <row r="84" spans="1:52">
      <c r="A84">
        <v>27195187</v>
      </c>
      <c r="B84" s="4" t="str">
        <f>HYPERLINK("http://locmedia.nwmls.com/DO_NOT_LINK/bigphoto/187/27195187.jpg?tsp=20071101103513","Active")</f>
        <v>Active</v>
      </c>
      <c r="C84">
        <v>705</v>
      </c>
      <c r="D84" t="s">
        <v>81</v>
      </c>
      <c r="E84" t="s">
        <v>473</v>
      </c>
      <c r="F84" s="5">
        <v>495000</v>
      </c>
      <c r="G84" t="s">
        <v>474</v>
      </c>
      <c r="H84">
        <v>2060</v>
      </c>
      <c r="I84">
        <v>5000</v>
      </c>
      <c r="J84">
        <v>4</v>
      </c>
      <c r="K84">
        <v>1</v>
      </c>
      <c r="M84" s="4" t="str">
        <f>HYPERLINK("http://locsearch.nwmls.com//ReturnMap.aspx?hidMLS=NWML&amp;VHW=47.679501:-122.394650:.25:&amp;Z=4&amp;H=300&amp;W=400&amp;PP=47.679501:-122.394650:1:027195187","Map")</f>
        <v>Map</v>
      </c>
      <c r="N84" s="4" t="str">
        <f>HYPERLINK("http://locmedia.nwmls.com/DO_NOT_LINK/bigphoto/187/27195187.jpg?tsp=20071101103513","Photo")</f>
        <v>Photo</v>
      </c>
      <c r="O84" t="s">
        <v>435</v>
      </c>
      <c r="Q84" t="s">
        <v>56</v>
      </c>
      <c r="R84" t="s">
        <v>57</v>
      </c>
      <c r="S84" t="s">
        <v>475</v>
      </c>
      <c r="T84" t="s">
        <v>300</v>
      </c>
      <c r="U84" t="s">
        <v>26</v>
      </c>
      <c r="V84" s="6" t="s">
        <v>59</v>
      </c>
      <c r="X84" t="s">
        <v>27</v>
      </c>
      <c r="Y84" t="s">
        <v>28</v>
      </c>
      <c r="Z84" t="s">
        <v>272</v>
      </c>
      <c r="AA84" t="s">
        <v>476</v>
      </c>
      <c r="AB84">
        <v>2007</v>
      </c>
      <c r="AC84">
        <v>3661</v>
      </c>
      <c r="AD84" t="s">
        <v>477</v>
      </c>
      <c r="AE84" t="s">
        <v>302</v>
      </c>
      <c r="AG84">
        <v>47.679501000000002</v>
      </c>
      <c r="AH84">
        <v>-122.39465</v>
      </c>
      <c r="AI84" t="s">
        <v>33</v>
      </c>
      <c r="AJ84">
        <v>98117</v>
      </c>
      <c r="AK84" t="s">
        <v>34</v>
      </c>
      <c r="AL84" t="s">
        <v>478</v>
      </c>
      <c r="AM84" t="s">
        <v>35</v>
      </c>
      <c r="AO84">
        <v>0.115</v>
      </c>
      <c r="AP84" t="s">
        <v>479</v>
      </c>
      <c r="AQ84">
        <v>534</v>
      </c>
      <c r="AR84" t="s">
        <v>480</v>
      </c>
      <c r="AS84" t="s">
        <v>481</v>
      </c>
      <c r="AT84">
        <v>1</v>
      </c>
      <c r="AU84" t="s">
        <v>936</v>
      </c>
      <c r="AW84" s="17"/>
      <c r="AX84">
        <f t="shared" ca="1" si="3"/>
        <v>28</v>
      </c>
      <c r="AZ84" s="9">
        <v>39405</v>
      </c>
    </row>
    <row r="85" spans="1:52">
      <c r="A85">
        <v>27195272</v>
      </c>
      <c r="B85" s="4" t="str">
        <f>HYPERLINK("http://locmedia.nwmls.com/DO_NOT_LINK/bigphoto/272/27195272.jpg?tsp=20071101094057","Active")</f>
        <v>Active</v>
      </c>
      <c r="C85">
        <v>705</v>
      </c>
      <c r="D85" t="s">
        <v>53</v>
      </c>
      <c r="E85" t="s">
        <v>453</v>
      </c>
      <c r="F85" s="5">
        <v>479950</v>
      </c>
      <c r="G85" t="s">
        <v>389</v>
      </c>
      <c r="H85">
        <v>1740</v>
      </c>
      <c r="I85">
        <v>4800</v>
      </c>
      <c r="J85">
        <v>4</v>
      </c>
      <c r="K85">
        <v>2</v>
      </c>
      <c r="L85">
        <v>1</v>
      </c>
      <c r="M85" s="4" t="str">
        <f>HYPERLINK("http://locsearch.nwmls.com//ReturnMap.aspx?hidMLS=NWML&amp;VHW=47.692101:-122.363552:.25:&amp;Z=4&amp;H=300&amp;W=400&amp;PP=47.692101:-122.363552:1:027195272","Map")</f>
        <v>Map</v>
      </c>
      <c r="N85" s="4" t="str">
        <f>HYPERLINK("http://locmedia.nwmls.com/DO_NOT_LINK/bigphoto/272/27195272.jpg?tsp=20071101094057","Photo")</f>
        <v>Photo</v>
      </c>
      <c r="O85" s="4" t="str">
        <f>HYPERLINK("http://locator.nwmls.com/scripts/mgrqispi.dll?APPNAME=Locator&amp;PRGNAME=MLSPictureDescriptions&amp;ARGUMENTS=-N300606369,-N27195272,-AE","More")</f>
        <v>More</v>
      </c>
      <c r="P85" t="s">
        <v>41</v>
      </c>
      <c r="Q85" t="s">
        <v>56</v>
      </c>
      <c r="R85" t="s">
        <v>95</v>
      </c>
      <c r="S85" t="s">
        <v>24</v>
      </c>
      <c r="T85" t="s">
        <v>72</v>
      </c>
      <c r="U85" t="s">
        <v>26</v>
      </c>
      <c r="V85" s="6" t="s">
        <v>59</v>
      </c>
      <c r="X85" t="s">
        <v>27</v>
      </c>
      <c r="Y85" t="s">
        <v>28</v>
      </c>
      <c r="Z85" t="s">
        <v>184</v>
      </c>
      <c r="AB85">
        <v>2007</v>
      </c>
      <c r="AC85">
        <v>2928</v>
      </c>
      <c r="AD85" t="s">
        <v>454</v>
      </c>
      <c r="AE85" t="s">
        <v>455</v>
      </c>
      <c r="AF85" t="s">
        <v>456</v>
      </c>
      <c r="AG85">
        <v>47.692101000000001</v>
      </c>
      <c r="AH85">
        <v>-122.363552</v>
      </c>
      <c r="AI85" t="s">
        <v>33</v>
      </c>
      <c r="AJ85">
        <v>98117</v>
      </c>
      <c r="AK85" t="s">
        <v>34</v>
      </c>
      <c r="AL85" t="s">
        <v>35</v>
      </c>
      <c r="AM85" t="s">
        <v>35</v>
      </c>
      <c r="AO85">
        <v>0.11</v>
      </c>
      <c r="AP85" t="s">
        <v>457</v>
      </c>
      <c r="AQ85">
        <v>534</v>
      </c>
      <c r="AR85" t="s">
        <v>334</v>
      </c>
      <c r="AS85" t="s">
        <v>458</v>
      </c>
      <c r="AT85">
        <v>4</v>
      </c>
      <c r="AV85" s="9">
        <v>39387</v>
      </c>
      <c r="AW85" s="17">
        <v>24</v>
      </c>
      <c r="AX85">
        <f t="shared" ca="1" si="3"/>
        <v>46</v>
      </c>
      <c r="AY85" t="s">
        <v>920</v>
      </c>
      <c r="AZ85" s="9">
        <v>39405</v>
      </c>
    </row>
    <row r="86" spans="1:52">
      <c r="A86">
        <v>27195392</v>
      </c>
      <c r="B86" s="4" t="str">
        <f>HYPERLINK("http://locmedia.nwmls.com/DO_NOT_LINK/bigphoto/392/27195392.jpg?tsp=20071101104722","Active")</f>
        <v>Active</v>
      </c>
      <c r="C86">
        <v>710</v>
      </c>
      <c r="D86" t="s">
        <v>656</v>
      </c>
      <c r="E86" t="s">
        <v>744</v>
      </c>
      <c r="F86" s="5">
        <v>474950</v>
      </c>
      <c r="G86" t="s">
        <v>546</v>
      </c>
      <c r="H86">
        <v>1610</v>
      </c>
      <c r="I86">
        <v>6208</v>
      </c>
      <c r="J86">
        <v>2</v>
      </c>
      <c r="K86">
        <v>1</v>
      </c>
      <c r="L86">
        <v>1</v>
      </c>
      <c r="M86" s="4" t="str">
        <f>HYPERLINK("http://locsearch.nwmls.com//ReturnMap.aspx?hidMLS=NWML&amp;VHW=47.690013:-122.296090:.25:&amp;Z=4&amp;H=300&amp;W=400&amp;PP=47.690013:-122.296090:1:027195392","Map")</f>
        <v>Map</v>
      </c>
      <c r="N86" s="4" t="str">
        <f>HYPERLINK("http://locmedia.nwmls.com/DO_NOT_LINK/bigphoto/392/27195392.jpg?tsp=20071101104722","Photo")</f>
        <v>Photo</v>
      </c>
      <c r="O86" s="4" t="str">
        <f>HYPERLINK("http://locator.nwmls.com/scripts/mgrqispi.dll?APPNAME=Locator&amp;PRGNAME=MLSPictureDescriptions&amp;ARGUMENTS=-N268127191,-N27195392,-AE","More")</f>
        <v>More</v>
      </c>
      <c r="Q86" t="s">
        <v>56</v>
      </c>
      <c r="R86" t="s">
        <v>116</v>
      </c>
      <c r="T86" t="s">
        <v>44</v>
      </c>
      <c r="U86" t="s">
        <v>26</v>
      </c>
      <c r="V86" s="6" t="s">
        <v>59</v>
      </c>
      <c r="X86" t="s">
        <v>27</v>
      </c>
      <c r="Y86" t="s">
        <v>28</v>
      </c>
      <c r="AB86">
        <v>2007</v>
      </c>
      <c r="AC86">
        <v>3253</v>
      </c>
      <c r="AD86" t="s">
        <v>745</v>
      </c>
      <c r="AG86">
        <v>47.690013</v>
      </c>
      <c r="AH86">
        <v>-122.29609000000001</v>
      </c>
      <c r="AI86" t="s">
        <v>33</v>
      </c>
      <c r="AJ86">
        <v>98115</v>
      </c>
      <c r="AK86" t="s">
        <v>34</v>
      </c>
      <c r="AL86">
        <v>1</v>
      </c>
      <c r="AM86" t="s">
        <v>35</v>
      </c>
      <c r="AO86">
        <v>0.14299999999999999</v>
      </c>
      <c r="AP86" t="s">
        <v>746</v>
      </c>
      <c r="AQ86">
        <v>535</v>
      </c>
      <c r="AR86" t="s">
        <v>426</v>
      </c>
      <c r="AS86" t="s">
        <v>747</v>
      </c>
      <c r="AT86">
        <v>3</v>
      </c>
      <c r="AW86" s="17"/>
      <c r="AX86">
        <f t="shared" ca="1" si="3"/>
        <v>25</v>
      </c>
      <c r="AZ86" s="9">
        <v>39408</v>
      </c>
    </row>
    <row r="87" spans="1:52">
      <c r="A87">
        <v>27195530</v>
      </c>
      <c r="B87" s="13" t="str">
        <f>HYPERLINK("http://locmedia.nwmls.com/DO_NOT_LINK/bigphoto/530/27195530.jpg?tsp=20071105112115","Cancelled")</f>
        <v>Cancelled</v>
      </c>
      <c r="C87">
        <v>710</v>
      </c>
      <c r="D87" t="s">
        <v>649</v>
      </c>
      <c r="E87" t="s">
        <v>729</v>
      </c>
      <c r="F87" s="5">
        <v>465000</v>
      </c>
      <c r="G87" t="s">
        <v>730</v>
      </c>
      <c r="H87">
        <v>2580</v>
      </c>
      <c r="I87">
        <v>6360</v>
      </c>
      <c r="J87">
        <v>3</v>
      </c>
      <c r="K87">
        <v>1.75</v>
      </c>
      <c r="L87">
        <v>1</v>
      </c>
      <c r="M87" s="4" t="str">
        <f>HYPERLINK("http://locsearch.nwmls.com//ReturnMap.aspx?hidMLS=NWML&amp;VHW=47.693101:-122.316974:.25:&amp;Z=4&amp;H=300&amp;W=400&amp;PP=47.693101:-122.316974:1:027195530","Map")</f>
        <v>Map</v>
      </c>
      <c r="N87" s="4" t="str">
        <f>HYPERLINK("http://locmedia.nwmls.com/DO_NOT_LINK/bigphoto/530/27195530.jpg?tsp=20071105112115","Photo")</f>
        <v>Photo</v>
      </c>
      <c r="O87" s="4" t="str">
        <f>HYPERLINK("http://locator.nwmls.com/scripts/mgrqispi.dll?APPNAME=Locator&amp;PRGNAME=MLSPictureDescriptions&amp;ARGUMENTS=-N268127191,-N27195530,-AE","More")</f>
        <v>More</v>
      </c>
      <c r="P87" t="s">
        <v>604</v>
      </c>
      <c r="Q87" t="s">
        <v>484</v>
      </c>
      <c r="R87" t="s">
        <v>572</v>
      </c>
      <c r="S87" t="s">
        <v>24</v>
      </c>
      <c r="T87" t="s">
        <v>129</v>
      </c>
      <c r="V87" s="6" t="s">
        <v>59</v>
      </c>
      <c r="X87" t="s">
        <v>27</v>
      </c>
      <c r="Y87" t="s">
        <v>28</v>
      </c>
      <c r="Z87" t="s">
        <v>731</v>
      </c>
      <c r="AB87">
        <v>2007</v>
      </c>
      <c r="AC87">
        <v>3503</v>
      </c>
      <c r="AD87" t="s">
        <v>732</v>
      </c>
      <c r="AE87" t="s">
        <v>733</v>
      </c>
      <c r="AF87" t="s">
        <v>734</v>
      </c>
      <c r="AG87">
        <v>47.693100999999999</v>
      </c>
      <c r="AH87">
        <v>-122.316974</v>
      </c>
      <c r="AI87" t="s">
        <v>33</v>
      </c>
      <c r="AJ87">
        <v>98115</v>
      </c>
      <c r="AK87" t="s">
        <v>34</v>
      </c>
      <c r="AL87" t="s">
        <v>35</v>
      </c>
      <c r="AM87" t="s">
        <v>35</v>
      </c>
      <c r="AO87">
        <v>0.14599999999999999</v>
      </c>
      <c r="AP87" t="s">
        <v>735</v>
      </c>
      <c r="AQ87">
        <v>535</v>
      </c>
      <c r="AR87" t="s">
        <v>676</v>
      </c>
      <c r="AS87" t="s">
        <v>736</v>
      </c>
      <c r="AT87">
        <v>2</v>
      </c>
      <c r="AW87" s="17"/>
      <c r="AX87">
        <f t="shared" ca="1" si="3"/>
        <v>25</v>
      </c>
      <c r="AZ87" s="9">
        <v>39408</v>
      </c>
    </row>
    <row r="88" spans="1:52">
      <c r="A88">
        <v>27195561</v>
      </c>
      <c r="B88" s="4" t="str">
        <f>HYPERLINK("http://locmedia.nwmls.com/DO_NOT_LINK/bigphoto/561/27195561.jpg?tsp=20071103211514","Active")</f>
        <v>Active</v>
      </c>
      <c r="C88">
        <v>705</v>
      </c>
      <c r="D88" t="s">
        <v>361</v>
      </c>
      <c r="E88" t="s">
        <v>362</v>
      </c>
      <c r="F88" s="5">
        <v>465000</v>
      </c>
      <c r="G88" t="s">
        <v>363</v>
      </c>
      <c r="H88">
        <v>1460</v>
      </c>
      <c r="I88">
        <v>7200</v>
      </c>
      <c r="J88">
        <v>3</v>
      </c>
      <c r="K88">
        <v>1</v>
      </c>
      <c r="L88">
        <v>2</v>
      </c>
      <c r="M88" s="4" t="str">
        <f>HYPERLINK("http://locsearch.nwmls.com//ReturnMap.aspx?hidMLS=NWML&amp;VHW=47.693076:-122.372800:.25:&amp;Z=4&amp;H=300&amp;W=400&amp;PP=47.693076:-122.372800:1:027195561","Map")</f>
        <v>Map</v>
      </c>
      <c r="N88" s="4" t="str">
        <f>HYPERLINK("http://locmedia.nwmls.com/DO_NOT_LINK/bigphoto/561/27195561.jpg?tsp=20071103211514","Photo")</f>
        <v>Photo</v>
      </c>
      <c r="O88" s="4" t="str">
        <f>HYPERLINK("http://locator.nwmls.com/scripts/mgrqispi.dll?APPNAME=Locator&amp;PRGNAME=MLSPictureDescriptions&amp;ARGUMENTS=-N300606369,-N27195561,-AE","More")</f>
        <v>More</v>
      </c>
      <c r="Q88" t="s">
        <v>56</v>
      </c>
      <c r="R88" t="s">
        <v>116</v>
      </c>
      <c r="S88" t="s">
        <v>364</v>
      </c>
      <c r="T88" t="s">
        <v>25</v>
      </c>
      <c r="U88" t="s">
        <v>26</v>
      </c>
      <c r="V88" s="6" t="s">
        <v>59</v>
      </c>
      <c r="X88" t="s">
        <v>27</v>
      </c>
      <c r="Y88" t="s">
        <v>28</v>
      </c>
      <c r="Z88" t="s">
        <v>365</v>
      </c>
      <c r="AA88" t="s">
        <v>366</v>
      </c>
      <c r="AB88">
        <v>2007</v>
      </c>
      <c r="AC88">
        <v>2965</v>
      </c>
      <c r="AD88" t="s">
        <v>367</v>
      </c>
      <c r="AE88" t="s">
        <v>368</v>
      </c>
      <c r="AF88" t="s">
        <v>369</v>
      </c>
      <c r="AG88">
        <v>47.693075999999998</v>
      </c>
      <c r="AH88">
        <v>-122.3728</v>
      </c>
      <c r="AI88" t="s">
        <v>33</v>
      </c>
      <c r="AJ88">
        <v>98117</v>
      </c>
      <c r="AK88" t="s">
        <v>34</v>
      </c>
      <c r="AL88">
        <v>4</v>
      </c>
      <c r="AM88" t="s">
        <v>35</v>
      </c>
      <c r="AO88">
        <v>0.16500000000000001</v>
      </c>
      <c r="AP88" t="s">
        <v>370</v>
      </c>
      <c r="AQ88">
        <v>534</v>
      </c>
      <c r="AR88" t="s">
        <v>371</v>
      </c>
      <c r="AS88" t="s">
        <v>372</v>
      </c>
      <c r="AT88">
        <v>3</v>
      </c>
      <c r="AU88" t="s">
        <v>937</v>
      </c>
      <c r="AV88" s="9">
        <v>39389</v>
      </c>
      <c r="AW88" s="17">
        <v>28</v>
      </c>
      <c r="AX88">
        <f t="shared" ca="1" si="3"/>
        <v>44</v>
      </c>
      <c r="AY88" t="s">
        <v>916</v>
      </c>
      <c r="AZ88" s="9">
        <v>39405</v>
      </c>
    </row>
    <row r="89" spans="1:52">
      <c r="A89">
        <v>27195722</v>
      </c>
      <c r="B89" s="4" t="str">
        <f>HYPERLINK("http://locmedia.nwmls.com/DO_NOT_LINK/bigphoto/722/27195722.jpg?tsp=20071118152534","Active")</f>
        <v>Active</v>
      </c>
      <c r="C89">
        <v>705</v>
      </c>
      <c r="D89" t="s">
        <v>81</v>
      </c>
      <c r="E89" t="s">
        <v>82</v>
      </c>
      <c r="F89" s="16">
        <v>370000</v>
      </c>
      <c r="G89" t="s">
        <v>83</v>
      </c>
      <c r="H89">
        <v>0</v>
      </c>
      <c r="I89">
        <v>4005</v>
      </c>
      <c r="J89">
        <v>2</v>
      </c>
      <c r="K89">
        <v>1</v>
      </c>
      <c r="L89">
        <v>1</v>
      </c>
      <c r="M89" s="4" t="str">
        <f>HYPERLINK("http://locsearch.nwmls.com//ReturnMap.aspx?hidMLS=NWML&amp;VHW=47.687115:-122.378926:.25:&amp;Z=4&amp;H=300&amp;W=400&amp;PP=47.687115:-122.378926:1:027195722","Map")</f>
        <v>Map</v>
      </c>
      <c r="N89" s="4" t="str">
        <f>HYPERLINK("http://locmedia.nwmls.com/DO_NOT_LINK/bigphoto/722/27195722.jpg?tsp=20071118152534","Photo")</f>
        <v>Photo</v>
      </c>
      <c r="O89" s="4" t="str">
        <f>HYPERLINK("http://locator.nwmls.com/scripts/mgrqispi.dll?APPNAME=Locator&amp;PRGNAME=MLSPictureDescriptions&amp;ARGUMENTS=-N300606369,-N27195722,-AE","More")</f>
        <v>More</v>
      </c>
      <c r="Q89" t="s">
        <v>84</v>
      </c>
      <c r="R89" t="s">
        <v>85</v>
      </c>
      <c r="S89" t="s">
        <v>86</v>
      </c>
      <c r="T89" t="s">
        <v>25</v>
      </c>
      <c r="U89" t="s">
        <v>26</v>
      </c>
      <c r="V89" s="6" t="s">
        <v>59</v>
      </c>
      <c r="X89" t="s">
        <v>27</v>
      </c>
      <c r="Y89" t="s">
        <v>28</v>
      </c>
      <c r="Z89" t="s">
        <v>87</v>
      </c>
      <c r="AB89">
        <v>2007</v>
      </c>
      <c r="AC89">
        <v>2548</v>
      </c>
      <c r="AD89" t="s">
        <v>88</v>
      </c>
      <c r="AE89" t="s">
        <v>31</v>
      </c>
      <c r="AF89" t="s">
        <v>89</v>
      </c>
      <c r="AG89">
        <v>47.687114999999999</v>
      </c>
      <c r="AH89">
        <v>-122.37892600000001</v>
      </c>
      <c r="AI89" t="s">
        <v>33</v>
      </c>
      <c r="AJ89">
        <v>98117</v>
      </c>
      <c r="AK89" t="s">
        <v>34</v>
      </c>
      <c r="AL89" t="s">
        <v>35</v>
      </c>
      <c r="AM89" t="s">
        <v>35</v>
      </c>
      <c r="AO89">
        <v>9.1999999999999998E-2</v>
      </c>
      <c r="AP89" t="s">
        <v>90</v>
      </c>
      <c r="AQ89">
        <v>534</v>
      </c>
      <c r="AR89" t="s">
        <v>91</v>
      </c>
      <c r="AS89" t="s">
        <v>92</v>
      </c>
      <c r="AT89">
        <v>1</v>
      </c>
      <c r="AW89" s="17"/>
      <c r="AX89">
        <f t="shared" ca="1" si="3"/>
        <v>28</v>
      </c>
      <c r="AZ89" s="9">
        <v>39405</v>
      </c>
    </row>
    <row r="90" spans="1:52">
      <c r="A90">
        <v>27195834</v>
      </c>
      <c r="B90" s="13" t="str">
        <f>HYPERLINK("http://locmedia.nwmls.com/DO_NOT_LINK/bigphoto/834/27195834.jpg?tsp=20071121105115","Active - STI")</f>
        <v>Active - STI</v>
      </c>
      <c r="C90">
        <v>705</v>
      </c>
      <c r="D90" t="s">
        <v>66</v>
      </c>
      <c r="E90" t="s">
        <v>373</v>
      </c>
      <c r="F90" s="5">
        <v>465450</v>
      </c>
      <c r="G90" t="s">
        <v>270</v>
      </c>
      <c r="H90">
        <v>0</v>
      </c>
      <c r="I90">
        <v>0</v>
      </c>
      <c r="J90">
        <v>2</v>
      </c>
      <c r="K90">
        <v>1</v>
      </c>
      <c r="L90">
        <v>2</v>
      </c>
      <c r="M90" s="4" t="str">
        <f>HYPERLINK("http://locsearch.nwmls.com//ReturnMap.aspx?hidMLS=NWML&amp;VHW=47.688721:-122.341304:.25:&amp;Z=4&amp;H=300&amp;W=400&amp;PP=47.688721:-122.341304:1:027195834","Map")</f>
        <v>Map</v>
      </c>
      <c r="N90" s="4" t="str">
        <f>HYPERLINK("http://locmedia.nwmls.com/DO_NOT_LINK/bigphoto/834/27195834.jpg?tsp=20071121105115","Photo")</f>
        <v>Photo</v>
      </c>
      <c r="O90" s="4" t="str">
        <f>HYPERLINK("http://locator.nwmls.com/scripts/mgrqispi.dll?APPNAME=Locator&amp;PRGNAME=MLSPictureDescriptions&amp;ARGUMENTS=-N300606369,-N27195834,-AE","More")</f>
        <v>More</v>
      </c>
      <c r="P90" t="s">
        <v>41</v>
      </c>
      <c r="Q90" t="s">
        <v>56</v>
      </c>
      <c r="R90" t="s">
        <v>95</v>
      </c>
      <c r="S90" t="s">
        <v>43</v>
      </c>
      <c r="T90" t="s">
        <v>129</v>
      </c>
      <c r="V90" s="6" t="s">
        <v>59</v>
      </c>
      <c r="X90" t="s">
        <v>27</v>
      </c>
      <c r="Y90" t="s">
        <v>28</v>
      </c>
      <c r="Z90" t="s">
        <v>329</v>
      </c>
      <c r="AB90">
        <v>2006</v>
      </c>
      <c r="AC90">
        <v>3837</v>
      </c>
      <c r="AD90" t="s">
        <v>374</v>
      </c>
      <c r="AF90" t="s">
        <v>375</v>
      </c>
      <c r="AG90">
        <v>47.688721000000001</v>
      </c>
      <c r="AH90">
        <v>-122.34130399999999</v>
      </c>
      <c r="AI90" t="s">
        <v>33</v>
      </c>
      <c r="AJ90">
        <v>98103</v>
      </c>
      <c r="AK90" t="s">
        <v>34</v>
      </c>
      <c r="AL90" t="s">
        <v>35</v>
      </c>
      <c r="AM90" t="s">
        <v>35</v>
      </c>
      <c r="AO90">
        <v>0</v>
      </c>
      <c r="AP90" t="s">
        <v>376</v>
      </c>
      <c r="AQ90">
        <v>534</v>
      </c>
      <c r="AR90" t="s">
        <v>377</v>
      </c>
      <c r="AS90" s="12" t="s">
        <v>874</v>
      </c>
      <c r="AT90">
        <v>3</v>
      </c>
      <c r="AW90" s="17"/>
      <c r="AX90">
        <f t="shared" ca="1" si="3"/>
        <v>28</v>
      </c>
      <c r="AZ90" s="9">
        <v>39405</v>
      </c>
    </row>
    <row r="91" spans="1:52">
      <c r="A91">
        <v>27196098</v>
      </c>
      <c r="B91" s="13" t="str">
        <f>HYPERLINK("http://locmedia.nwmls.com/DO_NOT_LINK/bigphoto/098/27196098.jpg?tsp=20071105195507","Pending")</f>
        <v>Pending</v>
      </c>
      <c r="C91">
        <v>710</v>
      </c>
      <c r="D91" t="s">
        <v>857</v>
      </c>
      <c r="E91" t="s">
        <v>858</v>
      </c>
      <c r="F91" s="5">
        <v>429500</v>
      </c>
      <c r="G91" t="s">
        <v>859</v>
      </c>
      <c r="H91">
        <v>2140</v>
      </c>
      <c r="I91">
        <v>4300</v>
      </c>
      <c r="J91">
        <v>2</v>
      </c>
      <c r="K91">
        <v>1</v>
      </c>
      <c r="L91">
        <v>1</v>
      </c>
      <c r="M91" s="4" t="str">
        <f>HYPERLINK("http://locsearch.nwmls.com//ReturnMap.aspx?hidMLS=NWML&amp;VHW=47.669545:-122.320101:.25:&amp;Z=4&amp;H=300&amp;W=400&amp;PP=47.669545:-122.320101:1:027196098","Map")</f>
        <v>Map</v>
      </c>
      <c r="N91" s="4" t="str">
        <f>HYPERLINK("http://locmedia.nwmls.com/DO_NOT_LINK/bigphoto/098/27196098.jpg?tsp=20071105195507","Photo")</f>
        <v>Photo</v>
      </c>
      <c r="O91" s="4" t="str">
        <f>HYPERLINK("http://locator.nwmls.com/scripts/mgrqispi.dll?APPNAME=Locator&amp;PRGNAME=MLSPictureDescriptions&amp;ARGUMENTS=-N268127191,-N27196098,-AE","More")</f>
        <v>More</v>
      </c>
      <c r="Q91" t="s">
        <v>56</v>
      </c>
      <c r="R91" t="s">
        <v>95</v>
      </c>
      <c r="S91" t="s">
        <v>43</v>
      </c>
      <c r="T91" t="s">
        <v>300</v>
      </c>
      <c r="U91" t="s">
        <v>26</v>
      </c>
      <c r="V91" s="6" t="s">
        <v>59</v>
      </c>
      <c r="X91" t="s">
        <v>27</v>
      </c>
      <c r="Y91" t="s">
        <v>28</v>
      </c>
      <c r="AA91" t="s">
        <v>495</v>
      </c>
      <c r="AB91">
        <v>2007</v>
      </c>
      <c r="AC91">
        <v>3142</v>
      </c>
      <c r="AD91" t="s">
        <v>860</v>
      </c>
      <c r="AE91" t="s">
        <v>121</v>
      </c>
      <c r="AF91" t="s">
        <v>122</v>
      </c>
      <c r="AG91">
        <v>47.669544999999999</v>
      </c>
      <c r="AH91">
        <v>-122.32010099999999</v>
      </c>
      <c r="AI91" t="s">
        <v>33</v>
      </c>
      <c r="AJ91">
        <v>98105</v>
      </c>
      <c r="AK91" t="s">
        <v>34</v>
      </c>
      <c r="AL91">
        <v>18</v>
      </c>
      <c r="AM91" t="s">
        <v>35</v>
      </c>
      <c r="AO91">
        <v>9.9000000000000005E-2</v>
      </c>
      <c r="AP91" t="s">
        <v>861</v>
      </c>
      <c r="AQ91">
        <v>535</v>
      </c>
      <c r="AR91" t="s">
        <v>509</v>
      </c>
      <c r="AS91" t="s">
        <v>862</v>
      </c>
      <c r="AT91">
        <v>3</v>
      </c>
      <c r="AV91" s="9">
        <v>39391</v>
      </c>
      <c r="AW91" s="17">
        <v>20</v>
      </c>
      <c r="AX91">
        <f t="shared" ca="1" si="3"/>
        <v>42</v>
      </c>
      <c r="AZ91" s="9">
        <v>39408</v>
      </c>
    </row>
    <row r="92" spans="1:52">
      <c r="A92">
        <v>27196775</v>
      </c>
      <c r="B92" s="4" t="str">
        <f>HYPERLINK("http://locmedia.nwmls.com/DO_NOT_LINK/bigphoto/775/27196775.jpg?tsp=20071111075832","Active")</f>
        <v>Active</v>
      </c>
      <c r="C92">
        <v>705</v>
      </c>
      <c r="D92" t="s">
        <v>224</v>
      </c>
      <c r="E92" t="s">
        <v>493</v>
      </c>
      <c r="F92" s="14">
        <v>475000</v>
      </c>
      <c r="G92" t="s">
        <v>494</v>
      </c>
      <c r="H92">
        <v>1980</v>
      </c>
      <c r="I92">
        <v>3000</v>
      </c>
      <c r="J92">
        <v>4</v>
      </c>
      <c r="K92">
        <v>2</v>
      </c>
      <c r="L92">
        <v>2</v>
      </c>
      <c r="M92" s="4" t="str">
        <f>HYPERLINK("http://locsearch.nwmls.com//ReturnMap.aspx?hidMLS=NWML&amp;VHW=47.665785:-122.356813:.25:&amp;Z=4&amp;H=300&amp;W=400&amp;PP=47.665785:-122.356813:1:027196775","Map")</f>
        <v>Map</v>
      </c>
      <c r="N92" s="4" t="str">
        <f>HYPERLINK("http://locmedia.nwmls.com/DO_NOT_LINK/bigphoto/775/27196775.jpg?tsp=20071111075832","Photo")</f>
        <v>Photo</v>
      </c>
      <c r="O92" s="4" t="str">
        <f>HYPERLINK("http://locator.nwmls.com/scripts/mgrqispi.dll?APPNAME=Locator&amp;PRGNAME=MLSPictureDescriptions&amp;ARGUMENTS=-N300606369,-N27196775,-AE","More")</f>
        <v>More</v>
      </c>
      <c r="P92" t="s">
        <v>41</v>
      </c>
      <c r="Q92" t="s">
        <v>56</v>
      </c>
      <c r="R92" t="s">
        <v>95</v>
      </c>
      <c r="S92" t="s">
        <v>128</v>
      </c>
      <c r="T92" t="s">
        <v>44</v>
      </c>
      <c r="U92" t="s">
        <v>26</v>
      </c>
      <c r="V92">
        <v>5</v>
      </c>
      <c r="X92" t="s">
        <v>27</v>
      </c>
      <c r="Y92" t="s">
        <v>28</v>
      </c>
      <c r="Z92" t="s">
        <v>207</v>
      </c>
      <c r="AA92" t="s">
        <v>495</v>
      </c>
      <c r="AB92">
        <v>2007</v>
      </c>
      <c r="AC92">
        <v>3327</v>
      </c>
      <c r="AD92" t="s">
        <v>496</v>
      </c>
      <c r="AE92" t="s">
        <v>497</v>
      </c>
      <c r="AF92" t="s">
        <v>498</v>
      </c>
      <c r="AG92">
        <v>47.665785</v>
      </c>
      <c r="AH92">
        <v>-122.356813</v>
      </c>
      <c r="AI92" t="s">
        <v>33</v>
      </c>
      <c r="AJ92">
        <v>98103</v>
      </c>
      <c r="AK92" t="s">
        <v>34</v>
      </c>
      <c r="AL92" t="s">
        <v>35</v>
      </c>
      <c r="AM92" t="s">
        <v>35</v>
      </c>
      <c r="AO92">
        <v>6.9000000000000006E-2</v>
      </c>
      <c r="AP92" t="s">
        <v>499</v>
      </c>
      <c r="AQ92">
        <v>534</v>
      </c>
      <c r="AR92" t="s">
        <v>323</v>
      </c>
      <c r="AS92" t="s">
        <v>500</v>
      </c>
      <c r="AT92">
        <v>1</v>
      </c>
      <c r="AU92" t="s">
        <v>913</v>
      </c>
      <c r="AW92" s="17"/>
      <c r="AX92">
        <f t="shared" ca="1" si="3"/>
        <v>28</v>
      </c>
      <c r="AZ92" s="9">
        <v>39405</v>
      </c>
    </row>
    <row r="93" spans="1:52">
      <c r="A93">
        <v>27197093</v>
      </c>
      <c r="B93" s="13" t="str">
        <f>HYPERLINK("http://locmedia.nwmls.com/DO_NOT_LINK/bigphoto/093/27197093.jpg?tsp=20071106194805","Pending")</f>
        <v>Pending</v>
      </c>
      <c r="C93">
        <v>705</v>
      </c>
      <c r="D93" t="s">
        <v>81</v>
      </c>
      <c r="E93" t="s">
        <v>571</v>
      </c>
      <c r="F93" s="5">
        <v>449000</v>
      </c>
      <c r="G93" t="s">
        <v>234</v>
      </c>
      <c r="H93">
        <v>1325</v>
      </c>
      <c r="I93">
        <v>3638</v>
      </c>
      <c r="J93">
        <v>2</v>
      </c>
      <c r="K93">
        <v>1.5</v>
      </c>
      <c r="L93">
        <v>1</v>
      </c>
      <c r="M93" s="4" t="str">
        <f>HYPERLINK("http://locsearch.nwmls.com//ReturnMap.aspx?hidMLS=NWML&amp;VHW=47.678959:-122.370893:.25:&amp;Z=4&amp;H=300&amp;W=400&amp;PP=47.678959:-122.370893:1:027197093","Map")</f>
        <v>Map</v>
      </c>
      <c r="N93" s="4" t="str">
        <f>HYPERLINK("http://locmedia.nwmls.com/DO_NOT_LINK/bigphoto/093/27197093.jpg?tsp=20071106194805","Photo")</f>
        <v>Photo</v>
      </c>
      <c r="O93" s="4" t="str">
        <f>HYPERLINK("http://locator.nwmls.com/scripts/mgrqispi.dll?APPNAME=Locator&amp;PRGNAME=MLSPictureDescriptions&amp;ARGUMENTS=-N300606369,-N27197093,-AE","More")</f>
        <v>More</v>
      </c>
      <c r="Q93" t="s">
        <v>56</v>
      </c>
      <c r="R93" t="s">
        <v>572</v>
      </c>
      <c r="S93" t="s">
        <v>199</v>
      </c>
      <c r="T93" t="s">
        <v>129</v>
      </c>
      <c r="U93" t="s">
        <v>26</v>
      </c>
      <c r="V93">
        <v>28</v>
      </c>
      <c r="X93" t="s">
        <v>27</v>
      </c>
      <c r="Y93" t="s">
        <v>28</v>
      </c>
      <c r="Z93" t="s">
        <v>573</v>
      </c>
      <c r="AA93" t="s">
        <v>307</v>
      </c>
      <c r="AB93">
        <v>2007</v>
      </c>
      <c r="AC93">
        <v>3039</v>
      </c>
      <c r="AD93" t="s">
        <v>574</v>
      </c>
      <c r="AE93" t="s">
        <v>575</v>
      </c>
      <c r="AF93" t="s">
        <v>440</v>
      </c>
      <c r="AG93">
        <v>47.678958999999999</v>
      </c>
      <c r="AH93">
        <v>-122.370893</v>
      </c>
      <c r="AI93" t="s">
        <v>33</v>
      </c>
      <c r="AJ93">
        <v>98117</v>
      </c>
      <c r="AK93" t="s">
        <v>34</v>
      </c>
      <c r="AL93" t="s">
        <v>35</v>
      </c>
      <c r="AM93" t="s">
        <v>35</v>
      </c>
      <c r="AO93">
        <v>8.4000000000000005E-2</v>
      </c>
      <c r="AP93" t="s">
        <v>576</v>
      </c>
      <c r="AQ93">
        <v>534</v>
      </c>
      <c r="AR93" t="s">
        <v>577</v>
      </c>
      <c r="AS93" t="s">
        <v>578</v>
      </c>
      <c r="AT93">
        <v>1</v>
      </c>
      <c r="AU93" t="s">
        <v>913</v>
      </c>
      <c r="AW93" s="17"/>
      <c r="AX93">
        <f t="shared" ca="1" si="3"/>
        <v>28</v>
      </c>
      <c r="AZ93" s="9">
        <v>39405</v>
      </c>
    </row>
    <row r="94" spans="1:52">
      <c r="A94">
        <v>27197172</v>
      </c>
      <c r="B94" s="4" t="str">
        <f>HYPERLINK("http://locmedia.nwmls.com/DO_NOT_LINK/bigphoto/172/27197172.jpg?tsp=20071109120558","Active")</f>
        <v>Active</v>
      </c>
      <c r="C94">
        <v>705</v>
      </c>
      <c r="D94" s="15" t="s">
        <v>33</v>
      </c>
      <c r="E94" t="s">
        <v>39</v>
      </c>
      <c r="F94" s="5">
        <v>369900</v>
      </c>
      <c r="G94" t="s">
        <v>40</v>
      </c>
      <c r="H94" s="15">
        <v>0</v>
      </c>
      <c r="I94">
        <v>5100</v>
      </c>
      <c r="J94">
        <v>4</v>
      </c>
      <c r="K94">
        <v>1.75</v>
      </c>
      <c r="M94" s="4" t="str">
        <f>HYPERLINK("http://locsearch.nwmls.com//ReturnMap.aspx?hidMLS=NWML&amp;VHW=47.731845:-122.343410:.25:&amp;Z=4&amp;H=300&amp;W=400&amp;PP=47.731845:-122.343410:1:027197172","Map")</f>
        <v>Map</v>
      </c>
      <c r="N94" s="4" t="str">
        <f>HYPERLINK("http://locmedia.nwmls.com/DO_NOT_LINK/bigphoto/172/27197172.jpg?tsp=20071109120558","Photo")</f>
        <v>Photo</v>
      </c>
      <c r="O94" s="4" t="str">
        <f>HYPERLINK("http://locator.nwmls.com/scripts/mgrqispi.dll?APPNAME=Locator&amp;PRGNAME=MLSPictureDescriptions&amp;ARGUMENTS=-N300606369,-N27197172,-AE","More")</f>
        <v>More</v>
      </c>
      <c r="P94" t="s">
        <v>41</v>
      </c>
      <c r="Q94" t="s">
        <v>42</v>
      </c>
      <c r="R94" t="s">
        <v>23</v>
      </c>
      <c r="S94" t="s">
        <v>43</v>
      </c>
      <c r="T94" t="s">
        <v>44</v>
      </c>
      <c r="U94" t="s">
        <v>26</v>
      </c>
      <c r="X94" t="s">
        <v>27</v>
      </c>
      <c r="Y94" t="s">
        <v>28</v>
      </c>
      <c r="Z94" t="s">
        <v>45</v>
      </c>
      <c r="AA94" t="s">
        <v>46</v>
      </c>
      <c r="AB94">
        <v>2007</v>
      </c>
      <c r="AC94">
        <v>2585</v>
      </c>
      <c r="AD94" s="15" t="s">
        <v>1063</v>
      </c>
      <c r="AE94" t="s">
        <v>48</v>
      </c>
      <c r="AF94" t="s">
        <v>49</v>
      </c>
      <c r="AG94">
        <v>47.731845</v>
      </c>
      <c r="AH94">
        <v>-122.34341000000001</v>
      </c>
      <c r="AI94" t="s">
        <v>33</v>
      </c>
      <c r="AJ94">
        <v>98133</v>
      </c>
      <c r="AK94" t="s">
        <v>34</v>
      </c>
      <c r="AL94">
        <v>44</v>
      </c>
      <c r="AM94" t="s">
        <v>35</v>
      </c>
      <c r="AO94">
        <v>0.11700000000000001</v>
      </c>
      <c r="AP94" s="15" t="s">
        <v>1064</v>
      </c>
      <c r="AQ94">
        <v>504</v>
      </c>
      <c r="AR94" t="s">
        <v>51</v>
      </c>
      <c r="AS94" t="s">
        <v>52</v>
      </c>
      <c r="AT94">
        <v>3</v>
      </c>
      <c r="AU94" t="s">
        <v>938</v>
      </c>
      <c r="AW94" s="17"/>
      <c r="AX94">
        <f t="shared" ca="1" si="3"/>
        <v>28</v>
      </c>
      <c r="AZ94" s="9">
        <v>39405</v>
      </c>
    </row>
    <row r="95" spans="1:52">
      <c r="A95">
        <v>27197782</v>
      </c>
      <c r="B95" s="13" t="str">
        <f>HYPERLINK("http://locmedia.nwmls.com/DO_NOT_LINK/bigphoto/782/27197782.jpg?tsp=20071106104336","Pending")</f>
        <v>Pending</v>
      </c>
      <c r="C95">
        <v>705</v>
      </c>
      <c r="D95" t="s">
        <v>146</v>
      </c>
      <c r="E95" t="s">
        <v>518</v>
      </c>
      <c r="F95" s="5">
        <v>499900</v>
      </c>
      <c r="G95" t="s">
        <v>270</v>
      </c>
      <c r="H95">
        <v>1660</v>
      </c>
      <c r="I95">
        <v>4800</v>
      </c>
      <c r="J95">
        <v>3</v>
      </c>
      <c r="K95">
        <v>1</v>
      </c>
      <c r="L95">
        <v>1</v>
      </c>
      <c r="M95" s="4" t="str">
        <f>HYPERLINK("http://locsearch.nwmls.com//ReturnMap.aspx?hidMLS=NWML&amp;VHW=47.686406:-122.381099:.25:&amp;Z=4&amp;H=300&amp;W=400&amp;PP=47.686406:-122.381099:1:027197782","Map")</f>
        <v>Map</v>
      </c>
      <c r="N95" s="4" t="str">
        <f>HYPERLINK("http://locmedia.nwmls.com/DO_NOT_LINK/bigphoto/782/27197782.jpg?tsp=20071106104336","Photo")</f>
        <v>Photo</v>
      </c>
      <c r="O95" s="4" t="str">
        <f>HYPERLINK("http://locator.nwmls.com/scripts/mgrqispi.dll?APPNAME=Locator&amp;PRGNAME=MLSPictureDescriptions&amp;ARGUMENTS=-N300606369,-N27197782,-AE","More")</f>
        <v>More</v>
      </c>
      <c r="P95" t="s">
        <v>262</v>
      </c>
      <c r="Q95" t="s">
        <v>56</v>
      </c>
      <c r="R95" t="s">
        <v>116</v>
      </c>
      <c r="S95" t="s">
        <v>128</v>
      </c>
      <c r="T95" t="s">
        <v>129</v>
      </c>
      <c r="U95" t="s">
        <v>26</v>
      </c>
      <c r="V95" s="6" t="s">
        <v>59</v>
      </c>
      <c r="X95" t="s">
        <v>27</v>
      </c>
      <c r="Y95" t="s">
        <v>28</v>
      </c>
      <c r="Z95" t="s">
        <v>519</v>
      </c>
      <c r="AA95" t="s">
        <v>319</v>
      </c>
      <c r="AB95">
        <v>2007</v>
      </c>
      <c r="AC95">
        <v>3596</v>
      </c>
      <c r="AD95" t="s">
        <v>520</v>
      </c>
      <c r="AE95" t="s">
        <v>521</v>
      </c>
      <c r="AF95" t="s">
        <v>522</v>
      </c>
      <c r="AG95">
        <v>47.686405999999998</v>
      </c>
      <c r="AH95">
        <v>-122.38109900000001</v>
      </c>
      <c r="AI95" t="s">
        <v>33</v>
      </c>
      <c r="AJ95">
        <v>98117</v>
      </c>
      <c r="AK95" t="s">
        <v>34</v>
      </c>
      <c r="AL95" t="s">
        <v>523</v>
      </c>
      <c r="AM95" t="s">
        <v>35</v>
      </c>
      <c r="AO95">
        <v>0.11</v>
      </c>
      <c r="AP95" t="s">
        <v>524</v>
      </c>
      <c r="AQ95">
        <v>534</v>
      </c>
      <c r="AR95" t="s">
        <v>196</v>
      </c>
      <c r="AS95" t="s">
        <v>525</v>
      </c>
      <c r="AT95">
        <v>3</v>
      </c>
      <c r="AU95" t="s">
        <v>939</v>
      </c>
      <c r="AV95" s="9">
        <v>39392</v>
      </c>
      <c r="AW95" s="17">
        <v>19</v>
      </c>
      <c r="AX95">
        <f t="shared" ca="1" si="3"/>
        <v>41</v>
      </c>
      <c r="AZ95" s="9">
        <v>39405</v>
      </c>
    </row>
    <row r="96" spans="1:52">
      <c r="A96">
        <v>27198380</v>
      </c>
      <c r="B96" s="13" t="str">
        <f>HYPERLINK("http://locmedia.nwmls.com/DO_NOT_LINK/bigphoto/380/27198380.jpg?tsp=20071116133954","Active - STI")</f>
        <v>Active - STI</v>
      </c>
      <c r="C96">
        <v>705</v>
      </c>
      <c r="D96" t="s">
        <v>81</v>
      </c>
      <c r="E96" t="s">
        <v>551</v>
      </c>
      <c r="F96" s="5">
        <v>500000</v>
      </c>
      <c r="G96" t="s">
        <v>552</v>
      </c>
      <c r="H96">
        <v>2500</v>
      </c>
      <c r="I96">
        <v>5300</v>
      </c>
      <c r="J96">
        <v>2</v>
      </c>
      <c r="K96">
        <v>3</v>
      </c>
      <c r="M96" s="4" t="str">
        <f>HYPERLINK("http://locsearch.nwmls.com//ReturnMap.aspx?hidMLS=NWML&amp;VHW=47.679049:-122.367671:.25:&amp;Z=4&amp;H=300&amp;W=400&amp;PP=47.679049:-122.367671:1:027198380","Map")</f>
        <v>Map</v>
      </c>
      <c r="N96" s="4" t="str">
        <f>HYPERLINK("http://locmedia.nwmls.com/DO_NOT_LINK/bigphoto/380/27198380.jpg?tsp=20071116133954","Photo")</f>
        <v>Photo</v>
      </c>
      <c r="O96" s="4" t="str">
        <f>HYPERLINK("http://locator.nwmls.com/scripts/mgrqispi.dll?APPNAME=Locator&amp;PRGNAME=MLSPictureDescriptions&amp;ARGUMENTS=-N300606369,-N27198380,-AE","More")</f>
        <v>More</v>
      </c>
      <c r="Q96" t="s">
        <v>56</v>
      </c>
      <c r="R96" t="s">
        <v>116</v>
      </c>
      <c r="S96" t="s">
        <v>199</v>
      </c>
      <c r="T96" t="s">
        <v>553</v>
      </c>
      <c r="U96" t="s">
        <v>26</v>
      </c>
      <c r="V96">
        <v>28</v>
      </c>
      <c r="X96" t="s">
        <v>27</v>
      </c>
      <c r="Y96" t="s">
        <v>28</v>
      </c>
      <c r="Z96" t="s">
        <v>554</v>
      </c>
      <c r="AA96" t="s">
        <v>555</v>
      </c>
      <c r="AB96">
        <v>2007</v>
      </c>
      <c r="AC96">
        <v>3773</v>
      </c>
      <c r="AD96" t="s">
        <v>556</v>
      </c>
      <c r="AE96" t="s">
        <v>557</v>
      </c>
      <c r="AF96" t="s">
        <v>558</v>
      </c>
      <c r="AG96" s="12">
        <v>47.679048999999999</v>
      </c>
      <c r="AH96" s="12">
        <v>-122.367671</v>
      </c>
      <c r="AI96" t="s">
        <v>33</v>
      </c>
      <c r="AJ96">
        <v>98117</v>
      </c>
      <c r="AK96" t="s">
        <v>34</v>
      </c>
      <c r="AL96">
        <v>6</v>
      </c>
      <c r="AM96" t="s">
        <v>35</v>
      </c>
      <c r="AO96">
        <v>0.122</v>
      </c>
      <c r="AP96" s="12" t="s">
        <v>876</v>
      </c>
      <c r="AQ96">
        <v>534</v>
      </c>
      <c r="AR96" t="s">
        <v>295</v>
      </c>
      <c r="AS96" t="s">
        <v>559</v>
      </c>
      <c r="AT96">
        <v>2</v>
      </c>
      <c r="AU96" t="s">
        <v>940</v>
      </c>
      <c r="AW96" s="17"/>
      <c r="AX96">
        <f t="shared" ca="1" si="3"/>
        <v>28</v>
      </c>
      <c r="AZ96" s="9">
        <v>39405</v>
      </c>
    </row>
    <row r="97" spans="1:52">
      <c r="A97">
        <v>27198546</v>
      </c>
      <c r="B97" s="4" t="str">
        <f>HYPERLINK("http://locmedia.nwmls.com/DO_NOT_LINK/bigphoto/546/27198546.jpg?tsp=20071107130541","Active")</f>
        <v>Active</v>
      </c>
      <c r="C97">
        <v>710</v>
      </c>
      <c r="D97" t="s">
        <v>763</v>
      </c>
      <c r="E97" t="s">
        <v>764</v>
      </c>
      <c r="F97" s="5">
        <v>479500</v>
      </c>
      <c r="G97" t="s">
        <v>765</v>
      </c>
      <c r="H97">
        <v>2240</v>
      </c>
      <c r="I97">
        <v>3075</v>
      </c>
      <c r="J97">
        <v>3</v>
      </c>
      <c r="K97">
        <v>2</v>
      </c>
      <c r="L97">
        <v>1</v>
      </c>
      <c r="M97" s="4" t="str">
        <f>HYPERLINK("http://locsearch.nwmls.com//ReturnMap.aspx?hidMLS=NWML&amp;VHW=47.700749:-122.280100:.25:&amp;Z=4&amp;H=300&amp;W=400&amp;PP=47.700749:-122.280100:1:027198546","Map")</f>
        <v>Map</v>
      </c>
      <c r="N97" s="4" t="str">
        <f>HYPERLINK("http://locmedia.nwmls.com/DO_NOT_LINK/bigphoto/546/27198546.jpg?tsp=20071107130541","Photo")</f>
        <v>Photo</v>
      </c>
      <c r="O97" s="4" t="str">
        <f>HYPERLINK("http://locator.nwmls.com/scripts/mgrqispi.dll?APPNAME=Locator&amp;PRGNAME=MLSPictureDescriptions&amp;ARGUMENTS=-N268127191,-N27198546,-AE","More")</f>
        <v>More</v>
      </c>
      <c r="Q97" t="s">
        <v>56</v>
      </c>
      <c r="R97" t="s">
        <v>23</v>
      </c>
      <c r="S97" t="s">
        <v>475</v>
      </c>
      <c r="U97" t="s">
        <v>26</v>
      </c>
      <c r="V97" s="6" t="s">
        <v>59</v>
      </c>
      <c r="X97" t="s">
        <v>27</v>
      </c>
      <c r="Y97" t="s">
        <v>28</v>
      </c>
      <c r="Z97" t="s">
        <v>423</v>
      </c>
      <c r="AB97">
        <v>2007</v>
      </c>
      <c r="AC97">
        <v>3578</v>
      </c>
      <c r="AD97" t="s">
        <v>766</v>
      </c>
      <c r="AE97" t="s">
        <v>408</v>
      </c>
      <c r="AF97" t="s">
        <v>179</v>
      </c>
      <c r="AG97">
        <v>47.700749000000002</v>
      </c>
      <c r="AH97">
        <v>-122.2801</v>
      </c>
      <c r="AI97" t="s">
        <v>33</v>
      </c>
      <c r="AJ97">
        <v>98115</v>
      </c>
      <c r="AK97" t="s">
        <v>34</v>
      </c>
      <c r="AL97" t="s">
        <v>35</v>
      </c>
      <c r="AM97" t="s">
        <v>35</v>
      </c>
      <c r="AO97">
        <v>7.0999999999999994E-2</v>
      </c>
      <c r="AP97" t="s">
        <v>767</v>
      </c>
      <c r="AQ97">
        <v>505</v>
      </c>
      <c r="AR97" t="s">
        <v>768</v>
      </c>
      <c r="AS97" t="s">
        <v>769</v>
      </c>
      <c r="AT97">
        <v>1</v>
      </c>
      <c r="AU97" t="s">
        <v>913</v>
      </c>
      <c r="AW97" s="17"/>
      <c r="AX97">
        <f t="shared" ca="1" si="3"/>
        <v>25</v>
      </c>
      <c r="AZ97" s="9">
        <v>39408</v>
      </c>
    </row>
    <row r="98" spans="1:52">
      <c r="A98">
        <v>27200170</v>
      </c>
      <c r="B98" s="11" t="str">
        <f>HYPERLINK("http://locmedia.nwmls.com/DO_NOT_LINK/bigphoto/170/27200170.jpg?tsp=20071115210313","Cancelled")</f>
        <v>Cancelled</v>
      </c>
      <c r="C98">
        <v>710</v>
      </c>
      <c r="D98" t="s">
        <v>704</v>
      </c>
      <c r="E98" t="s">
        <v>812</v>
      </c>
      <c r="F98" s="5">
        <v>489950</v>
      </c>
      <c r="G98" t="s">
        <v>397</v>
      </c>
      <c r="H98">
        <v>2050</v>
      </c>
      <c r="I98">
        <v>7241</v>
      </c>
      <c r="J98">
        <v>3</v>
      </c>
      <c r="K98">
        <v>2</v>
      </c>
      <c r="L98">
        <v>2</v>
      </c>
      <c r="M98" s="4" t="str">
        <f>HYPERLINK("http://locsearch.nwmls.com//ReturnMap.aspx?hidMLS=NWML&amp;VHW=47.707246:-122.308093:.25:&amp;Z=4&amp;H=300&amp;W=400&amp;PP=47.707246:-122.308093:1:027200170","Map")</f>
        <v>Map</v>
      </c>
      <c r="N98" s="4" t="str">
        <f>HYPERLINK("http://locmedia.nwmls.com/DO_NOT_LINK/bigphoto/170/27200170.jpg?tsp=20071115210313","Photo")</f>
        <v>Photo</v>
      </c>
      <c r="O98" s="4" t="str">
        <f>HYPERLINK("http://locator.nwmls.com/scripts/mgrqispi.dll?APPNAME=Locator&amp;PRGNAME=MLSPictureDescriptions&amp;ARGUMENTS=-N268127191,-N27200170,-AE","More")</f>
        <v>More</v>
      </c>
      <c r="Q98" t="s">
        <v>56</v>
      </c>
      <c r="R98" t="s">
        <v>116</v>
      </c>
      <c r="S98" t="s">
        <v>299</v>
      </c>
      <c r="T98" t="s">
        <v>129</v>
      </c>
      <c r="V98" s="6" t="s">
        <v>59</v>
      </c>
      <c r="X98" t="s">
        <v>27</v>
      </c>
      <c r="Y98" t="s">
        <v>28</v>
      </c>
      <c r="Z98" t="s">
        <v>318</v>
      </c>
      <c r="AB98">
        <v>2007</v>
      </c>
      <c r="AC98">
        <v>1151</v>
      </c>
      <c r="AD98" t="s">
        <v>813</v>
      </c>
      <c r="AE98" t="s">
        <v>739</v>
      </c>
      <c r="AF98" t="s">
        <v>303</v>
      </c>
      <c r="AG98">
        <v>47.707245999999998</v>
      </c>
      <c r="AH98">
        <v>-122.308093</v>
      </c>
      <c r="AI98" t="s">
        <v>33</v>
      </c>
      <c r="AJ98">
        <v>98125</v>
      </c>
      <c r="AK98" t="s">
        <v>34</v>
      </c>
      <c r="AL98" t="s">
        <v>35</v>
      </c>
      <c r="AM98" t="s">
        <v>35</v>
      </c>
      <c r="AO98">
        <v>0.16600000000000001</v>
      </c>
      <c r="AP98" t="s">
        <v>814</v>
      </c>
      <c r="AQ98">
        <v>505</v>
      </c>
      <c r="AR98" t="s">
        <v>815</v>
      </c>
      <c r="AS98" t="s">
        <v>816</v>
      </c>
      <c r="AT98">
        <v>3</v>
      </c>
      <c r="AW98" s="17"/>
      <c r="AX98">
        <f t="shared" ca="1" si="3"/>
        <v>25</v>
      </c>
      <c r="AZ98" s="9">
        <v>39408</v>
      </c>
    </row>
    <row r="99" spans="1:52">
      <c r="A99">
        <v>27200786</v>
      </c>
      <c r="B99" s="4" t="str">
        <f>HYPERLINK("http://locmedia.nwmls.com/DO_NOT_LINK/bigphoto/786/27200786.jpg?tsp=20071112225949","Pending")</f>
        <v>Pending</v>
      </c>
      <c r="C99">
        <v>705</v>
      </c>
      <c r="D99" t="s">
        <v>81</v>
      </c>
      <c r="E99" t="s">
        <v>611</v>
      </c>
      <c r="F99" s="5">
        <v>449950</v>
      </c>
      <c r="G99" t="s">
        <v>55</v>
      </c>
      <c r="H99">
        <v>1960</v>
      </c>
      <c r="I99">
        <v>4770</v>
      </c>
      <c r="J99">
        <v>3</v>
      </c>
      <c r="K99">
        <v>2</v>
      </c>
      <c r="L99">
        <v>1</v>
      </c>
      <c r="M99" s="4" t="str">
        <f>HYPERLINK("http://locsearch.nwmls.com//ReturnMap.aspx?hidMLS=NWML&amp;VHW=47.678623:-122.367310:.25:&amp;Z=4&amp;H=300&amp;W=400&amp;PP=47.678623:-122.367310:1:027200786","Map")</f>
        <v>Map</v>
      </c>
      <c r="N99" s="4" t="str">
        <f>HYPERLINK("http://locmedia.nwmls.com/DO_NOT_LINK/bigphoto/786/27200786.jpg?tsp=20071112225949","Photo")</f>
        <v>Photo</v>
      </c>
      <c r="O99" s="4" t="str">
        <f>HYPERLINK("http://locator.nwmls.com/scripts/mgrqispi.dll?APPNAME=Locator&amp;PRGNAME=MLSPictureDescriptions&amp;ARGUMENTS=-N300606369,-N27200786,-AE","More")</f>
        <v>More</v>
      </c>
      <c r="Q99" t="s">
        <v>612</v>
      </c>
      <c r="R99" t="s">
        <v>429</v>
      </c>
      <c r="S99" t="s">
        <v>43</v>
      </c>
      <c r="T99" t="s">
        <v>72</v>
      </c>
      <c r="U99" t="s">
        <v>26</v>
      </c>
      <c r="X99" t="s">
        <v>27</v>
      </c>
      <c r="Y99" t="s">
        <v>28</v>
      </c>
      <c r="Z99" t="s">
        <v>613</v>
      </c>
      <c r="AB99">
        <v>2007</v>
      </c>
      <c r="AC99">
        <v>3290</v>
      </c>
      <c r="AD99" t="s">
        <v>614</v>
      </c>
      <c r="AE99" t="s">
        <v>615</v>
      </c>
      <c r="AF99" t="s">
        <v>616</v>
      </c>
      <c r="AG99">
        <v>47.678623000000002</v>
      </c>
      <c r="AH99">
        <v>-122.36731</v>
      </c>
      <c r="AI99" t="s">
        <v>33</v>
      </c>
      <c r="AJ99">
        <v>98117</v>
      </c>
      <c r="AK99" t="s">
        <v>34</v>
      </c>
      <c r="AL99" t="s">
        <v>35</v>
      </c>
      <c r="AM99" t="s">
        <v>35</v>
      </c>
      <c r="AO99">
        <v>0.11</v>
      </c>
      <c r="AP99" t="s">
        <v>617</v>
      </c>
      <c r="AQ99">
        <v>534</v>
      </c>
      <c r="AR99" t="s">
        <v>295</v>
      </c>
      <c r="AS99" t="s">
        <v>618</v>
      </c>
      <c r="AT99">
        <v>3</v>
      </c>
      <c r="AW99" s="17"/>
      <c r="AX99">
        <v>27</v>
      </c>
      <c r="AZ99" s="9">
        <v>39405</v>
      </c>
    </row>
    <row r="100" spans="1:52">
      <c r="A100">
        <v>27200939</v>
      </c>
      <c r="B100" s="4" t="str">
        <f>HYPERLINK("http://locmedia.nwmls.com/DO_NOT_LINK/bigphoto/939/27200939.jpg?tsp=20071113122307","Active")</f>
        <v>Active</v>
      </c>
      <c r="C100">
        <v>710</v>
      </c>
      <c r="D100" t="s">
        <v>656</v>
      </c>
      <c r="E100" t="s">
        <v>842</v>
      </c>
      <c r="F100" s="5">
        <v>499990</v>
      </c>
      <c r="G100" t="s">
        <v>21</v>
      </c>
      <c r="H100">
        <v>1439</v>
      </c>
      <c r="I100">
        <v>6000</v>
      </c>
      <c r="J100">
        <v>3</v>
      </c>
      <c r="K100">
        <v>1.75</v>
      </c>
      <c r="L100">
        <v>1</v>
      </c>
      <c r="M100" s="4" t="str">
        <f>HYPERLINK("http://locsearch.nwmls.com//ReturnMap.aspx?hidMLS=NWML&amp;VHW=47.683866:-122.286300:.25:&amp;Z=4&amp;H=300&amp;W=400&amp;PP=47.683866:-122.286300:1:027200939","Map")</f>
        <v>Map</v>
      </c>
      <c r="N100" s="4" t="str">
        <f>HYPERLINK("http://locmedia.nwmls.com/DO_NOT_LINK/bigphoto/939/27200939.jpg?tsp=20071113122307","Photo")</f>
        <v>Photo</v>
      </c>
      <c r="O100" s="4" t="str">
        <f>HYPERLINK("http://locator.nwmls.com/scripts/mgrqispi.dll?APPNAME=Locator&amp;PRGNAME=MLSPictureDescriptions&amp;ARGUMENTS=-N268127191,-N27200939,-AE","More")</f>
        <v>More</v>
      </c>
      <c r="Q100" t="s">
        <v>56</v>
      </c>
      <c r="R100" t="s">
        <v>843</v>
      </c>
      <c r="S100" t="s">
        <v>755</v>
      </c>
      <c r="T100" t="s">
        <v>25</v>
      </c>
      <c r="U100" t="s">
        <v>26</v>
      </c>
      <c r="V100">
        <v>71</v>
      </c>
      <c r="W100" t="s">
        <v>844</v>
      </c>
      <c r="X100" t="s">
        <v>27</v>
      </c>
      <c r="Y100" t="s">
        <v>28</v>
      </c>
      <c r="Z100" t="s">
        <v>96</v>
      </c>
      <c r="AA100" t="s">
        <v>845</v>
      </c>
      <c r="AB100">
        <v>2007</v>
      </c>
      <c r="AC100">
        <v>3012</v>
      </c>
      <c r="AD100" t="s">
        <v>846</v>
      </c>
      <c r="AE100" t="s">
        <v>847</v>
      </c>
      <c r="AF100" t="s">
        <v>848</v>
      </c>
      <c r="AG100">
        <v>47.683866000000002</v>
      </c>
      <c r="AH100">
        <v>-122.2863</v>
      </c>
      <c r="AI100" t="s">
        <v>33</v>
      </c>
      <c r="AJ100">
        <v>98115</v>
      </c>
      <c r="AK100" t="s">
        <v>34</v>
      </c>
      <c r="AL100">
        <v>1</v>
      </c>
      <c r="AM100" t="s">
        <v>35</v>
      </c>
      <c r="AO100">
        <v>0.13800000000000001</v>
      </c>
      <c r="AP100" t="s">
        <v>849</v>
      </c>
      <c r="AQ100">
        <v>535</v>
      </c>
      <c r="AR100" t="s">
        <v>196</v>
      </c>
      <c r="AS100" t="s">
        <v>850</v>
      </c>
      <c r="AT100">
        <v>3</v>
      </c>
      <c r="AW100" s="17"/>
      <c r="AX100">
        <f t="shared" ref="AX100:AX106" ca="1" si="4">IF(ISBLANK($AW100),TODAY()-$AZ100,TODAY()-$AV100)</f>
        <v>25</v>
      </c>
      <c r="AZ100" s="9">
        <v>39408</v>
      </c>
    </row>
    <row r="101" spans="1:52">
      <c r="A101">
        <v>27201523</v>
      </c>
      <c r="B101" s="4" t="str">
        <f>HYPERLINK("http://locmedia.nwmls.com/DO_NOT_LINK/bigphoto/523/27201523.jpg?tsp=20071113234350","Active")</f>
        <v>Active</v>
      </c>
      <c r="C101">
        <v>710</v>
      </c>
      <c r="D101" t="s">
        <v>649</v>
      </c>
      <c r="E101" t="s">
        <v>748</v>
      </c>
      <c r="F101" s="5">
        <v>475000</v>
      </c>
      <c r="G101" t="s">
        <v>596</v>
      </c>
      <c r="H101">
        <v>1620</v>
      </c>
      <c r="I101">
        <v>7750</v>
      </c>
      <c r="J101">
        <v>3</v>
      </c>
      <c r="K101">
        <v>2</v>
      </c>
      <c r="L101">
        <v>1</v>
      </c>
      <c r="M101" s="4" t="str">
        <f>HYPERLINK("http://locsearch.nwmls.com//ReturnMap.aspx?hidMLS=NWML&amp;VHW=47.699432:-122.308441:.25:&amp;Z=4&amp;H=300&amp;W=400&amp;PP=47.699432:-122.308441:1:027201523","Map")</f>
        <v>Map</v>
      </c>
      <c r="N101" s="4" t="str">
        <f>HYPERLINK("http://locmedia.nwmls.com/DO_NOT_LINK/bigphoto/523/27201523.jpg?tsp=20071113234350","Photo")</f>
        <v>Photo</v>
      </c>
      <c r="O101" s="4" t="str">
        <f>HYPERLINK("http://locator.nwmls.com/scripts/mgrqispi.dll?APPNAME=Locator&amp;PRGNAME=MLSPictureDescriptions&amp;ARGUMENTS=-N268127191,-N27201523,-AE","More")</f>
        <v>More</v>
      </c>
      <c r="Q101" t="s">
        <v>56</v>
      </c>
      <c r="R101" t="s">
        <v>95</v>
      </c>
      <c r="S101" t="s">
        <v>503</v>
      </c>
      <c r="T101" t="s">
        <v>129</v>
      </c>
      <c r="U101" t="s">
        <v>26</v>
      </c>
      <c r="V101" s="6" t="s">
        <v>59</v>
      </c>
      <c r="X101" t="s">
        <v>27</v>
      </c>
      <c r="Y101" t="s">
        <v>28</v>
      </c>
      <c r="Z101" t="s">
        <v>272</v>
      </c>
      <c r="AA101" t="s">
        <v>307</v>
      </c>
      <c r="AB101">
        <v>2007</v>
      </c>
      <c r="AC101">
        <v>3067</v>
      </c>
      <c r="AD101" t="s">
        <v>749</v>
      </c>
      <c r="AE101" t="s">
        <v>750</v>
      </c>
      <c r="AF101" t="s">
        <v>751</v>
      </c>
      <c r="AG101">
        <v>47.699432000000002</v>
      </c>
      <c r="AH101">
        <v>-122.308441</v>
      </c>
      <c r="AI101" t="s">
        <v>33</v>
      </c>
      <c r="AJ101">
        <v>98115</v>
      </c>
      <c r="AK101" t="s">
        <v>34</v>
      </c>
      <c r="AL101">
        <v>7</v>
      </c>
      <c r="AM101" t="s">
        <v>35</v>
      </c>
      <c r="AO101">
        <v>0.17799999999999999</v>
      </c>
      <c r="AP101" t="s">
        <v>752</v>
      </c>
      <c r="AQ101">
        <v>505</v>
      </c>
      <c r="AR101" t="s">
        <v>655</v>
      </c>
      <c r="AS101" t="s">
        <v>753</v>
      </c>
      <c r="AT101">
        <v>4</v>
      </c>
      <c r="AU101" t="s">
        <v>941</v>
      </c>
      <c r="AV101" s="9">
        <v>39399</v>
      </c>
      <c r="AW101" s="17">
        <v>12</v>
      </c>
      <c r="AX101">
        <f t="shared" ca="1" si="4"/>
        <v>34</v>
      </c>
      <c r="AY101" t="s">
        <v>907</v>
      </c>
      <c r="AZ101" s="9">
        <v>39408</v>
      </c>
    </row>
    <row r="102" spans="1:52">
      <c r="A102">
        <v>27201655</v>
      </c>
      <c r="B102" s="4" t="str">
        <f>HYPERLINK("http://locmedia.nwmls.com/DO_NOT_LINK/bigphoto/655/27201655.jpg?tsp=20071114121259","Active")</f>
        <v>Active</v>
      </c>
      <c r="C102">
        <v>705</v>
      </c>
      <c r="D102" t="s">
        <v>113</v>
      </c>
      <c r="E102" t="s">
        <v>126</v>
      </c>
      <c r="F102" s="5">
        <v>399950</v>
      </c>
      <c r="G102" t="s">
        <v>127</v>
      </c>
      <c r="H102">
        <v>1800</v>
      </c>
      <c r="I102">
        <v>5040</v>
      </c>
      <c r="J102">
        <v>4</v>
      </c>
      <c r="K102">
        <v>1.75</v>
      </c>
      <c r="L102">
        <v>1</v>
      </c>
      <c r="M102" s="4" t="str">
        <f>HYPERLINK("http://locsearch.nwmls.com//ReturnMap.aspx?hidMLS=NWML&amp;VHW=47.706203:-122.351464:.25:&amp;Z=4&amp;H=300&amp;W=400&amp;PP=47.706203:-122.351464:1:027201655","Map")</f>
        <v>Map</v>
      </c>
      <c r="N102" s="4" t="str">
        <f>HYPERLINK("http://locmedia.nwmls.com/DO_NOT_LINK/bigphoto/655/27201655.jpg?tsp=20071114121259","Photo")</f>
        <v>Photo</v>
      </c>
      <c r="O102" s="4" t="str">
        <f>HYPERLINK("http://locator.nwmls.com/scripts/mgrqispi.dll?APPNAME=Locator&amp;PRGNAME=MLSPictureDescriptions&amp;ARGUMENTS=-N300606369,-N27201655,-AE","More")</f>
        <v>More</v>
      </c>
      <c r="Q102" t="s">
        <v>56</v>
      </c>
      <c r="R102" t="s">
        <v>95</v>
      </c>
      <c r="S102" t="s">
        <v>128</v>
      </c>
      <c r="T102" t="s">
        <v>129</v>
      </c>
      <c r="U102" t="s">
        <v>26</v>
      </c>
      <c r="V102" s="6" t="s">
        <v>59</v>
      </c>
      <c r="X102" t="s">
        <v>27</v>
      </c>
      <c r="Y102" t="s">
        <v>28</v>
      </c>
      <c r="Z102" t="s">
        <v>130</v>
      </c>
      <c r="AA102" t="s">
        <v>131</v>
      </c>
      <c r="AB102">
        <v>2007</v>
      </c>
      <c r="AC102">
        <v>2854</v>
      </c>
      <c r="AD102" t="s">
        <v>132</v>
      </c>
      <c r="AE102" t="s">
        <v>133</v>
      </c>
      <c r="AF102" t="s">
        <v>134</v>
      </c>
      <c r="AG102">
        <v>47.706203000000002</v>
      </c>
      <c r="AH102">
        <v>-122.35146400000001</v>
      </c>
      <c r="AI102" t="s">
        <v>33</v>
      </c>
      <c r="AJ102">
        <v>98133</v>
      </c>
      <c r="AK102" t="s">
        <v>34</v>
      </c>
      <c r="AL102">
        <v>21</v>
      </c>
      <c r="AM102" t="s">
        <v>35</v>
      </c>
      <c r="AO102">
        <v>0.11600000000000001</v>
      </c>
      <c r="AP102" t="s">
        <v>135</v>
      </c>
      <c r="AQ102">
        <v>504</v>
      </c>
      <c r="AR102" t="s">
        <v>64</v>
      </c>
      <c r="AS102" t="s">
        <v>136</v>
      </c>
      <c r="AT102">
        <v>1</v>
      </c>
      <c r="AU102" t="s">
        <v>942</v>
      </c>
      <c r="AV102" s="9">
        <v>39399</v>
      </c>
      <c r="AW102" s="17">
        <v>18</v>
      </c>
      <c r="AX102">
        <f t="shared" ca="1" si="4"/>
        <v>34</v>
      </c>
      <c r="AY102" t="s">
        <v>916</v>
      </c>
      <c r="AZ102" s="9">
        <v>39405</v>
      </c>
    </row>
    <row r="103" spans="1:52">
      <c r="A103">
        <v>27202386</v>
      </c>
      <c r="B103" s="4" t="str">
        <f>HYPERLINK("http://locmedia.nwmls.com/DO_NOT_LINK/bigphoto/386/27202386.jpg?tsp=20071116120541","Active")</f>
        <v>Active</v>
      </c>
      <c r="C103">
        <v>705</v>
      </c>
      <c r="D103" t="s">
        <v>81</v>
      </c>
      <c r="E103" t="s">
        <v>877</v>
      </c>
      <c r="F103" s="16">
        <v>417500</v>
      </c>
      <c r="G103" t="s">
        <v>878</v>
      </c>
      <c r="H103">
        <v>1680</v>
      </c>
      <c r="I103">
        <v>5100</v>
      </c>
      <c r="J103">
        <v>2</v>
      </c>
      <c r="K103">
        <v>1</v>
      </c>
      <c r="M103" s="4" t="str">
        <f>HYPERLINK("http://locsearch.nwmls.com//ReturnMap.aspx?hidMLS=NWML&amp;VHW=47.677360:-122.393000:.25:&amp;Z=4&amp;H=300&amp;W=400&amp;PP=47.677360:-122.393000:1:027202386","Map")</f>
        <v>Map</v>
      </c>
      <c r="N103" s="4" t="str">
        <f>HYPERLINK("http://locmedia.nwmls.com/DO_NOT_LINK/bigphoto/386/27202386.jpg?tsp=20071116120541","Photo")</f>
        <v>Photo</v>
      </c>
      <c r="O103" s="4" t="str">
        <f>HYPERLINK("http://locator.nwmls.com/scripts/mgrqispi.dll?APPNAME=Locator&amp;PRGNAME=MLSPictureDescriptions&amp;ARGUMENTS=-N183564397,-N27202386,-AE","More")</f>
        <v>More</v>
      </c>
      <c r="Q103" t="s">
        <v>56</v>
      </c>
      <c r="R103" t="s">
        <v>95</v>
      </c>
      <c r="S103" t="s">
        <v>879</v>
      </c>
      <c r="T103" t="s">
        <v>129</v>
      </c>
      <c r="U103" t="s">
        <v>26</v>
      </c>
      <c r="V103" s="6" t="s">
        <v>59</v>
      </c>
      <c r="X103" t="s">
        <v>27</v>
      </c>
      <c r="Y103" t="s">
        <v>28</v>
      </c>
      <c r="Z103" t="s">
        <v>880</v>
      </c>
      <c r="AB103">
        <v>2007</v>
      </c>
      <c r="AC103">
        <v>3364</v>
      </c>
      <c r="AD103" t="s">
        <v>881</v>
      </c>
      <c r="AE103" t="s">
        <v>882</v>
      </c>
      <c r="AF103" t="s">
        <v>883</v>
      </c>
      <c r="AG103">
        <v>47.67736</v>
      </c>
      <c r="AH103">
        <v>-122.393</v>
      </c>
      <c r="AI103" t="s">
        <v>33</v>
      </c>
      <c r="AJ103">
        <v>98117</v>
      </c>
      <c r="AK103" t="s">
        <v>34</v>
      </c>
      <c r="AL103" t="s">
        <v>35</v>
      </c>
      <c r="AM103" t="s">
        <v>35</v>
      </c>
      <c r="AO103">
        <v>0.11700000000000001</v>
      </c>
      <c r="AP103" s="15" t="s">
        <v>1066</v>
      </c>
      <c r="AQ103">
        <v>534</v>
      </c>
      <c r="AR103" t="s">
        <v>480</v>
      </c>
      <c r="AS103" t="s">
        <v>885</v>
      </c>
      <c r="AT103">
        <v>2</v>
      </c>
      <c r="AU103" t="s">
        <v>1059</v>
      </c>
      <c r="AV103" s="9">
        <v>39402</v>
      </c>
      <c r="AW103" s="17">
        <v>9</v>
      </c>
      <c r="AX103">
        <f t="shared" ca="1" si="4"/>
        <v>31</v>
      </c>
      <c r="AY103" t="s">
        <v>916</v>
      </c>
      <c r="AZ103" s="9">
        <v>39409</v>
      </c>
    </row>
    <row r="104" spans="1:52">
      <c r="A104">
        <v>27203347</v>
      </c>
      <c r="B104" s="4" t="str">
        <f>HYPERLINK("http://locmedia.nwmls.com/DO_NOT_LINK/bigphoto/347/27203347.jpg?tsp=20071116180425","Active")</f>
        <v>Active</v>
      </c>
      <c r="C104">
        <v>710</v>
      </c>
      <c r="D104" t="s">
        <v>901</v>
      </c>
      <c r="E104" t="s">
        <v>902</v>
      </c>
      <c r="F104" s="5">
        <v>475000</v>
      </c>
      <c r="G104" t="s">
        <v>148</v>
      </c>
      <c r="H104" s="15">
        <v>2000</v>
      </c>
      <c r="I104">
        <v>6000</v>
      </c>
      <c r="J104">
        <v>3</v>
      </c>
      <c r="K104">
        <v>1</v>
      </c>
      <c r="L104">
        <v>1</v>
      </c>
      <c r="M104" s="4" t="str">
        <f>HYPERLINK("http://locsearch.nwmls.com//ReturnMap.aspx?hidMLS=NWML&amp;VHW=47.684499:-122.281024:.25:&amp;Z=4&amp;H=300&amp;W=400&amp;PP=47.684499:-122.281024:1:027203347","Map")</f>
        <v>Map</v>
      </c>
      <c r="N104" s="4" t="str">
        <f>HYPERLINK("http://locmedia.nwmls.com/DO_NOT_LINK/bigphoto/347/27203347.jpg?tsp=20071116180425","Photo")</f>
        <v>Photo</v>
      </c>
      <c r="O104" s="4" t="str">
        <f>HYPERLINK("http://locator.nwmls.com/scripts/mgrqispi.dll?APPNAME=Locator&amp;PRGNAME=MLSPictureDescriptions&amp;ARGUMENTS=-N183564397,-N27203347,-AE","More")</f>
        <v>More</v>
      </c>
      <c r="Q104" t="s">
        <v>56</v>
      </c>
      <c r="R104" t="s">
        <v>116</v>
      </c>
      <c r="S104" t="s">
        <v>58</v>
      </c>
      <c r="T104" t="s">
        <v>263</v>
      </c>
      <c r="U104" t="s">
        <v>26</v>
      </c>
      <c r="V104" s="6" t="s">
        <v>59</v>
      </c>
      <c r="X104" t="s">
        <v>17</v>
      </c>
      <c r="Y104" t="s">
        <v>28</v>
      </c>
      <c r="Z104" t="s">
        <v>430</v>
      </c>
      <c r="AB104">
        <v>2007</v>
      </c>
      <c r="AC104">
        <v>3392</v>
      </c>
      <c r="AD104" t="s">
        <v>903</v>
      </c>
      <c r="AE104" t="s">
        <v>302</v>
      </c>
      <c r="AF104" t="s">
        <v>904</v>
      </c>
      <c r="AG104">
        <v>47.684499000000002</v>
      </c>
      <c r="AH104">
        <v>-122.281024</v>
      </c>
      <c r="AI104" t="s">
        <v>33</v>
      </c>
      <c r="AJ104">
        <v>98115</v>
      </c>
      <c r="AK104" t="s">
        <v>34</v>
      </c>
      <c r="AL104" t="s">
        <v>35</v>
      </c>
      <c r="AM104" t="s">
        <v>35</v>
      </c>
      <c r="AO104">
        <v>0.13800000000000001</v>
      </c>
      <c r="AP104" s="15" t="s">
        <v>1067</v>
      </c>
      <c r="AQ104">
        <v>535</v>
      </c>
      <c r="AR104" t="s">
        <v>91</v>
      </c>
      <c r="AS104" t="s">
        <v>906</v>
      </c>
      <c r="AT104">
        <v>2</v>
      </c>
      <c r="AW104" s="17"/>
      <c r="AX104">
        <f t="shared" ca="1" si="4"/>
        <v>24</v>
      </c>
      <c r="AZ104" s="9">
        <v>39409</v>
      </c>
    </row>
    <row r="105" spans="1:52">
      <c r="A105">
        <v>27204851</v>
      </c>
      <c r="B105" s="4" t="str">
        <f>HYPERLINK("http://locmedia.nwmls.com/DO_NOT_LINK/bigphoto/851/27204851.jpg?tsp=20071128111621","Active")</f>
        <v>Active</v>
      </c>
      <c r="C105">
        <v>705</v>
      </c>
      <c r="D105" t="s">
        <v>361</v>
      </c>
      <c r="E105" t="s">
        <v>1014</v>
      </c>
      <c r="F105" s="5">
        <v>450000</v>
      </c>
      <c r="G105" t="s">
        <v>21</v>
      </c>
      <c r="H105">
        <v>2360</v>
      </c>
      <c r="I105">
        <v>6200</v>
      </c>
      <c r="J105">
        <v>2</v>
      </c>
      <c r="K105">
        <v>2</v>
      </c>
      <c r="L105">
        <v>1</v>
      </c>
      <c r="M105" s="4" t="str">
        <f>HYPERLINK("http://locsearch.nwmls.com//ReturnMap.aspx?hidMLS=NWML&amp;VHW=47.701530:-122.369828:.25:&amp;Z=4&amp;H=300&amp;W=400&amp;PP=47.701530:-122.369828:1:027204851","Map")</f>
        <v>Map</v>
      </c>
      <c r="N105" s="4" t="str">
        <f>HYPERLINK("http://locmedia.nwmls.com/DO_NOT_LINK/bigphoto/851/27204851.jpg?tsp=20071128111621","Photo")</f>
        <v>Photo</v>
      </c>
      <c r="O105" s="4" t="str">
        <f>HYPERLINK("http://locator.nwmls.com/scripts/mgrqispi.dll?APPNAME=Locator&amp;PRGNAME=MLSPictureDescriptions&amp;ARGUMENTS=-N622564696,-N27204851,-AE","More")</f>
        <v>More</v>
      </c>
      <c r="P105" t="s">
        <v>262</v>
      </c>
      <c r="Q105" t="s">
        <v>1015</v>
      </c>
      <c r="R105" t="s">
        <v>116</v>
      </c>
      <c r="S105" t="s">
        <v>1016</v>
      </c>
      <c r="T105" t="s">
        <v>1017</v>
      </c>
      <c r="U105" t="s">
        <v>26</v>
      </c>
      <c r="V105" s="6" t="s">
        <v>59</v>
      </c>
      <c r="X105" t="s">
        <v>27</v>
      </c>
      <c r="Y105" t="s">
        <v>28</v>
      </c>
      <c r="Z105" t="s">
        <v>184</v>
      </c>
      <c r="AB105">
        <v>2007</v>
      </c>
      <c r="AC105">
        <v>618</v>
      </c>
      <c r="AD105" t="s">
        <v>1018</v>
      </c>
      <c r="AE105" t="s">
        <v>1019</v>
      </c>
      <c r="AF105" t="s">
        <v>600</v>
      </c>
      <c r="AG105">
        <v>47.701529999999998</v>
      </c>
      <c r="AH105">
        <v>-122.369828</v>
      </c>
      <c r="AI105" t="s">
        <v>33</v>
      </c>
      <c r="AJ105">
        <v>98177</v>
      </c>
      <c r="AK105" t="s">
        <v>34</v>
      </c>
      <c r="AL105" t="s">
        <v>35</v>
      </c>
      <c r="AM105" t="s">
        <v>35</v>
      </c>
      <c r="AO105">
        <v>0.14199999999999999</v>
      </c>
      <c r="AP105" t="s">
        <v>1020</v>
      </c>
      <c r="AQ105">
        <v>504</v>
      </c>
      <c r="AR105" t="s">
        <v>100</v>
      </c>
      <c r="AS105" t="s">
        <v>1021</v>
      </c>
      <c r="AT105">
        <v>2</v>
      </c>
      <c r="AU105" t="s">
        <v>1058</v>
      </c>
      <c r="AV105" s="9">
        <v>39412</v>
      </c>
      <c r="AW105" s="17">
        <v>5</v>
      </c>
      <c r="AX105">
        <f t="shared" ca="1" si="4"/>
        <v>21</v>
      </c>
      <c r="AY105" t="s">
        <v>916</v>
      </c>
      <c r="AZ105" s="9">
        <v>39417.379224537035</v>
      </c>
    </row>
    <row r="106" spans="1:52">
      <c r="A106">
        <v>27205164</v>
      </c>
      <c r="B106" s="4" t="str">
        <f>HYPERLINK("http://locmedia.nwmls.com/DO_NOT_LINK/bigphoto/164/27205164.jpg?tsp=20071121205402","Active")</f>
        <v>Active</v>
      </c>
      <c r="C106">
        <v>710</v>
      </c>
      <c r="D106" t="s">
        <v>624</v>
      </c>
      <c r="E106" t="s">
        <v>894</v>
      </c>
      <c r="F106" s="5">
        <v>459950</v>
      </c>
      <c r="G106" t="s">
        <v>895</v>
      </c>
      <c r="H106">
        <v>2360</v>
      </c>
      <c r="I106">
        <v>8040</v>
      </c>
      <c r="J106">
        <v>3</v>
      </c>
      <c r="K106">
        <v>1.5</v>
      </c>
      <c r="L106">
        <v>2</v>
      </c>
      <c r="M106" s="4" t="str">
        <f>HYPERLINK("http://locsearch.nwmls.com//ReturnMap.aspx?hidMLS=NWML&amp;VHW=47.713428:-122.302979:.25:&amp;Z=4&amp;H=300&amp;W=400&amp;PP=47.713428:-122.302979:1:027205164","Map")</f>
        <v>Map</v>
      </c>
      <c r="N106" s="4" t="str">
        <f>HYPERLINK("http://locmedia.nwmls.com/DO_NOT_LINK/bigphoto/164/27205164.jpg?tsp=20071121205402","Photo")</f>
        <v>Photo</v>
      </c>
      <c r="O106" s="4" t="str">
        <f>HYPERLINK("http://locator.nwmls.com/scripts/mgrqispi.dll?APPNAME=Locator&amp;PRGNAME=MLSPictureDescriptions&amp;ARGUMENTS=-N183564397,-N27205164,-AE","More")</f>
        <v>More</v>
      </c>
      <c r="P106" t="s">
        <v>262</v>
      </c>
      <c r="Q106" t="s">
        <v>56</v>
      </c>
      <c r="R106" t="s">
        <v>116</v>
      </c>
      <c r="S106" t="s">
        <v>896</v>
      </c>
      <c r="T106" t="s">
        <v>897</v>
      </c>
      <c r="U106" t="s">
        <v>26</v>
      </c>
      <c r="V106" s="6" t="s">
        <v>59</v>
      </c>
      <c r="X106" t="s">
        <v>27</v>
      </c>
      <c r="Y106" t="s">
        <v>28</v>
      </c>
      <c r="Z106" t="s">
        <v>365</v>
      </c>
      <c r="AA106" t="s">
        <v>476</v>
      </c>
      <c r="AB106">
        <v>2007</v>
      </c>
      <c r="AC106">
        <v>564</v>
      </c>
      <c r="AD106" t="s">
        <v>898</v>
      </c>
      <c r="AE106" t="s">
        <v>302</v>
      </c>
      <c r="AF106" t="s">
        <v>471</v>
      </c>
      <c r="AG106">
        <v>47.713428</v>
      </c>
      <c r="AH106">
        <v>-122.30297899999999</v>
      </c>
      <c r="AI106" t="s">
        <v>33</v>
      </c>
      <c r="AJ106">
        <v>98125</v>
      </c>
      <c r="AK106" t="s">
        <v>34</v>
      </c>
      <c r="AL106">
        <v>3</v>
      </c>
      <c r="AM106" t="s">
        <v>35</v>
      </c>
      <c r="AO106">
        <v>0.185</v>
      </c>
      <c r="AP106" s="12" t="s">
        <v>996</v>
      </c>
      <c r="AQ106">
        <v>1</v>
      </c>
      <c r="AR106" t="s">
        <v>539</v>
      </c>
      <c r="AS106" t="s">
        <v>900</v>
      </c>
      <c r="AT106">
        <v>2</v>
      </c>
      <c r="AW106" s="17"/>
      <c r="AX106">
        <f t="shared" ca="1" si="4"/>
        <v>24</v>
      </c>
      <c r="AZ106" s="9">
        <v>39409</v>
      </c>
    </row>
    <row r="107" spans="1:52">
      <c r="A107">
        <v>27205179</v>
      </c>
      <c r="B107" s="13" t="str">
        <f>HYPERLINK("http://locmedia.nwmls.com/DO_NOT_LINK/bigphoto/179/27205179.jpg?tsp=20071122124033","Pending")</f>
        <v>Pending</v>
      </c>
      <c r="C107">
        <v>710</v>
      </c>
      <c r="D107" t="s">
        <v>686</v>
      </c>
      <c r="E107" t="s">
        <v>886</v>
      </c>
      <c r="F107" s="5">
        <v>369900</v>
      </c>
      <c r="G107" t="s">
        <v>460</v>
      </c>
      <c r="H107">
        <v>1580</v>
      </c>
      <c r="I107">
        <v>8514</v>
      </c>
      <c r="J107">
        <v>3</v>
      </c>
      <c r="K107">
        <v>1.75</v>
      </c>
      <c r="L107">
        <v>1</v>
      </c>
      <c r="M107" s="4" t="str">
        <f>HYPERLINK("http://locsearch.nwmls.com//ReturnMap.aspx?hidMLS=NWML&amp;VHW=47.728311:-122.296442:.25:&amp;Z=4&amp;H=300&amp;W=400&amp;PP=47.728311:-122.296442:1:027205179","Map")</f>
        <v>Map</v>
      </c>
      <c r="N107" s="4" t="str">
        <f>HYPERLINK("http://locmedia.nwmls.com/DO_NOT_LINK/bigphoto/179/27205179.jpg?tsp=20071122124033","Photo")</f>
        <v>Photo</v>
      </c>
      <c r="O107" s="4" t="str">
        <f>HYPERLINK("http://locator.nwmls.com/scripts/mgrqispi.dll?APPNAME=Locator&amp;PRGNAME=MLSPictureDescriptions&amp;ARGUMENTS=-N183564397,-N27205179,-AE","More")</f>
        <v>More</v>
      </c>
      <c r="Q107" t="s">
        <v>42</v>
      </c>
      <c r="R107" t="s">
        <v>23</v>
      </c>
      <c r="S107" t="s">
        <v>887</v>
      </c>
      <c r="T107" t="s">
        <v>25</v>
      </c>
      <c r="U107" t="s">
        <v>26</v>
      </c>
      <c r="V107" s="6" t="s">
        <v>59</v>
      </c>
      <c r="X107" t="s">
        <v>27</v>
      </c>
      <c r="Y107" t="s">
        <v>28</v>
      </c>
      <c r="Z107" t="s">
        <v>96</v>
      </c>
      <c r="AA107" t="s">
        <v>888</v>
      </c>
      <c r="AB107">
        <v>2007</v>
      </c>
      <c r="AC107">
        <v>2724</v>
      </c>
      <c r="AD107" t="s">
        <v>889</v>
      </c>
      <c r="AE107" t="s">
        <v>890</v>
      </c>
      <c r="AF107" t="s">
        <v>891</v>
      </c>
      <c r="AG107">
        <v>47.728310999999998</v>
      </c>
      <c r="AH107">
        <v>-122.296442</v>
      </c>
      <c r="AI107" t="s">
        <v>33</v>
      </c>
      <c r="AJ107">
        <v>98125</v>
      </c>
      <c r="AK107" t="s">
        <v>34</v>
      </c>
      <c r="AL107">
        <v>6</v>
      </c>
      <c r="AM107" t="s">
        <v>35</v>
      </c>
      <c r="AO107">
        <v>0.19500000000000001</v>
      </c>
      <c r="AP107" t="s">
        <v>892</v>
      </c>
      <c r="AQ107">
        <v>505</v>
      </c>
      <c r="AR107" t="s">
        <v>189</v>
      </c>
      <c r="AS107" t="s">
        <v>893</v>
      </c>
      <c r="AT107">
        <v>-4</v>
      </c>
      <c r="AU107" t="s">
        <v>943</v>
      </c>
      <c r="AV107" s="9">
        <v>39347</v>
      </c>
      <c r="AW107" s="17">
        <v>64</v>
      </c>
      <c r="AX107">
        <v>12</v>
      </c>
      <c r="AY107" t="s">
        <v>920</v>
      </c>
      <c r="AZ107" s="9">
        <v>39409</v>
      </c>
    </row>
    <row r="108" spans="1:52">
      <c r="A108">
        <v>27205426</v>
      </c>
      <c r="B108" s="4" t="str">
        <f>HYPERLINK("http://locmedia.nwmls.com/DO_NOT_LINK/bigphoto/426/27205426.jpg?tsp=20071127204501","Active")</f>
        <v>Active</v>
      </c>
      <c r="C108">
        <v>705</v>
      </c>
      <c r="D108" t="s">
        <v>19</v>
      </c>
      <c r="E108" t="s">
        <v>1006</v>
      </c>
      <c r="F108" s="5">
        <v>439000</v>
      </c>
      <c r="G108" t="s">
        <v>353</v>
      </c>
      <c r="H108">
        <v>1510</v>
      </c>
      <c r="I108">
        <v>9000</v>
      </c>
      <c r="J108">
        <v>3</v>
      </c>
      <c r="K108">
        <v>1.5</v>
      </c>
      <c r="L108">
        <v>1</v>
      </c>
      <c r="M108" s="4" t="str">
        <f>HYPERLINK("http://locsearch.nwmls.com//ReturnMap.aspx?hidMLS=NWML&amp;VHW=47.722883:-122.339570:.25:&amp;Z=4&amp;H=300&amp;W=400&amp;PP=47.722883:-122.339570:1:027205426","Map")</f>
        <v>Map</v>
      </c>
      <c r="N108" s="4" t="str">
        <f>HYPERLINK("http://locmedia.nwmls.com/DO_NOT_LINK/bigphoto/426/27205426.jpg?tsp=20071127204501","Photo")</f>
        <v>Photo</v>
      </c>
      <c r="O108" s="4" t="str">
        <f>HYPERLINK("http://locator.nwmls.com/scripts/mgrqispi.dll?APPNAME=Locator&amp;PRGNAME=MLSPictureDescriptions&amp;ARGUMENTS=-N622564696,-N27205426,-AE","More")</f>
        <v>More</v>
      </c>
      <c r="Q108" t="s">
        <v>56</v>
      </c>
      <c r="R108" t="s">
        <v>843</v>
      </c>
      <c r="S108" t="s">
        <v>24</v>
      </c>
      <c r="T108" t="s">
        <v>300</v>
      </c>
      <c r="U108" t="s">
        <v>26</v>
      </c>
      <c r="V108" s="6" t="s">
        <v>59</v>
      </c>
      <c r="X108" t="s">
        <v>27</v>
      </c>
      <c r="Y108" t="s">
        <v>28</v>
      </c>
      <c r="Z108" t="s">
        <v>606</v>
      </c>
      <c r="AA108" t="s">
        <v>1007</v>
      </c>
      <c r="AB108">
        <v>2007</v>
      </c>
      <c r="AC108">
        <v>3002</v>
      </c>
      <c r="AD108" t="s">
        <v>1008</v>
      </c>
      <c r="AE108" t="s">
        <v>1009</v>
      </c>
      <c r="AF108" t="s">
        <v>1010</v>
      </c>
      <c r="AG108">
        <v>47.722883000000003</v>
      </c>
      <c r="AH108">
        <v>-122.33956999999999</v>
      </c>
      <c r="AI108" t="s">
        <v>33</v>
      </c>
      <c r="AJ108">
        <v>98133</v>
      </c>
      <c r="AK108" t="s">
        <v>34</v>
      </c>
      <c r="AL108" t="s">
        <v>35</v>
      </c>
      <c r="AM108" t="s">
        <v>35</v>
      </c>
      <c r="AO108">
        <v>0.20699999999999999</v>
      </c>
      <c r="AP108" t="s">
        <v>1011</v>
      </c>
      <c r="AQ108">
        <v>504</v>
      </c>
      <c r="AR108" t="s">
        <v>1012</v>
      </c>
      <c r="AS108" t="s">
        <v>1013</v>
      </c>
      <c r="AT108">
        <v>3</v>
      </c>
      <c r="AU108" t="s">
        <v>1053</v>
      </c>
      <c r="AV108" s="9">
        <v>39412</v>
      </c>
      <c r="AW108" s="17">
        <v>5</v>
      </c>
      <c r="AZ108" s="9">
        <v>39417.379224537035</v>
      </c>
    </row>
    <row r="109" spans="1:52">
      <c r="A109">
        <v>27205766</v>
      </c>
      <c r="B109" s="4" t="str">
        <f>HYPERLINK("http://locmedia.nwmls.com/DO_NOT_LINK/bigphoto/766/27205766.jpg?tsp=20071127083801","Active")</f>
        <v>Active</v>
      </c>
      <c r="C109">
        <v>710</v>
      </c>
      <c r="D109" t="s">
        <v>624</v>
      </c>
      <c r="E109" t="s">
        <v>1032</v>
      </c>
      <c r="F109" s="5">
        <v>448000</v>
      </c>
      <c r="G109" t="s">
        <v>1033</v>
      </c>
      <c r="H109">
        <v>1710</v>
      </c>
      <c r="I109">
        <v>8040</v>
      </c>
      <c r="J109">
        <v>3</v>
      </c>
      <c r="K109">
        <v>2</v>
      </c>
      <c r="L109">
        <v>1</v>
      </c>
      <c r="M109" s="4" t="str">
        <f>HYPERLINK("http://locsearch.nwmls.com//ReturnMap.aspx?hidMLS=NWML&amp;VHW=47.713387:-122.301786:.25:&amp;Z=4&amp;H=300&amp;W=400&amp;PP=47.713387:-122.301786:1:027205766","Map")</f>
        <v>Map</v>
      </c>
      <c r="N109" s="4" t="str">
        <f>HYPERLINK("http://locmedia.nwmls.com/DO_NOT_LINK/bigphoto/766/27205766.jpg?tsp=20071127083801","Photo")</f>
        <v>Photo</v>
      </c>
      <c r="O109" s="4" t="str">
        <f>HYPERLINK("http://locator.nwmls.com/scripts/mgrqispi.dll?APPNAME=Locator&amp;PRGNAME=MLSPictureDescriptions&amp;ARGUMENTS=-N622564696,-N27205766,-AE","More")</f>
        <v>More</v>
      </c>
      <c r="P109" t="s">
        <v>41</v>
      </c>
      <c r="Q109" t="s">
        <v>56</v>
      </c>
      <c r="R109" t="s">
        <v>95</v>
      </c>
      <c r="S109" t="s">
        <v>24</v>
      </c>
      <c r="T109" t="s">
        <v>25</v>
      </c>
      <c r="U109" t="s">
        <v>26</v>
      </c>
      <c r="X109" t="s">
        <v>27</v>
      </c>
      <c r="Y109" t="s">
        <v>28</v>
      </c>
      <c r="Z109" t="s">
        <v>1034</v>
      </c>
      <c r="AB109">
        <v>2007</v>
      </c>
      <c r="AC109">
        <v>3104</v>
      </c>
      <c r="AD109" t="s">
        <v>1035</v>
      </c>
      <c r="AE109" t="s">
        <v>1036</v>
      </c>
      <c r="AF109" t="s">
        <v>1037</v>
      </c>
      <c r="AG109">
        <v>47.713386999999997</v>
      </c>
      <c r="AH109">
        <v>-122.30178600000001</v>
      </c>
      <c r="AI109" t="s">
        <v>33</v>
      </c>
      <c r="AJ109">
        <v>98125</v>
      </c>
      <c r="AK109" t="s">
        <v>34</v>
      </c>
      <c r="AL109">
        <v>18</v>
      </c>
      <c r="AM109" t="s">
        <v>35</v>
      </c>
      <c r="AO109">
        <v>0.185</v>
      </c>
      <c r="AP109" t="s">
        <v>1038</v>
      </c>
      <c r="AQ109">
        <v>505</v>
      </c>
      <c r="AR109" t="s">
        <v>711</v>
      </c>
      <c r="AS109" t="s">
        <v>1039</v>
      </c>
      <c r="AT109">
        <v>4</v>
      </c>
      <c r="AU109" t="s">
        <v>1056</v>
      </c>
      <c r="AV109" s="9">
        <v>39413</v>
      </c>
      <c r="AW109" s="17">
        <v>4</v>
      </c>
      <c r="AX109">
        <f ca="1">IF(ISBLANK($AW109),TODAY()-$AZ109,TODAY()-$AV109)</f>
        <v>20</v>
      </c>
      <c r="AY109" t="s">
        <v>916</v>
      </c>
      <c r="AZ109" s="9">
        <v>39417.379224537035</v>
      </c>
    </row>
    <row r="110" spans="1:52">
      <c r="A110">
        <v>27205781</v>
      </c>
      <c r="B110" s="4" t="str">
        <f>HYPERLINK("http://locmedia.nwmls.com/DO_NOT_LINK/bigphoto/781/27205781.jpg?tsp=20071126104414","Active")</f>
        <v>Active</v>
      </c>
      <c r="C110">
        <v>710</v>
      </c>
      <c r="D110" t="s">
        <v>1026</v>
      </c>
      <c r="E110" t="s">
        <v>1027</v>
      </c>
      <c r="F110" s="5">
        <v>399950</v>
      </c>
      <c r="G110" t="s">
        <v>895</v>
      </c>
      <c r="H110">
        <v>2600</v>
      </c>
      <c r="I110">
        <v>6760</v>
      </c>
      <c r="J110">
        <v>4</v>
      </c>
      <c r="K110">
        <v>2</v>
      </c>
      <c r="L110">
        <v>2</v>
      </c>
      <c r="M110" s="4" t="str">
        <f>HYPERLINK("http://locsearch.nwmls.com//ReturnMap.aspx?hidMLS=NWML&amp;VHW=47.713772:-122.296631:.25:&amp;Z=4&amp;H=300&amp;W=400&amp;PP=47.713772:-122.296631:1:027205781","Map")</f>
        <v>Map</v>
      </c>
      <c r="N110" s="4" t="str">
        <f>HYPERLINK("http://locmedia.nwmls.com/DO_NOT_LINK/bigphoto/781/27205781.jpg?tsp=20071126104414","Photo")</f>
        <v>Photo</v>
      </c>
      <c r="O110" s="4" t="str">
        <f>HYPERLINK("http://locator.nwmls.com/scripts/mgrqispi.dll?APPNAME=Locator&amp;PRGNAME=MLSPictureDescriptions&amp;ARGUMENTS=-N622564696,-N27205781,-AE","More")</f>
        <v>More</v>
      </c>
      <c r="P110" t="s">
        <v>41</v>
      </c>
      <c r="Q110" t="s">
        <v>56</v>
      </c>
      <c r="R110" t="s">
        <v>116</v>
      </c>
      <c r="T110" t="s">
        <v>129</v>
      </c>
      <c r="U110" t="s">
        <v>26</v>
      </c>
      <c r="V110" s="6" t="s">
        <v>59</v>
      </c>
      <c r="X110" t="s">
        <v>27</v>
      </c>
      <c r="Y110" t="s">
        <v>28</v>
      </c>
      <c r="Z110" t="s">
        <v>430</v>
      </c>
      <c r="AB110">
        <v>2007</v>
      </c>
      <c r="AC110">
        <v>2937</v>
      </c>
      <c r="AD110" t="s">
        <v>1028</v>
      </c>
      <c r="AE110" t="s">
        <v>121</v>
      </c>
      <c r="AF110" t="s">
        <v>1029</v>
      </c>
      <c r="AG110">
        <v>47.713771999999999</v>
      </c>
      <c r="AH110">
        <v>-122.296631</v>
      </c>
      <c r="AI110" t="s">
        <v>33</v>
      </c>
      <c r="AJ110">
        <v>98125</v>
      </c>
      <c r="AK110" t="s">
        <v>34</v>
      </c>
      <c r="AL110" t="s">
        <v>35</v>
      </c>
      <c r="AM110" t="s">
        <v>35</v>
      </c>
      <c r="AO110">
        <v>0.155</v>
      </c>
      <c r="AP110" t="s">
        <v>1030</v>
      </c>
      <c r="AQ110">
        <v>505</v>
      </c>
      <c r="AR110" t="s">
        <v>742</v>
      </c>
      <c r="AS110" t="s">
        <v>1031</v>
      </c>
      <c r="AT110">
        <v>2</v>
      </c>
      <c r="AU110" t="s">
        <v>1054</v>
      </c>
      <c r="AV110" s="9">
        <v>39412</v>
      </c>
      <c r="AW110" s="17">
        <v>5</v>
      </c>
      <c r="AX110">
        <f ca="1">IF(ISBLANK($AW110),TODAY()-$AZ110,TODAY()-$AV110)</f>
        <v>21</v>
      </c>
      <c r="AY110" t="s">
        <v>916</v>
      </c>
      <c r="AZ110" s="9">
        <v>39417.379224537035</v>
      </c>
    </row>
    <row r="111" spans="1:52">
      <c r="A111">
        <v>27206082</v>
      </c>
      <c r="B111" s="4" t="str">
        <f>HYPERLINK("http://locmedia.nwmls.com/DO_NOT_LINK/bigphoto/082/27206082.jpg?tsp=20071127133626","Active")</f>
        <v>Active</v>
      </c>
      <c r="C111">
        <v>710</v>
      </c>
      <c r="D111" t="s">
        <v>723</v>
      </c>
      <c r="E111" t="s">
        <v>1040</v>
      </c>
      <c r="F111" s="5">
        <v>474650</v>
      </c>
      <c r="G111" t="s">
        <v>460</v>
      </c>
      <c r="H111">
        <v>1200</v>
      </c>
      <c r="I111">
        <v>5097</v>
      </c>
      <c r="J111">
        <v>2</v>
      </c>
      <c r="K111">
        <v>1.75</v>
      </c>
      <c r="L111">
        <v>1</v>
      </c>
      <c r="M111" s="4" t="str">
        <f>HYPERLINK("http://locsearch.nwmls.com//ReturnMap.aspx?hidMLS=NWML&amp;VHW=47.676685:-122.288957:.25:&amp;Z=4&amp;H=300&amp;W=400&amp;PP=47.676685:-122.288957:1:027206082","Map")</f>
        <v>Map</v>
      </c>
      <c r="N111" s="4" t="str">
        <f>HYPERLINK("http://locmedia.nwmls.com/DO_NOT_LINK/bigphoto/082/27206082.jpg?tsp=20071127133626","Photo")</f>
        <v>Photo</v>
      </c>
      <c r="O111" s="4" t="str">
        <f>HYPERLINK("http://locator.nwmls.com/scripts/mgrqispi.dll?APPNAME=Locator&amp;PRGNAME=MLSPictureDescriptions&amp;ARGUMENTS=-N622564696,-N27206082,-AE","More")</f>
        <v>More</v>
      </c>
      <c r="P111" t="s">
        <v>791</v>
      </c>
      <c r="Q111" t="s">
        <v>56</v>
      </c>
      <c r="R111" t="s">
        <v>116</v>
      </c>
      <c r="S111" t="s">
        <v>1041</v>
      </c>
      <c r="T111" t="s">
        <v>129</v>
      </c>
      <c r="U111" t="s">
        <v>26</v>
      </c>
      <c r="V111" s="6" t="s">
        <v>59</v>
      </c>
      <c r="X111" t="s">
        <v>27</v>
      </c>
      <c r="Y111" t="s">
        <v>28</v>
      </c>
      <c r="Z111" t="s">
        <v>1042</v>
      </c>
      <c r="AA111" t="s">
        <v>18</v>
      </c>
      <c r="AB111">
        <v>2006</v>
      </c>
      <c r="AC111">
        <v>3039</v>
      </c>
      <c r="AD111" t="s">
        <v>1043</v>
      </c>
      <c r="AE111" t="s">
        <v>302</v>
      </c>
      <c r="AF111" t="s">
        <v>661</v>
      </c>
      <c r="AG111">
        <v>47.676684999999999</v>
      </c>
      <c r="AH111">
        <v>-122.288957</v>
      </c>
      <c r="AI111" t="s">
        <v>33</v>
      </c>
      <c r="AJ111">
        <v>98115</v>
      </c>
      <c r="AK111" t="s">
        <v>34</v>
      </c>
      <c r="AL111">
        <v>43</v>
      </c>
      <c r="AM111" t="s">
        <v>35</v>
      </c>
      <c r="AO111">
        <v>0.11700000000000001</v>
      </c>
      <c r="AP111" t="s">
        <v>1044</v>
      </c>
      <c r="AQ111">
        <v>535</v>
      </c>
      <c r="AR111" t="s">
        <v>189</v>
      </c>
      <c r="AS111" t="s">
        <v>1045</v>
      </c>
      <c r="AT111">
        <v>3</v>
      </c>
      <c r="AU111" t="s">
        <v>1051</v>
      </c>
      <c r="AV111" s="9">
        <v>39412</v>
      </c>
      <c r="AW111" s="17">
        <v>5</v>
      </c>
      <c r="AZ111" s="9">
        <v>39417.379224537035</v>
      </c>
    </row>
    <row r="112" spans="1:52">
      <c r="A112">
        <v>27207377</v>
      </c>
      <c r="B112" s="11" t="str">
        <f>HYPERLINK("http://locmedia.nwmls.com/DO_NOT_LINK/bigphoto/377/27207377.jpg?tsp=20071203095826","Active - STI")</f>
        <v>Active - STI</v>
      </c>
      <c r="C112">
        <v>705</v>
      </c>
      <c r="D112" t="s">
        <v>81</v>
      </c>
      <c r="E112" t="s">
        <v>1022</v>
      </c>
      <c r="F112" s="5">
        <v>460000</v>
      </c>
      <c r="G112" t="s">
        <v>483</v>
      </c>
      <c r="H112">
        <v>1860</v>
      </c>
      <c r="I112">
        <v>3750</v>
      </c>
      <c r="J112">
        <v>2</v>
      </c>
      <c r="K112">
        <v>1</v>
      </c>
      <c r="M112" s="4" t="str">
        <f>HYPERLINK("http://locsearch.nwmls.com//ReturnMap.aspx?hidMLS=NWML&amp;VHW=47.681172:-122.367282:.25:&amp;Z=4&amp;H=300&amp;W=400&amp;PP=47.681172:-122.367282:1:027207377","Map")</f>
        <v>Map</v>
      </c>
      <c r="N112" s="4" t="str">
        <f>HYPERLINK("http://locmedia.nwmls.com/DO_NOT_LINK/bigphoto/377/27207377.jpg?tsp=20071203095826","Photo")</f>
        <v>Photo</v>
      </c>
      <c r="O112" s="4" t="str">
        <f>HYPERLINK("http://locator.nwmls.com/scripts/mgrqispi.dll?APPNAME=Locator&amp;PRGNAME=MLSPictureDescriptions&amp;ARGUMENTS=-N622564696,-N27207377,-AE","More")</f>
        <v>More</v>
      </c>
      <c r="Q112" t="s">
        <v>56</v>
      </c>
      <c r="R112" t="s">
        <v>116</v>
      </c>
      <c r="S112" t="s">
        <v>43</v>
      </c>
      <c r="T112" t="s">
        <v>300</v>
      </c>
      <c r="U112" t="s">
        <v>26</v>
      </c>
      <c r="V112">
        <v>28</v>
      </c>
      <c r="X112" t="s">
        <v>27</v>
      </c>
      <c r="Y112" t="s">
        <v>28</v>
      </c>
      <c r="Z112" t="s">
        <v>60</v>
      </c>
      <c r="AA112" t="s">
        <v>382</v>
      </c>
      <c r="AB112">
        <v>2007</v>
      </c>
      <c r="AC112">
        <v>3290</v>
      </c>
      <c r="AD112" t="s">
        <v>1023</v>
      </c>
      <c r="AE112" t="s">
        <v>302</v>
      </c>
      <c r="AF112" t="s">
        <v>693</v>
      </c>
      <c r="AG112">
        <v>47.681171999999997</v>
      </c>
      <c r="AH112">
        <v>-122.367282</v>
      </c>
      <c r="AI112" t="s">
        <v>33</v>
      </c>
      <c r="AJ112">
        <v>98117</v>
      </c>
      <c r="AK112" t="s">
        <v>34</v>
      </c>
      <c r="AL112" t="s">
        <v>35</v>
      </c>
      <c r="AM112" t="s">
        <v>35</v>
      </c>
      <c r="AO112">
        <v>8.5999999999999993E-2</v>
      </c>
      <c r="AP112" t="s">
        <v>1024</v>
      </c>
      <c r="AQ112">
        <v>534</v>
      </c>
      <c r="AR112" t="s">
        <v>313</v>
      </c>
      <c r="AS112" s="12" t="s">
        <v>1060</v>
      </c>
      <c r="AT112">
        <v>2</v>
      </c>
      <c r="AU112" t="s">
        <v>1055</v>
      </c>
      <c r="AV112" s="9">
        <v>39416</v>
      </c>
      <c r="AW112" s="17">
        <v>1</v>
      </c>
      <c r="AX112">
        <f ca="1">IF(ISBLANK($AW112),TODAY()-$AZ112,TODAY()-$AV112)</f>
        <v>17</v>
      </c>
      <c r="AY112" t="s">
        <v>916</v>
      </c>
      <c r="AZ112" s="9">
        <v>39417.379224537035</v>
      </c>
    </row>
    <row r="113" spans="1:52">
      <c r="A113">
        <v>27207393</v>
      </c>
      <c r="B113" s="4" t="str">
        <f>HYPERLINK("http://locmedia.nwmls.com/DO_NOT_LINK/bigphoto/393/27207393.jpg?tsp=20071129135833","Active")</f>
        <v>Active</v>
      </c>
      <c r="C113">
        <v>710</v>
      </c>
      <c r="D113" t="s">
        <v>656</v>
      </c>
      <c r="E113" t="s">
        <v>1046</v>
      </c>
      <c r="F113" s="5">
        <v>496000</v>
      </c>
      <c r="G113" t="s">
        <v>148</v>
      </c>
      <c r="H113">
        <v>1120</v>
      </c>
      <c r="I113">
        <v>5000</v>
      </c>
      <c r="J113">
        <v>2</v>
      </c>
      <c r="K113">
        <v>1</v>
      </c>
      <c r="M113" s="4" t="str">
        <f>HYPERLINK("http://locsearch.nwmls.com//ReturnMap.aspx?hidMLS=NWML&amp;VHW=47.686374:-122.289530:.25:&amp;Z=4&amp;H=300&amp;W=400&amp;PP=47.686374:-122.289530:1:027207393","Map")</f>
        <v>Map</v>
      </c>
      <c r="N113" s="4" t="str">
        <f>HYPERLINK("http://locmedia.nwmls.com/DO_NOT_LINK/bigphoto/393/27207393.jpg?tsp=20071129135833","Photo")</f>
        <v>Photo</v>
      </c>
      <c r="O113" s="4" t="str">
        <f>HYPERLINK("http://locator.nwmls.com/scripts/mgrqispi.dll?APPNAME=Locator&amp;PRGNAME=MLSPictureDescriptions&amp;ARGUMENTS=-N622564696,-N27207393,-AE","More")</f>
        <v>More</v>
      </c>
      <c r="P113" t="s">
        <v>41</v>
      </c>
      <c r="Q113" t="s">
        <v>56</v>
      </c>
      <c r="R113" t="s">
        <v>23</v>
      </c>
      <c r="S113" t="s">
        <v>24</v>
      </c>
      <c r="T113" t="s">
        <v>25</v>
      </c>
      <c r="U113" t="s">
        <v>26</v>
      </c>
      <c r="V113" s="6" t="s">
        <v>59</v>
      </c>
      <c r="X113" t="s">
        <v>27</v>
      </c>
      <c r="Y113" t="s">
        <v>28</v>
      </c>
      <c r="Z113" t="s">
        <v>150</v>
      </c>
      <c r="AB113">
        <v>2007</v>
      </c>
      <c r="AC113">
        <v>3132</v>
      </c>
      <c r="AD113" t="s">
        <v>1047</v>
      </c>
      <c r="AE113" t="s">
        <v>837</v>
      </c>
      <c r="AF113" t="s">
        <v>1048</v>
      </c>
      <c r="AG113">
        <v>47.686374000000001</v>
      </c>
      <c r="AH113">
        <v>-122.28953</v>
      </c>
      <c r="AI113" t="s">
        <v>33</v>
      </c>
      <c r="AJ113">
        <v>98115</v>
      </c>
      <c r="AK113" t="s">
        <v>34</v>
      </c>
      <c r="AL113" t="s">
        <v>35</v>
      </c>
      <c r="AM113" t="s">
        <v>35</v>
      </c>
      <c r="AO113">
        <v>0.115</v>
      </c>
      <c r="AP113" t="s">
        <v>1049</v>
      </c>
      <c r="AQ113">
        <v>535</v>
      </c>
      <c r="AR113" t="s">
        <v>196</v>
      </c>
      <c r="AS113" t="s">
        <v>1050</v>
      </c>
      <c r="AT113">
        <v>3</v>
      </c>
      <c r="AU113" t="s">
        <v>1052</v>
      </c>
      <c r="AV113" s="9">
        <v>39415</v>
      </c>
      <c r="AW113" s="17">
        <v>2</v>
      </c>
      <c r="AX113">
        <f ca="1">IF(ISBLANK($AW113),TODAY()-$AZ113,TODAY()-$AV113)</f>
        <v>18</v>
      </c>
      <c r="AY113" t="s">
        <v>916</v>
      </c>
      <c r="AZ113" s="9">
        <v>39417.379224537035</v>
      </c>
    </row>
  </sheetData>
  <autoFilter ref="A1:AZ113">
    <filterColumn colId="45"/>
  </autoFilter>
  <sortState ref="A2:AZ113">
    <sortCondition ref="A2"/>
    <sortCondition ref="F2"/>
    <sortCondition descending="1" ref="I2"/>
  </sortState>
  <conditionalFormatting sqref="AX1:AX113">
    <cfRule type="expression" dxfId="6" priority="4">
      <formula>ISBLANK($AW1)</formula>
    </cfRule>
  </conditionalFormatting>
  <conditionalFormatting sqref="A1:A113">
    <cfRule type="expression" dxfId="5" priority="1">
      <formula>ISBLANK($AT1)</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Sheet4"/>
  <dimension ref="A1:H26"/>
  <sheetViews>
    <sheetView workbookViewId="0">
      <selection activeCell="B4" sqref="B4"/>
    </sheetView>
  </sheetViews>
  <sheetFormatPr defaultRowHeight="12.75"/>
  <cols>
    <col min="1" max="1" width="23.140625" style="1" customWidth="1"/>
    <col min="2" max="2" width="88" style="1" customWidth="1"/>
    <col min="3" max="6" width="9.140625" style="1"/>
    <col min="7" max="7" width="16.5703125" style="1" customWidth="1"/>
    <col min="8" max="16384" width="9.140625" style="1"/>
  </cols>
  <sheetData>
    <row r="1" spans="1:8">
      <c r="A1" s="1" t="s">
        <v>0</v>
      </c>
      <c r="B1" s="1" t="s">
        <v>1068</v>
      </c>
      <c r="F1" s="2" t="s">
        <v>1</v>
      </c>
      <c r="G1" s="2" t="s">
        <v>2</v>
      </c>
      <c r="H1" s="2" t="s">
        <v>3</v>
      </c>
    </row>
    <row r="2" spans="1:8">
      <c r="A2" s="1" t="s">
        <v>4</v>
      </c>
      <c r="B2" s="3" t="s">
        <v>5</v>
      </c>
      <c r="F2" s="1" t="s">
        <v>6</v>
      </c>
      <c r="G2" s="4" t="s">
        <v>7</v>
      </c>
      <c r="H2" s="3" t="s">
        <v>8</v>
      </c>
    </row>
    <row r="3" spans="1:8">
      <c r="F3" s="1" t="s">
        <v>9</v>
      </c>
      <c r="G3" s="4" t="s">
        <v>10</v>
      </c>
      <c r="H3" s="3" t="s">
        <v>11</v>
      </c>
    </row>
    <row r="4" spans="1:8">
      <c r="B4" s="1" t="s">
        <v>12</v>
      </c>
      <c r="F4" s="1" t="s">
        <v>13</v>
      </c>
      <c r="G4" s="4" t="s">
        <v>14</v>
      </c>
      <c r="H4" s="1" t="s">
        <v>15</v>
      </c>
    </row>
    <row r="5" spans="1:8">
      <c r="B5" s="1" t="s">
        <v>989</v>
      </c>
      <c r="F5" s="1" t="s">
        <v>1000</v>
      </c>
      <c r="G5" s="1" t="s">
        <v>999</v>
      </c>
    </row>
    <row r="9" spans="1:8">
      <c r="F9" s="1" t="s">
        <v>6</v>
      </c>
      <c r="G9" s="1" t="s">
        <v>7</v>
      </c>
      <c r="H9" s="3" t="s">
        <v>8</v>
      </c>
    </row>
    <row r="10" spans="1:8">
      <c r="F10" s="1" t="s">
        <v>9</v>
      </c>
      <c r="G10" s="1" t="s">
        <v>10</v>
      </c>
      <c r="H10" s="3" t="s">
        <v>11</v>
      </c>
    </row>
    <row r="16" spans="1:8">
      <c r="F16" s="1" t="s">
        <v>6</v>
      </c>
      <c r="G16" s="4" t="s">
        <v>7</v>
      </c>
      <c r="H16" s="3" t="s">
        <v>8</v>
      </c>
    </row>
    <row r="17" spans="6:8">
      <c r="F17" s="1" t="s">
        <v>9</v>
      </c>
      <c r="G17" s="4" t="s">
        <v>10</v>
      </c>
      <c r="H17" s="3" t="s">
        <v>11</v>
      </c>
    </row>
    <row r="18" spans="6:8">
      <c r="F18" s="1" t="s">
        <v>13</v>
      </c>
      <c r="G18" s="4" t="s">
        <v>14</v>
      </c>
      <c r="H18" s="1" t="s">
        <v>15</v>
      </c>
    </row>
    <row r="20" spans="6:8">
      <c r="F20" s="1" t="s">
        <v>945</v>
      </c>
      <c r="G20" s="10" t="s">
        <v>944</v>
      </c>
    </row>
    <row r="25" spans="6:8">
      <c r="F25" s="1" t="s">
        <v>945</v>
      </c>
    </row>
    <row r="26" spans="6:8">
      <c r="F26" s="1" t="s">
        <v>998</v>
      </c>
      <c r="G26" s="10" t="s">
        <v>997</v>
      </c>
    </row>
  </sheetData>
  <hyperlinks>
    <hyperlink ref="G16" r:id="rId1"/>
    <hyperlink ref="G17" r:id="rId2"/>
    <hyperlink ref="G18" r:id="rId3"/>
    <hyperlink ref="G2" r:id="rId4"/>
    <hyperlink ref="G3" r:id="rId5"/>
    <hyperlink ref="G4" r:id="rId6"/>
    <hyperlink ref="G26" display="http://www.windermere.com/index.cfm?fuseaction=Listing.PropertySearchResults&amp;searchString=ptyp=1|st=|premier=|sss=|ar=|cou=|cit=|minPrice=300000|maxPrice=600000|br=|bth=|minSqft=|maxSqft=|water=|ybtMin=|ybtMax=|hsn=|stor=|vew=|daysback=|NC=|ls=|address=|l"/>
  </hyperlinks>
  <pageMargins left="0.75" right="0.75" top="1" bottom="1" header="0.5" footer="0.5"/>
  <pageSetup orientation="portrait" horizontalDpi="1200" verticalDpi="0" r:id="rId7"/>
  <headerFooter alignWithMargins="0"/>
  <drawing r:id="rId8"/>
</worksheet>
</file>

<file path=xl/worksheets/sheet3.xml><?xml version="1.0" encoding="utf-8"?>
<worksheet xmlns="http://schemas.openxmlformats.org/spreadsheetml/2006/main" xmlns:r="http://schemas.openxmlformats.org/officeDocument/2006/relationships">
  <sheetPr codeName="Sheet9"/>
  <dimension ref="A1:G106"/>
  <sheetViews>
    <sheetView workbookViewId="0">
      <selection activeCell="F5" sqref="F5"/>
    </sheetView>
  </sheetViews>
  <sheetFormatPr defaultRowHeight="12.75"/>
  <cols>
    <col min="1" max="2" width="9.140625" style="1" customWidth="1"/>
    <col min="3" max="3" width="18.7109375" style="1" customWidth="1"/>
    <col min="4" max="4" width="10.5703125" style="1" customWidth="1"/>
    <col min="5" max="5" width="9.140625" style="1" customWidth="1"/>
    <col min="6" max="6" width="10.42578125" style="1" customWidth="1"/>
    <col min="7" max="7" width="9.140625" style="1" customWidth="1"/>
    <col min="8" max="16384" width="9.140625" style="1"/>
  </cols>
  <sheetData>
    <row r="1" spans="1:7">
      <c r="A1" s="1" t="s">
        <v>16</v>
      </c>
      <c r="B1" s="1" t="s">
        <v>619</v>
      </c>
      <c r="C1" s="1" t="s">
        <v>3</v>
      </c>
      <c r="D1" s="1" t="s">
        <v>620</v>
      </c>
      <c r="E1" s="1" t="s">
        <v>621</v>
      </c>
      <c r="F1" s="1" t="s">
        <v>622</v>
      </c>
      <c r="G1" s="1" t="s">
        <v>623</v>
      </c>
    </row>
    <row r="2" spans="1:7">
      <c r="A2" s="1">
        <v>27205179</v>
      </c>
      <c r="B2" s="1">
        <v>4</v>
      </c>
      <c r="G2" s="1" t="s">
        <v>920</v>
      </c>
    </row>
    <row r="3" spans="1:7">
      <c r="A3" s="1">
        <v>27202386</v>
      </c>
      <c r="B3" s="1">
        <v>4</v>
      </c>
      <c r="F3" s="1">
        <v>9</v>
      </c>
      <c r="G3" s="1" t="s">
        <v>920</v>
      </c>
    </row>
    <row r="4" spans="1:7">
      <c r="A4" s="1">
        <v>27201523</v>
      </c>
      <c r="B4" s="1">
        <v>4</v>
      </c>
      <c r="C4" s="1" t="s">
        <v>941</v>
      </c>
      <c r="F4" s="1">
        <v>12</v>
      </c>
      <c r="G4" s="1" t="s">
        <v>907</v>
      </c>
    </row>
    <row r="5" spans="1:7">
      <c r="A5" s="1">
        <v>27195272</v>
      </c>
      <c r="B5" s="1">
        <v>4</v>
      </c>
      <c r="G5" s="1" t="s">
        <v>920</v>
      </c>
    </row>
    <row r="6" spans="1:7">
      <c r="A6" s="1">
        <v>27192222</v>
      </c>
      <c r="B6" s="1">
        <v>4</v>
      </c>
      <c r="D6" s="7"/>
      <c r="F6" s="8"/>
      <c r="G6" s="1" t="s">
        <v>920</v>
      </c>
    </row>
    <row r="7" spans="1:7">
      <c r="A7" s="1">
        <v>27191805</v>
      </c>
      <c r="B7" s="1">
        <v>4</v>
      </c>
      <c r="G7" s="1" t="s">
        <v>920</v>
      </c>
    </row>
    <row r="8" spans="1:7">
      <c r="A8" s="1">
        <v>27182369</v>
      </c>
      <c r="B8" s="1">
        <v>4</v>
      </c>
      <c r="C8" s="1" t="s">
        <v>925</v>
      </c>
      <c r="D8" s="7"/>
      <c r="F8" s="8"/>
      <c r="G8" s="1" t="s">
        <v>907</v>
      </c>
    </row>
    <row r="9" spans="1:7">
      <c r="A9" s="1">
        <v>27172258</v>
      </c>
      <c r="B9" s="1">
        <v>4</v>
      </c>
      <c r="G9" s="1" t="s">
        <v>907</v>
      </c>
    </row>
    <row r="10" spans="1:7">
      <c r="A10" s="1">
        <v>27171942</v>
      </c>
      <c r="B10" s="1">
        <v>4</v>
      </c>
      <c r="G10" s="1" t="s">
        <v>920</v>
      </c>
    </row>
    <row r="11" spans="1:7">
      <c r="A11" s="1">
        <v>27165590</v>
      </c>
      <c r="B11" s="1">
        <v>4</v>
      </c>
      <c r="G11" s="1" t="s">
        <v>907</v>
      </c>
    </row>
    <row r="12" spans="1:7">
      <c r="A12" s="1">
        <v>27163615</v>
      </c>
      <c r="B12" s="1">
        <v>4</v>
      </c>
      <c r="G12" s="1" t="s">
        <v>907</v>
      </c>
    </row>
    <row r="13" spans="1:7">
      <c r="A13" s="1">
        <v>27162082</v>
      </c>
      <c r="B13" s="1">
        <v>4</v>
      </c>
      <c r="C13" s="1" t="s">
        <v>908</v>
      </c>
      <c r="G13" s="1" t="s">
        <v>907</v>
      </c>
    </row>
    <row r="14" spans="1:7">
      <c r="A14" s="1">
        <v>27161640</v>
      </c>
      <c r="B14" s="1">
        <v>4</v>
      </c>
      <c r="D14" s="7"/>
      <c r="F14" s="8"/>
      <c r="G14" s="1" t="s">
        <v>907</v>
      </c>
    </row>
    <row r="15" spans="1:7">
      <c r="A15" s="1">
        <v>27161472</v>
      </c>
      <c r="B15" s="1">
        <v>4</v>
      </c>
      <c r="C15" s="1" t="s">
        <v>917</v>
      </c>
      <c r="G15" s="1" t="s">
        <v>916</v>
      </c>
    </row>
    <row r="16" spans="1:7">
      <c r="A16" s="1">
        <v>27090381</v>
      </c>
      <c r="B16" s="1">
        <v>4</v>
      </c>
      <c r="G16" s="1" t="s">
        <v>907</v>
      </c>
    </row>
    <row r="17" spans="1:7">
      <c r="A17" s="1">
        <v>27200939</v>
      </c>
      <c r="B17" s="1">
        <v>3</v>
      </c>
    </row>
    <row r="18" spans="1:7">
      <c r="A18" s="1">
        <v>27200786</v>
      </c>
      <c r="B18" s="1">
        <v>3</v>
      </c>
    </row>
    <row r="19" spans="1:7">
      <c r="A19" s="1">
        <v>27200170</v>
      </c>
      <c r="B19" s="1">
        <v>3</v>
      </c>
    </row>
    <row r="20" spans="1:7">
      <c r="A20" s="1">
        <v>27197782</v>
      </c>
      <c r="B20" s="1">
        <v>3</v>
      </c>
      <c r="C20" s="1" t="s">
        <v>939</v>
      </c>
    </row>
    <row r="21" spans="1:7">
      <c r="A21" s="1">
        <v>27197172</v>
      </c>
      <c r="B21" s="1">
        <v>3</v>
      </c>
      <c r="C21" s="1" t="s">
        <v>938</v>
      </c>
    </row>
    <row r="22" spans="1:7">
      <c r="A22" s="1">
        <v>27196098</v>
      </c>
      <c r="B22" s="1">
        <v>3</v>
      </c>
    </row>
    <row r="23" spans="1:7">
      <c r="A23" s="1">
        <v>27195834</v>
      </c>
      <c r="B23" s="1">
        <v>3</v>
      </c>
      <c r="D23" s="7">
        <v>39380</v>
      </c>
      <c r="F23" s="8"/>
    </row>
    <row r="24" spans="1:7">
      <c r="A24" s="1">
        <v>27195561</v>
      </c>
      <c r="B24" s="1">
        <v>3</v>
      </c>
      <c r="C24" s="1" t="s">
        <v>937</v>
      </c>
      <c r="D24" s="7">
        <v>39381</v>
      </c>
      <c r="F24" s="8"/>
      <c r="G24" s="1" t="s">
        <v>916</v>
      </c>
    </row>
    <row r="25" spans="1:7">
      <c r="A25" s="1">
        <v>27195392</v>
      </c>
      <c r="B25" s="1">
        <v>3</v>
      </c>
    </row>
    <row r="26" spans="1:7">
      <c r="A26" s="1">
        <v>27194590</v>
      </c>
      <c r="B26" s="1">
        <v>3</v>
      </c>
    </row>
    <row r="27" spans="1:7">
      <c r="A27" s="1">
        <v>27192998</v>
      </c>
      <c r="B27" s="1">
        <v>3</v>
      </c>
      <c r="C27" s="1" t="s">
        <v>935</v>
      </c>
    </row>
    <row r="28" spans="1:7">
      <c r="A28" s="1">
        <v>27192140</v>
      </c>
      <c r="B28" s="1">
        <v>3</v>
      </c>
    </row>
    <row r="29" spans="1:7">
      <c r="A29" s="1">
        <v>27190910</v>
      </c>
      <c r="B29" s="1">
        <v>3</v>
      </c>
      <c r="D29" s="7">
        <v>39387</v>
      </c>
      <c r="F29" s="8"/>
    </row>
    <row r="30" spans="1:7">
      <c r="A30" s="1">
        <v>27188920</v>
      </c>
      <c r="B30" s="1">
        <v>3</v>
      </c>
    </row>
    <row r="31" spans="1:7">
      <c r="A31" s="1">
        <v>27188492</v>
      </c>
      <c r="B31" s="1">
        <v>3</v>
      </c>
      <c r="C31" s="1" t="s">
        <v>931</v>
      </c>
    </row>
    <row r="32" spans="1:7">
      <c r="A32" s="1">
        <v>27187662</v>
      </c>
      <c r="B32" s="1">
        <v>3</v>
      </c>
      <c r="C32" s="1" t="s">
        <v>930</v>
      </c>
    </row>
    <row r="33" spans="1:6">
      <c r="A33" s="1">
        <v>27186277</v>
      </c>
      <c r="B33" s="1">
        <v>3</v>
      </c>
    </row>
    <row r="34" spans="1:6">
      <c r="A34" s="1">
        <v>27186085</v>
      </c>
      <c r="B34" s="1">
        <v>3</v>
      </c>
    </row>
    <row r="35" spans="1:6">
      <c r="A35" s="1">
        <v>27183237</v>
      </c>
      <c r="B35" s="1">
        <v>3</v>
      </c>
    </row>
    <row r="36" spans="1:6">
      <c r="A36" s="1">
        <v>27182314</v>
      </c>
      <c r="B36" s="1">
        <v>3</v>
      </c>
    </row>
    <row r="37" spans="1:6">
      <c r="A37" s="1">
        <v>27181015</v>
      </c>
      <c r="B37" s="1">
        <v>3</v>
      </c>
    </row>
    <row r="38" spans="1:6">
      <c r="A38" s="1">
        <v>27180376</v>
      </c>
      <c r="B38" s="1">
        <v>3</v>
      </c>
      <c r="C38" s="1" t="s">
        <v>924</v>
      </c>
    </row>
    <row r="39" spans="1:6">
      <c r="A39" s="1">
        <v>27176949</v>
      </c>
      <c r="B39" s="1">
        <v>3</v>
      </c>
    </row>
    <row r="40" spans="1:6">
      <c r="A40" s="1">
        <v>27174450</v>
      </c>
      <c r="B40" s="1">
        <v>3</v>
      </c>
    </row>
    <row r="41" spans="1:6">
      <c r="A41" s="1">
        <v>27172144</v>
      </c>
      <c r="B41" s="1">
        <v>3</v>
      </c>
      <c r="D41" s="7">
        <v>39329</v>
      </c>
      <c r="F41" s="8"/>
    </row>
    <row r="42" spans="1:6">
      <c r="A42" s="1">
        <v>27168563</v>
      </c>
      <c r="B42" s="1">
        <v>3</v>
      </c>
    </row>
    <row r="43" spans="1:6">
      <c r="A43" s="1">
        <v>27166950</v>
      </c>
      <c r="B43" s="1">
        <v>3</v>
      </c>
      <c r="C43" s="1" t="s">
        <v>919</v>
      </c>
    </row>
    <row r="44" spans="1:6">
      <c r="A44" s="1">
        <v>27166784</v>
      </c>
      <c r="B44" s="1">
        <v>3</v>
      </c>
    </row>
    <row r="45" spans="1:6">
      <c r="A45" s="1">
        <v>27161705</v>
      </c>
      <c r="B45" s="1">
        <v>3</v>
      </c>
      <c r="C45" s="1" t="s">
        <v>918</v>
      </c>
    </row>
    <row r="46" spans="1:6">
      <c r="A46" s="1">
        <v>27130666</v>
      </c>
      <c r="B46" s="1">
        <v>3</v>
      </c>
      <c r="C46" s="1" t="s">
        <v>908</v>
      </c>
    </row>
    <row r="47" spans="1:6">
      <c r="A47" s="1">
        <v>27113171</v>
      </c>
      <c r="B47" s="1">
        <v>3</v>
      </c>
    </row>
    <row r="48" spans="1:6">
      <c r="A48" s="1">
        <v>27205164</v>
      </c>
      <c r="B48" s="1">
        <v>2</v>
      </c>
      <c r="D48" s="7">
        <v>39363</v>
      </c>
      <c r="F48" s="8"/>
    </row>
    <row r="49" spans="1:6">
      <c r="A49" s="1">
        <v>27203347</v>
      </c>
      <c r="B49" s="1">
        <v>2</v>
      </c>
    </row>
    <row r="50" spans="1:6">
      <c r="A50" s="1">
        <v>27198380</v>
      </c>
      <c r="B50" s="1">
        <v>2</v>
      </c>
      <c r="C50" s="1" t="s">
        <v>940</v>
      </c>
    </row>
    <row r="51" spans="1:6">
      <c r="A51" s="1">
        <v>27195530</v>
      </c>
      <c r="B51" s="1">
        <v>2</v>
      </c>
    </row>
    <row r="52" spans="1:6">
      <c r="A52" s="1">
        <v>27187501</v>
      </c>
      <c r="B52" s="1">
        <v>2</v>
      </c>
    </row>
    <row r="53" spans="1:6">
      <c r="A53" s="1">
        <v>27186837</v>
      </c>
      <c r="B53" s="1">
        <v>2</v>
      </c>
      <c r="C53" s="1" t="s">
        <v>927</v>
      </c>
    </row>
    <row r="54" spans="1:6">
      <c r="A54" s="1">
        <v>27180340</v>
      </c>
      <c r="B54" s="1">
        <v>2</v>
      </c>
      <c r="C54" s="1" t="s">
        <v>923</v>
      </c>
    </row>
    <row r="55" spans="1:6">
      <c r="A55" s="1">
        <v>27177984</v>
      </c>
      <c r="B55" s="1">
        <v>2</v>
      </c>
      <c r="C55" s="1" t="s">
        <v>922</v>
      </c>
    </row>
    <row r="56" spans="1:6">
      <c r="A56" s="1">
        <v>27168653</v>
      </c>
      <c r="B56" s="1">
        <v>2</v>
      </c>
      <c r="D56" s="7">
        <v>39336</v>
      </c>
      <c r="F56" s="8"/>
    </row>
    <row r="57" spans="1:6">
      <c r="A57" s="1">
        <v>27165900</v>
      </c>
      <c r="B57" s="1">
        <v>2</v>
      </c>
    </row>
    <row r="58" spans="1:6">
      <c r="A58" s="1">
        <v>27151470</v>
      </c>
      <c r="B58" s="1">
        <v>2</v>
      </c>
      <c r="C58" s="1" t="s">
        <v>914</v>
      </c>
    </row>
    <row r="59" spans="1:6">
      <c r="A59" s="1">
        <v>27151323</v>
      </c>
      <c r="B59" s="1">
        <v>2</v>
      </c>
    </row>
    <row r="60" spans="1:6">
      <c r="A60" s="1">
        <v>27139740</v>
      </c>
      <c r="B60" s="1">
        <v>2</v>
      </c>
      <c r="C60" s="1" t="s">
        <v>912</v>
      </c>
    </row>
    <row r="61" spans="1:6">
      <c r="A61" s="1">
        <v>27133411</v>
      </c>
      <c r="B61" s="1">
        <v>2</v>
      </c>
      <c r="C61" s="1" t="s">
        <v>911</v>
      </c>
    </row>
    <row r="62" spans="1:6">
      <c r="A62" s="1">
        <v>27132490</v>
      </c>
      <c r="B62" s="1">
        <v>2</v>
      </c>
      <c r="C62" s="1" t="s">
        <v>910</v>
      </c>
    </row>
    <row r="63" spans="1:6">
      <c r="A63" s="1">
        <v>27131523</v>
      </c>
      <c r="B63" s="1">
        <v>2</v>
      </c>
      <c r="C63" s="1" t="s">
        <v>909</v>
      </c>
    </row>
    <row r="64" spans="1:6">
      <c r="A64" s="1">
        <v>27087539</v>
      </c>
      <c r="B64" s="1">
        <v>2</v>
      </c>
    </row>
    <row r="65" spans="1:7">
      <c r="A65" s="1">
        <v>27085974</v>
      </c>
      <c r="B65" s="1">
        <v>2</v>
      </c>
    </row>
    <row r="66" spans="1:7">
      <c r="A66" s="1">
        <v>27085410</v>
      </c>
      <c r="B66" s="1">
        <v>2</v>
      </c>
    </row>
    <row r="67" spans="1:7">
      <c r="A67" s="1">
        <v>27201655</v>
      </c>
      <c r="B67" s="1">
        <v>1</v>
      </c>
      <c r="C67" s="1" t="s">
        <v>942</v>
      </c>
      <c r="D67" s="7">
        <v>39344</v>
      </c>
      <c r="F67" s="8"/>
      <c r="G67" s="1" t="s">
        <v>916</v>
      </c>
    </row>
    <row r="68" spans="1:7">
      <c r="A68" s="1">
        <v>27198546</v>
      </c>
      <c r="B68" s="1">
        <v>1</v>
      </c>
      <c r="C68" s="1" t="s">
        <v>913</v>
      </c>
    </row>
    <row r="69" spans="1:7">
      <c r="A69" s="1">
        <v>27197093</v>
      </c>
      <c r="B69" s="1">
        <v>1</v>
      </c>
      <c r="C69" s="1" t="s">
        <v>913</v>
      </c>
    </row>
    <row r="70" spans="1:7">
      <c r="A70" s="1">
        <v>27196775</v>
      </c>
      <c r="B70" s="1">
        <v>1</v>
      </c>
      <c r="C70" s="1" t="s">
        <v>913</v>
      </c>
    </row>
    <row r="71" spans="1:7">
      <c r="A71" s="1">
        <v>27195722</v>
      </c>
      <c r="B71" s="1">
        <v>1</v>
      </c>
    </row>
    <row r="72" spans="1:7">
      <c r="A72" s="1">
        <v>27195187</v>
      </c>
      <c r="B72" s="1">
        <v>1</v>
      </c>
      <c r="C72" s="1" t="s">
        <v>936</v>
      </c>
      <c r="D72" s="7">
        <v>39389</v>
      </c>
      <c r="F72" s="8"/>
    </row>
    <row r="73" spans="1:7">
      <c r="A73" s="1">
        <v>27194605</v>
      </c>
      <c r="B73" s="1">
        <v>1</v>
      </c>
    </row>
    <row r="74" spans="1:7">
      <c r="A74" s="1">
        <v>27194200</v>
      </c>
      <c r="B74" s="1">
        <v>1</v>
      </c>
    </row>
    <row r="75" spans="1:7">
      <c r="A75" s="1">
        <v>27193790</v>
      </c>
      <c r="B75" s="1">
        <v>1</v>
      </c>
    </row>
    <row r="76" spans="1:7">
      <c r="A76" s="1">
        <v>27193177</v>
      </c>
      <c r="B76" s="1">
        <v>1</v>
      </c>
      <c r="C76" s="1" t="s">
        <v>913</v>
      </c>
      <c r="D76" s="7">
        <v>39329</v>
      </c>
      <c r="F76" s="8"/>
    </row>
    <row r="77" spans="1:7">
      <c r="A77" s="1">
        <v>27192797</v>
      </c>
      <c r="B77" s="1">
        <v>1</v>
      </c>
      <c r="C77" s="1" t="s">
        <v>934</v>
      </c>
    </row>
    <row r="78" spans="1:7">
      <c r="A78" s="1">
        <v>27191868</v>
      </c>
      <c r="B78" s="1">
        <v>1</v>
      </c>
      <c r="C78" s="1" t="s">
        <v>933</v>
      </c>
    </row>
    <row r="79" spans="1:7">
      <c r="A79" s="1">
        <v>27191568</v>
      </c>
      <c r="B79" s="1">
        <v>1</v>
      </c>
      <c r="C79" s="1" t="s">
        <v>913</v>
      </c>
      <c r="D79" s="7">
        <v>39399</v>
      </c>
      <c r="F79" s="8"/>
    </row>
    <row r="80" spans="1:7">
      <c r="A80" s="1">
        <v>27191547</v>
      </c>
      <c r="B80" s="1">
        <v>1</v>
      </c>
      <c r="C80" s="1" t="s">
        <v>932</v>
      </c>
    </row>
    <row r="81" spans="1:6">
      <c r="A81" s="1">
        <v>27189991</v>
      </c>
      <c r="B81" s="1">
        <v>1</v>
      </c>
    </row>
    <row r="82" spans="1:6">
      <c r="A82" s="1">
        <v>27187495</v>
      </c>
      <c r="B82" s="1">
        <v>1</v>
      </c>
      <c r="C82" s="1" t="s">
        <v>929</v>
      </c>
    </row>
    <row r="83" spans="1:6">
      <c r="A83" s="1">
        <v>27187248</v>
      </c>
      <c r="B83" s="1">
        <v>1</v>
      </c>
      <c r="C83" s="1" t="s">
        <v>913</v>
      </c>
    </row>
    <row r="84" spans="1:6">
      <c r="A84" s="1">
        <v>27186914</v>
      </c>
      <c r="B84" s="1">
        <v>1</v>
      </c>
      <c r="C84" s="1" t="s">
        <v>928</v>
      </c>
    </row>
    <row r="85" spans="1:6">
      <c r="A85" s="1">
        <v>27185407</v>
      </c>
      <c r="B85" s="1">
        <v>1</v>
      </c>
      <c r="C85" s="1" t="s">
        <v>926</v>
      </c>
    </row>
    <row r="86" spans="1:6">
      <c r="A86" s="1">
        <v>27184437</v>
      </c>
      <c r="B86" s="1">
        <v>1</v>
      </c>
      <c r="D86" s="7">
        <v>39224</v>
      </c>
      <c r="F86" s="8"/>
    </row>
    <row r="87" spans="1:6">
      <c r="A87" s="1">
        <v>27183898</v>
      </c>
      <c r="B87" s="1">
        <v>1</v>
      </c>
      <c r="C87" s="1" t="s">
        <v>913</v>
      </c>
    </row>
    <row r="88" spans="1:6">
      <c r="A88" s="1">
        <v>27182187</v>
      </c>
      <c r="B88" s="1">
        <v>1</v>
      </c>
      <c r="C88" s="1" t="s">
        <v>913</v>
      </c>
    </row>
    <row r="89" spans="1:6">
      <c r="A89" s="1">
        <v>27182064</v>
      </c>
      <c r="B89" s="1">
        <v>1</v>
      </c>
      <c r="C89" s="1" t="s">
        <v>913</v>
      </c>
    </row>
    <row r="90" spans="1:6">
      <c r="A90" s="1">
        <v>27181171</v>
      </c>
      <c r="B90" s="1">
        <v>1</v>
      </c>
      <c r="C90" s="1" t="s">
        <v>913</v>
      </c>
    </row>
    <row r="91" spans="1:6">
      <c r="A91" s="1">
        <v>27180210</v>
      </c>
      <c r="B91" s="1">
        <v>1</v>
      </c>
      <c r="D91" s="7">
        <v>39317</v>
      </c>
      <c r="F91" s="8"/>
    </row>
    <row r="92" spans="1:6">
      <c r="A92" s="1">
        <v>27177922</v>
      </c>
      <c r="B92" s="1">
        <v>1</v>
      </c>
      <c r="C92" s="1" t="s">
        <v>913</v>
      </c>
    </row>
    <row r="93" spans="1:6">
      <c r="A93" s="1">
        <v>27174490</v>
      </c>
      <c r="B93" s="1">
        <v>1</v>
      </c>
    </row>
    <row r="94" spans="1:6">
      <c r="A94" s="1">
        <v>27172881</v>
      </c>
      <c r="B94" s="1">
        <v>1</v>
      </c>
      <c r="C94" s="1" t="s">
        <v>921</v>
      </c>
    </row>
    <row r="95" spans="1:6">
      <c r="A95" s="1">
        <v>27172642</v>
      </c>
      <c r="B95" s="1">
        <v>1</v>
      </c>
      <c r="C95" s="1" t="s">
        <v>913</v>
      </c>
    </row>
    <row r="96" spans="1:6">
      <c r="A96" s="1">
        <v>27171486</v>
      </c>
      <c r="B96" s="1">
        <v>1</v>
      </c>
      <c r="C96" s="1" t="s">
        <v>913</v>
      </c>
    </row>
    <row r="97" spans="1:7">
      <c r="A97" s="1">
        <v>27163040</v>
      </c>
      <c r="B97" s="1">
        <v>1</v>
      </c>
      <c r="C97" s="1" t="s">
        <v>913</v>
      </c>
    </row>
    <row r="98" spans="1:7">
      <c r="A98" s="1">
        <v>27161813</v>
      </c>
      <c r="B98" s="1">
        <v>1</v>
      </c>
      <c r="C98" s="1" t="s">
        <v>913</v>
      </c>
    </row>
    <row r="99" spans="1:7">
      <c r="A99" s="1">
        <v>27159537</v>
      </c>
      <c r="B99" s="1">
        <v>1</v>
      </c>
      <c r="C99" s="1" t="s">
        <v>913</v>
      </c>
    </row>
    <row r="100" spans="1:7">
      <c r="A100" s="1">
        <v>27154608</v>
      </c>
      <c r="B100" s="1">
        <v>1</v>
      </c>
      <c r="C100" s="1" t="s">
        <v>915</v>
      </c>
      <c r="G100" s="1" t="s">
        <v>916</v>
      </c>
    </row>
    <row r="101" spans="1:7">
      <c r="A101" s="1">
        <v>27147967</v>
      </c>
      <c r="B101" s="1">
        <v>1</v>
      </c>
      <c r="C101" s="1" t="s">
        <v>913</v>
      </c>
    </row>
    <row r="102" spans="1:7">
      <c r="A102" s="1">
        <v>27131889</v>
      </c>
      <c r="B102" s="1">
        <v>1</v>
      </c>
    </row>
    <row r="103" spans="1:7">
      <c r="A103" s="1">
        <v>27096757</v>
      </c>
      <c r="B103" s="1">
        <v>1</v>
      </c>
    </row>
    <row r="104" spans="1:7">
      <c r="A104" s="1">
        <v>27091504</v>
      </c>
      <c r="B104" s="1">
        <v>1</v>
      </c>
    </row>
    <row r="105" spans="1:7">
      <c r="A105" s="1">
        <v>27190229</v>
      </c>
      <c r="B105" s="1">
        <v>-5</v>
      </c>
    </row>
    <row r="106" spans="1:7">
      <c r="A106" s="1">
        <v>27181193</v>
      </c>
      <c r="B106" s="1">
        <v>-5</v>
      </c>
    </row>
  </sheetData>
  <sortState ref="A2:G106">
    <sortCondition descending="1" ref="B2:B106"/>
  </sortState>
  <conditionalFormatting sqref="A1:A106">
    <cfRule type="expression" dxfId="4" priority="1">
      <formula>ISBLANK($B1)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15"/>
  <dimension ref="A1:AS8"/>
  <sheetViews>
    <sheetView workbookViewId="0"/>
  </sheetViews>
  <sheetFormatPr defaultRowHeight="15"/>
  <sheetData>
    <row r="1" spans="1:45">
      <c r="A1" t="s">
        <v>16</v>
      </c>
      <c r="B1" t="s">
        <v>946</v>
      </c>
      <c r="C1" t="s">
        <v>947</v>
      </c>
      <c r="D1" t="s">
        <v>17</v>
      </c>
      <c r="E1" t="s">
        <v>948</v>
      </c>
      <c r="F1" t="s">
        <v>949</v>
      </c>
      <c r="G1" t="s">
        <v>950</v>
      </c>
      <c r="H1" t="s">
        <v>951</v>
      </c>
      <c r="I1" t="s">
        <v>952</v>
      </c>
      <c r="J1" t="s">
        <v>953</v>
      </c>
      <c r="K1" t="s">
        <v>954</v>
      </c>
      <c r="L1" t="s">
        <v>955</v>
      </c>
      <c r="M1" t="s">
        <v>956</v>
      </c>
      <c r="N1" t="s">
        <v>957</v>
      </c>
      <c r="O1" t="s">
        <v>958</v>
      </c>
      <c r="P1" t="s">
        <v>959</v>
      </c>
      <c r="Q1" t="s">
        <v>960</v>
      </c>
      <c r="R1" t="s">
        <v>961</v>
      </c>
      <c r="S1" t="s">
        <v>962</v>
      </c>
      <c r="T1" t="s">
        <v>18</v>
      </c>
      <c r="U1" t="s">
        <v>963</v>
      </c>
      <c r="V1" t="s">
        <v>964</v>
      </c>
      <c r="W1" t="s">
        <v>965</v>
      </c>
      <c r="X1" t="s">
        <v>966</v>
      </c>
      <c r="Y1" t="s">
        <v>967</v>
      </c>
      <c r="Z1" t="s">
        <v>968</v>
      </c>
      <c r="AA1" t="s">
        <v>969</v>
      </c>
      <c r="AB1" t="s">
        <v>970</v>
      </c>
      <c r="AC1" t="s">
        <v>971</v>
      </c>
      <c r="AD1" t="s">
        <v>972</v>
      </c>
      <c r="AE1" t="s">
        <v>973</v>
      </c>
      <c r="AF1" t="s">
        <v>974</v>
      </c>
      <c r="AG1" t="s">
        <v>975</v>
      </c>
      <c r="AH1" t="s">
        <v>976</v>
      </c>
      <c r="AI1" t="s">
        <v>977</v>
      </c>
      <c r="AJ1" t="s">
        <v>978</v>
      </c>
      <c r="AK1" t="s">
        <v>979</v>
      </c>
      <c r="AL1" t="s">
        <v>980</v>
      </c>
      <c r="AM1" t="s">
        <v>981</v>
      </c>
      <c r="AN1" t="s">
        <v>982</v>
      </c>
      <c r="AO1" t="s">
        <v>983</v>
      </c>
      <c r="AP1" t="s">
        <v>984</v>
      </c>
      <c r="AQ1" t="s">
        <v>985</v>
      </c>
      <c r="AR1" t="s">
        <v>986</v>
      </c>
      <c r="AS1" t="s">
        <v>987</v>
      </c>
    </row>
    <row r="2" spans="1:45">
      <c r="A2">
        <v>27205426</v>
      </c>
      <c r="B2" s="4" t="str">
        <f>HYPERLINK("http://locmedia.nwmls.com/DO_NOT_LINK/bigphoto/426/27205426.jpg?tsp=20071127204501","Active")</f>
        <v>Active</v>
      </c>
      <c r="C2">
        <v>705</v>
      </c>
      <c r="D2" t="s">
        <v>19</v>
      </c>
      <c r="E2" t="s">
        <v>1006</v>
      </c>
      <c r="F2" s="5">
        <v>439000</v>
      </c>
      <c r="G2" t="s">
        <v>353</v>
      </c>
      <c r="H2">
        <v>1510</v>
      </c>
      <c r="I2">
        <v>9000</v>
      </c>
      <c r="J2">
        <v>3</v>
      </c>
      <c r="K2">
        <v>1.5</v>
      </c>
      <c r="L2">
        <v>1</v>
      </c>
      <c r="M2" s="4" t="str">
        <f>HYPERLINK("http://locsearch.nwmls.com//ReturnMap.aspx?hidMLS=NWML&amp;VHW=47.722883:-122.339570:.25:&amp;Z=4&amp;H=300&amp;W=400&amp;PP=47.722883:-122.339570:1:027205426","Map")</f>
        <v>Map</v>
      </c>
      <c r="N2" s="4" t="str">
        <f>HYPERLINK("http://locmedia.nwmls.com/DO_NOT_LINK/bigphoto/426/27205426.jpg?tsp=20071127204501","Photo")</f>
        <v>Photo</v>
      </c>
      <c r="O2" s="4" t="str">
        <f>HYPERLINK("http://locator.nwmls.com/scripts/mgrqispi.dll?APPNAME=Locator&amp;PRGNAME=MLSPictureDescriptions&amp;ARGUMENTS=-N622564696,-N27205426,-AE","More")</f>
        <v>More</v>
      </c>
      <c r="Q2" t="s">
        <v>56</v>
      </c>
      <c r="R2" t="s">
        <v>843</v>
      </c>
      <c r="S2" t="s">
        <v>24</v>
      </c>
      <c r="T2" t="s">
        <v>300</v>
      </c>
      <c r="U2" t="s">
        <v>26</v>
      </c>
      <c r="V2" s="6" t="s">
        <v>59</v>
      </c>
      <c r="X2" t="s">
        <v>27</v>
      </c>
      <c r="Y2" t="s">
        <v>28</v>
      </c>
      <c r="Z2" t="s">
        <v>606</v>
      </c>
      <c r="AA2" t="s">
        <v>1007</v>
      </c>
      <c r="AB2">
        <v>2007</v>
      </c>
      <c r="AC2">
        <v>3002</v>
      </c>
      <c r="AD2" t="s">
        <v>1008</v>
      </c>
      <c r="AE2" t="s">
        <v>1009</v>
      </c>
      <c r="AF2" t="s">
        <v>1010</v>
      </c>
      <c r="AG2">
        <v>47.722883000000003</v>
      </c>
      <c r="AH2">
        <v>-122.33956999999999</v>
      </c>
      <c r="AI2" t="s">
        <v>33</v>
      </c>
      <c r="AJ2">
        <v>98133</v>
      </c>
      <c r="AK2" t="s">
        <v>34</v>
      </c>
      <c r="AL2" t="s">
        <v>35</v>
      </c>
      <c r="AM2" t="s">
        <v>35</v>
      </c>
      <c r="AO2">
        <v>0.20699999999999999</v>
      </c>
      <c r="AP2" t="s">
        <v>1011</v>
      </c>
      <c r="AQ2">
        <v>504</v>
      </c>
      <c r="AR2" t="s">
        <v>1012</v>
      </c>
      <c r="AS2" t="s">
        <v>1013</v>
      </c>
    </row>
    <row r="3" spans="1:45">
      <c r="A3">
        <v>27204851</v>
      </c>
      <c r="B3" s="4" t="str">
        <f>HYPERLINK("http://locmedia.nwmls.com/DO_NOT_LINK/bigphoto/851/27204851.jpg?tsp=20071128111621","Active")</f>
        <v>Active</v>
      </c>
      <c r="C3">
        <v>705</v>
      </c>
      <c r="D3" t="s">
        <v>361</v>
      </c>
      <c r="E3" t="s">
        <v>1014</v>
      </c>
      <c r="F3" s="5">
        <v>450000</v>
      </c>
      <c r="G3" t="s">
        <v>21</v>
      </c>
      <c r="H3">
        <v>2360</v>
      </c>
      <c r="I3">
        <v>6200</v>
      </c>
      <c r="J3">
        <v>2</v>
      </c>
      <c r="K3">
        <v>2</v>
      </c>
      <c r="L3">
        <v>1</v>
      </c>
      <c r="M3" s="4" t="str">
        <f>HYPERLINK("http://locsearch.nwmls.com//ReturnMap.aspx?hidMLS=NWML&amp;VHW=47.701530:-122.369828:.25:&amp;Z=4&amp;H=300&amp;W=400&amp;PP=47.701530:-122.369828:1:027204851","Map")</f>
        <v>Map</v>
      </c>
      <c r="N3" s="4" t="str">
        <f>HYPERLINK("http://locmedia.nwmls.com/DO_NOT_LINK/bigphoto/851/27204851.jpg?tsp=20071128111621","Photo")</f>
        <v>Photo</v>
      </c>
      <c r="O3" s="4" t="str">
        <f>HYPERLINK("http://locator.nwmls.com/scripts/mgrqispi.dll?APPNAME=Locator&amp;PRGNAME=MLSPictureDescriptions&amp;ARGUMENTS=-N622564696,-N27204851,-AE","More")</f>
        <v>More</v>
      </c>
      <c r="P3" t="s">
        <v>262</v>
      </c>
      <c r="Q3" t="s">
        <v>1015</v>
      </c>
      <c r="R3" t="s">
        <v>116</v>
      </c>
      <c r="S3" t="s">
        <v>1016</v>
      </c>
      <c r="T3" t="s">
        <v>1017</v>
      </c>
      <c r="U3" t="s">
        <v>26</v>
      </c>
      <c r="V3" s="6" t="s">
        <v>59</v>
      </c>
      <c r="X3" t="s">
        <v>27</v>
      </c>
      <c r="Y3" t="s">
        <v>28</v>
      </c>
      <c r="Z3" t="s">
        <v>184</v>
      </c>
      <c r="AB3">
        <v>2007</v>
      </c>
      <c r="AC3">
        <v>618</v>
      </c>
      <c r="AD3" t="s">
        <v>1018</v>
      </c>
      <c r="AE3" t="s">
        <v>1019</v>
      </c>
      <c r="AF3" t="s">
        <v>600</v>
      </c>
      <c r="AG3">
        <v>47.701529999999998</v>
      </c>
      <c r="AH3">
        <v>-122.369828</v>
      </c>
      <c r="AI3" t="s">
        <v>33</v>
      </c>
      <c r="AJ3">
        <v>98177</v>
      </c>
      <c r="AK3" t="s">
        <v>34</v>
      </c>
      <c r="AL3" t="s">
        <v>35</v>
      </c>
      <c r="AM3" t="s">
        <v>35</v>
      </c>
      <c r="AO3">
        <v>0.14199999999999999</v>
      </c>
      <c r="AP3" t="s">
        <v>1020</v>
      </c>
      <c r="AQ3">
        <v>504</v>
      </c>
      <c r="AR3" t="s">
        <v>100</v>
      </c>
      <c r="AS3" t="s">
        <v>1021</v>
      </c>
    </row>
    <row r="4" spans="1:45">
      <c r="A4">
        <v>27205781</v>
      </c>
      <c r="B4" s="4" t="str">
        <f>HYPERLINK("http://locmedia.nwmls.com/DO_NOT_LINK/bigphoto/781/27205781.jpg?tsp=20071126104414","Active")</f>
        <v>Active</v>
      </c>
      <c r="C4">
        <v>710</v>
      </c>
      <c r="D4" t="s">
        <v>1026</v>
      </c>
      <c r="E4" t="s">
        <v>1027</v>
      </c>
      <c r="F4" s="5">
        <v>399950</v>
      </c>
      <c r="G4" t="s">
        <v>895</v>
      </c>
      <c r="H4">
        <v>2600</v>
      </c>
      <c r="I4">
        <v>6760</v>
      </c>
      <c r="J4">
        <v>4</v>
      </c>
      <c r="K4">
        <v>2</v>
      </c>
      <c r="L4">
        <v>2</v>
      </c>
      <c r="M4" s="4" t="str">
        <f>HYPERLINK("http://locsearch.nwmls.com//ReturnMap.aspx?hidMLS=NWML&amp;VHW=47.713772:-122.296631:.25:&amp;Z=4&amp;H=300&amp;W=400&amp;PP=47.713772:-122.296631:1:027205781","Map")</f>
        <v>Map</v>
      </c>
      <c r="N4" s="4" t="str">
        <f>HYPERLINK("http://locmedia.nwmls.com/DO_NOT_LINK/bigphoto/781/27205781.jpg?tsp=20071126104414","Photo")</f>
        <v>Photo</v>
      </c>
      <c r="O4" s="4" t="str">
        <f>HYPERLINK("http://locator.nwmls.com/scripts/mgrqispi.dll?APPNAME=Locator&amp;PRGNAME=MLSPictureDescriptions&amp;ARGUMENTS=-N622564696,-N27205781,-AE","More")</f>
        <v>More</v>
      </c>
      <c r="P4" t="s">
        <v>41</v>
      </c>
      <c r="Q4" t="s">
        <v>56</v>
      </c>
      <c r="R4" t="s">
        <v>116</v>
      </c>
      <c r="T4" t="s">
        <v>129</v>
      </c>
      <c r="U4" t="s">
        <v>26</v>
      </c>
      <c r="V4" s="6" t="s">
        <v>59</v>
      </c>
      <c r="X4" t="s">
        <v>27</v>
      </c>
      <c r="Y4" t="s">
        <v>28</v>
      </c>
      <c r="Z4" t="s">
        <v>430</v>
      </c>
      <c r="AB4">
        <v>2007</v>
      </c>
      <c r="AC4">
        <v>2937</v>
      </c>
      <c r="AD4" t="s">
        <v>1028</v>
      </c>
      <c r="AE4" t="s">
        <v>121</v>
      </c>
      <c r="AF4" t="s">
        <v>1029</v>
      </c>
      <c r="AG4">
        <v>47.713771999999999</v>
      </c>
      <c r="AH4">
        <v>-122.296631</v>
      </c>
      <c r="AI4" t="s">
        <v>33</v>
      </c>
      <c r="AJ4">
        <v>98125</v>
      </c>
      <c r="AK4" t="s">
        <v>34</v>
      </c>
      <c r="AL4" t="s">
        <v>35</v>
      </c>
      <c r="AM4" t="s">
        <v>35</v>
      </c>
      <c r="AO4">
        <v>0.155</v>
      </c>
      <c r="AP4" t="s">
        <v>1030</v>
      </c>
      <c r="AQ4">
        <v>505</v>
      </c>
      <c r="AR4" t="s">
        <v>742</v>
      </c>
      <c r="AS4" t="s">
        <v>1031</v>
      </c>
    </row>
    <row r="5" spans="1:45">
      <c r="A5">
        <v>27205766</v>
      </c>
      <c r="B5" s="4" t="str">
        <f>HYPERLINK("http://locmedia.nwmls.com/DO_NOT_LINK/bigphoto/766/27205766.jpg?tsp=20071127083801","Active")</f>
        <v>Active</v>
      </c>
      <c r="C5">
        <v>710</v>
      </c>
      <c r="D5" t="s">
        <v>624</v>
      </c>
      <c r="E5" t="s">
        <v>1032</v>
      </c>
      <c r="F5" s="5">
        <v>448000</v>
      </c>
      <c r="G5" t="s">
        <v>1033</v>
      </c>
      <c r="H5">
        <v>1710</v>
      </c>
      <c r="I5">
        <v>8040</v>
      </c>
      <c r="J5">
        <v>3</v>
      </c>
      <c r="K5">
        <v>2</v>
      </c>
      <c r="L5">
        <v>1</v>
      </c>
      <c r="M5" s="4" t="str">
        <f>HYPERLINK("http://locsearch.nwmls.com//ReturnMap.aspx?hidMLS=NWML&amp;VHW=47.713387:-122.301786:.25:&amp;Z=4&amp;H=300&amp;W=400&amp;PP=47.713387:-122.301786:1:027205766","Map")</f>
        <v>Map</v>
      </c>
      <c r="N5" s="4" t="str">
        <f>HYPERLINK("http://locmedia.nwmls.com/DO_NOT_LINK/bigphoto/766/27205766.jpg?tsp=20071127083801","Photo")</f>
        <v>Photo</v>
      </c>
      <c r="O5" s="4" t="str">
        <f>HYPERLINK("http://locator.nwmls.com/scripts/mgrqispi.dll?APPNAME=Locator&amp;PRGNAME=MLSPictureDescriptions&amp;ARGUMENTS=-N622564696,-N27205766,-AE","More")</f>
        <v>More</v>
      </c>
      <c r="P5" t="s">
        <v>41</v>
      </c>
      <c r="Q5" t="s">
        <v>56</v>
      </c>
      <c r="R5" t="s">
        <v>95</v>
      </c>
      <c r="S5" t="s">
        <v>24</v>
      </c>
      <c r="T5" t="s">
        <v>25</v>
      </c>
      <c r="U5" t="s">
        <v>26</v>
      </c>
      <c r="X5" t="s">
        <v>27</v>
      </c>
      <c r="Y5" t="s">
        <v>28</v>
      </c>
      <c r="Z5" t="s">
        <v>1034</v>
      </c>
      <c r="AB5">
        <v>2007</v>
      </c>
      <c r="AC5">
        <v>3104</v>
      </c>
      <c r="AD5" t="s">
        <v>1035</v>
      </c>
      <c r="AE5" t="s">
        <v>1036</v>
      </c>
      <c r="AF5" t="s">
        <v>1037</v>
      </c>
      <c r="AG5">
        <v>47.713386999999997</v>
      </c>
      <c r="AH5">
        <v>-122.30178600000001</v>
      </c>
      <c r="AI5" t="s">
        <v>33</v>
      </c>
      <c r="AJ5">
        <v>98125</v>
      </c>
      <c r="AK5" t="s">
        <v>34</v>
      </c>
      <c r="AL5">
        <v>18</v>
      </c>
      <c r="AM5" t="s">
        <v>35</v>
      </c>
      <c r="AO5">
        <v>0.185</v>
      </c>
      <c r="AP5" t="s">
        <v>1038</v>
      </c>
      <c r="AQ5">
        <v>505</v>
      </c>
      <c r="AR5" t="s">
        <v>711</v>
      </c>
      <c r="AS5" t="s">
        <v>1039</v>
      </c>
    </row>
    <row r="6" spans="1:45">
      <c r="A6">
        <v>27206082</v>
      </c>
      <c r="B6" s="4" t="str">
        <f>HYPERLINK("http://locmedia.nwmls.com/DO_NOT_LINK/bigphoto/082/27206082.jpg?tsp=20071127133626","Active")</f>
        <v>Active</v>
      </c>
      <c r="C6">
        <v>710</v>
      </c>
      <c r="D6" t="s">
        <v>723</v>
      </c>
      <c r="E6" t="s">
        <v>1040</v>
      </c>
      <c r="F6" s="5">
        <v>474650</v>
      </c>
      <c r="G6" t="s">
        <v>460</v>
      </c>
      <c r="H6">
        <v>1200</v>
      </c>
      <c r="I6">
        <v>5097</v>
      </c>
      <c r="J6">
        <v>2</v>
      </c>
      <c r="K6">
        <v>1.75</v>
      </c>
      <c r="L6">
        <v>1</v>
      </c>
      <c r="M6" s="4" t="str">
        <f>HYPERLINK("http://locsearch.nwmls.com//ReturnMap.aspx?hidMLS=NWML&amp;VHW=47.676685:-122.288957:.25:&amp;Z=4&amp;H=300&amp;W=400&amp;PP=47.676685:-122.288957:1:027206082","Map")</f>
        <v>Map</v>
      </c>
      <c r="N6" s="4" t="str">
        <f>HYPERLINK("http://locmedia.nwmls.com/DO_NOT_LINK/bigphoto/082/27206082.jpg?tsp=20071127133626","Photo")</f>
        <v>Photo</v>
      </c>
      <c r="O6" s="4" t="str">
        <f>HYPERLINK("http://locator.nwmls.com/scripts/mgrqispi.dll?APPNAME=Locator&amp;PRGNAME=MLSPictureDescriptions&amp;ARGUMENTS=-N622564696,-N27206082,-AE","More")</f>
        <v>More</v>
      </c>
      <c r="P6" t="s">
        <v>791</v>
      </c>
      <c r="Q6" t="s">
        <v>56</v>
      </c>
      <c r="R6" t="s">
        <v>116</v>
      </c>
      <c r="S6" t="s">
        <v>1041</v>
      </c>
      <c r="T6" t="s">
        <v>129</v>
      </c>
      <c r="U6" t="s">
        <v>26</v>
      </c>
      <c r="V6" s="6" t="s">
        <v>59</v>
      </c>
      <c r="X6" t="s">
        <v>27</v>
      </c>
      <c r="Y6" t="s">
        <v>28</v>
      </c>
      <c r="Z6" t="s">
        <v>1042</v>
      </c>
      <c r="AA6" t="s">
        <v>18</v>
      </c>
      <c r="AB6">
        <v>2006</v>
      </c>
      <c r="AC6">
        <v>3039</v>
      </c>
      <c r="AD6" t="s">
        <v>1043</v>
      </c>
      <c r="AE6" t="s">
        <v>302</v>
      </c>
      <c r="AF6" t="s">
        <v>661</v>
      </c>
      <c r="AG6">
        <v>47.676684999999999</v>
      </c>
      <c r="AH6">
        <v>-122.288957</v>
      </c>
      <c r="AI6" t="s">
        <v>33</v>
      </c>
      <c r="AJ6">
        <v>98115</v>
      </c>
      <c r="AK6" t="s">
        <v>34</v>
      </c>
      <c r="AL6">
        <v>43</v>
      </c>
      <c r="AM6" t="s">
        <v>35</v>
      </c>
      <c r="AO6">
        <v>0.11700000000000001</v>
      </c>
      <c r="AP6" t="s">
        <v>1044</v>
      </c>
      <c r="AQ6">
        <v>535</v>
      </c>
      <c r="AR6" t="s">
        <v>189</v>
      </c>
      <c r="AS6" t="s">
        <v>1045</v>
      </c>
    </row>
    <row r="7" spans="1:45">
      <c r="A7">
        <v>27207393</v>
      </c>
      <c r="B7" s="4" t="str">
        <f>HYPERLINK("http://locmedia.nwmls.com/DO_NOT_LINK/bigphoto/393/27207393.jpg?tsp=20071129135833","Active")</f>
        <v>Active</v>
      </c>
      <c r="C7">
        <v>710</v>
      </c>
      <c r="D7" t="s">
        <v>656</v>
      </c>
      <c r="E7" t="s">
        <v>1046</v>
      </c>
      <c r="F7" s="5">
        <v>496000</v>
      </c>
      <c r="G7" t="s">
        <v>148</v>
      </c>
      <c r="H7">
        <v>1120</v>
      </c>
      <c r="I7">
        <v>5000</v>
      </c>
      <c r="J7">
        <v>2</v>
      </c>
      <c r="K7">
        <v>1</v>
      </c>
      <c r="M7" s="4" t="str">
        <f>HYPERLINK("http://locsearch.nwmls.com//ReturnMap.aspx?hidMLS=NWML&amp;VHW=47.686374:-122.289530:.25:&amp;Z=4&amp;H=300&amp;W=400&amp;PP=47.686374:-122.289530:1:027207393","Map")</f>
        <v>Map</v>
      </c>
      <c r="N7" s="4" t="str">
        <f>HYPERLINK("http://locmedia.nwmls.com/DO_NOT_LINK/bigphoto/393/27207393.jpg?tsp=20071129135833","Photo")</f>
        <v>Photo</v>
      </c>
      <c r="O7" s="4" t="str">
        <f>HYPERLINK("http://locator.nwmls.com/scripts/mgrqispi.dll?APPNAME=Locator&amp;PRGNAME=MLSPictureDescriptions&amp;ARGUMENTS=-N622564696,-N27207393,-AE","More")</f>
        <v>More</v>
      </c>
      <c r="P7" t="s">
        <v>41</v>
      </c>
      <c r="Q7" t="s">
        <v>56</v>
      </c>
      <c r="R7" t="s">
        <v>23</v>
      </c>
      <c r="S7" t="s">
        <v>24</v>
      </c>
      <c r="T7" t="s">
        <v>25</v>
      </c>
      <c r="U7" t="s">
        <v>26</v>
      </c>
      <c r="V7" s="6" t="s">
        <v>59</v>
      </c>
      <c r="X7" t="s">
        <v>27</v>
      </c>
      <c r="Y7" t="s">
        <v>28</v>
      </c>
      <c r="Z7" t="s">
        <v>150</v>
      </c>
      <c r="AB7">
        <v>2007</v>
      </c>
      <c r="AC7">
        <v>3132</v>
      </c>
      <c r="AD7" t="s">
        <v>1047</v>
      </c>
      <c r="AE7" t="s">
        <v>837</v>
      </c>
      <c r="AF7" t="s">
        <v>1048</v>
      </c>
      <c r="AG7">
        <v>47.686374000000001</v>
      </c>
      <c r="AH7">
        <v>-122.28953</v>
      </c>
      <c r="AI7" t="s">
        <v>33</v>
      </c>
      <c r="AJ7">
        <v>98115</v>
      </c>
      <c r="AK7" t="s">
        <v>34</v>
      </c>
      <c r="AL7" t="s">
        <v>35</v>
      </c>
      <c r="AM7" t="s">
        <v>35</v>
      </c>
      <c r="AO7">
        <v>0.115</v>
      </c>
      <c r="AP7" t="s">
        <v>1049</v>
      </c>
      <c r="AQ7">
        <v>535</v>
      </c>
      <c r="AR7" t="s">
        <v>196</v>
      </c>
      <c r="AS7" t="s">
        <v>1050</v>
      </c>
    </row>
    <row r="8" spans="1:45">
      <c r="A8">
        <v>27207377</v>
      </c>
      <c r="B8" s="4" t="str">
        <f>HYPERLINK("http://locmedia.nwmls.com/DO_NOT_LINK/bigphoto/377/27207377.jpg?tsp=20071203095826","Active - STI")</f>
        <v>Active - STI</v>
      </c>
      <c r="C8">
        <v>705</v>
      </c>
      <c r="D8" t="s">
        <v>81</v>
      </c>
      <c r="E8" t="s">
        <v>1022</v>
      </c>
      <c r="F8" s="5">
        <v>460000</v>
      </c>
      <c r="G8" t="s">
        <v>483</v>
      </c>
      <c r="H8">
        <v>1860</v>
      </c>
      <c r="I8">
        <v>3750</v>
      </c>
      <c r="J8">
        <v>2</v>
      </c>
      <c r="K8">
        <v>1</v>
      </c>
      <c r="M8" s="4" t="str">
        <f>HYPERLINK("http://locsearch.nwmls.com//ReturnMap.aspx?hidMLS=NWML&amp;VHW=47.681172:-122.367282:.25:&amp;Z=4&amp;H=300&amp;W=400&amp;PP=47.681172:-122.367282:1:027207377","Map")</f>
        <v>Map</v>
      </c>
      <c r="N8" s="4" t="str">
        <f>HYPERLINK("http://locmedia.nwmls.com/DO_NOT_LINK/bigphoto/377/27207377.jpg?tsp=20071203095826","Photo")</f>
        <v>Photo</v>
      </c>
      <c r="O8" s="4" t="str">
        <f>HYPERLINK("http://locator.nwmls.com/scripts/mgrqispi.dll?APPNAME=Locator&amp;PRGNAME=MLSPictureDescriptions&amp;ARGUMENTS=-N622564696,-N27207377,-AE","More")</f>
        <v>More</v>
      </c>
      <c r="Q8" t="s">
        <v>56</v>
      </c>
      <c r="R8" t="s">
        <v>116</v>
      </c>
      <c r="S8" t="s">
        <v>43</v>
      </c>
      <c r="T8" t="s">
        <v>300</v>
      </c>
      <c r="U8" t="s">
        <v>26</v>
      </c>
      <c r="V8">
        <v>28</v>
      </c>
      <c r="X8" t="s">
        <v>27</v>
      </c>
      <c r="Y8" t="s">
        <v>28</v>
      </c>
      <c r="Z8" t="s">
        <v>60</v>
      </c>
      <c r="AA8" t="s">
        <v>382</v>
      </c>
      <c r="AB8">
        <v>2007</v>
      </c>
      <c r="AC8">
        <v>3290</v>
      </c>
      <c r="AD8" t="s">
        <v>1023</v>
      </c>
      <c r="AE8" t="s">
        <v>302</v>
      </c>
      <c r="AF8" t="s">
        <v>693</v>
      </c>
      <c r="AG8">
        <v>47.681171999999997</v>
      </c>
      <c r="AH8">
        <v>-122.367282</v>
      </c>
      <c r="AI8" t="s">
        <v>33</v>
      </c>
      <c r="AJ8">
        <v>98117</v>
      </c>
      <c r="AK8" t="s">
        <v>34</v>
      </c>
      <c r="AL8" t="s">
        <v>35</v>
      </c>
      <c r="AM8" t="s">
        <v>35</v>
      </c>
      <c r="AO8">
        <v>8.5999999999999993E-2</v>
      </c>
      <c r="AP8" t="s">
        <v>1024</v>
      </c>
      <c r="AQ8">
        <v>534</v>
      </c>
      <c r="AR8" t="s">
        <v>313</v>
      </c>
      <c r="AS8" t="s">
        <v>1060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sheetPr codeName="Sheet19"/>
  <dimension ref="A1:AZ113"/>
  <sheetViews>
    <sheetView topLeftCell="F1" workbookViewId="0">
      <pane ySplit="540" topLeftCell="A85" activePane="bottomLeft"/>
      <selection activeCell="AY1" sqref="AY1"/>
      <selection pane="bottomLeft" activeCell="AX2" sqref="AX2"/>
    </sheetView>
  </sheetViews>
  <sheetFormatPr defaultRowHeight="15"/>
  <cols>
    <col min="1" max="15" width="9.140625" customWidth="1"/>
    <col min="16" max="45" width="9.140625" hidden="1" customWidth="1"/>
    <col min="46" max="47" width="9.140625" customWidth="1"/>
    <col min="48" max="48" width="10.7109375" style="9" customWidth="1"/>
    <col min="49" max="49" width="10" customWidth="1"/>
    <col min="50" max="51" width="9.140625" customWidth="1"/>
    <col min="52" max="52" width="16.42578125" customWidth="1"/>
  </cols>
  <sheetData>
    <row r="1" spans="1:52">
      <c r="A1" t="s">
        <v>16</v>
      </c>
      <c r="B1" t="s">
        <v>946</v>
      </c>
      <c r="C1" t="s">
        <v>947</v>
      </c>
      <c r="D1" t="s">
        <v>17</v>
      </c>
      <c r="E1" t="s">
        <v>948</v>
      </c>
      <c r="F1" t="s">
        <v>949</v>
      </c>
      <c r="G1" t="s">
        <v>950</v>
      </c>
      <c r="H1" t="s">
        <v>951</v>
      </c>
      <c r="I1" t="s">
        <v>952</v>
      </c>
      <c r="J1" t="s">
        <v>953</v>
      </c>
      <c r="K1" t="s">
        <v>954</v>
      </c>
      <c r="L1" t="s">
        <v>955</v>
      </c>
      <c r="M1" t="s">
        <v>956</v>
      </c>
      <c r="N1" t="s">
        <v>957</v>
      </c>
      <c r="O1" t="s">
        <v>958</v>
      </c>
      <c r="P1" t="s">
        <v>959</v>
      </c>
      <c r="Q1" t="s">
        <v>960</v>
      </c>
      <c r="R1" t="s">
        <v>961</v>
      </c>
      <c r="S1" t="s">
        <v>962</v>
      </c>
      <c r="T1" t="s">
        <v>18</v>
      </c>
      <c r="U1" t="s">
        <v>963</v>
      </c>
      <c r="V1" t="s">
        <v>964</v>
      </c>
      <c r="W1" t="s">
        <v>965</v>
      </c>
      <c r="X1" t="s">
        <v>966</v>
      </c>
      <c r="Y1" t="s">
        <v>967</v>
      </c>
      <c r="Z1" t="s">
        <v>968</v>
      </c>
      <c r="AA1" t="s">
        <v>969</v>
      </c>
      <c r="AB1" t="s">
        <v>970</v>
      </c>
      <c r="AC1" t="s">
        <v>971</v>
      </c>
      <c r="AD1" t="s">
        <v>972</v>
      </c>
      <c r="AE1" t="s">
        <v>973</v>
      </c>
      <c r="AF1" t="s">
        <v>974</v>
      </c>
      <c r="AG1" t="s">
        <v>975</v>
      </c>
      <c r="AH1" t="s">
        <v>976</v>
      </c>
      <c r="AI1" t="s">
        <v>977</v>
      </c>
      <c r="AJ1" t="s">
        <v>978</v>
      </c>
      <c r="AK1" t="s">
        <v>979</v>
      </c>
      <c r="AL1" t="s">
        <v>980</v>
      </c>
      <c r="AM1" t="s">
        <v>981</v>
      </c>
      <c r="AN1" t="s">
        <v>982</v>
      </c>
      <c r="AO1" t="s">
        <v>983</v>
      </c>
      <c r="AP1" t="s">
        <v>984</v>
      </c>
      <c r="AQ1" t="s">
        <v>985</v>
      </c>
      <c r="AR1" t="s">
        <v>986</v>
      </c>
      <c r="AS1" t="s">
        <v>987</v>
      </c>
      <c r="AT1" t="s">
        <v>619</v>
      </c>
      <c r="AU1" t="s">
        <v>3</v>
      </c>
      <c r="AV1" s="9" t="s">
        <v>620</v>
      </c>
      <c r="AW1" t="s">
        <v>621</v>
      </c>
      <c r="AX1" t="s">
        <v>622</v>
      </c>
      <c r="AY1" t="s">
        <v>623</v>
      </c>
      <c r="AZ1" t="s">
        <v>988</v>
      </c>
    </row>
    <row r="2" spans="1:52">
      <c r="A2">
        <v>27085410</v>
      </c>
      <c r="B2" s="4" t="str">
        <f>HYPERLINK("http://locmedia.nwmls.com/DO_NOT_LINK/bigphoto/410/27085410.jpg?tsp=20070730001920","Pending")</f>
        <v>Pending</v>
      </c>
      <c r="C2">
        <v>710</v>
      </c>
      <c r="D2" t="s">
        <v>649</v>
      </c>
      <c r="E2" t="s">
        <v>863</v>
      </c>
      <c r="F2" s="5">
        <v>484500</v>
      </c>
      <c r="G2" t="s">
        <v>803</v>
      </c>
      <c r="H2">
        <v>2580</v>
      </c>
      <c r="I2">
        <v>5040</v>
      </c>
      <c r="J2">
        <v>4</v>
      </c>
      <c r="K2">
        <v>2.5</v>
      </c>
      <c r="L2">
        <v>2</v>
      </c>
      <c r="M2" s="4" t="str">
        <f>HYPERLINK("http://locsearch.nwmls.com//ReturnMap.aspx?hidMLS=NWML&amp;VHW=47.695000:-122.326460:.25:&amp;Z=4&amp;H=300&amp;W=400&amp;PP=47.695000:-122.326460:1:027085410","Map")</f>
        <v>Map</v>
      </c>
      <c r="N2" s="4" t="str">
        <f>HYPERLINK("http://locmedia.nwmls.com/DO_NOT_LINK/bigphoto/410/27085410.jpg?tsp=20070730001920","Photo")</f>
        <v>Photo</v>
      </c>
      <c r="O2" s="4" t="str">
        <f>HYPERLINK("http://locator.nwmls.com/scripts/mgrqispi.dll?APPNAME=Locator&amp;PRGNAME=MLSPictureDescriptions&amp;ARGUMENTS=-N585198739,-N27085410,-AE","More")</f>
        <v>More</v>
      </c>
      <c r="Q2" t="s">
        <v>56</v>
      </c>
      <c r="R2" t="s">
        <v>95</v>
      </c>
      <c r="S2" t="s">
        <v>199</v>
      </c>
      <c r="T2" t="s">
        <v>44</v>
      </c>
      <c r="U2" t="s">
        <v>26</v>
      </c>
      <c r="X2" t="s">
        <v>27</v>
      </c>
      <c r="Y2" t="s">
        <v>28</v>
      </c>
      <c r="Z2" t="s">
        <v>423</v>
      </c>
      <c r="AA2" t="s">
        <v>864</v>
      </c>
      <c r="AB2">
        <v>2007</v>
      </c>
      <c r="AC2">
        <v>3791</v>
      </c>
      <c r="AD2" t="s">
        <v>865</v>
      </c>
      <c r="AE2" t="s">
        <v>866</v>
      </c>
      <c r="AF2" t="s">
        <v>867</v>
      </c>
      <c r="AG2">
        <v>47.695</v>
      </c>
      <c r="AH2">
        <v>-122.32646</v>
      </c>
      <c r="AI2" t="s">
        <v>33</v>
      </c>
      <c r="AJ2">
        <v>98115</v>
      </c>
      <c r="AK2" t="s">
        <v>34</v>
      </c>
      <c r="AL2" t="s">
        <v>35</v>
      </c>
      <c r="AM2" t="s">
        <v>35</v>
      </c>
      <c r="AO2">
        <v>0.11600000000000001</v>
      </c>
      <c r="AP2" t="s">
        <v>868</v>
      </c>
      <c r="AQ2">
        <v>505</v>
      </c>
      <c r="AR2" t="s">
        <v>761</v>
      </c>
      <c r="AS2" t="s">
        <v>869</v>
      </c>
      <c r="AT2">
        <v>2</v>
      </c>
      <c r="AW2" s="17"/>
      <c r="AX2">
        <f t="shared" ref="AX2:AX53" ca="1" si="0">IF(ISBLANK($AW2),TODAY()-$AZ2,TODAY()-$AV2)</f>
        <v>25</v>
      </c>
      <c r="AZ2" s="9">
        <v>39408</v>
      </c>
    </row>
    <row r="3" spans="1:52">
      <c r="A3">
        <v>27085974</v>
      </c>
      <c r="B3" s="4" t="str">
        <f>HYPERLINK("http://locmedia.nwmls.com/DO_NOT_LINK/bigphoto/974/27085974.jpg?tsp=20071126135937","Active")</f>
        <v>Active</v>
      </c>
      <c r="C3">
        <v>710</v>
      </c>
      <c r="D3" t="s">
        <v>643</v>
      </c>
      <c r="E3" t="s">
        <v>644</v>
      </c>
      <c r="F3" s="5">
        <v>410000</v>
      </c>
      <c r="G3" t="s">
        <v>645</v>
      </c>
      <c r="H3">
        <v>1810</v>
      </c>
      <c r="I3">
        <v>2501</v>
      </c>
      <c r="J3">
        <v>2</v>
      </c>
      <c r="K3">
        <v>1.5</v>
      </c>
      <c r="L3">
        <v>1</v>
      </c>
      <c r="M3" s="4" t="str">
        <f>HYPERLINK("http://locsearch.nwmls.com//ReturnMap.aspx?hidMLS=NWML&amp;VHW=47.672227:-122.319677:.25:&amp;Z=4&amp;H=300&amp;W=400&amp;PP=47.672227:-122.319677:1:027085974","Map")</f>
        <v>Map</v>
      </c>
      <c r="N3" s="4" t="str">
        <f>HYPERLINK("http://locmedia.nwmls.com/DO_NOT_LINK/bigphoto/974/27085974.jpg?tsp=20071126135937","Photo")</f>
        <v>Photo</v>
      </c>
      <c r="O3" s="4" t="str">
        <f>HYPERLINK("http://locator.nwmls.com/scripts/mgrqispi.dll?APPNAME=Locator&amp;PRGNAME=MLSPictureDescriptions&amp;ARGUMENTS=-N585198739,-N27085974,-AE","More")</f>
        <v>More</v>
      </c>
      <c r="P3" t="s">
        <v>41</v>
      </c>
      <c r="Q3" t="s">
        <v>56</v>
      </c>
      <c r="R3" t="s">
        <v>116</v>
      </c>
      <c r="S3" t="s">
        <v>43</v>
      </c>
      <c r="T3" t="s">
        <v>300</v>
      </c>
      <c r="U3" t="s">
        <v>26</v>
      </c>
      <c r="X3" t="s">
        <v>27</v>
      </c>
      <c r="Y3" t="s">
        <v>28</v>
      </c>
      <c r="Z3" t="s">
        <v>150</v>
      </c>
      <c r="AA3" t="s">
        <v>119</v>
      </c>
      <c r="AB3">
        <v>2006</v>
      </c>
      <c r="AC3">
        <v>3373</v>
      </c>
      <c r="AD3" t="s">
        <v>646</v>
      </c>
      <c r="AE3" t="s">
        <v>302</v>
      </c>
      <c r="AG3">
        <v>47.672226999999999</v>
      </c>
      <c r="AH3">
        <v>-122.319677</v>
      </c>
      <c r="AI3" t="s">
        <v>33</v>
      </c>
      <c r="AJ3">
        <v>98115</v>
      </c>
      <c r="AK3" t="s">
        <v>34</v>
      </c>
      <c r="AL3" t="s">
        <v>35</v>
      </c>
      <c r="AM3" t="s">
        <v>35</v>
      </c>
      <c r="AO3">
        <v>5.7000000000000002E-2</v>
      </c>
      <c r="AP3" s="12" t="s">
        <v>990</v>
      </c>
      <c r="AQ3">
        <v>535</v>
      </c>
      <c r="AR3" t="s">
        <v>509</v>
      </c>
      <c r="AS3" s="12" t="s">
        <v>991</v>
      </c>
      <c r="AT3">
        <v>2</v>
      </c>
      <c r="AW3" s="17"/>
      <c r="AX3">
        <f t="shared" ca="1" si="0"/>
        <v>25</v>
      </c>
      <c r="AZ3" s="9">
        <v>39408</v>
      </c>
    </row>
    <row r="4" spans="1:52">
      <c r="A4">
        <v>27087539</v>
      </c>
      <c r="B4" s="13" t="str">
        <f>HYPERLINK("http://locmedia.nwmls.com/DO_NOT_LINK/bigphoto/539/27087539.jpg?tsp=20071010095117","Sold")</f>
        <v>Sold</v>
      </c>
      <c r="C4">
        <v>705</v>
      </c>
      <c r="D4" t="s">
        <v>81</v>
      </c>
      <c r="E4" t="s">
        <v>566</v>
      </c>
      <c r="F4" s="5">
        <v>489950</v>
      </c>
      <c r="G4" t="s">
        <v>270</v>
      </c>
      <c r="H4">
        <v>1840</v>
      </c>
      <c r="I4">
        <v>4051</v>
      </c>
      <c r="J4">
        <v>4</v>
      </c>
      <c r="K4">
        <v>2</v>
      </c>
      <c r="L4">
        <v>1</v>
      </c>
      <c r="M4" s="4" t="str">
        <f>HYPERLINK("http://locsearch.nwmls.com//ReturnMap.aspx?hidMLS=NWML&amp;VHW=47.686900:-122.373311:.25:&amp;Z=4&amp;H=300&amp;W=400&amp;PP=47.686900:-122.373311:1:027087539","Map")</f>
        <v>Map</v>
      </c>
      <c r="N4" s="4" t="str">
        <f>HYPERLINK("http://locmedia.nwmls.com/DO_NOT_LINK/bigphoto/539/27087539.jpg?tsp=20071010095117","Photo")</f>
        <v>Photo</v>
      </c>
      <c r="O4" s="4" t="str">
        <f>HYPERLINK("http://locator.nwmls.com/scripts/mgrqispi.dll?APPNAME=Locator&amp;PRGNAME=MLSPictureDescriptions&amp;ARGUMENTS=-N363684315,-N27087539,-AE","More")</f>
        <v>More</v>
      </c>
      <c r="Q4" t="s">
        <v>56</v>
      </c>
      <c r="R4" t="s">
        <v>95</v>
      </c>
      <c r="S4" t="s">
        <v>24</v>
      </c>
      <c r="T4" t="s">
        <v>72</v>
      </c>
      <c r="X4" t="s">
        <v>17</v>
      </c>
      <c r="Y4" t="s">
        <v>28</v>
      </c>
      <c r="Z4" t="s">
        <v>184</v>
      </c>
      <c r="AB4">
        <v>2007</v>
      </c>
      <c r="AC4">
        <v>3076</v>
      </c>
      <c r="AD4" t="s">
        <v>567</v>
      </c>
      <c r="AE4" t="s">
        <v>568</v>
      </c>
      <c r="AF4" t="s">
        <v>303</v>
      </c>
      <c r="AG4">
        <v>47.686900000000001</v>
      </c>
      <c r="AH4">
        <v>-122.373311</v>
      </c>
      <c r="AI4" t="s">
        <v>33</v>
      </c>
      <c r="AJ4">
        <v>98117</v>
      </c>
      <c r="AK4" t="s">
        <v>34</v>
      </c>
      <c r="AL4">
        <v>10</v>
      </c>
      <c r="AM4" t="s">
        <v>35</v>
      </c>
      <c r="AN4" s="12">
        <v>485000</v>
      </c>
      <c r="AO4">
        <v>9.2999999999999999E-2</v>
      </c>
      <c r="AP4" t="s">
        <v>569</v>
      </c>
      <c r="AQ4">
        <v>534</v>
      </c>
      <c r="AR4" t="s">
        <v>91</v>
      </c>
      <c r="AS4" t="s">
        <v>570</v>
      </c>
      <c r="AT4">
        <v>2</v>
      </c>
      <c r="AW4" s="17"/>
      <c r="AX4">
        <f t="shared" ca="1" si="0"/>
        <v>28</v>
      </c>
      <c r="AZ4" s="9">
        <v>39405</v>
      </c>
    </row>
    <row r="5" spans="1:52">
      <c r="A5">
        <v>27090381</v>
      </c>
      <c r="B5" s="11" t="str">
        <f>HYPERLINK("http://locmedia.nwmls.com/DO_NOT_LINK/bigphoto/381/27090381.jpg?tsp=20070830174913","Expired")</f>
        <v>Expired</v>
      </c>
      <c r="C5">
        <v>705</v>
      </c>
      <c r="D5" t="s">
        <v>81</v>
      </c>
      <c r="E5" t="s">
        <v>288</v>
      </c>
      <c r="F5" s="5">
        <v>450000</v>
      </c>
      <c r="G5" t="s">
        <v>261</v>
      </c>
      <c r="H5">
        <v>1520</v>
      </c>
      <c r="I5">
        <v>4000</v>
      </c>
      <c r="J5">
        <v>3</v>
      </c>
      <c r="K5">
        <v>1.75</v>
      </c>
      <c r="L5">
        <v>1</v>
      </c>
      <c r="M5" s="4" t="str">
        <f>HYPERLINK("http://locsearch.nwmls.com//ReturnMap.aspx?hidMLS=NWML&amp;VHW=47.675619:-122.364001:.25:&amp;Z=4&amp;H=300&amp;W=400&amp;PP=47.675619:-122.364001:1:027090381","Map")</f>
        <v>Map</v>
      </c>
      <c r="N5" s="4" t="str">
        <f>HYPERLINK("http://locmedia.nwmls.com/DO_NOT_LINK/bigphoto/381/27090381.jpg?tsp=20070830174913","Photo")</f>
        <v>Photo</v>
      </c>
      <c r="O5" s="4" t="str">
        <f>HYPERLINK("http://locator.nwmls.com/scripts/mgrqispi.dll?APPNAME=Locator&amp;PRGNAME=MLSPictureDescriptions&amp;ARGUMENTS=-N363684315,-N27090381,-AE","More")</f>
        <v>More</v>
      </c>
      <c r="Q5" t="s">
        <v>56</v>
      </c>
      <c r="R5" t="s">
        <v>116</v>
      </c>
      <c r="S5" t="s">
        <v>199</v>
      </c>
      <c r="T5" t="s">
        <v>129</v>
      </c>
      <c r="U5" t="s">
        <v>26</v>
      </c>
      <c r="X5" t="s">
        <v>27</v>
      </c>
      <c r="Y5" t="s">
        <v>28</v>
      </c>
      <c r="Z5" t="s">
        <v>289</v>
      </c>
      <c r="AA5" t="s">
        <v>290</v>
      </c>
      <c r="AB5">
        <v>2006</v>
      </c>
      <c r="AC5">
        <v>3104</v>
      </c>
      <c r="AD5" t="s">
        <v>291</v>
      </c>
      <c r="AE5" t="s">
        <v>121</v>
      </c>
      <c r="AF5" t="s">
        <v>292</v>
      </c>
      <c r="AG5">
        <v>47.675618999999998</v>
      </c>
      <c r="AH5">
        <v>-122.364001</v>
      </c>
      <c r="AI5" t="s">
        <v>33</v>
      </c>
      <c r="AJ5">
        <v>98107</v>
      </c>
      <c r="AK5" t="s">
        <v>34</v>
      </c>
      <c r="AL5" t="s">
        <v>293</v>
      </c>
      <c r="AM5" t="s">
        <v>35</v>
      </c>
      <c r="AO5">
        <v>9.1999999999999998E-2</v>
      </c>
      <c r="AP5" t="s">
        <v>294</v>
      </c>
      <c r="AQ5">
        <v>534</v>
      </c>
      <c r="AR5" t="s">
        <v>295</v>
      </c>
      <c r="AS5" t="s">
        <v>296</v>
      </c>
      <c r="AT5">
        <v>4</v>
      </c>
      <c r="AV5" s="9">
        <v>39224</v>
      </c>
      <c r="AW5" s="17">
        <v>187</v>
      </c>
      <c r="AX5">
        <f t="shared" ca="1" si="0"/>
        <v>209</v>
      </c>
      <c r="AY5" t="s">
        <v>907</v>
      </c>
      <c r="AZ5" s="9">
        <v>39405</v>
      </c>
    </row>
    <row r="6" spans="1:52">
      <c r="A6">
        <v>27091504</v>
      </c>
      <c r="B6" s="4" t="str">
        <f>HYPERLINK("http://locmedia.nwmls.com/DO_NOT_LINK/bigphoto/504/27091504.jpg?tsp=20070824150007","Active")</f>
        <v>Active</v>
      </c>
      <c r="C6">
        <v>705</v>
      </c>
      <c r="D6" t="s">
        <v>113</v>
      </c>
      <c r="E6" t="s">
        <v>315</v>
      </c>
      <c r="F6" s="5">
        <v>455000</v>
      </c>
      <c r="G6" t="s">
        <v>316</v>
      </c>
      <c r="H6">
        <v>2800</v>
      </c>
      <c r="I6">
        <v>6591</v>
      </c>
      <c r="J6">
        <v>5</v>
      </c>
      <c r="K6">
        <v>1.75</v>
      </c>
      <c r="L6">
        <v>1</v>
      </c>
      <c r="M6" s="4" t="str">
        <f>HYPERLINK("http://locsearch.nwmls.com//ReturnMap.aspx?hidMLS=NWML&amp;VHW=47.716396:-122.352888:.25:&amp;Z=4&amp;H=300&amp;W=400&amp;PP=47.716396:-122.352888:1:027091504","Map")</f>
        <v>Map</v>
      </c>
      <c r="N6" s="4" t="str">
        <f>HYPERLINK("http://locmedia.nwmls.com/DO_NOT_LINK/bigphoto/504/27091504.jpg?tsp=20070824150007","Photo")</f>
        <v>Photo</v>
      </c>
      <c r="O6" s="4" t="str">
        <f>HYPERLINK("http://locator.nwmls.com/scripts/mgrqispi.dll?APPNAME=Locator&amp;PRGNAME=MLSPictureDescriptions&amp;ARGUMENTS=-N363684315,-N27091504,-AE","More")</f>
        <v>More</v>
      </c>
      <c r="P6" t="s">
        <v>317</v>
      </c>
      <c r="Q6" t="s">
        <v>56</v>
      </c>
      <c r="R6" t="s">
        <v>95</v>
      </c>
      <c r="S6" t="s">
        <v>128</v>
      </c>
      <c r="T6" t="s">
        <v>44</v>
      </c>
      <c r="U6" t="s">
        <v>26</v>
      </c>
      <c r="X6" t="s">
        <v>27</v>
      </c>
      <c r="Y6" t="s">
        <v>28</v>
      </c>
      <c r="Z6" t="s">
        <v>318</v>
      </c>
      <c r="AA6" t="s">
        <v>319</v>
      </c>
      <c r="AB6">
        <v>2006</v>
      </c>
      <c r="AC6">
        <v>3133</v>
      </c>
      <c r="AD6" t="s">
        <v>320</v>
      </c>
      <c r="AE6" t="s">
        <v>302</v>
      </c>
      <c r="AF6" t="s">
        <v>321</v>
      </c>
      <c r="AG6">
        <v>47.716396000000003</v>
      </c>
      <c r="AH6">
        <v>-122.35288799999999</v>
      </c>
      <c r="AI6" t="s">
        <v>33</v>
      </c>
      <c r="AJ6">
        <v>98133</v>
      </c>
      <c r="AK6" t="s">
        <v>34</v>
      </c>
      <c r="AL6">
        <v>15</v>
      </c>
      <c r="AM6" t="s">
        <v>35</v>
      </c>
      <c r="AO6">
        <v>0.151</v>
      </c>
      <c r="AP6" t="s">
        <v>322</v>
      </c>
      <c r="AQ6">
        <v>504</v>
      </c>
      <c r="AR6" t="s">
        <v>323</v>
      </c>
      <c r="AS6" t="s">
        <v>324</v>
      </c>
      <c r="AT6">
        <v>1</v>
      </c>
      <c r="AW6" s="17"/>
      <c r="AX6">
        <f t="shared" ca="1" si="0"/>
        <v>28</v>
      </c>
      <c r="AZ6" s="9">
        <v>39405</v>
      </c>
    </row>
    <row r="7" spans="1:52">
      <c r="A7">
        <v>27096757</v>
      </c>
      <c r="B7" s="4" t="str">
        <f>HYPERLINK("http://locmedia.nwmls.com/DO_NOT_LINK/bigphoto/757/27096757.jpg?tsp=20071119165750","Active")</f>
        <v>Active</v>
      </c>
      <c r="C7">
        <v>705</v>
      </c>
      <c r="D7" t="s">
        <v>81</v>
      </c>
      <c r="E7" t="s">
        <v>279</v>
      </c>
      <c r="F7" s="14">
        <v>439990</v>
      </c>
      <c r="G7" t="s">
        <v>280</v>
      </c>
      <c r="H7">
        <v>1620</v>
      </c>
      <c r="I7">
        <v>0</v>
      </c>
      <c r="J7">
        <v>3</v>
      </c>
      <c r="K7">
        <v>2.5</v>
      </c>
      <c r="L7">
        <v>1</v>
      </c>
      <c r="M7" s="4" t="str">
        <f>HYPERLINK("http://locsearch.nwmls.com//ReturnMap.aspx?hidMLS=NWML&amp;VHW=47.671653:-122.382535:.25:&amp;Z=4&amp;H=300&amp;W=400&amp;PP=47.671653:-122.382535:1:027096757","Map")</f>
        <v>Map</v>
      </c>
      <c r="N7" s="4" t="str">
        <f>HYPERLINK("http://locmedia.nwmls.com/DO_NOT_LINK/bigphoto/757/27096757.jpg?tsp=20071119165750","Photo")</f>
        <v>Photo</v>
      </c>
      <c r="O7" s="4" t="str">
        <f>HYPERLINK("http://locator.nwmls.com/scripts/mgrqispi.dll?APPNAME=Locator&amp;PRGNAME=MLSPictureDescriptions&amp;ARGUMENTS=-N363684315,-N27096757,-AE","More")</f>
        <v>More</v>
      </c>
      <c r="Q7" t="s">
        <v>281</v>
      </c>
      <c r="R7" t="s">
        <v>57</v>
      </c>
      <c r="S7" t="s">
        <v>282</v>
      </c>
      <c r="U7" t="s">
        <v>26</v>
      </c>
      <c r="X7" t="s">
        <v>17</v>
      </c>
      <c r="Y7" t="s">
        <v>28</v>
      </c>
      <c r="Z7" t="s">
        <v>253</v>
      </c>
      <c r="AA7" t="s">
        <v>283</v>
      </c>
      <c r="AB7">
        <v>2007</v>
      </c>
      <c r="AD7" t="s">
        <v>284</v>
      </c>
      <c r="AE7" t="s">
        <v>285</v>
      </c>
      <c r="AF7" t="s">
        <v>122</v>
      </c>
      <c r="AG7" s="12">
        <v>47.671652999999999</v>
      </c>
      <c r="AH7" s="12">
        <v>-122.382535</v>
      </c>
      <c r="AI7" t="s">
        <v>33</v>
      </c>
      <c r="AJ7">
        <v>98107</v>
      </c>
      <c r="AK7" t="s">
        <v>34</v>
      </c>
      <c r="AL7" t="s">
        <v>35</v>
      </c>
      <c r="AM7" t="s">
        <v>35</v>
      </c>
      <c r="AO7">
        <v>0</v>
      </c>
      <c r="AP7" s="15" t="s">
        <v>1003</v>
      </c>
      <c r="AQ7">
        <v>534</v>
      </c>
      <c r="AR7" t="s">
        <v>287</v>
      </c>
      <c r="AS7" s="12" t="s">
        <v>873</v>
      </c>
      <c r="AT7">
        <v>1</v>
      </c>
      <c r="AW7" s="17"/>
      <c r="AX7">
        <f t="shared" ca="1" si="0"/>
        <v>28</v>
      </c>
      <c r="AZ7" s="9">
        <v>39405</v>
      </c>
    </row>
    <row r="8" spans="1:52">
      <c r="A8">
        <v>27113171</v>
      </c>
      <c r="B8" s="4" t="str">
        <f>HYPERLINK("http://locmedia.nwmls.com/DO_NOT_LINK/bigphoto/171/27113171.jpg?tsp=20070803133120","Active")</f>
        <v>Active</v>
      </c>
      <c r="C8">
        <v>705</v>
      </c>
      <c r="D8" t="s">
        <v>19</v>
      </c>
      <c r="E8" t="s">
        <v>102</v>
      </c>
      <c r="F8" s="16">
        <v>389900</v>
      </c>
      <c r="G8" t="s">
        <v>103</v>
      </c>
      <c r="H8">
        <v>1250</v>
      </c>
      <c r="I8">
        <v>5250</v>
      </c>
      <c r="J8">
        <v>3</v>
      </c>
      <c r="K8">
        <v>2</v>
      </c>
      <c r="L8">
        <v>1</v>
      </c>
      <c r="M8" s="4" t="str">
        <f>HYPERLINK("http://locsearch.nwmls.com//ReturnMap.aspx?hidMLS=NWML&amp;VHW=47.732896:-122.334270:.25:&amp;Z=4&amp;H=300&amp;W=400&amp;PP=47.732896:-122.334270:1:027113171","Map")</f>
        <v>Map</v>
      </c>
      <c r="N8" s="4" t="str">
        <f>HYPERLINK("http://locmedia.nwmls.com/DO_NOT_LINK/bigphoto/171/27113171.jpg?tsp=20070803133120","Photo")</f>
        <v>Photo</v>
      </c>
      <c r="O8" s="4" t="str">
        <f>HYPERLINK("http://locator.nwmls.com/scripts/mgrqispi.dll?APPNAME=Locator&amp;PRGNAME=MLSPictureDescriptions&amp;ARGUMENTS=-N363684315,-N27113171,-AE","More")</f>
        <v>More</v>
      </c>
      <c r="Q8" t="s">
        <v>56</v>
      </c>
      <c r="R8" t="s">
        <v>95</v>
      </c>
      <c r="S8" t="s">
        <v>24</v>
      </c>
      <c r="T8" t="s">
        <v>25</v>
      </c>
      <c r="V8">
        <v>348</v>
      </c>
      <c r="X8" t="s">
        <v>27</v>
      </c>
      <c r="Y8" t="s">
        <v>28</v>
      </c>
      <c r="Z8" t="s">
        <v>104</v>
      </c>
      <c r="AA8" t="s">
        <v>105</v>
      </c>
      <c r="AB8">
        <v>2007</v>
      </c>
      <c r="AC8">
        <v>2343</v>
      </c>
      <c r="AD8" t="s">
        <v>106</v>
      </c>
      <c r="AE8" t="s">
        <v>107</v>
      </c>
      <c r="AF8" t="s">
        <v>108</v>
      </c>
      <c r="AG8" s="15">
        <v>47.732895999999997</v>
      </c>
      <c r="AH8" s="15">
        <v>-122.33427</v>
      </c>
      <c r="AI8" t="s">
        <v>33</v>
      </c>
      <c r="AJ8">
        <v>98133</v>
      </c>
      <c r="AK8" t="s">
        <v>34</v>
      </c>
      <c r="AL8" t="s">
        <v>109</v>
      </c>
      <c r="AM8" t="s">
        <v>35</v>
      </c>
      <c r="AO8">
        <v>0.121</v>
      </c>
      <c r="AP8" t="s">
        <v>110</v>
      </c>
      <c r="AQ8">
        <v>505</v>
      </c>
      <c r="AR8" t="s">
        <v>111</v>
      </c>
      <c r="AS8" t="s">
        <v>112</v>
      </c>
      <c r="AT8">
        <v>3</v>
      </c>
      <c r="AW8" s="17"/>
      <c r="AX8">
        <f t="shared" ca="1" si="0"/>
        <v>28</v>
      </c>
      <c r="AZ8" s="9">
        <v>39405</v>
      </c>
    </row>
    <row r="9" spans="1:52">
      <c r="A9">
        <v>27130666</v>
      </c>
      <c r="B9" s="4" t="str">
        <f>HYPERLINK("http://locmedia.nwmls.com/DO_NOT_LINK/bigphoto/666/27130666.jpg?tsp=20071029072125","Active")</f>
        <v>Active</v>
      </c>
      <c r="C9">
        <v>710</v>
      </c>
      <c r="D9" t="s">
        <v>656</v>
      </c>
      <c r="E9" t="s">
        <v>776</v>
      </c>
      <c r="F9" s="5">
        <v>479950</v>
      </c>
      <c r="G9" t="s">
        <v>413</v>
      </c>
      <c r="H9">
        <v>1800</v>
      </c>
      <c r="I9">
        <v>5000</v>
      </c>
      <c r="J9">
        <v>5</v>
      </c>
      <c r="K9">
        <v>1.75</v>
      </c>
      <c r="L9">
        <v>1</v>
      </c>
      <c r="M9" s="4" t="str">
        <f>HYPERLINK("http://locsearch.nwmls.com//ReturnMap.aspx?hidMLS=NWML&amp;VHW=47.685146:-122.290600:.25:&amp;Z=4&amp;H=300&amp;W=400&amp;PP=47.685146:-122.290600:1:027130666","Map")</f>
        <v>Map</v>
      </c>
      <c r="N9" s="4" t="str">
        <f>HYPERLINK("http://locmedia.nwmls.com/DO_NOT_LINK/bigphoto/666/27130666.jpg?tsp=20071029072125","Photo")</f>
        <v>Photo</v>
      </c>
      <c r="O9" s="4" t="str">
        <f>HYPERLINK("http://locator.nwmls.com/scripts/mgrqispi.dll?APPNAME=Locator&amp;PRGNAME=MLSPictureDescriptions&amp;ARGUMENTS=-N585198739,-N27130666,-AE","More")</f>
        <v>More</v>
      </c>
      <c r="P9" t="s">
        <v>41</v>
      </c>
      <c r="Q9" t="s">
        <v>56</v>
      </c>
      <c r="R9" t="s">
        <v>95</v>
      </c>
      <c r="S9" t="s">
        <v>43</v>
      </c>
      <c r="T9" t="s">
        <v>44</v>
      </c>
      <c r="V9" s="6" t="s">
        <v>59</v>
      </c>
      <c r="X9" t="s">
        <v>27</v>
      </c>
      <c r="Y9" t="s">
        <v>28</v>
      </c>
      <c r="Z9" t="s">
        <v>176</v>
      </c>
      <c r="AB9">
        <v>2007</v>
      </c>
      <c r="AC9">
        <v>2799</v>
      </c>
      <c r="AD9" t="s">
        <v>777</v>
      </c>
      <c r="AE9" t="s">
        <v>778</v>
      </c>
      <c r="AF9" t="s">
        <v>779</v>
      </c>
      <c r="AG9">
        <v>47.685146000000003</v>
      </c>
      <c r="AH9">
        <v>-122.2906</v>
      </c>
      <c r="AI9" t="s">
        <v>33</v>
      </c>
      <c r="AJ9">
        <v>98115</v>
      </c>
      <c r="AK9" t="s">
        <v>34</v>
      </c>
      <c r="AL9" t="s">
        <v>780</v>
      </c>
      <c r="AM9" t="s">
        <v>35</v>
      </c>
      <c r="AO9">
        <v>0.115</v>
      </c>
      <c r="AP9" t="s">
        <v>781</v>
      </c>
      <c r="AQ9">
        <v>535</v>
      </c>
      <c r="AR9" t="s">
        <v>196</v>
      </c>
      <c r="AS9" t="s">
        <v>782</v>
      </c>
      <c r="AT9">
        <v>3</v>
      </c>
      <c r="AU9" t="s">
        <v>908</v>
      </c>
      <c r="AW9" s="17"/>
      <c r="AX9">
        <f t="shared" ca="1" si="0"/>
        <v>25</v>
      </c>
      <c r="AZ9" s="9">
        <v>39408</v>
      </c>
    </row>
    <row r="10" spans="1:52">
      <c r="A10">
        <v>27131523</v>
      </c>
      <c r="B10" s="4" t="str">
        <f>HYPERLINK("http://locmedia.nwmls.com/DO_NOT_LINK/bigphoto/523/27131523.jpg?tsp=20070726161848","Active")</f>
        <v>Active</v>
      </c>
      <c r="C10">
        <v>705</v>
      </c>
      <c r="D10" t="s">
        <v>66</v>
      </c>
      <c r="E10" t="s">
        <v>533</v>
      </c>
      <c r="F10" s="5">
        <v>499950</v>
      </c>
      <c r="G10" t="s">
        <v>94</v>
      </c>
      <c r="H10">
        <v>2590</v>
      </c>
      <c r="I10">
        <v>6480</v>
      </c>
      <c r="J10">
        <v>4</v>
      </c>
      <c r="K10">
        <v>1.75</v>
      </c>
      <c r="L10">
        <v>1</v>
      </c>
      <c r="M10" s="4" t="str">
        <f>HYPERLINK("http://locsearch.nwmls.com//ReturnMap.aspx?hidMLS=NWML&amp;VHW=47.693429:-122.328400:.25:&amp;Z=4&amp;H=300&amp;W=400&amp;PP=47.693429:-122.328400:1:027131523","Map")</f>
        <v>Map</v>
      </c>
      <c r="N10" s="4" t="str">
        <f>HYPERLINK("http://locmedia.nwmls.com/DO_NOT_LINK/bigphoto/523/27131523.jpg?tsp=20070726161848","Photo")</f>
        <v>Photo</v>
      </c>
      <c r="O10" s="4" t="str">
        <f>HYPERLINK("http://locator.nwmls.com/scripts/mgrqispi.dll?APPNAME=Locator&amp;PRGNAME=MLSPictureDescriptions&amp;ARGUMENTS=-N363684315,-N27131523,-AE","More")</f>
        <v>More</v>
      </c>
      <c r="P10" t="s">
        <v>41</v>
      </c>
      <c r="Q10" t="s">
        <v>167</v>
      </c>
      <c r="R10" t="s">
        <v>95</v>
      </c>
      <c r="S10" t="s">
        <v>199</v>
      </c>
      <c r="T10" t="s">
        <v>129</v>
      </c>
      <c r="U10" t="s">
        <v>26</v>
      </c>
      <c r="V10" t="s">
        <v>534</v>
      </c>
      <c r="X10" t="s">
        <v>27</v>
      </c>
      <c r="Y10" t="s">
        <v>28</v>
      </c>
      <c r="Z10" t="s">
        <v>96</v>
      </c>
      <c r="AA10" t="s">
        <v>535</v>
      </c>
      <c r="AB10">
        <v>2007</v>
      </c>
      <c r="AC10">
        <v>3587</v>
      </c>
      <c r="AD10" t="s">
        <v>536</v>
      </c>
      <c r="AE10" t="s">
        <v>121</v>
      </c>
      <c r="AF10" t="s">
        <v>537</v>
      </c>
      <c r="AG10">
        <v>47.693429000000002</v>
      </c>
      <c r="AH10">
        <v>-122.3284</v>
      </c>
      <c r="AI10" t="s">
        <v>33</v>
      </c>
      <c r="AJ10">
        <v>98115</v>
      </c>
      <c r="AK10" t="s">
        <v>34</v>
      </c>
      <c r="AL10" t="s">
        <v>35</v>
      </c>
      <c r="AM10" t="s">
        <v>35</v>
      </c>
      <c r="AO10">
        <v>0.14899999999999999</v>
      </c>
      <c r="AP10" t="s">
        <v>538</v>
      </c>
      <c r="AQ10">
        <v>535</v>
      </c>
      <c r="AR10" t="s">
        <v>539</v>
      </c>
      <c r="AS10" t="s">
        <v>540</v>
      </c>
      <c r="AT10">
        <v>2</v>
      </c>
      <c r="AU10" t="s">
        <v>909</v>
      </c>
      <c r="AW10" s="17"/>
      <c r="AX10">
        <f t="shared" ca="1" si="0"/>
        <v>28</v>
      </c>
      <c r="AZ10" s="9">
        <v>39405</v>
      </c>
    </row>
    <row r="11" spans="1:52">
      <c r="A11">
        <v>27131889</v>
      </c>
      <c r="B11" s="11" t="str">
        <f>HYPERLINK("http://locmedia.nwmls.com/DO_NOT_LINK/bigphoto/889/27131889.jpg?tsp=20071020134308","Cancelled")</f>
        <v>Cancelled</v>
      </c>
      <c r="C11">
        <v>705</v>
      </c>
      <c r="D11" t="s">
        <v>361</v>
      </c>
      <c r="E11" t="s">
        <v>412</v>
      </c>
      <c r="F11" s="5">
        <v>475000</v>
      </c>
      <c r="G11" t="s">
        <v>413</v>
      </c>
      <c r="H11">
        <v>1540</v>
      </c>
      <c r="I11">
        <v>3740</v>
      </c>
      <c r="J11">
        <v>4</v>
      </c>
      <c r="K11">
        <v>2</v>
      </c>
      <c r="L11">
        <v>1</v>
      </c>
      <c r="M11" s="4" t="str">
        <f>HYPERLINK("http://locsearch.nwmls.com//ReturnMap.aspx?hidMLS=NWML&amp;VHW=47.688740:-122.374946:.25:&amp;Z=4&amp;H=300&amp;W=400&amp;PP=47.688740:-122.374946:1:027131889","Map")</f>
        <v>Map</v>
      </c>
      <c r="N11" s="4" t="str">
        <f>HYPERLINK("http://locmedia.nwmls.com/DO_NOT_LINK/bigphoto/889/27131889.jpg?tsp=20071020134308","Photo")</f>
        <v>Photo</v>
      </c>
      <c r="O11" s="4" t="str">
        <f>HYPERLINK("http://locator.nwmls.com/scripts/mgrqispi.dll?APPNAME=Locator&amp;PRGNAME=MLSPictureDescriptions&amp;ARGUMENTS=-N363684315,-N27131889,-AE","More")</f>
        <v>More</v>
      </c>
      <c r="Q11" t="s">
        <v>56</v>
      </c>
      <c r="R11" t="s">
        <v>116</v>
      </c>
      <c r="S11" t="s">
        <v>58</v>
      </c>
      <c r="T11" t="s">
        <v>72</v>
      </c>
      <c r="U11" t="s">
        <v>26</v>
      </c>
      <c r="V11" s="6" t="s">
        <v>59</v>
      </c>
      <c r="X11" t="s">
        <v>27</v>
      </c>
      <c r="Y11" t="s">
        <v>28</v>
      </c>
      <c r="Z11" t="s">
        <v>29</v>
      </c>
      <c r="AA11" t="s">
        <v>414</v>
      </c>
      <c r="AB11">
        <v>2007</v>
      </c>
      <c r="AC11">
        <v>3485</v>
      </c>
      <c r="AD11" t="s">
        <v>415</v>
      </c>
      <c r="AF11" t="s">
        <v>416</v>
      </c>
      <c r="AG11" s="15">
        <v>47.688740000000003</v>
      </c>
      <c r="AH11">
        <v>-122.37494599999999</v>
      </c>
      <c r="AI11" t="s">
        <v>33</v>
      </c>
      <c r="AJ11">
        <v>98117</v>
      </c>
      <c r="AK11" t="s">
        <v>34</v>
      </c>
      <c r="AL11" t="s">
        <v>35</v>
      </c>
      <c r="AM11" t="s">
        <v>35</v>
      </c>
      <c r="AO11">
        <v>8.5999999999999993E-2</v>
      </c>
      <c r="AP11" t="s">
        <v>417</v>
      </c>
      <c r="AQ11">
        <v>534</v>
      </c>
      <c r="AR11" t="s">
        <v>371</v>
      </c>
      <c r="AS11" s="15" t="s">
        <v>1005</v>
      </c>
      <c r="AT11">
        <v>1</v>
      </c>
      <c r="AW11" s="17"/>
      <c r="AX11">
        <f t="shared" ca="1" si="0"/>
        <v>28</v>
      </c>
      <c r="AZ11" s="9">
        <v>39405</v>
      </c>
    </row>
    <row r="12" spans="1:52">
      <c r="A12">
        <v>27132490</v>
      </c>
      <c r="B12" s="4" t="str">
        <f>HYPERLINK("http://locmedia.nwmls.com/DO_NOT_LINK/bigphoto/490/27132490.jpg?tsp=20071017092645","Active")</f>
        <v>Active</v>
      </c>
      <c r="C12">
        <v>710</v>
      </c>
      <c r="D12" t="s">
        <v>624</v>
      </c>
      <c r="E12" t="s">
        <v>625</v>
      </c>
      <c r="F12" s="5">
        <v>399000</v>
      </c>
      <c r="G12" t="s">
        <v>626</v>
      </c>
      <c r="H12">
        <v>1850</v>
      </c>
      <c r="I12">
        <v>9804</v>
      </c>
      <c r="J12">
        <v>3</v>
      </c>
      <c r="K12">
        <v>1</v>
      </c>
      <c r="L12">
        <v>1</v>
      </c>
      <c r="M12" s="4" t="str">
        <f>HYPERLINK("http://locsearch.nwmls.com//ReturnMap.aspx?hidMLS=NWML&amp;VHW=47.719401:-122.310001:.25:&amp;Z=4&amp;H=300&amp;W=400&amp;PP=47.719401:-122.310001:1:027132490","Map")</f>
        <v>Map</v>
      </c>
      <c r="N12" s="4" t="str">
        <f>HYPERLINK("http://locmedia.nwmls.com/DO_NOT_LINK/bigphoto/490/27132490.jpg?tsp=20071017092645","Photo")</f>
        <v>Photo</v>
      </c>
      <c r="O12" s="4" t="str">
        <f>HYPERLINK("http://locator.nwmls.com/scripts/mgrqispi.dll?APPNAME=Locator&amp;PRGNAME=MLSPictureDescriptions&amp;ARGUMENTS=-N585198739,-N27132490,-AE","More")</f>
        <v>More</v>
      </c>
      <c r="P12" t="s">
        <v>604</v>
      </c>
      <c r="Q12" t="s">
        <v>56</v>
      </c>
      <c r="R12" t="s">
        <v>116</v>
      </c>
      <c r="S12" t="s">
        <v>627</v>
      </c>
      <c r="T12" t="s">
        <v>300</v>
      </c>
      <c r="U12" t="s">
        <v>26</v>
      </c>
      <c r="V12" s="6" t="s">
        <v>59</v>
      </c>
      <c r="X12" t="s">
        <v>27</v>
      </c>
      <c r="Y12" t="s">
        <v>28</v>
      </c>
      <c r="Z12" t="s">
        <v>176</v>
      </c>
      <c r="AB12">
        <v>2006</v>
      </c>
      <c r="AC12">
        <v>3700</v>
      </c>
      <c r="AD12" t="s">
        <v>628</v>
      </c>
      <c r="AE12" t="s">
        <v>629</v>
      </c>
      <c r="AF12" t="s">
        <v>630</v>
      </c>
      <c r="AG12">
        <v>47.719400999999998</v>
      </c>
      <c r="AH12">
        <v>-122.310001</v>
      </c>
      <c r="AI12" t="s">
        <v>33</v>
      </c>
      <c r="AJ12">
        <v>98125</v>
      </c>
      <c r="AK12" t="s">
        <v>34</v>
      </c>
      <c r="AL12" t="s">
        <v>35</v>
      </c>
      <c r="AM12" t="s">
        <v>35</v>
      </c>
      <c r="AO12">
        <v>0.22500000000000001</v>
      </c>
      <c r="AP12" t="s">
        <v>631</v>
      </c>
      <c r="AQ12">
        <v>505</v>
      </c>
      <c r="AR12" t="s">
        <v>632</v>
      </c>
      <c r="AS12" t="s">
        <v>633</v>
      </c>
      <c r="AT12">
        <v>2</v>
      </c>
      <c r="AU12" t="s">
        <v>910</v>
      </c>
      <c r="AW12" s="17"/>
      <c r="AX12">
        <f t="shared" ca="1" si="0"/>
        <v>25</v>
      </c>
      <c r="AZ12" s="9">
        <v>39408</v>
      </c>
    </row>
    <row r="13" spans="1:52">
      <c r="A13">
        <v>27133411</v>
      </c>
      <c r="B13" s="4" t="str">
        <f>HYPERLINK("http://locmedia.nwmls.com/DO_NOT_LINK/bigphoto/411/27133411.jpg?tsp=20070723091220","Active")</f>
        <v>Active</v>
      </c>
      <c r="C13">
        <v>710</v>
      </c>
      <c r="D13" t="s">
        <v>634</v>
      </c>
      <c r="E13" t="s">
        <v>635</v>
      </c>
      <c r="F13" s="5">
        <v>399000</v>
      </c>
      <c r="G13" t="s">
        <v>138</v>
      </c>
      <c r="H13">
        <v>1030</v>
      </c>
      <c r="I13">
        <v>8385</v>
      </c>
      <c r="J13">
        <v>3</v>
      </c>
      <c r="K13">
        <v>1</v>
      </c>
      <c r="L13">
        <v>1</v>
      </c>
      <c r="M13" s="4" t="str">
        <f>HYPERLINK("http://locsearch.nwmls.com//ReturnMap.aspx?hidMLS=NWML&amp;VHW=47.709699:-122.292100:.25:&amp;Z=4&amp;H=300&amp;W=400&amp;PP=47.709699:-122.292100:1:027133411","Map")</f>
        <v>Map</v>
      </c>
      <c r="N13" s="4" t="str">
        <f>HYPERLINK("http://locmedia.nwmls.com/DO_NOT_LINK/bigphoto/411/27133411.jpg?tsp=20070723091220","Photo")</f>
        <v>Photo</v>
      </c>
      <c r="O13" s="4" t="str">
        <f>HYPERLINK("http://locator.nwmls.com/scripts/mgrqispi.dll?APPNAME=Locator&amp;PRGNAME=MLSPictureDescriptions&amp;ARGUMENTS=-N585198739,-N27133411,-AE","More")</f>
        <v>More</v>
      </c>
      <c r="P13" t="s">
        <v>41</v>
      </c>
      <c r="Q13" t="s">
        <v>56</v>
      </c>
      <c r="R13" t="s">
        <v>57</v>
      </c>
      <c r="S13" t="s">
        <v>43</v>
      </c>
      <c r="T13" t="s">
        <v>129</v>
      </c>
      <c r="U13" t="s">
        <v>26</v>
      </c>
      <c r="V13" s="6" t="s">
        <v>59</v>
      </c>
      <c r="W13" t="s">
        <v>17</v>
      </c>
      <c r="X13" t="s">
        <v>27</v>
      </c>
      <c r="Y13" t="s">
        <v>28</v>
      </c>
      <c r="Z13" t="s">
        <v>405</v>
      </c>
      <c r="AA13" t="s">
        <v>636</v>
      </c>
      <c r="AB13">
        <v>2007</v>
      </c>
      <c r="AC13">
        <v>2613</v>
      </c>
      <c r="AD13" t="s">
        <v>637</v>
      </c>
      <c r="AE13" t="s">
        <v>638</v>
      </c>
      <c r="AF13" t="s">
        <v>639</v>
      </c>
      <c r="AG13">
        <v>47.709699000000001</v>
      </c>
      <c r="AH13">
        <v>-122.2921</v>
      </c>
      <c r="AI13" t="s">
        <v>33</v>
      </c>
      <c r="AJ13">
        <v>98125</v>
      </c>
      <c r="AK13" t="s">
        <v>34</v>
      </c>
      <c r="AL13">
        <v>8</v>
      </c>
      <c r="AM13" t="s">
        <v>35</v>
      </c>
      <c r="AO13">
        <v>0.192</v>
      </c>
      <c r="AP13" t="s">
        <v>640</v>
      </c>
      <c r="AQ13">
        <v>505</v>
      </c>
      <c r="AR13" t="s">
        <v>641</v>
      </c>
      <c r="AS13" t="s">
        <v>642</v>
      </c>
      <c r="AT13">
        <v>2</v>
      </c>
      <c r="AU13" t="s">
        <v>911</v>
      </c>
      <c r="AW13" s="17"/>
      <c r="AX13">
        <f t="shared" ca="1" si="0"/>
        <v>25</v>
      </c>
      <c r="AZ13" s="9">
        <v>39408</v>
      </c>
    </row>
    <row r="14" spans="1:52">
      <c r="A14">
        <v>27139740</v>
      </c>
      <c r="B14" s="11" t="str">
        <f>HYPERLINK("http://locmedia.nwmls.com/DO_NOT_LINK/bigphoto/740/27139740.jpg?tsp=20070803112108","Cancelled")</f>
        <v>Cancelled</v>
      </c>
      <c r="C14">
        <v>710</v>
      </c>
      <c r="D14" t="s">
        <v>634</v>
      </c>
      <c r="E14" t="s">
        <v>737</v>
      </c>
      <c r="F14" s="5">
        <v>470000</v>
      </c>
      <c r="G14" t="s">
        <v>546</v>
      </c>
      <c r="H14">
        <v>2540</v>
      </c>
      <c r="I14">
        <v>4950</v>
      </c>
      <c r="J14">
        <v>3</v>
      </c>
      <c r="K14">
        <v>3</v>
      </c>
      <c r="L14">
        <v>2</v>
      </c>
      <c r="M14" s="4" t="str">
        <f>HYPERLINK("http://locsearch.nwmls.com//ReturnMap.aspx?hidMLS=NWML&amp;VHW=47.713189:-122.294954:.25:&amp;Z=4&amp;H=300&amp;W=400&amp;PP=47.713189:-122.294954:1:027139740","Map")</f>
        <v>Map</v>
      </c>
      <c r="N14" s="4" t="str">
        <f>HYPERLINK("http://locmedia.nwmls.com/DO_NOT_LINK/bigphoto/740/27139740.jpg?tsp=20070803112108","Photo")</f>
        <v>Photo</v>
      </c>
      <c r="O14" s="4" t="str">
        <f>HYPERLINK("http://locator.nwmls.com/scripts/mgrqispi.dll?APPNAME=Locator&amp;PRGNAME=MLSPictureDescriptions&amp;ARGUMENTS=-N585198739,-N27139740,-AE","More")</f>
        <v>More</v>
      </c>
      <c r="Q14" t="s">
        <v>167</v>
      </c>
      <c r="R14" t="s">
        <v>429</v>
      </c>
      <c r="S14" t="s">
        <v>475</v>
      </c>
      <c r="T14" t="s">
        <v>129</v>
      </c>
      <c r="U14" t="s">
        <v>26</v>
      </c>
      <c r="V14" s="6" t="s">
        <v>59</v>
      </c>
      <c r="X14" t="s">
        <v>27</v>
      </c>
      <c r="Y14" t="s">
        <v>28</v>
      </c>
      <c r="Z14" t="s">
        <v>430</v>
      </c>
      <c r="AB14">
        <v>2006</v>
      </c>
      <c r="AC14">
        <v>3200</v>
      </c>
      <c r="AD14" t="s">
        <v>738</v>
      </c>
      <c r="AE14" t="s">
        <v>739</v>
      </c>
      <c r="AF14" t="s">
        <v>740</v>
      </c>
      <c r="AG14">
        <v>47.713189</v>
      </c>
      <c r="AH14">
        <v>-122.294954</v>
      </c>
      <c r="AI14" t="s">
        <v>33</v>
      </c>
      <c r="AJ14">
        <v>98125</v>
      </c>
      <c r="AK14" t="s">
        <v>34</v>
      </c>
      <c r="AL14" t="s">
        <v>35</v>
      </c>
      <c r="AM14" t="s">
        <v>35</v>
      </c>
      <c r="AO14">
        <v>0.114</v>
      </c>
      <c r="AP14" t="s">
        <v>741</v>
      </c>
      <c r="AQ14">
        <v>505</v>
      </c>
      <c r="AR14" t="s">
        <v>742</v>
      </c>
      <c r="AS14" t="s">
        <v>743</v>
      </c>
      <c r="AT14">
        <v>2</v>
      </c>
      <c r="AU14" t="s">
        <v>912</v>
      </c>
      <c r="AW14" s="17"/>
      <c r="AX14">
        <f t="shared" ca="1" si="0"/>
        <v>25</v>
      </c>
      <c r="AZ14" s="9">
        <v>39408</v>
      </c>
    </row>
    <row r="15" spans="1:52">
      <c r="A15">
        <v>27147967</v>
      </c>
      <c r="B15" s="11" t="str">
        <f>HYPERLINK("http://locmedia.nwmls.com/DO_NOT_LINK/bigphoto/967/27147967.jpg?tsp=20071024153813","Expired")</f>
        <v>Expired</v>
      </c>
      <c r="C15">
        <v>705</v>
      </c>
      <c r="D15" t="s">
        <v>224</v>
      </c>
      <c r="E15" t="s">
        <v>260</v>
      </c>
      <c r="F15" s="5">
        <v>449500</v>
      </c>
      <c r="G15" t="s">
        <v>261</v>
      </c>
      <c r="H15">
        <v>1730</v>
      </c>
      <c r="I15">
        <v>3500</v>
      </c>
      <c r="J15">
        <v>2</v>
      </c>
      <c r="K15">
        <v>1</v>
      </c>
      <c r="L15">
        <v>1</v>
      </c>
      <c r="M15" s="4" t="str">
        <f>HYPERLINK("http://locsearch.nwmls.com//ReturnMap.aspx?hidMLS=NWML&amp;VHW=47.675854:-122.358501:.25:&amp;Z=4&amp;H=300&amp;W=400&amp;PP=47.675854:-122.358501:1:027147967","Map")</f>
        <v>Map</v>
      </c>
      <c r="N15" s="4" t="str">
        <f>HYPERLINK("http://locmedia.nwmls.com/DO_NOT_LINK/bigphoto/967/27147967.jpg?tsp=20071024153813","Photo")</f>
        <v>Photo</v>
      </c>
      <c r="O15" s="4" t="str">
        <f>HYPERLINK("http://locator.nwmls.com/scripts/mgrqispi.dll?APPNAME=Locator&amp;PRGNAME=MLSPictureDescriptions&amp;ARGUMENTS=-N363684315,-N27147967,-AE","More")</f>
        <v>More</v>
      </c>
      <c r="P15" t="s">
        <v>262</v>
      </c>
      <c r="Q15" t="s">
        <v>42</v>
      </c>
      <c r="R15" t="s">
        <v>23</v>
      </c>
      <c r="S15" t="s">
        <v>199</v>
      </c>
      <c r="T15" t="s">
        <v>263</v>
      </c>
      <c r="V15" s="6" t="s">
        <v>59</v>
      </c>
      <c r="X15" t="s">
        <v>27</v>
      </c>
      <c r="Y15" t="s">
        <v>28</v>
      </c>
      <c r="Z15" t="s">
        <v>150</v>
      </c>
      <c r="AA15" t="s">
        <v>264</v>
      </c>
      <c r="AB15">
        <v>2007</v>
      </c>
      <c r="AC15">
        <v>3476</v>
      </c>
      <c r="AD15" t="s">
        <v>265</v>
      </c>
      <c r="AF15" t="s">
        <v>266</v>
      </c>
      <c r="AG15">
        <v>47.675854000000001</v>
      </c>
      <c r="AH15">
        <v>-122.358501</v>
      </c>
      <c r="AI15" t="s">
        <v>33</v>
      </c>
      <c r="AJ15">
        <v>98107</v>
      </c>
      <c r="AK15" t="s">
        <v>34</v>
      </c>
      <c r="AL15" t="s">
        <v>35</v>
      </c>
      <c r="AM15" t="s">
        <v>35</v>
      </c>
      <c r="AO15">
        <v>0.08</v>
      </c>
      <c r="AP15" t="s">
        <v>267</v>
      </c>
      <c r="AQ15">
        <v>534</v>
      </c>
      <c r="AR15" t="s">
        <v>172</v>
      </c>
      <c r="AS15" t="s">
        <v>268</v>
      </c>
      <c r="AT15">
        <v>1</v>
      </c>
      <c r="AU15" t="s">
        <v>913</v>
      </c>
      <c r="AW15" s="17"/>
      <c r="AX15">
        <f t="shared" ca="1" si="0"/>
        <v>28</v>
      </c>
      <c r="AZ15" s="9">
        <v>39405</v>
      </c>
    </row>
    <row r="16" spans="1:52">
      <c r="A16">
        <v>27151323</v>
      </c>
      <c r="B16" s="13" t="str">
        <f>HYPERLINK("http://locmedia.nwmls.com/DO_NOT_LINK/bigphoto/323/27151323.jpg?tsp=20070817134438","Expired")</f>
        <v>Expired</v>
      </c>
      <c r="C16">
        <v>705</v>
      </c>
      <c r="D16" t="s">
        <v>81</v>
      </c>
      <c r="E16" t="s">
        <v>269</v>
      </c>
      <c r="F16" s="5">
        <v>449950</v>
      </c>
      <c r="G16" t="s">
        <v>270</v>
      </c>
      <c r="H16">
        <v>1130</v>
      </c>
      <c r="I16">
        <v>5400</v>
      </c>
      <c r="J16">
        <v>2</v>
      </c>
      <c r="K16">
        <v>2.25</v>
      </c>
      <c r="L16">
        <v>1</v>
      </c>
      <c r="M16" s="4" t="str">
        <f>HYPERLINK("http://locsearch.nwmls.com//ReturnMap.aspx?hidMLS=NWML&amp;VHW=47.699514:-122.363400:.25:&amp;Z=4&amp;H=300&amp;W=400&amp;PP=47.699514:-122.363400:1:027151323","Map")</f>
        <v>Map</v>
      </c>
      <c r="N16" s="4" t="str">
        <f>HYPERLINK("http://locmedia.nwmls.com/DO_NOT_LINK/bigphoto/323/27151323.jpg?tsp=20070817134438","Photo")</f>
        <v>Photo</v>
      </c>
      <c r="O16" s="4" t="str">
        <f>HYPERLINK("http://locator.nwmls.com/scripts/mgrqispi.dll?APPNAME=Locator&amp;PRGNAME=MLSPictureDescriptions&amp;ARGUMENTS=-N363684315,-N27151323,-AE","More")</f>
        <v>More</v>
      </c>
      <c r="Q16" t="s">
        <v>167</v>
      </c>
      <c r="R16" t="s">
        <v>57</v>
      </c>
      <c r="S16" t="s">
        <v>271</v>
      </c>
      <c r="U16" t="s">
        <v>26</v>
      </c>
      <c r="X16" t="s">
        <v>27</v>
      </c>
      <c r="Y16" t="s">
        <v>28</v>
      </c>
      <c r="Z16" t="s">
        <v>272</v>
      </c>
      <c r="AB16">
        <v>2007</v>
      </c>
      <c r="AC16">
        <v>2752</v>
      </c>
      <c r="AD16" t="s">
        <v>273</v>
      </c>
      <c r="AE16" t="s">
        <v>274</v>
      </c>
      <c r="AF16" t="s">
        <v>275</v>
      </c>
      <c r="AG16">
        <v>47.699514000000001</v>
      </c>
      <c r="AH16">
        <v>-122.3634</v>
      </c>
      <c r="AI16" t="s">
        <v>33</v>
      </c>
      <c r="AJ16">
        <v>98117</v>
      </c>
      <c r="AK16" t="s">
        <v>34</v>
      </c>
      <c r="AL16" t="s">
        <v>35</v>
      </c>
      <c r="AM16" t="s">
        <v>35</v>
      </c>
      <c r="AO16">
        <v>0.124</v>
      </c>
      <c r="AP16" t="s">
        <v>276</v>
      </c>
      <c r="AQ16">
        <v>504</v>
      </c>
      <c r="AR16" t="s">
        <v>277</v>
      </c>
      <c r="AS16" t="s">
        <v>278</v>
      </c>
      <c r="AT16">
        <v>2</v>
      </c>
      <c r="AW16" s="17"/>
      <c r="AX16">
        <f t="shared" ca="1" si="0"/>
        <v>28</v>
      </c>
      <c r="AZ16" s="9">
        <v>39405</v>
      </c>
    </row>
    <row r="17" spans="1:52">
      <c r="A17">
        <v>27151470</v>
      </c>
      <c r="B17" s="4" t="str">
        <f>HYPERLINK("http://locmedia.nwmls.com/DO_NOT_LINK/bigphoto/470/27151470.jpg?tsp=20070817140628","Cancelled")</f>
        <v>Cancelled</v>
      </c>
      <c r="C17">
        <v>705</v>
      </c>
      <c r="D17" t="s">
        <v>113</v>
      </c>
      <c r="E17" t="s">
        <v>603</v>
      </c>
      <c r="F17" s="5">
        <v>499000</v>
      </c>
      <c r="G17" t="s">
        <v>596</v>
      </c>
      <c r="H17">
        <v>2980</v>
      </c>
      <c r="I17">
        <v>7767</v>
      </c>
      <c r="J17">
        <v>4</v>
      </c>
      <c r="K17">
        <v>1</v>
      </c>
      <c r="L17">
        <v>1</v>
      </c>
      <c r="M17" s="4" t="str">
        <f>HYPERLINK("http://locsearch.nwmls.com//ReturnMap.aspx?hidMLS=NWML&amp;VHW=47.708552:-122.356800:.25:&amp;Z=4&amp;H=300&amp;W=400&amp;PP=47.708552:-122.356800:1:027151470","Map")</f>
        <v>Map</v>
      </c>
      <c r="N17" s="4" t="str">
        <f>HYPERLINK("http://locmedia.nwmls.com/DO_NOT_LINK/bigphoto/470/27151470.jpg?tsp=20070817140628","Photo")</f>
        <v>Photo</v>
      </c>
      <c r="O17" s="4" t="str">
        <f>HYPERLINK("http://locator.nwmls.com/scripts/mgrqispi.dll?APPNAME=Locator&amp;PRGNAME=MLSPictureDescriptions&amp;ARGUMENTS=-N363684315,-N27151470,-AE","More")</f>
        <v>More</v>
      </c>
      <c r="P17" t="s">
        <v>604</v>
      </c>
      <c r="Q17" t="s">
        <v>56</v>
      </c>
      <c r="R17" t="s">
        <v>116</v>
      </c>
      <c r="S17" t="s">
        <v>605</v>
      </c>
      <c r="T17" t="s">
        <v>300</v>
      </c>
      <c r="V17" s="6" t="s">
        <v>59</v>
      </c>
      <c r="X17" t="s">
        <v>27</v>
      </c>
      <c r="Y17" t="s">
        <v>28</v>
      </c>
      <c r="Z17" t="s">
        <v>606</v>
      </c>
      <c r="AA17" t="s">
        <v>607</v>
      </c>
      <c r="AB17">
        <v>2006</v>
      </c>
      <c r="AC17">
        <v>3764</v>
      </c>
      <c r="AD17" t="s">
        <v>608</v>
      </c>
      <c r="AE17" t="s">
        <v>121</v>
      </c>
      <c r="AF17" t="s">
        <v>122</v>
      </c>
      <c r="AG17">
        <v>47.708551999999997</v>
      </c>
      <c r="AH17">
        <v>-122.35680000000001</v>
      </c>
      <c r="AI17" t="s">
        <v>33</v>
      </c>
      <c r="AJ17">
        <v>98133</v>
      </c>
      <c r="AK17" t="s">
        <v>34</v>
      </c>
      <c r="AL17" t="s">
        <v>35</v>
      </c>
      <c r="AM17" t="s">
        <v>35</v>
      </c>
      <c r="AO17">
        <v>0.17799999999999999</v>
      </c>
      <c r="AP17" t="s">
        <v>609</v>
      </c>
      <c r="AQ17">
        <v>504</v>
      </c>
      <c r="AR17" t="s">
        <v>64</v>
      </c>
      <c r="AS17" t="s">
        <v>610</v>
      </c>
      <c r="AT17">
        <v>2</v>
      </c>
      <c r="AU17" t="s">
        <v>914</v>
      </c>
      <c r="AW17" s="17"/>
      <c r="AX17">
        <f t="shared" ca="1" si="0"/>
        <v>28</v>
      </c>
      <c r="AZ17" s="9">
        <v>39405</v>
      </c>
    </row>
    <row r="18" spans="1:52">
      <c r="A18">
        <v>27154608</v>
      </c>
      <c r="B18" s="11" t="str">
        <f>HYPERLINK("http://locmedia.nwmls.com/DO_NOT_LINK/bigphoto/608/27154608.jpg?tsp=20070823100838","Cancelled")</f>
        <v>Cancelled</v>
      </c>
      <c r="C18">
        <v>710</v>
      </c>
      <c r="D18" t="s">
        <v>649</v>
      </c>
      <c r="E18" t="s">
        <v>790</v>
      </c>
      <c r="F18" s="5">
        <v>485000</v>
      </c>
      <c r="G18" t="s">
        <v>226</v>
      </c>
      <c r="H18">
        <v>2840</v>
      </c>
      <c r="I18">
        <v>7548</v>
      </c>
      <c r="J18">
        <v>4</v>
      </c>
      <c r="K18">
        <v>2</v>
      </c>
      <c r="M18" s="4" t="str">
        <f>HYPERLINK("http://locsearch.nwmls.com//ReturnMap.aspx?hidMLS=NWML&amp;VHW=47.690948:-122.323000:.25:&amp;Z=4&amp;H=300&amp;W=400&amp;PP=47.690948:-122.323000:1:027154608","Map")</f>
        <v>Map</v>
      </c>
      <c r="N18" s="4" t="str">
        <f>HYPERLINK("http://locmedia.nwmls.com/DO_NOT_LINK/bigphoto/608/27154608.jpg?tsp=20070823100838","Photo")</f>
        <v>Photo</v>
      </c>
      <c r="O18" s="4" t="str">
        <f>HYPERLINK("http://locator.nwmls.com/scripts/mgrqispi.dll?APPNAME=Locator&amp;PRGNAME=MLSPictureDescriptions&amp;ARGUMENTS=-N585198739,-N27154608,-AE","More")</f>
        <v>More</v>
      </c>
      <c r="P18" t="s">
        <v>791</v>
      </c>
      <c r="Q18" t="s">
        <v>56</v>
      </c>
      <c r="R18" t="s">
        <v>95</v>
      </c>
      <c r="S18" t="s">
        <v>175</v>
      </c>
      <c r="T18" t="s">
        <v>72</v>
      </c>
      <c r="U18" t="s">
        <v>26</v>
      </c>
      <c r="X18" t="s">
        <v>27</v>
      </c>
      <c r="Y18" t="s">
        <v>28</v>
      </c>
      <c r="Z18" t="s">
        <v>184</v>
      </c>
      <c r="AA18" t="s">
        <v>18</v>
      </c>
      <c r="AB18">
        <v>2007</v>
      </c>
      <c r="AC18">
        <v>3086</v>
      </c>
      <c r="AD18" t="s">
        <v>792</v>
      </c>
      <c r="AE18" t="s">
        <v>121</v>
      </c>
      <c r="AF18" t="s">
        <v>793</v>
      </c>
      <c r="AG18">
        <v>47.690947999999999</v>
      </c>
      <c r="AH18">
        <v>-122.32299999999999</v>
      </c>
      <c r="AI18" t="s">
        <v>33</v>
      </c>
      <c r="AJ18">
        <v>98115</v>
      </c>
      <c r="AK18" t="s">
        <v>34</v>
      </c>
      <c r="AL18" t="s">
        <v>35</v>
      </c>
      <c r="AM18" t="s">
        <v>35</v>
      </c>
      <c r="AO18">
        <v>0.17299999999999999</v>
      </c>
      <c r="AP18" t="s">
        <v>794</v>
      </c>
      <c r="AQ18">
        <v>535</v>
      </c>
      <c r="AR18" t="s">
        <v>676</v>
      </c>
      <c r="AS18" t="s">
        <v>795</v>
      </c>
      <c r="AT18">
        <v>1</v>
      </c>
      <c r="AU18" t="s">
        <v>915</v>
      </c>
      <c r="AW18" s="17"/>
      <c r="AX18">
        <f t="shared" ca="1" si="0"/>
        <v>25</v>
      </c>
      <c r="AY18" t="s">
        <v>916</v>
      </c>
      <c r="AZ18" s="9">
        <v>39408</v>
      </c>
    </row>
    <row r="19" spans="1:52">
      <c r="A19">
        <v>27159537</v>
      </c>
      <c r="B19" s="4" t="str">
        <f>HYPERLINK("http://locmedia.nwmls.com/DO_NOT_LINK/bigphoto/537/27159537.jpg?tsp=20070831115009","Active")</f>
        <v>Active</v>
      </c>
      <c r="C19">
        <v>705</v>
      </c>
      <c r="D19" t="s">
        <v>66</v>
      </c>
      <c r="E19" t="s">
        <v>541</v>
      </c>
      <c r="F19" s="5">
        <v>499999</v>
      </c>
      <c r="G19" t="s">
        <v>138</v>
      </c>
      <c r="H19">
        <v>1460</v>
      </c>
      <c r="I19">
        <v>3060</v>
      </c>
      <c r="J19">
        <v>3</v>
      </c>
      <c r="K19">
        <v>1.75</v>
      </c>
      <c r="M19" s="4" t="str">
        <f>HYPERLINK("http://locsearch.nwmls.com//ReturnMap.aspx?hidMLS=NWML&amp;VHW=47.668601:-122.323785:.25:&amp;Z=4&amp;H=300&amp;W=400&amp;PP=47.668601:-122.323785:1:027159537","Map")</f>
        <v>Map</v>
      </c>
      <c r="N19" s="4" t="str">
        <f>HYPERLINK("http://locmedia.nwmls.com/DO_NOT_LINK/bigphoto/537/27159537.jpg?tsp=20070831115009","Photo")</f>
        <v>Photo</v>
      </c>
      <c r="O19" s="4" t="str">
        <f>HYPERLINK("http://locator.nwmls.com/scripts/mgrqispi.dll?APPNAME=Locator&amp;PRGNAME=MLSPictureDescriptions&amp;ARGUMENTS=-N363684315,-N27159537,-AE","More")</f>
        <v>More</v>
      </c>
      <c r="P19" t="s">
        <v>41</v>
      </c>
      <c r="Q19" t="s">
        <v>56</v>
      </c>
      <c r="R19" t="s">
        <v>116</v>
      </c>
      <c r="T19" t="s">
        <v>300</v>
      </c>
      <c r="V19" s="6" t="s">
        <v>59</v>
      </c>
      <c r="X19" t="s">
        <v>27</v>
      </c>
      <c r="Y19" t="s">
        <v>28</v>
      </c>
      <c r="Z19" t="s">
        <v>365</v>
      </c>
      <c r="AB19">
        <v>2006</v>
      </c>
      <c r="AC19">
        <v>3865</v>
      </c>
      <c r="AD19" t="s">
        <v>542</v>
      </c>
      <c r="AF19" t="s">
        <v>392</v>
      </c>
      <c r="AG19">
        <v>47.668601000000002</v>
      </c>
      <c r="AH19">
        <v>-122.323785</v>
      </c>
      <c r="AI19" t="s">
        <v>33</v>
      </c>
      <c r="AJ19">
        <v>98105</v>
      </c>
      <c r="AK19" t="s">
        <v>34</v>
      </c>
      <c r="AL19">
        <v>6</v>
      </c>
      <c r="AM19" t="s">
        <v>35</v>
      </c>
      <c r="AO19">
        <v>7.0000000000000007E-2</v>
      </c>
      <c r="AP19" t="s">
        <v>543</v>
      </c>
      <c r="AQ19">
        <v>535</v>
      </c>
      <c r="AR19" t="s">
        <v>509</v>
      </c>
      <c r="AS19" t="s">
        <v>544</v>
      </c>
      <c r="AT19">
        <v>1</v>
      </c>
      <c r="AU19" t="s">
        <v>913</v>
      </c>
      <c r="AW19" s="17"/>
      <c r="AX19">
        <f t="shared" ca="1" si="0"/>
        <v>28</v>
      </c>
      <c r="AZ19" s="9">
        <v>39405</v>
      </c>
    </row>
    <row r="20" spans="1:52">
      <c r="A20">
        <v>27161472</v>
      </c>
      <c r="B20" s="4" t="str">
        <f>HYPERLINK("http://locmedia.nwmls.com/DO_NOT_LINK/bigphoto/472/27161472.jpg?tsp=20071013160555","Active")</f>
        <v>Active</v>
      </c>
      <c r="C20">
        <v>710</v>
      </c>
      <c r="D20" t="s">
        <v>656</v>
      </c>
      <c r="E20" t="s">
        <v>696</v>
      </c>
      <c r="F20" s="5">
        <v>449950</v>
      </c>
      <c r="G20" t="s">
        <v>115</v>
      </c>
      <c r="H20">
        <v>1180</v>
      </c>
      <c r="I20">
        <v>5413</v>
      </c>
      <c r="J20">
        <v>3</v>
      </c>
      <c r="K20">
        <v>2</v>
      </c>
      <c r="M20" s="4" t="str">
        <f>HYPERLINK("http://locsearch.nwmls.com//ReturnMap.aspx?hidMLS=NWML&amp;VHW=47.694426:-122.301491:.25:&amp;Z=4&amp;H=300&amp;W=400&amp;PP=47.694426:-122.301491:1:027161472","Map")</f>
        <v>Map</v>
      </c>
      <c r="N20" s="4" t="str">
        <f>HYPERLINK("http://locmedia.nwmls.com/DO_NOT_LINK/bigphoto/472/27161472.jpg?tsp=20071013160555","Photo")</f>
        <v>Photo</v>
      </c>
      <c r="O20" s="4" t="str">
        <f>HYPERLINK("http://locator.nwmls.com/scripts/mgrqispi.dll?APPNAME=Locator&amp;PRGNAME=MLSPictureDescriptions&amp;ARGUMENTS=-N585198739,-N27161472,-AE","More")</f>
        <v>More</v>
      </c>
      <c r="Q20" t="s">
        <v>56</v>
      </c>
      <c r="R20" t="s">
        <v>57</v>
      </c>
      <c r="S20" t="s">
        <v>199</v>
      </c>
      <c r="T20" t="s">
        <v>25</v>
      </c>
      <c r="U20" t="s">
        <v>26</v>
      </c>
      <c r="V20" s="6" t="s">
        <v>59</v>
      </c>
      <c r="X20" t="s">
        <v>27</v>
      </c>
      <c r="Y20" t="s">
        <v>28</v>
      </c>
      <c r="Z20" t="s">
        <v>184</v>
      </c>
      <c r="AA20" t="s">
        <v>697</v>
      </c>
      <c r="AB20">
        <v>2007</v>
      </c>
      <c r="AC20">
        <v>2993</v>
      </c>
      <c r="AD20" t="s">
        <v>698</v>
      </c>
      <c r="AE20" t="s">
        <v>699</v>
      </c>
      <c r="AF20" t="s">
        <v>700</v>
      </c>
      <c r="AG20">
        <v>47.694426</v>
      </c>
      <c r="AH20">
        <v>-122.301491</v>
      </c>
      <c r="AI20" t="s">
        <v>33</v>
      </c>
      <c r="AJ20">
        <v>98115</v>
      </c>
      <c r="AK20" t="s">
        <v>34</v>
      </c>
      <c r="AL20" t="s">
        <v>701</v>
      </c>
      <c r="AM20" t="s">
        <v>35</v>
      </c>
      <c r="AO20">
        <v>0.124</v>
      </c>
      <c r="AP20" t="s">
        <v>702</v>
      </c>
      <c r="AQ20">
        <v>535</v>
      </c>
      <c r="AR20" t="s">
        <v>426</v>
      </c>
      <c r="AS20" t="s">
        <v>703</v>
      </c>
      <c r="AT20">
        <v>4</v>
      </c>
      <c r="AU20" t="s">
        <v>917</v>
      </c>
      <c r="AV20" s="9">
        <v>39329</v>
      </c>
      <c r="AW20" s="17">
        <v>82</v>
      </c>
      <c r="AX20">
        <f t="shared" ca="1" si="0"/>
        <v>104</v>
      </c>
      <c r="AY20" t="s">
        <v>916</v>
      </c>
      <c r="AZ20" s="9">
        <v>39408</v>
      </c>
    </row>
    <row r="21" spans="1:52">
      <c r="A21">
        <v>27161640</v>
      </c>
      <c r="B21" s="4" t="str">
        <f>HYPERLINK("http://locmedia.nwmls.com/DO_NOT_LINK/bigphoto/640/27161640.jpg?tsp=20070904130827","Active")</f>
        <v>Active</v>
      </c>
      <c r="C21">
        <v>705</v>
      </c>
      <c r="D21" t="s">
        <v>361</v>
      </c>
      <c r="E21" t="s">
        <v>459</v>
      </c>
      <c r="F21" s="5">
        <v>484950</v>
      </c>
      <c r="G21" t="s">
        <v>460</v>
      </c>
      <c r="H21">
        <v>0</v>
      </c>
      <c r="I21">
        <v>6930</v>
      </c>
      <c r="J21">
        <v>2</v>
      </c>
      <c r="K21">
        <v>1</v>
      </c>
      <c r="L21">
        <v>1</v>
      </c>
      <c r="M21" s="4" t="str">
        <f>HYPERLINK("http://locsearch.nwmls.com//ReturnMap.aspx?hidMLS=NWML&amp;VHW=47.704268:-122.372800:.25:&amp;Z=4&amp;H=300&amp;W=400&amp;PP=47.704268:-122.372800:1:027161640","Map")</f>
        <v>Map</v>
      </c>
      <c r="N21" s="4" t="str">
        <f>HYPERLINK("http://locmedia.nwmls.com/DO_NOT_LINK/bigphoto/640/27161640.jpg?tsp=20070904130827","Photo")</f>
        <v>Photo</v>
      </c>
      <c r="O21" s="4" t="str">
        <f>HYPERLINK("http://locator.nwmls.com/scripts/mgrqispi.dll?APPNAME=Locator&amp;PRGNAME=MLSPictureDescriptions&amp;ARGUMENTS=-N363684315,-N27161640,-AE","More")</f>
        <v>More</v>
      </c>
      <c r="Q21" t="s">
        <v>56</v>
      </c>
      <c r="R21" t="s">
        <v>95</v>
      </c>
      <c r="S21" t="s">
        <v>199</v>
      </c>
      <c r="T21" t="s">
        <v>25</v>
      </c>
      <c r="U21" t="s">
        <v>26</v>
      </c>
      <c r="V21" t="s">
        <v>380</v>
      </c>
      <c r="X21" t="s">
        <v>27</v>
      </c>
      <c r="Y21" t="s">
        <v>28</v>
      </c>
      <c r="Z21" t="s">
        <v>461</v>
      </c>
      <c r="AA21" t="s">
        <v>462</v>
      </c>
      <c r="AB21">
        <v>2007</v>
      </c>
      <c r="AC21">
        <v>2863</v>
      </c>
      <c r="AD21" t="s">
        <v>463</v>
      </c>
      <c r="AE21" t="s">
        <v>121</v>
      </c>
      <c r="AF21" t="s">
        <v>464</v>
      </c>
      <c r="AG21">
        <v>47.704267999999999</v>
      </c>
      <c r="AH21">
        <v>-122.3728</v>
      </c>
      <c r="AI21" t="s">
        <v>33</v>
      </c>
      <c r="AJ21">
        <v>98177</v>
      </c>
      <c r="AK21" t="s">
        <v>34</v>
      </c>
      <c r="AL21">
        <v>3</v>
      </c>
      <c r="AM21" t="s">
        <v>35</v>
      </c>
      <c r="AO21">
        <v>0.159</v>
      </c>
      <c r="AP21" t="s">
        <v>465</v>
      </c>
      <c r="AQ21">
        <v>504</v>
      </c>
      <c r="AR21" t="s">
        <v>466</v>
      </c>
      <c r="AS21" t="s">
        <v>467</v>
      </c>
      <c r="AT21">
        <v>4</v>
      </c>
      <c r="AV21" s="9">
        <v>39329</v>
      </c>
      <c r="AW21" s="17">
        <v>82</v>
      </c>
      <c r="AX21">
        <f t="shared" ca="1" si="0"/>
        <v>104</v>
      </c>
      <c r="AY21" t="s">
        <v>907</v>
      </c>
      <c r="AZ21" s="9">
        <v>39405</v>
      </c>
    </row>
    <row r="22" spans="1:52">
      <c r="A22">
        <v>27161705</v>
      </c>
      <c r="B22" s="4" t="str">
        <f>HYPERLINK("http://locmedia.nwmls.com/DO_NOT_LINK/bigphoto/705/27161705.jpg?tsp=20071019095934","Active")</f>
        <v>Active</v>
      </c>
      <c r="C22">
        <v>705</v>
      </c>
      <c r="D22" t="s">
        <v>81</v>
      </c>
      <c r="E22" t="s">
        <v>182</v>
      </c>
      <c r="F22" s="5">
        <v>415000</v>
      </c>
      <c r="G22" t="s">
        <v>183</v>
      </c>
      <c r="H22">
        <v>920</v>
      </c>
      <c r="I22">
        <v>0</v>
      </c>
      <c r="J22">
        <v>2</v>
      </c>
      <c r="K22">
        <v>1</v>
      </c>
      <c r="M22" s="4" t="str">
        <f>HYPERLINK("http://locsearch.nwmls.com//ReturnMap.aspx?hidMLS=NWML&amp;VHW=47.676862:-122.388652:.25:&amp;Z=4&amp;H=300&amp;W=400&amp;PP=47.676862:-122.388652:1:027161705","Map")</f>
        <v>Map</v>
      </c>
      <c r="N22" s="4" t="str">
        <f>HYPERLINK("http://locmedia.nwmls.com/DO_NOT_LINK/bigphoto/705/27161705.jpg?tsp=20071019095934","Photo")</f>
        <v>Photo</v>
      </c>
      <c r="O22" s="4" t="str">
        <f>HYPERLINK("http://locator.nwmls.com/scripts/mgrqispi.dll?APPNAME=Locator&amp;PRGNAME=MLSPictureDescriptions&amp;ARGUMENTS=-N363684315,-N27161705,-AE","More")</f>
        <v>More</v>
      </c>
      <c r="Q22" t="s">
        <v>56</v>
      </c>
      <c r="R22" t="s">
        <v>95</v>
      </c>
      <c r="T22" t="s">
        <v>25</v>
      </c>
      <c r="U22" t="s">
        <v>26</v>
      </c>
      <c r="X22" t="s">
        <v>27</v>
      </c>
      <c r="Y22" t="s">
        <v>28</v>
      </c>
      <c r="Z22" t="s">
        <v>184</v>
      </c>
      <c r="AB22">
        <v>2006</v>
      </c>
      <c r="AC22">
        <v>2770</v>
      </c>
      <c r="AD22" t="s">
        <v>185</v>
      </c>
      <c r="AE22" t="s">
        <v>186</v>
      </c>
      <c r="AF22" t="s">
        <v>187</v>
      </c>
      <c r="AG22">
        <v>47.676862</v>
      </c>
      <c r="AH22">
        <v>-122.38865199999999</v>
      </c>
      <c r="AI22" t="s">
        <v>33</v>
      </c>
      <c r="AJ22">
        <v>98117</v>
      </c>
      <c r="AK22" t="s">
        <v>34</v>
      </c>
      <c r="AL22" t="s">
        <v>35</v>
      </c>
      <c r="AM22" t="s">
        <v>35</v>
      </c>
      <c r="AO22">
        <v>0</v>
      </c>
      <c r="AP22" t="s">
        <v>188</v>
      </c>
      <c r="AQ22">
        <v>534</v>
      </c>
      <c r="AR22" t="s">
        <v>189</v>
      </c>
      <c r="AS22" t="s">
        <v>190</v>
      </c>
      <c r="AT22">
        <v>3</v>
      </c>
      <c r="AU22" t="s">
        <v>918</v>
      </c>
      <c r="AW22" s="17"/>
      <c r="AX22">
        <f t="shared" ca="1" si="0"/>
        <v>28</v>
      </c>
      <c r="AZ22" s="9">
        <v>39405</v>
      </c>
    </row>
    <row r="23" spans="1:52">
      <c r="A23">
        <v>27161813</v>
      </c>
      <c r="B23" s="4" t="str">
        <f>HYPERLINK("http://locmedia.nwmls.com/DO_NOT_LINK/bigphoto/813/27161813.jpg?tsp=20070904150815","Active")</f>
        <v>Active</v>
      </c>
      <c r="C23">
        <v>705</v>
      </c>
      <c r="D23" t="s">
        <v>403</v>
      </c>
      <c r="E23" t="s">
        <v>404</v>
      </c>
      <c r="F23" s="5">
        <v>474950</v>
      </c>
      <c r="G23" t="s">
        <v>270</v>
      </c>
      <c r="H23">
        <v>1140</v>
      </c>
      <c r="I23">
        <v>2500</v>
      </c>
      <c r="J23">
        <v>3</v>
      </c>
      <c r="K23">
        <v>1.75</v>
      </c>
      <c r="L23">
        <v>1</v>
      </c>
      <c r="M23" s="4" t="str">
        <f>HYPERLINK("http://locsearch.nwmls.com//ReturnMap.aspx?hidMLS=NWML&amp;VHW=47.661400:-122.351500:.25:&amp;Z=4&amp;H=300&amp;W=400&amp;PP=47.661400:-122.351500:1:027161813","Map")</f>
        <v>Map</v>
      </c>
      <c r="N23" s="4" t="str">
        <f>HYPERLINK("http://locmedia.nwmls.com/DO_NOT_LINK/bigphoto/813/27161813.jpg?tsp=20070904150815","Photo")</f>
        <v>Photo</v>
      </c>
      <c r="O23" s="4" t="str">
        <f>HYPERLINK("http://locator.nwmls.com/scripts/mgrqispi.dll?APPNAME=Locator&amp;PRGNAME=MLSPictureDescriptions&amp;ARGUMENTS=-N363684315,-N27161813,-AE","More")</f>
        <v>More</v>
      </c>
      <c r="Q23" t="s">
        <v>56</v>
      </c>
      <c r="R23" t="s">
        <v>95</v>
      </c>
      <c r="S23" t="s">
        <v>24</v>
      </c>
      <c r="T23" t="s">
        <v>300</v>
      </c>
      <c r="U23" t="s">
        <v>26</v>
      </c>
      <c r="V23" s="6" t="s">
        <v>59</v>
      </c>
      <c r="X23" t="s">
        <v>27</v>
      </c>
      <c r="Y23" t="s">
        <v>28</v>
      </c>
      <c r="Z23" t="s">
        <v>405</v>
      </c>
      <c r="AA23" t="s">
        <v>406</v>
      </c>
      <c r="AB23">
        <v>2007</v>
      </c>
      <c r="AC23">
        <v>3735</v>
      </c>
      <c r="AD23" t="s">
        <v>407</v>
      </c>
      <c r="AE23" t="s">
        <v>408</v>
      </c>
      <c r="AF23" t="s">
        <v>409</v>
      </c>
      <c r="AG23">
        <v>47.6614</v>
      </c>
      <c r="AH23">
        <v>-122.3515</v>
      </c>
      <c r="AI23" t="s">
        <v>33</v>
      </c>
      <c r="AJ23">
        <v>98103</v>
      </c>
      <c r="AK23" t="s">
        <v>34</v>
      </c>
      <c r="AL23">
        <v>18</v>
      </c>
      <c r="AM23" t="s">
        <v>35</v>
      </c>
      <c r="AO23">
        <v>5.7000000000000002E-2</v>
      </c>
      <c r="AP23" t="s">
        <v>410</v>
      </c>
      <c r="AQ23">
        <v>534</v>
      </c>
      <c r="AR23" t="s">
        <v>124</v>
      </c>
      <c r="AS23" t="s">
        <v>411</v>
      </c>
      <c r="AT23">
        <v>1</v>
      </c>
      <c r="AU23" t="s">
        <v>913</v>
      </c>
      <c r="AW23" s="17"/>
      <c r="AX23">
        <f t="shared" ca="1" si="0"/>
        <v>28</v>
      </c>
      <c r="AZ23" s="9">
        <v>39405</v>
      </c>
    </row>
    <row r="24" spans="1:52">
      <c r="A24">
        <v>27162082</v>
      </c>
      <c r="B24" s="4" t="str">
        <f>HYPERLINK("http://locmedia.nwmls.com/DO_NOT_LINK/bigphoto/082/27162082.jpg?tsp=20070904203012","Active")</f>
        <v>Active</v>
      </c>
      <c r="C24">
        <v>710</v>
      </c>
      <c r="D24" t="s">
        <v>649</v>
      </c>
      <c r="E24" t="s">
        <v>817</v>
      </c>
      <c r="F24" s="5">
        <v>499000</v>
      </c>
      <c r="G24" t="s">
        <v>83</v>
      </c>
      <c r="H24">
        <v>2000</v>
      </c>
      <c r="I24">
        <v>3863</v>
      </c>
      <c r="J24">
        <v>2</v>
      </c>
      <c r="K24">
        <v>1</v>
      </c>
      <c r="L24">
        <v>1</v>
      </c>
      <c r="M24" s="4" t="str">
        <f>HYPERLINK("http://locsearch.nwmls.com//ReturnMap.aspx?hidMLS=NWML&amp;VHW=47.687041:-122.314301:.25:&amp;Z=4&amp;H=300&amp;W=400&amp;PP=47.687041:-122.314301:1:027162082","Map")</f>
        <v>Map</v>
      </c>
      <c r="N24" s="4" t="str">
        <f>HYPERLINK("http://locmedia.nwmls.com/DO_NOT_LINK/bigphoto/082/27162082.jpg?tsp=20070904203012","Photo")</f>
        <v>Photo</v>
      </c>
      <c r="O24" s="4" t="str">
        <f>HYPERLINK("http://locator.nwmls.com/scripts/mgrqispi.dll?APPNAME=Locator&amp;PRGNAME=MLSPictureDescriptions&amp;ARGUMENTS=-N585198739,-N27162082,-AE","More")</f>
        <v>More</v>
      </c>
      <c r="Q24" t="s">
        <v>56</v>
      </c>
      <c r="R24" t="s">
        <v>116</v>
      </c>
      <c r="S24" t="s">
        <v>199</v>
      </c>
      <c r="T24" t="s">
        <v>300</v>
      </c>
      <c r="V24" s="6" t="s">
        <v>59</v>
      </c>
      <c r="X24" t="s">
        <v>27</v>
      </c>
      <c r="Y24" t="s">
        <v>28</v>
      </c>
      <c r="Z24" t="s">
        <v>818</v>
      </c>
      <c r="AB24">
        <v>2007</v>
      </c>
      <c r="AC24">
        <v>3309</v>
      </c>
      <c r="AD24" t="s">
        <v>819</v>
      </c>
      <c r="AE24" t="s">
        <v>820</v>
      </c>
      <c r="AF24" t="s">
        <v>821</v>
      </c>
      <c r="AG24">
        <v>47.687041000000001</v>
      </c>
      <c r="AH24">
        <v>-122.314301</v>
      </c>
      <c r="AI24" t="s">
        <v>33</v>
      </c>
      <c r="AJ24">
        <v>98115</v>
      </c>
      <c r="AK24" t="s">
        <v>34</v>
      </c>
      <c r="AL24" t="s">
        <v>35</v>
      </c>
      <c r="AM24" t="s">
        <v>35</v>
      </c>
      <c r="AO24">
        <v>8.8999999999999996E-2</v>
      </c>
      <c r="AP24" t="s">
        <v>822</v>
      </c>
      <c r="AQ24">
        <v>535</v>
      </c>
      <c r="AR24" t="s">
        <v>823</v>
      </c>
      <c r="AS24" t="s">
        <v>824</v>
      </c>
      <c r="AT24">
        <v>4</v>
      </c>
      <c r="AU24" t="s">
        <v>908</v>
      </c>
      <c r="AV24" s="9">
        <v>39329</v>
      </c>
      <c r="AW24" s="17">
        <v>82</v>
      </c>
      <c r="AX24">
        <f t="shared" ca="1" si="0"/>
        <v>104</v>
      </c>
      <c r="AY24" t="s">
        <v>907</v>
      </c>
      <c r="AZ24" s="9">
        <v>39408</v>
      </c>
    </row>
    <row r="25" spans="1:52">
      <c r="A25">
        <v>27163040</v>
      </c>
      <c r="B25" s="4" t="str">
        <f>HYPERLINK("http://locmedia.nwmls.com/DO_NOT_LINK/bigphoto/040/27163040.jpg?tsp=20071019133237","Active")</f>
        <v>Active</v>
      </c>
      <c r="C25">
        <v>705</v>
      </c>
      <c r="D25" t="s">
        <v>53</v>
      </c>
      <c r="E25" t="s">
        <v>241</v>
      </c>
      <c r="F25" s="5">
        <v>439500</v>
      </c>
      <c r="G25" t="s">
        <v>242</v>
      </c>
      <c r="H25">
        <v>1790</v>
      </c>
      <c r="I25">
        <v>3302</v>
      </c>
      <c r="J25">
        <v>3</v>
      </c>
      <c r="K25">
        <v>2</v>
      </c>
      <c r="L25">
        <v>1</v>
      </c>
      <c r="M25" t="s">
        <v>243</v>
      </c>
      <c r="N25" s="4" t="str">
        <f>HYPERLINK("http://locmedia.nwmls.com/DO_NOT_LINK/bigphoto/040/27163040.jpg?tsp=20071019133237","Photo")</f>
        <v>Photo</v>
      </c>
      <c r="O25" s="4" t="str">
        <f>HYPERLINK("http://locator.nwmls.com/scripts/mgrqispi.dll?APPNAME=Locator&amp;PRGNAME=MLSPictureDescriptions&amp;ARGUMENTS=-N363684315,-N27163040,-AE","More")</f>
        <v>More</v>
      </c>
      <c r="P25" t="s">
        <v>41</v>
      </c>
      <c r="Q25" t="s">
        <v>22</v>
      </c>
      <c r="R25" t="s">
        <v>23</v>
      </c>
      <c r="S25" t="s">
        <v>199</v>
      </c>
      <c r="T25" t="s">
        <v>25</v>
      </c>
      <c r="U25" t="s">
        <v>26</v>
      </c>
      <c r="V25" s="6" t="s">
        <v>59</v>
      </c>
      <c r="X25" t="s">
        <v>27</v>
      </c>
      <c r="Y25" t="s">
        <v>28</v>
      </c>
      <c r="Z25" t="s">
        <v>244</v>
      </c>
      <c r="AB25">
        <v>2007</v>
      </c>
      <c r="AC25">
        <v>3309</v>
      </c>
      <c r="AD25" t="s">
        <v>245</v>
      </c>
      <c r="AE25" t="s">
        <v>246</v>
      </c>
      <c r="AF25" t="s">
        <v>247</v>
      </c>
      <c r="AI25" t="s">
        <v>33</v>
      </c>
      <c r="AJ25">
        <v>98117</v>
      </c>
      <c r="AK25" t="s">
        <v>34</v>
      </c>
      <c r="AL25" t="s">
        <v>35</v>
      </c>
      <c r="AM25" t="s">
        <v>35</v>
      </c>
      <c r="AO25">
        <v>7.5999999999999998E-2</v>
      </c>
      <c r="AP25" t="s">
        <v>248</v>
      </c>
      <c r="AQ25">
        <v>504</v>
      </c>
      <c r="AR25" t="s">
        <v>204</v>
      </c>
      <c r="AS25" t="s">
        <v>249</v>
      </c>
      <c r="AT25">
        <v>1</v>
      </c>
      <c r="AU25" t="s">
        <v>913</v>
      </c>
      <c r="AW25" s="17"/>
      <c r="AX25">
        <f t="shared" ca="1" si="0"/>
        <v>28</v>
      </c>
      <c r="AZ25" s="9">
        <v>39405</v>
      </c>
    </row>
    <row r="26" spans="1:52">
      <c r="A26">
        <v>27163615</v>
      </c>
      <c r="B26" s="4" t="str">
        <f>HYPERLINK("http://locmedia.nwmls.com/DO_NOT_LINK/bigphoto/615/27163615.jpg?tsp=20070907115620","Active")</f>
        <v>Active</v>
      </c>
      <c r="C26">
        <v>710</v>
      </c>
      <c r="D26" t="s">
        <v>649</v>
      </c>
      <c r="E26" t="s">
        <v>783</v>
      </c>
      <c r="F26" s="5">
        <v>480000</v>
      </c>
      <c r="G26" t="s">
        <v>784</v>
      </c>
      <c r="H26">
        <v>0</v>
      </c>
      <c r="I26">
        <v>5080</v>
      </c>
      <c r="J26">
        <v>2</v>
      </c>
      <c r="K26">
        <v>1.5</v>
      </c>
      <c r="L26">
        <v>1</v>
      </c>
      <c r="M26" s="4" t="str">
        <f>HYPERLINK("http://locsearch.nwmls.com//ReturnMap.aspx?hidMLS=NWML&amp;VHW=47.698501:-122.313312:.25:&amp;Z=4&amp;H=300&amp;W=400&amp;PP=47.698501:-122.313312:1:027163615","Map")</f>
        <v>Map</v>
      </c>
      <c r="N26" s="4" t="str">
        <f>HYPERLINK("http://locmedia.nwmls.com/DO_NOT_LINK/bigphoto/615/27163615.jpg?tsp=20070907115620","Photo")</f>
        <v>Photo</v>
      </c>
      <c r="O26" s="4" t="str">
        <f>HYPERLINK("http://locator.nwmls.com/scripts/mgrqispi.dll?APPNAME=Locator&amp;PRGNAME=MLSPictureDescriptions&amp;ARGUMENTS=-N585198739,-N27163615,-AE","More")</f>
        <v>More</v>
      </c>
      <c r="P26" t="s">
        <v>262</v>
      </c>
      <c r="Q26" t="s">
        <v>56</v>
      </c>
      <c r="R26" t="s">
        <v>95</v>
      </c>
      <c r="S26" t="s">
        <v>175</v>
      </c>
      <c r="T26" t="s">
        <v>300</v>
      </c>
      <c r="U26" t="s">
        <v>26</v>
      </c>
      <c r="V26" s="6" t="s">
        <v>59</v>
      </c>
      <c r="X26" t="s">
        <v>27</v>
      </c>
      <c r="Y26" t="s">
        <v>28</v>
      </c>
      <c r="Z26" t="s">
        <v>785</v>
      </c>
      <c r="AB26">
        <v>2007</v>
      </c>
      <c r="AC26">
        <v>2956</v>
      </c>
      <c r="AD26" t="s">
        <v>786</v>
      </c>
      <c r="AE26" t="s">
        <v>787</v>
      </c>
      <c r="AG26">
        <v>47.698501</v>
      </c>
      <c r="AH26">
        <v>-122.313312</v>
      </c>
      <c r="AI26" t="s">
        <v>33</v>
      </c>
      <c r="AJ26">
        <v>98115</v>
      </c>
      <c r="AK26" t="s">
        <v>34</v>
      </c>
      <c r="AL26" t="s">
        <v>35</v>
      </c>
      <c r="AM26" t="s">
        <v>35</v>
      </c>
      <c r="AO26">
        <v>0.11700000000000001</v>
      </c>
      <c r="AP26" t="s">
        <v>788</v>
      </c>
      <c r="AQ26">
        <v>505</v>
      </c>
      <c r="AR26" t="s">
        <v>655</v>
      </c>
      <c r="AS26" t="s">
        <v>789</v>
      </c>
      <c r="AT26">
        <v>4</v>
      </c>
      <c r="AV26" s="9">
        <v>39331</v>
      </c>
      <c r="AW26" s="17">
        <v>80</v>
      </c>
      <c r="AX26">
        <f t="shared" ca="1" si="0"/>
        <v>102</v>
      </c>
      <c r="AY26" t="s">
        <v>907</v>
      </c>
      <c r="AZ26" s="9">
        <v>39408</v>
      </c>
    </row>
    <row r="27" spans="1:52">
      <c r="A27">
        <v>27165590</v>
      </c>
      <c r="B27" s="4" t="str">
        <f>HYPERLINK("http://locmedia.nwmls.com/DO_NOT_LINK/bigphoto/590/27165590.jpg?tsp=20070911091110","Active")</f>
        <v>Active</v>
      </c>
      <c r="C27">
        <v>710</v>
      </c>
      <c r="D27" t="s">
        <v>801</v>
      </c>
      <c r="E27" t="s">
        <v>511</v>
      </c>
      <c r="F27" s="5">
        <v>499000</v>
      </c>
      <c r="G27" t="s">
        <v>316</v>
      </c>
      <c r="H27">
        <v>1290</v>
      </c>
      <c r="I27">
        <v>3790</v>
      </c>
      <c r="J27">
        <v>3</v>
      </c>
      <c r="K27">
        <v>1</v>
      </c>
      <c r="L27">
        <v>1</v>
      </c>
      <c r="M27" s="4" t="str">
        <f>HYPERLINK("http://locsearch.nwmls.com//ReturnMap.aspx?hidMLS=NWML&amp;VHW=47.688826:-122.311119:.25:&amp;Z=4&amp;H=300&amp;W=400&amp;PP=47.688826:-122.311119:1:027165590","Map")</f>
        <v>Map</v>
      </c>
      <c r="N27" s="4" t="str">
        <f>HYPERLINK("http://locmedia.nwmls.com/DO_NOT_LINK/bigphoto/590/27165590.jpg?tsp=20070911091110","Photo")</f>
        <v>Photo</v>
      </c>
      <c r="O27" s="4" t="str">
        <f>HYPERLINK("http://locator.nwmls.com/scripts/mgrqispi.dll?APPNAME=Locator&amp;PRGNAME=MLSPictureDescriptions&amp;ARGUMENTS=-N585198739,-N27165590,-AE","More")</f>
        <v>More</v>
      </c>
      <c r="P27" t="s">
        <v>262</v>
      </c>
      <c r="Q27" t="s">
        <v>56</v>
      </c>
      <c r="R27" t="s">
        <v>116</v>
      </c>
      <c r="S27" t="s">
        <v>128</v>
      </c>
      <c r="T27" t="s">
        <v>300</v>
      </c>
      <c r="U27" t="s">
        <v>26</v>
      </c>
      <c r="X27" t="s">
        <v>27</v>
      </c>
      <c r="Y27" t="s">
        <v>28</v>
      </c>
      <c r="Z27" t="s">
        <v>207</v>
      </c>
      <c r="AA27" t="s">
        <v>512</v>
      </c>
      <c r="AB27">
        <v>2007</v>
      </c>
      <c r="AC27">
        <v>2956</v>
      </c>
      <c r="AD27" t="s">
        <v>513</v>
      </c>
      <c r="AE27" t="s">
        <v>238</v>
      </c>
      <c r="AF27" t="s">
        <v>514</v>
      </c>
      <c r="AG27">
        <v>47.688825999999999</v>
      </c>
      <c r="AH27">
        <v>-122.31111900000001</v>
      </c>
      <c r="AI27" t="s">
        <v>33</v>
      </c>
      <c r="AJ27">
        <v>98115</v>
      </c>
      <c r="AK27" t="s">
        <v>34</v>
      </c>
      <c r="AL27" t="s">
        <v>35</v>
      </c>
      <c r="AM27" t="s">
        <v>35</v>
      </c>
      <c r="AO27">
        <v>8.6999999999999994E-2</v>
      </c>
      <c r="AP27" t="s">
        <v>515</v>
      </c>
      <c r="AQ27">
        <v>535</v>
      </c>
      <c r="AR27" t="s">
        <v>516</v>
      </c>
      <c r="AS27" t="s">
        <v>825</v>
      </c>
      <c r="AT27">
        <v>4</v>
      </c>
      <c r="AV27" s="9">
        <v>39336</v>
      </c>
      <c r="AW27" s="17">
        <v>75</v>
      </c>
      <c r="AX27">
        <f t="shared" ca="1" si="0"/>
        <v>97</v>
      </c>
      <c r="AY27" t="s">
        <v>907</v>
      </c>
      <c r="AZ27" s="9">
        <v>39408</v>
      </c>
    </row>
    <row r="28" spans="1:52">
      <c r="A28">
        <v>27165900</v>
      </c>
      <c r="B28" s="4" t="str">
        <f>HYPERLINK("http://locmedia.nwmls.com/DO_NOT_LINK/bigphoto/900/27165900.jpg?tsp=20070912171812","Active")</f>
        <v>Active</v>
      </c>
      <c r="C28">
        <v>710</v>
      </c>
      <c r="D28" t="s">
        <v>656</v>
      </c>
      <c r="E28" t="s">
        <v>664</v>
      </c>
      <c r="F28" s="5">
        <v>439000</v>
      </c>
      <c r="G28" t="s">
        <v>115</v>
      </c>
      <c r="H28">
        <v>1435</v>
      </c>
      <c r="I28">
        <v>12506</v>
      </c>
      <c r="J28">
        <v>3</v>
      </c>
      <c r="K28">
        <v>1.75</v>
      </c>
      <c r="L28">
        <v>1</v>
      </c>
      <c r="M28" s="4" t="str">
        <f>HYPERLINK("http://locsearch.nwmls.com//ReturnMap.aspx?hidMLS=NWML&amp;VHW=47.699283:-122.291081:.25:&amp;Z=4&amp;H=300&amp;W=400&amp;PP=47.699283:-122.291081:1:027165900","Map")</f>
        <v>Map</v>
      </c>
      <c r="N28" s="4" t="str">
        <f>HYPERLINK("http://locmedia.nwmls.com/DO_NOT_LINK/bigphoto/900/27165900.jpg?tsp=20070912171812","Photo")</f>
        <v>Photo</v>
      </c>
      <c r="O28" s="4" t="str">
        <f>HYPERLINK("http://locator.nwmls.com/scripts/mgrqispi.dll?APPNAME=Locator&amp;PRGNAME=MLSPictureDescriptions&amp;ARGUMENTS=-N585198739,-N27165900,-AE","More")</f>
        <v>More</v>
      </c>
      <c r="P28" t="s">
        <v>580</v>
      </c>
      <c r="Q28" t="s">
        <v>56</v>
      </c>
      <c r="R28" t="s">
        <v>116</v>
      </c>
      <c r="S28" t="s">
        <v>128</v>
      </c>
      <c r="T28" t="s">
        <v>25</v>
      </c>
      <c r="U28" t="s">
        <v>665</v>
      </c>
      <c r="V28" t="s">
        <v>666</v>
      </c>
      <c r="X28" t="s">
        <v>27</v>
      </c>
      <c r="Y28" t="s">
        <v>28</v>
      </c>
      <c r="Z28" t="s">
        <v>430</v>
      </c>
      <c r="AB28">
        <v>2006</v>
      </c>
      <c r="AC28">
        <v>3030</v>
      </c>
      <c r="AD28" t="s">
        <v>667</v>
      </c>
      <c r="AE28" t="s">
        <v>668</v>
      </c>
      <c r="AF28" t="s">
        <v>669</v>
      </c>
      <c r="AG28" s="15">
        <v>47.699283000000001</v>
      </c>
      <c r="AH28" s="15">
        <v>-122.29108100000001</v>
      </c>
      <c r="AI28" t="s">
        <v>33</v>
      </c>
      <c r="AJ28">
        <v>98115</v>
      </c>
      <c r="AK28" t="s">
        <v>34</v>
      </c>
      <c r="AL28">
        <v>3</v>
      </c>
      <c r="AM28" t="s">
        <v>35</v>
      </c>
      <c r="AO28">
        <v>0.28699999999999998</v>
      </c>
      <c r="AP28" t="s">
        <v>670</v>
      </c>
      <c r="AQ28">
        <v>505</v>
      </c>
      <c r="AR28" t="s">
        <v>671</v>
      </c>
      <c r="AS28" t="s">
        <v>672</v>
      </c>
      <c r="AT28">
        <v>2</v>
      </c>
      <c r="AW28" s="17"/>
      <c r="AX28">
        <f t="shared" ca="1" si="0"/>
        <v>25</v>
      </c>
      <c r="AZ28" s="9">
        <v>39408</v>
      </c>
    </row>
    <row r="29" spans="1:52">
      <c r="A29">
        <v>27166784</v>
      </c>
      <c r="B29" s="4" t="str">
        <f>HYPERLINK("http://locmedia.nwmls.com/DO_NOT_LINK/bigphoto/784/27166784.jpg?tsp=20070911204613","Active")</f>
        <v>Active</v>
      </c>
      <c r="C29">
        <v>705</v>
      </c>
      <c r="D29" t="s">
        <v>66</v>
      </c>
      <c r="E29" t="s">
        <v>297</v>
      </c>
      <c r="F29" s="5">
        <v>450000</v>
      </c>
      <c r="G29" t="s">
        <v>298</v>
      </c>
      <c r="H29">
        <v>0</v>
      </c>
      <c r="I29">
        <v>4000</v>
      </c>
      <c r="J29">
        <v>2</v>
      </c>
      <c r="K29">
        <v>1</v>
      </c>
      <c r="L29">
        <v>1</v>
      </c>
      <c r="M29" s="4" t="str">
        <f>HYPERLINK("http://locsearch.nwmls.com//ReturnMap.aspx?hidMLS=NWML&amp;VHW=47.685959:-122.329400:.25:&amp;Z=4&amp;H=300&amp;W=400&amp;PP=47.685959:-122.329400:1:027166784","Map")</f>
        <v>Map</v>
      </c>
      <c r="N29" s="4" t="str">
        <f>HYPERLINK("http://locmedia.nwmls.com/DO_NOT_LINK/bigphoto/784/27166784.jpg?tsp=20070911204613","Photo")</f>
        <v>Photo</v>
      </c>
      <c r="O29" s="4" t="str">
        <f>HYPERLINK("http://locator.nwmls.com/scripts/mgrqispi.dll?APPNAME=Locator&amp;PRGNAME=MLSPictureDescriptions&amp;ARGUMENTS=-N363684315,-N27166784,-AE","More")</f>
        <v>More</v>
      </c>
      <c r="Q29" t="s">
        <v>56</v>
      </c>
      <c r="R29" t="s">
        <v>95</v>
      </c>
      <c r="S29" t="s">
        <v>299</v>
      </c>
      <c r="T29" t="s">
        <v>300</v>
      </c>
      <c r="U29" t="s">
        <v>26</v>
      </c>
      <c r="V29" s="6" t="s">
        <v>59</v>
      </c>
      <c r="X29" t="s">
        <v>27</v>
      </c>
      <c r="Y29" t="s">
        <v>28</v>
      </c>
      <c r="AB29">
        <v>2007</v>
      </c>
      <c r="AC29">
        <v>3587</v>
      </c>
      <c r="AD29" t="s">
        <v>301</v>
      </c>
      <c r="AE29" t="s">
        <v>302</v>
      </c>
      <c r="AF29" t="s">
        <v>303</v>
      </c>
      <c r="AG29">
        <v>47.685958999999997</v>
      </c>
      <c r="AH29">
        <v>-122.32940000000001</v>
      </c>
      <c r="AI29" t="s">
        <v>33</v>
      </c>
      <c r="AJ29">
        <v>98103</v>
      </c>
      <c r="AK29" t="s">
        <v>34</v>
      </c>
      <c r="AL29" t="s">
        <v>35</v>
      </c>
      <c r="AM29" t="s">
        <v>35</v>
      </c>
      <c r="AO29">
        <v>9.1999999999999998E-2</v>
      </c>
      <c r="AP29" t="s">
        <v>304</v>
      </c>
      <c r="AQ29">
        <v>535</v>
      </c>
      <c r="AR29" t="s">
        <v>111</v>
      </c>
      <c r="AS29" t="s">
        <v>305</v>
      </c>
      <c r="AT29">
        <v>3</v>
      </c>
      <c r="AW29" s="17"/>
      <c r="AX29">
        <f t="shared" ca="1" si="0"/>
        <v>28</v>
      </c>
      <c r="AZ29" s="9">
        <v>39405</v>
      </c>
    </row>
    <row r="30" spans="1:52">
      <c r="A30">
        <v>27166950</v>
      </c>
      <c r="B30" s="4" t="str">
        <f>HYPERLINK("http://locmedia.nwmls.com/DO_NOT_LINK/bigphoto/950/27166950.jpg?tsp=20070912125923","Active")</f>
        <v>Active</v>
      </c>
      <c r="C30">
        <v>705</v>
      </c>
      <c r="D30" t="s">
        <v>81</v>
      </c>
      <c r="E30" t="s">
        <v>250</v>
      </c>
      <c r="F30" s="5">
        <v>445000</v>
      </c>
      <c r="G30" t="s">
        <v>55</v>
      </c>
      <c r="H30">
        <v>1340</v>
      </c>
      <c r="I30">
        <v>4000</v>
      </c>
      <c r="J30">
        <v>3</v>
      </c>
      <c r="K30">
        <v>2</v>
      </c>
      <c r="M30" s="4" t="str">
        <f>HYPERLINK("http://locsearch.nwmls.com//ReturnMap.aspx?hidMLS=NWML&amp;VHW=47.692061:-122.381101:.25:&amp;Z=4&amp;H=300&amp;W=400&amp;PP=47.692061:-122.381101:1:027166950","Map")</f>
        <v>Map</v>
      </c>
      <c r="N30" s="4" t="str">
        <f>HYPERLINK("http://locmedia.nwmls.com/DO_NOT_LINK/bigphoto/950/27166950.jpg?tsp=20070912125923","Photo")</f>
        <v>Photo</v>
      </c>
      <c r="O30" s="4" t="str">
        <f>HYPERLINK("http://locator.nwmls.com/scripts/mgrqispi.dll?APPNAME=Locator&amp;PRGNAME=MLSPictureDescriptions&amp;ARGUMENTS=-N363684315,-N27166950,-AE","More")</f>
        <v>More</v>
      </c>
      <c r="P30" t="s">
        <v>251</v>
      </c>
      <c r="Q30" t="s">
        <v>56</v>
      </c>
      <c r="R30" t="s">
        <v>116</v>
      </c>
      <c r="S30" t="s">
        <v>24</v>
      </c>
      <c r="T30" t="s">
        <v>25</v>
      </c>
      <c r="U30" t="s">
        <v>26</v>
      </c>
      <c r="V30" t="s">
        <v>252</v>
      </c>
      <c r="X30" t="s">
        <v>27</v>
      </c>
      <c r="Y30" t="s">
        <v>28</v>
      </c>
      <c r="Z30" t="s">
        <v>253</v>
      </c>
      <c r="AB30">
        <v>2006</v>
      </c>
      <c r="AC30">
        <v>3281</v>
      </c>
      <c r="AD30" t="s">
        <v>254</v>
      </c>
      <c r="AE30" t="s">
        <v>255</v>
      </c>
      <c r="AF30" t="s">
        <v>256</v>
      </c>
      <c r="AG30">
        <v>47.692061000000002</v>
      </c>
      <c r="AH30">
        <v>-122.381101</v>
      </c>
      <c r="AI30" t="s">
        <v>33</v>
      </c>
      <c r="AJ30">
        <v>98117</v>
      </c>
      <c r="AK30" t="s">
        <v>34</v>
      </c>
      <c r="AL30" t="s">
        <v>35</v>
      </c>
      <c r="AM30" t="s">
        <v>35</v>
      </c>
      <c r="AO30">
        <v>9.1999999999999998E-2</v>
      </c>
      <c r="AP30" t="s">
        <v>257</v>
      </c>
      <c r="AQ30">
        <v>534</v>
      </c>
      <c r="AR30" t="s">
        <v>258</v>
      </c>
      <c r="AS30" t="s">
        <v>259</v>
      </c>
      <c r="AT30">
        <v>3</v>
      </c>
      <c r="AU30" t="s">
        <v>919</v>
      </c>
      <c r="AW30" s="17"/>
      <c r="AX30">
        <f t="shared" ca="1" si="0"/>
        <v>28</v>
      </c>
      <c r="AZ30" s="9">
        <v>39405</v>
      </c>
    </row>
    <row r="31" spans="1:52">
      <c r="A31">
        <v>27168563</v>
      </c>
      <c r="B31" s="4" t="str">
        <f>HYPERLINK("http://locmedia.nwmls.com/DO_NOT_LINK/bigphoto/563/27168563.jpg?tsp=20070926144917","Active")</f>
        <v>Active</v>
      </c>
      <c r="C31">
        <v>705</v>
      </c>
      <c r="D31" t="s">
        <v>224</v>
      </c>
      <c r="E31" t="s">
        <v>306</v>
      </c>
      <c r="F31" s="5">
        <v>450000</v>
      </c>
      <c r="G31" t="s">
        <v>127</v>
      </c>
      <c r="H31">
        <v>1340</v>
      </c>
      <c r="I31">
        <v>3250</v>
      </c>
      <c r="J31">
        <v>2</v>
      </c>
      <c r="K31">
        <v>1</v>
      </c>
      <c r="L31">
        <v>1</v>
      </c>
      <c r="M31" s="4" t="str">
        <f>HYPERLINK("http://locsearch.nwmls.com//ReturnMap.aspx?hidMLS=NWML&amp;VHW=47.681202:-122.359400:.25:&amp;Z=4&amp;H=300&amp;W=400&amp;PP=47.681202:-122.359400:1:027168563","Map")</f>
        <v>Map</v>
      </c>
      <c r="N31" s="4" t="str">
        <f>HYPERLINK("http://locmedia.nwmls.com/DO_NOT_LINK/bigphoto/563/27168563.jpg?tsp=20070926144917","Photo")</f>
        <v>Photo</v>
      </c>
      <c r="O31" s="4" t="str">
        <f>HYPERLINK("http://locator.nwmls.com/scripts/mgrqispi.dll?APPNAME=Locator&amp;PRGNAME=MLSPictureDescriptions&amp;ARGUMENTS=-N363684315,-N27168563,-AE","More")</f>
        <v>More</v>
      </c>
      <c r="Q31" t="s">
        <v>56</v>
      </c>
      <c r="R31" t="s">
        <v>95</v>
      </c>
      <c r="S31" t="s">
        <v>43</v>
      </c>
      <c r="T31" t="s">
        <v>300</v>
      </c>
      <c r="U31" t="s">
        <v>26</v>
      </c>
      <c r="V31" s="6" t="s">
        <v>59</v>
      </c>
      <c r="X31" t="s">
        <v>27</v>
      </c>
      <c r="Y31" t="s">
        <v>28</v>
      </c>
      <c r="Z31" t="s">
        <v>176</v>
      </c>
      <c r="AA31" t="s">
        <v>307</v>
      </c>
      <c r="AB31">
        <v>2007</v>
      </c>
      <c r="AC31">
        <v>3847</v>
      </c>
      <c r="AD31" t="s">
        <v>308</v>
      </c>
      <c r="AE31" t="s">
        <v>309</v>
      </c>
      <c r="AF31" t="s">
        <v>310</v>
      </c>
      <c r="AG31">
        <v>47.681201999999999</v>
      </c>
      <c r="AH31">
        <v>-122.35939999999999</v>
      </c>
      <c r="AI31" t="s">
        <v>33</v>
      </c>
      <c r="AJ31">
        <v>98117</v>
      </c>
      <c r="AK31" t="s">
        <v>34</v>
      </c>
      <c r="AL31" t="s">
        <v>311</v>
      </c>
      <c r="AM31" t="s">
        <v>35</v>
      </c>
      <c r="AO31">
        <v>7.4999999999999997E-2</v>
      </c>
      <c r="AP31" t="s">
        <v>312</v>
      </c>
      <c r="AQ31">
        <v>534</v>
      </c>
      <c r="AR31" t="s">
        <v>313</v>
      </c>
      <c r="AS31" t="s">
        <v>314</v>
      </c>
      <c r="AT31">
        <v>3</v>
      </c>
      <c r="AW31" s="17"/>
      <c r="AX31">
        <f t="shared" ca="1" si="0"/>
        <v>28</v>
      </c>
      <c r="AZ31" s="9">
        <v>39405</v>
      </c>
    </row>
    <row r="32" spans="1:52">
      <c r="A32">
        <v>27168653</v>
      </c>
      <c r="B32" s="13" t="str">
        <f>HYPERLINK("http://locmedia.nwmls.com/DO_NOT_LINK/bigphoto/653/27168653.jpg?tsp=20070917150225","Contingent")</f>
        <v>Contingent</v>
      </c>
      <c r="C32">
        <v>705</v>
      </c>
      <c r="D32" t="s">
        <v>19</v>
      </c>
      <c r="E32" t="s">
        <v>174</v>
      </c>
      <c r="F32" s="5">
        <v>415000</v>
      </c>
      <c r="G32" t="s">
        <v>115</v>
      </c>
      <c r="H32">
        <v>1860</v>
      </c>
      <c r="I32">
        <v>7200</v>
      </c>
      <c r="J32">
        <v>3</v>
      </c>
      <c r="K32">
        <v>1</v>
      </c>
      <c r="L32">
        <v>2</v>
      </c>
      <c r="M32" s="4" t="str">
        <f>HYPERLINK("http://locsearch.nwmls.com//ReturnMap.aspx?hidMLS=NWML&amp;VHW=47.716447:-122.335501:.25:&amp;Z=4&amp;H=300&amp;W=400&amp;PP=47.716447:-122.335501:1:027168653","Map")</f>
        <v>Map</v>
      </c>
      <c r="N32" s="4" t="str">
        <f>HYPERLINK("http://locmedia.nwmls.com/DO_NOT_LINK/bigphoto/653/27168653.jpg?tsp=20070917150225","Photo")</f>
        <v>Photo</v>
      </c>
      <c r="O32" s="4" t="str">
        <f>HYPERLINK("http://locator.nwmls.com/scripts/mgrqispi.dll?APPNAME=Locator&amp;PRGNAME=MLSPictureDescriptions&amp;ARGUMENTS=-N363684315,-N27168653,-AE","More")</f>
        <v>More</v>
      </c>
      <c r="Q32" t="s">
        <v>56</v>
      </c>
      <c r="R32" t="s">
        <v>23</v>
      </c>
      <c r="S32" t="s">
        <v>175</v>
      </c>
      <c r="T32" t="s">
        <v>129</v>
      </c>
      <c r="U32" t="s">
        <v>26</v>
      </c>
      <c r="V32" s="6" t="s">
        <v>59</v>
      </c>
      <c r="X32" t="s">
        <v>27</v>
      </c>
      <c r="Y32" t="s">
        <v>28</v>
      </c>
      <c r="Z32" t="s">
        <v>176</v>
      </c>
      <c r="AB32">
        <v>2007</v>
      </c>
      <c r="AC32">
        <v>3216</v>
      </c>
      <c r="AD32" t="s">
        <v>177</v>
      </c>
      <c r="AE32" t="s">
        <v>178</v>
      </c>
      <c r="AF32" t="s">
        <v>179</v>
      </c>
      <c r="AG32">
        <v>47.716447000000002</v>
      </c>
      <c r="AH32">
        <v>-122.33550099999999</v>
      </c>
      <c r="AI32" t="s">
        <v>33</v>
      </c>
      <c r="AJ32">
        <v>98133</v>
      </c>
      <c r="AK32" t="s">
        <v>34</v>
      </c>
      <c r="AL32" t="s">
        <v>35</v>
      </c>
      <c r="AM32" t="s">
        <v>35</v>
      </c>
      <c r="AO32">
        <v>0.16500000000000001</v>
      </c>
      <c r="AP32" t="s">
        <v>180</v>
      </c>
      <c r="AQ32">
        <v>505</v>
      </c>
      <c r="AR32" t="s">
        <v>37</v>
      </c>
      <c r="AS32" t="s">
        <v>181</v>
      </c>
      <c r="AT32">
        <v>2</v>
      </c>
      <c r="AV32" s="9">
        <v>39339</v>
      </c>
      <c r="AW32" s="17">
        <v>72</v>
      </c>
      <c r="AX32">
        <f t="shared" ca="1" si="0"/>
        <v>94</v>
      </c>
      <c r="AZ32" s="9">
        <v>39405</v>
      </c>
    </row>
    <row r="33" spans="1:52">
      <c r="A33">
        <v>27171486</v>
      </c>
      <c r="B33" s="4" t="str">
        <f>HYPERLINK("http://locmedia.nwmls.com/DO_NOT_LINK/bigphoto/486/27171486.jpg?tsp=20070919100138","Active")</f>
        <v>Active</v>
      </c>
      <c r="C33">
        <v>705</v>
      </c>
      <c r="D33" t="s">
        <v>19</v>
      </c>
      <c r="E33" t="s">
        <v>155</v>
      </c>
      <c r="F33" s="5">
        <v>399999</v>
      </c>
      <c r="G33" t="s">
        <v>156</v>
      </c>
      <c r="H33">
        <v>1780</v>
      </c>
      <c r="I33">
        <v>0</v>
      </c>
      <c r="J33">
        <v>3</v>
      </c>
      <c r="K33">
        <v>2.5</v>
      </c>
      <c r="L33">
        <v>1</v>
      </c>
      <c r="M33" s="4" t="str">
        <f>HYPERLINK("http://locsearch.nwmls.com//ReturnMap.aspx?hidMLS=NWML&amp;VHW=47.714545:-122.340266:.25:&amp;Z=4&amp;H=300&amp;W=400&amp;PP=47.714545:-122.340266:1:027171486","Map")</f>
        <v>Map</v>
      </c>
      <c r="N33" s="4" t="str">
        <f>HYPERLINK("http://locmedia.nwmls.com/DO_NOT_LINK/bigphoto/486/27171486.jpg?tsp=20070919100138","Photo")</f>
        <v>Photo</v>
      </c>
      <c r="O33" s="4" t="str">
        <f>HYPERLINK("http://locator.nwmls.com/scripts/mgrqispi.dll?APPNAME=Locator&amp;PRGNAME=MLSPictureDescriptions&amp;ARGUMENTS=-N363684315,-N27171486,-AE","More")</f>
        <v>More</v>
      </c>
      <c r="Q33" t="s">
        <v>157</v>
      </c>
      <c r="R33" t="s">
        <v>95</v>
      </c>
      <c r="S33" t="s">
        <v>158</v>
      </c>
      <c r="T33" t="s">
        <v>25</v>
      </c>
      <c r="U33" t="s">
        <v>26</v>
      </c>
      <c r="V33" t="s">
        <v>159</v>
      </c>
      <c r="X33" t="s">
        <v>27</v>
      </c>
      <c r="Y33" t="s">
        <v>28</v>
      </c>
      <c r="Z33" t="s">
        <v>96</v>
      </c>
      <c r="AB33">
        <v>2007</v>
      </c>
      <c r="AC33">
        <v>2910</v>
      </c>
      <c r="AD33" t="s">
        <v>160</v>
      </c>
      <c r="AE33" t="s">
        <v>161</v>
      </c>
      <c r="AF33" t="s">
        <v>162</v>
      </c>
      <c r="AG33" s="12">
        <v>47.714545000000001</v>
      </c>
      <c r="AH33" s="12">
        <v>-122.340266</v>
      </c>
      <c r="AI33" t="s">
        <v>33</v>
      </c>
      <c r="AJ33">
        <v>98133</v>
      </c>
      <c r="AK33" t="s">
        <v>34</v>
      </c>
      <c r="AL33">
        <v>39</v>
      </c>
      <c r="AM33" t="s">
        <v>35</v>
      </c>
      <c r="AO33">
        <v>0</v>
      </c>
      <c r="AP33" t="s">
        <v>163</v>
      </c>
      <c r="AQ33">
        <v>504</v>
      </c>
      <c r="AR33" t="s">
        <v>164</v>
      </c>
      <c r="AS33" t="s">
        <v>165</v>
      </c>
      <c r="AT33">
        <v>1</v>
      </c>
      <c r="AU33" t="s">
        <v>913</v>
      </c>
      <c r="AW33" s="17"/>
      <c r="AX33">
        <f t="shared" ca="1" si="0"/>
        <v>28</v>
      </c>
      <c r="AZ33" s="9">
        <v>39405</v>
      </c>
    </row>
    <row r="34" spans="1:52">
      <c r="A34">
        <v>27171942</v>
      </c>
      <c r="B34" s="4" t="str">
        <f>HYPERLINK("http://locmedia.nwmls.com/DO_NOT_LINK/bigphoto/942/27171942.jpg?tsp=20070919162449","Active")</f>
        <v>Active</v>
      </c>
      <c r="C34">
        <v>705</v>
      </c>
      <c r="D34" t="s">
        <v>419</v>
      </c>
      <c r="E34" t="s">
        <v>420</v>
      </c>
      <c r="F34" s="5">
        <v>475000</v>
      </c>
      <c r="G34" t="s">
        <v>421</v>
      </c>
      <c r="H34">
        <v>1160</v>
      </c>
      <c r="I34">
        <v>7590</v>
      </c>
      <c r="J34">
        <v>2</v>
      </c>
      <c r="K34">
        <v>1</v>
      </c>
      <c r="L34">
        <v>1</v>
      </c>
      <c r="M34" s="4" t="str">
        <f>HYPERLINK("http://locsearch.nwmls.com//ReturnMap.aspx?hidMLS=NWML&amp;VHW=47.693852:-122.396901:.25:&amp;Z=4&amp;H=300&amp;W=400&amp;PP=47.693852:-122.396901:1:027171942","Map")</f>
        <v>Map</v>
      </c>
      <c r="N34" s="4" t="str">
        <f>HYPERLINK("http://locmedia.nwmls.com/DO_NOT_LINK/bigphoto/942/27171942.jpg?tsp=20070919162449","Photo")</f>
        <v>Photo</v>
      </c>
      <c r="O34" s="4" t="str">
        <f>HYPERLINK("http://locator.nwmls.com/scripts/mgrqispi.dll?APPNAME=Locator&amp;PRGNAME=MLSPictureDescriptions&amp;ARGUMENTS=-N363684315,-N27171942,-AE","More")</f>
        <v>More</v>
      </c>
      <c r="Q34" t="s">
        <v>56</v>
      </c>
      <c r="R34" t="s">
        <v>116</v>
      </c>
      <c r="S34" t="s">
        <v>422</v>
      </c>
      <c r="T34" t="s">
        <v>300</v>
      </c>
      <c r="U34" t="s">
        <v>26</v>
      </c>
      <c r="V34" s="6" t="s">
        <v>59</v>
      </c>
      <c r="X34" t="s">
        <v>27</v>
      </c>
      <c r="Y34" t="s">
        <v>28</v>
      </c>
      <c r="Z34" t="s">
        <v>423</v>
      </c>
      <c r="AB34">
        <v>2006</v>
      </c>
      <c r="AC34">
        <v>2816</v>
      </c>
      <c r="AD34" t="s">
        <v>424</v>
      </c>
      <c r="AG34">
        <v>47.693852</v>
      </c>
      <c r="AH34">
        <v>-122.396901</v>
      </c>
      <c r="AI34" t="s">
        <v>33</v>
      </c>
      <c r="AJ34">
        <v>98117</v>
      </c>
      <c r="AK34" t="s">
        <v>34</v>
      </c>
      <c r="AL34" t="s">
        <v>35</v>
      </c>
      <c r="AM34" t="s">
        <v>35</v>
      </c>
      <c r="AO34">
        <v>0.17399999999999999</v>
      </c>
      <c r="AP34" t="s">
        <v>425</v>
      </c>
      <c r="AQ34">
        <v>534</v>
      </c>
      <c r="AR34" t="s">
        <v>426</v>
      </c>
      <c r="AS34" t="s">
        <v>427</v>
      </c>
      <c r="AT34">
        <v>4</v>
      </c>
      <c r="AV34" s="9">
        <v>39344</v>
      </c>
      <c r="AW34" s="17">
        <v>67</v>
      </c>
      <c r="AX34">
        <f t="shared" ca="1" si="0"/>
        <v>89</v>
      </c>
      <c r="AY34" t="s">
        <v>920</v>
      </c>
      <c r="AZ34" s="9">
        <v>39405</v>
      </c>
    </row>
    <row r="35" spans="1:52">
      <c r="A35">
        <v>27172144</v>
      </c>
      <c r="B35" s="4" t="str">
        <f>HYPERLINK("http://locmedia.nwmls.com/DO_NOT_LINK/bigphoto/144/27172144.jpg?tsp=20070920120323","Active")</f>
        <v>Active</v>
      </c>
      <c r="C35">
        <v>710</v>
      </c>
      <c r="D35" t="s">
        <v>649</v>
      </c>
      <c r="E35" t="s">
        <v>754</v>
      </c>
      <c r="F35" s="5">
        <v>475000</v>
      </c>
      <c r="G35" t="s">
        <v>138</v>
      </c>
      <c r="H35">
        <v>1920</v>
      </c>
      <c r="I35">
        <v>6360</v>
      </c>
      <c r="J35">
        <v>3</v>
      </c>
      <c r="K35">
        <v>3</v>
      </c>
      <c r="L35">
        <v>1</v>
      </c>
      <c r="M35" t="s">
        <v>243</v>
      </c>
      <c r="N35" s="4" t="str">
        <f>HYPERLINK("http://locmedia.nwmls.com/DO_NOT_LINK/bigphoto/144/27172144.jpg?tsp=20070920120323","Photo")</f>
        <v>Photo</v>
      </c>
      <c r="O35" t="s">
        <v>435</v>
      </c>
      <c r="P35" t="s">
        <v>41</v>
      </c>
      <c r="Q35" t="s">
        <v>56</v>
      </c>
      <c r="R35" t="s">
        <v>95</v>
      </c>
      <c r="S35" t="s">
        <v>755</v>
      </c>
      <c r="T35" t="s">
        <v>72</v>
      </c>
      <c r="U35" t="s">
        <v>26</v>
      </c>
      <c r="V35" t="s">
        <v>756</v>
      </c>
      <c r="X35" t="s">
        <v>27</v>
      </c>
      <c r="Y35" t="s">
        <v>28</v>
      </c>
      <c r="Z35" t="s">
        <v>184</v>
      </c>
      <c r="AA35" t="s">
        <v>757</v>
      </c>
      <c r="AB35">
        <v>2007</v>
      </c>
      <c r="AC35">
        <v>500</v>
      </c>
      <c r="AD35" t="s">
        <v>758</v>
      </c>
      <c r="AE35" t="s">
        <v>692</v>
      </c>
      <c r="AF35" t="s">
        <v>759</v>
      </c>
      <c r="AI35" t="s">
        <v>33</v>
      </c>
      <c r="AJ35">
        <v>98116</v>
      </c>
      <c r="AK35" t="s">
        <v>34</v>
      </c>
      <c r="AL35" t="s">
        <v>35</v>
      </c>
      <c r="AM35" t="s">
        <v>35</v>
      </c>
      <c r="AO35">
        <v>0.14599999999999999</v>
      </c>
      <c r="AP35" t="s">
        <v>760</v>
      </c>
      <c r="AQ35">
        <v>505</v>
      </c>
      <c r="AR35" t="s">
        <v>761</v>
      </c>
      <c r="AS35" t="s">
        <v>762</v>
      </c>
      <c r="AT35">
        <v>3</v>
      </c>
      <c r="AW35" s="17"/>
      <c r="AX35">
        <f t="shared" ca="1" si="0"/>
        <v>25</v>
      </c>
      <c r="AZ35" s="9">
        <v>39408</v>
      </c>
    </row>
    <row r="36" spans="1:52">
      <c r="A36">
        <v>27172258</v>
      </c>
      <c r="B36" s="4" t="str">
        <f>HYPERLINK("http://locmedia.nwmls.com/DO_NOT_LINK/bigphoto/258/27172258.jpg?tsp=20070921155931","Active")</f>
        <v>Active</v>
      </c>
      <c r="C36">
        <v>705</v>
      </c>
      <c r="D36" t="s">
        <v>81</v>
      </c>
      <c r="E36" t="s">
        <v>468</v>
      </c>
      <c r="F36" s="14">
        <v>475000</v>
      </c>
      <c r="G36" t="s">
        <v>270</v>
      </c>
      <c r="H36">
        <v>2000</v>
      </c>
      <c r="I36">
        <v>4700</v>
      </c>
      <c r="J36">
        <v>2</v>
      </c>
      <c r="K36">
        <v>1</v>
      </c>
      <c r="L36">
        <v>1</v>
      </c>
      <c r="M36" s="4" t="str">
        <f>HYPERLINK("http://locsearch.nwmls.com//ReturnMap.aspx?hidMLS=NWML&amp;VHW=47.689964:-122.385420:.25:&amp;Z=4&amp;H=300&amp;W=400&amp;PP=47.689964:-122.385420:1:027172258","Map")</f>
        <v>Map</v>
      </c>
      <c r="N36" s="4" t="str">
        <f>HYPERLINK("http://locmedia.nwmls.com/DO_NOT_LINK/bigphoto/258/27172258.jpg?tsp=20070921155931","Photo")</f>
        <v>Photo</v>
      </c>
      <c r="O36" s="4" t="str">
        <f>HYPERLINK("http://locator.nwmls.com/scripts/mgrqispi.dll?APPNAME=Locator&amp;PRGNAME=MLSPictureDescriptions&amp;ARGUMENTS=-N363684315,-N27172258,-AE","More")</f>
        <v>More</v>
      </c>
      <c r="Q36" t="s">
        <v>56</v>
      </c>
      <c r="R36" t="s">
        <v>116</v>
      </c>
      <c r="S36" t="s">
        <v>128</v>
      </c>
      <c r="T36" t="s">
        <v>129</v>
      </c>
      <c r="U36" t="s">
        <v>26</v>
      </c>
      <c r="V36" s="6" t="s">
        <v>59</v>
      </c>
      <c r="X36" t="s">
        <v>27</v>
      </c>
      <c r="Y36" t="s">
        <v>28</v>
      </c>
      <c r="Z36" t="s">
        <v>430</v>
      </c>
      <c r="AA36" t="s">
        <v>469</v>
      </c>
      <c r="AB36">
        <v>2007</v>
      </c>
      <c r="AC36">
        <v>3318</v>
      </c>
      <c r="AD36" t="s">
        <v>470</v>
      </c>
      <c r="AE36" t="s">
        <v>121</v>
      </c>
      <c r="AF36" t="s">
        <v>471</v>
      </c>
      <c r="AG36">
        <v>47.689964000000003</v>
      </c>
      <c r="AH36" s="12">
        <v>-122.38542</v>
      </c>
      <c r="AI36" t="s">
        <v>33</v>
      </c>
      <c r="AJ36">
        <v>98117</v>
      </c>
      <c r="AK36" t="s">
        <v>34</v>
      </c>
      <c r="AL36" t="s">
        <v>35</v>
      </c>
      <c r="AM36" t="s">
        <v>35</v>
      </c>
      <c r="AO36">
        <v>0.108</v>
      </c>
      <c r="AP36" s="12" t="s">
        <v>875</v>
      </c>
      <c r="AQ36">
        <v>534</v>
      </c>
      <c r="AR36" t="s">
        <v>258</v>
      </c>
      <c r="AS36" t="s">
        <v>472</v>
      </c>
      <c r="AT36">
        <v>4</v>
      </c>
      <c r="AV36" s="9">
        <v>39346</v>
      </c>
      <c r="AW36" s="17">
        <v>65</v>
      </c>
      <c r="AX36">
        <f t="shared" ca="1" si="0"/>
        <v>87</v>
      </c>
      <c r="AY36" t="s">
        <v>907</v>
      </c>
      <c r="AZ36" s="9">
        <v>39405</v>
      </c>
    </row>
    <row r="37" spans="1:52">
      <c r="A37">
        <v>27172642</v>
      </c>
      <c r="B37" s="4" t="str">
        <f>HYPERLINK("http://locmedia.nwmls.com/DO_NOT_LINK/bigphoto/642/27172642.jpg?tsp=20071113115037","Cancelled")</f>
        <v>Cancelled</v>
      </c>
      <c r="C37">
        <v>705</v>
      </c>
      <c r="D37" t="s">
        <v>403</v>
      </c>
      <c r="E37" t="s">
        <v>595</v>
      </c>
      <c r="F37" s="5">
        <v>479000</v>
      </c>
      <c r="G37" t="s">
        <v>596</v>
      </c>
      <c r="H37">
        <v>1150</v>
      </c>
      <c r="I37">
        <v>3200</v>
      </c>
      <c r="J37">
        <v>3</v>
      </c>
      <c r="K37">
        <v>1</v>
      </c>
      <c r="L37">
        <v>1</v>
      </c>
      <c r="M37" s="4" t="str">
        <f>HYPERLINK("http://locsearch.nwmls.com//ReturnMap.aspx?hidMLS=NWML&amp;VHW=47.655651:-122.348600:.25:&amp;Z=4&amp;H=300&amp;W=400&amp;PP=47.655651:-122.348600:1:027172642","Map")</f>
        <v>Map</v>
      </c>
      <c r="N37" s="4" t="str">
        <f>HYPERLINK("http://locmedia.nwmls.com/DO_NOT_LINK/bigphoto/642/27172642.jpg?tsp=20071113115037","Photo")</f>
        <v>Photo</v>
      </c>
      <c r="O37" s="4" t="str">
        <f>HYPERLINK("http://locator.nwmls.com/scripts/mgrqispi.dll?APPNAME=Locator&amp;PRGNAME=MLSPictureDescriptions&amp;ARGUMENTS=-N363684315,-N27172642,-AE","More")</f>
        <v>More</v>
      </c>
      <c r="P37" t="s">
        <v>597</v>
      </c>
      <c r="Q37" t="s">
        <v>598</v>
      </c>
      <c r="R37" t="s">
        <v>429</v>
      </c>
      <c r="S37" t="s">
        <v>128</v>
      </c>
      <c r="T37" t="s">
        <v>263</v>
      </c>
      <c r="X37" t="s">
        <v>27</v>
      </c>
      <c r="Y37" t="s">
        <v>28</v>
      </c>
      <c r="Z37" t="s">
        <v>505</v>
      </c>
      <c r="AA37" t="s">
        <v>18</v>
      </c>
      <c r="AB37">
        <v>2007</v>
      </c>
      <c r="AC37">
        <v>2928</v>
      </c>
      <c r="AD37" t="s">
        <v>599</v>
      </c>
      <c r="AF37" t="s">
        <v>600</v>
      </c>
      <c r="AG37">
        <v>47.655650999999999</v>
      </c>
      <c r="AH37">
        <v>-122.3486</v>
      </c>
      <c r="AI37" t="s">
        <v>33</v>
      </c>
      <c r="AJ37">
        <v>98103</v>
      </c>
      <c r="AK37" t="s">
        <v>34</v>
      </c>
      <c r="AL37">
        <v>12</v>
      </c>
      <c r="AM37" t="s">
        <v>35</v>
      </c>
      <c r="AO37">
        <v>7.2999999999999995E-2</v>
      </c>
      <c r="AP37" t="s">
        <v>601</v>
      </c>
      <c r="AQ37">
        <v>534</v>
      </c>
      <c r="AR37" t="s">
        <v>64</v>
      </c>
      <c r="AS37" t="s">
        <v>602</v>
      </c>
      <c r="AT37">
        <v>1</v>
      </c>
      <c r="AU37" t="s">
        <v>913</v>
      </c>
      <c r="AW37" s="17"/>
      <c r="AX37">
        <f t="shared" ca="1" si="0"/>
        <v>28</v>
      </c>
      <c r="AZ37" s="9">
        <v>39405</v>
      </c>
    </row>
    <row r="38" spans="1:52">
      <c r="A38">
        <v>27172881</v>
      </c>
      <c r="B38" s="4" t="str">
        <f>HYPERLINK("http://locmedia.nwmls.com/DO_NOT_LINK/bigphoto/881/27172881.jpg?tsp=20070925190158","Active")</f>
        <v>Active</v>
      </c>
      <c r="C38">
        <v>710</v>
      </c>
      <c r="D38" t="s">
        <v>723</v>
      </c>
      <c r="E38" t="s">
        <v>770</v>
      </c>
      <c r="F38" s="5">
        <v>479950</v>
      </c>
      <c r="G38" t="s">
        <v>596</v>
      </c>
      <c r="H38">
        <v>1850</v>
      </c>
      <c r="I38">
        <v>0</v>
      </c>
      <c r="J38">
        <v>3</v>
      </c>
      <c r="K38">
        <v>2</v>
      </c>
      <c r="L38">
        <v>1</v>
      </c>
      <c r="M38" s="4" t="str">
        <f>HYPERLINK("http://locsearch.nwmls.com//ReturnMap.aspx?hidMLS=NWML&amp;VHW=47.670458:-122.290200:.25:&amp;Z=4&amp;H=300&amp;W=400&amp;PP=47.670458:-122.290200:1:027172881","Map")</f>
        <v>Map</v>
      </c>
      <c r="N38" s="4" t="str">
        <f>HYPERLINK("http://locmedia.nwmls.com/DO_NOT_LINK/bigphoto/881/27172881.jpg?tsp=20070925190158","Photo")</f>
        <v>Photo</v>
      </c>
      <c r="O38" s="4" t="str">
        <f>HYPERLINK("http://locator.nwmls.com/scripts/mgrqispi.dll?APPNAME=Locator&amp;PRGNAME=MLSPictureDescriptions&amp;ARGUMENTS=-N585198739,-N27172881,-AE","More")</f>
        <v>More</v>
      </c>
      <c r="P38" t="s">
        <v>771</v>
      </c>
      <c r="Q38" t="s">
        <v>56</v>
      </c>
      <c r="R38" t="s">
        <v>95</v>
      </c>
      <c r="S38" t="s">
        <v>299</v>
      </c>
      <c r="T38" t="s">
        <v>129</v>
      </c>
      <c r="U38" t="s">
        <v>26</v>
      </c>
      <c r="V38" s="6" t="s">
        <v>59</v>
      </c>
      <c r="X38" t="s">
        <v>27</v>
      </c>
      <c r="Y38" t="s">
        <v>28</v>
      </c>
      <c r="Z38" t="s">
        <v>715</v>
      </c>
      <c r="AB38">
        <v>2006</v>
      </c>
      <c r="AC38">
        <v>2000</v>
      </c>
      <c r="AD38" t="s">
        <v>772</v>
      </c>
      <c r="AE38" t="s">
        <v>773</v>
      </c>
      <c r="AF38" t="s">
        <v>416</v>
      </c>
      <c r="AG38">
        <v>47.670458000000004</v>
      </c>
      <c r="AH38">
        <v>-122.2902</v>
      </c>
      <c r="AI38" t="s">
        <v>33</v>
      </c>
      <c r="AJ38">
        <v>98105</v>
      </c>
      <c r="AK38" t="s">
        <v>34</v>
      </c>
      <c r="AL38" t="s">
        <v>35</v>
      </c>
      <c r="AM38" t="s">
        <v>35</v>
      </c>
      <c r="AO38">
        <v>0</v>
      </c>
      <c r="AP38" t="s">
        <v>774</v>
      </c>
      <c r="AQ38">
        <v>535</v>
      </c>
      <c r="AR38" t="s">
        <v>287</v>
      </c>
      <c r="AS38" t="s">
        <v>775</v>
      </c>
      <c r="AT38">
        <v>1</v>
      </c>
      <c r="AU38" t="s">
        <v>921</v>
      </c>
      <c r="AW38" s="17"/>
      <c r="AX38">
        <f t="shared" ca="1" si="0"/>
        <v>25</v>
      </c>
      <c r="AZ38" s="9">
        <v>39408</v>
      </c>
    </row>
    <row r="39" spans="1:52">
      <c r="A39">
        <v>27174450</v>
      </c>
      <c r="B39" s="4" t="str">
        <f>HYPERLINK("http://locmedia.nwmls.com/DO_NOT_LINK/bigphoto/450/27174450.jpg?tsp=20070924145616","Active")</f>
        <v>Active</v>
      </c>
      <c r="C39">
        <v>705</v>
      </c>
      <c r="D39" t="s">
        <v>146</v>
      </c>
      <c r="E39" t="s">
        <v>191</v>
      </c>
      <c r="F39" s="5">
        <v>417990</v>
      </c>
      <c r="G39" t="s">
        <v>55</v>
      </c>
      <c r="H39">
        <v>1060</v>
      </c>
      <c r="I39">
        <v>3880</v>
      </c>
      <c r="J39">
        <v>2</v>
      </c>
      <c r="K39">
        <v>1</v>
      </c>
      <c r="L39">
        <v>1</v>
      </c>
      <c r="M39" s="4" t="str">
        <f>HYPERLINK("http://locsearch.nwmls.com//ReturnMap.aspx?hidMLS=NWML&amp;VHW=47.685322:-122.389801:.25:&amp;Z=4&amp;H=300&amp;W=400&amp;PP=47.685322:-122.389801:1:027174450","Map")</f>
        <v>Map</v>
      </c>
      <c r="N39" s="4" t="str">
        <f>HYPERLINK("http://locmedia.nwmls.com/DO_NOT_LINK/bigphoto/450/27174450.jpg?tsp=20070924145616","Photo")</f>
        <v>Photo</v>
      </c>
      <c r="O39" s="4" t="str">
        <f>HYPERLINK("http://locator.nwmls.com/scripts/mgrqispi.dll?APPNAME=Locator&amp;PRGNAME=MLSPictureDescriptions&amp;ARGUMENTS=-N363684315,-N27174450,-AE","More")</f>
        <v>More</v>
      </c>
      <c r="P39" t="s">
        <v>41</v>
      </c>
      <c r="Q39" t="s">
        <v>56</v>
      </c>
      <c r="R39" t="s">
        <v>116</v>
      </c>
      <c r="S39" t="s">
        <v>24</v>
      </c>
      <c r="T39" t="s">
        <v>25</v>
      </c>
      <c r="U39" t="s">
        <v>26</v>
      </c>
      <c r="V39" s="6" t="s">
        <v>59</v>
      </c>
      <c r="X39" t="s">
        <v>27</v>
      </c>
      <c r="Y39" t="s">
        <v>28</v>
      </c>
      <c r="Z39" t="s">
        <v>150</v>
      </c>
      <c r="AB39">
        <v>2007</v>
      </c>
      <c r="AC39">
        <v>2585</v>
      </c>
      <c r="AD39" t="s">
        <v>192</v>
      </c>
      <c r="AE39" t="s">
        <v>193</v>
      </c>
      <c r="AF39" t="s">
        <v>194</v>
      </c>
      <c r="AG39">
        <v>47.685321999999999</v>
      </c>
      <c r="AH39">
        <v>-122.38980100000001</v>
      </c>
      <c r="AI39" t="s">
        <v>33</v>
      </c>
      <c r="AJ39">
        <v>98117</v>
      </c>
      <c r="AK39" t="s">
        <v>34</v>
      </c>
      <c r="AL39" t="s">
        <v>35</v>
      </c>
      <c r="AM39" t="s">
        <v>35</v>
      </c>
      <c r="AO39">
        <v>8.8999999999999996E-2</v>
      </c>
      <c r="AP39" t="s">
        <v>195</v>
      </c>
      <c r="AQ39">
        <v>534</v>
      </c>
      <c r="AR39" t="s">
        <v>196</v>
      </c>
      <c r="AS39" t="s">
        <v>197</v>
      </c>
      <c r="AT39">
        <v>3</v>
      </c>
      <c r="AW39" s="17"/>
      <c r="AX39">
        <f t="shared" ca="1" si="0"/>
        <v>28</v>
      </c>
      <c r="AZ39" s="9">
        <v>39405</v>
      </c>
    </row>
    <row r="40" spans="1:52">
      <c r="A40">
        <v>27174490</v>
      </c>
      <c r="B40" s="13" t="str">
        <f>HYPERLINK("http://locmedia.nwmls.com/DO_NOT_LINK/bigphoto/490/27174490.jpg?tsp=20070927171505","Active - STI")</f>
        <v>Active - STI</v>
      </c>
      <c r="C40">
        <v>710</v>
      </c>
      <c r="D40" t="s">
        <v>686</v>
      </c>
      <c r="E40" t="s">
        <v>687</v>
      </c>
      <c r="F40" s="5">
        <v>449950</v>
      </c>
      <c r="G40" t="s">
        <v>688</v>
      </c>
      <c r="H40">
        <v>1930</v>
      </c>
      <c r="I40">
        <v>8100</v>
      </c>
      <c r="J40">
        <v>3</v>
      </c>
      <c r="K40">
        <v>2</v>
      </c>
      <c r="L40">
        <v>2</v>
      </c>
      <c r="M40" s="4" t="str">
        <f>HYPERLINK("http://locsearch.nwmls.com//ReturnMap.aspx?hidMLS=NWML&amp;VHW=47.726090:-122.304600:.25:&amp;Z=4&amp;H=300&amp;W=400&amp;PP=47.726090:-122.304600:1:027174490","Map")</f>
        <v>Map</v>
      </c>
      <c r="N40" s="4" t="str">
        <f>HYPERLINK("http://locmedia.nwmls.com/DO_NOT_LINK/bigphoto/490/27174490.jpg?tsp=20070927171505","Photo")</f>
        <v>Photo</v>
      </c>
      <c r="O40" s="4" t="str">
        <f>HYPERLINK("http://locator.nwmls.com/scripts/mgrqispi.dll?APPNAME=Locator&amp;PRGNAME=MLSPictureDescriptions&amp;ARGUMENTS=-N585198739,-N27174490,-AE","More")</f>
        <v>More</v>
      </c>
      <c r="P40" t="s">
        <v>41</v>
      </c>
      <c r="Q40" t="s">
        <v>56</v>
      </c>
      <c r="R40" t="s">
        <v>95</v>
      </c>
      <c r="S40" t="s">
        <v>128</v>
      </c>
      <c r="T40" t="s">
        <v>44</v>
      </c>
      <c r="U40" t="s">
        <v>26</v>
      </c>
      <c r="V40" s="6" t="s">
        <v>59</v>
      </c>
      <c r="X40" t="s">
        <v>27</v>
      </c>
      <c r="Y40" t="s">
        <v>28</v>
      </c>
      <c r="Z40" t="s">
        <v>689</v>
      </c>
      <c r="AA40" t="s">
        <v>690</v>
      </c>
      <c r="AB40">
        <v>2007</v>
      </c>
      <c r="AD40" t="s">
        <v>691</v>
      </c>
      <c r="AE40" t="s">
        <v>692</v>
      </c>
      <c r="AF40" t="s">
        <v>693</v>
      </c>
      <c r="AG40">
        <v>47.726089999999999</v>
      </c>
      <c r="AH40">
        <v>-122.30459999999999</v>
      </c>
      <c r="AI40" t="s">
        <v>33</v>
      </c>
      <c r="AJ40">
        <v>98125</v>
      </c>
      <c r="AK40" t="s">
        <v>34</v>
      </c>
      <c r="AL40" t="s">
        <v>35</v>
      </c>
      <c r="AM40" t="s">
        <v>35</v>
      </c>
      <c r="AO40">
        <v>0.186</v>
      </c>
      <c r="AP40" t="s">
        <v>694</v>
      </c>
      <c r="AQ40">
        <v>505</v>
      </c>
      <c r="AR40" t="s">
        <v>480</v>
      </c>
      <c r="AS40" t="s">
        <v>695</v>
      </c>
      <c r="AT40">
        <v>1</v>
      </c>
      <c r="AW40" s="17"/>
      <c r="AX40">
        <f t="shared" ca="1" si="0"/>
        <v>25</v>
      </c>
      <c r="AZ40" s="9">
        <v>39408</v>
      </c>
    </row>
    <row r="41" spans="1:52">
      <c r="A41">
        <v>27176949</v>
      </c>
      <c r="B41" s="4" t="str">
        <f>HYPERLINK("http://locmedia.nwmls.com/DO_NOT_LINK/bigphoto/949/27176949.jpg?tsp=20071110140029","Active")</f>
        <v>Active</v>
      </c>
      <c r="C41">
        <v>710</v>
      </c>
      <c r="D41" t="s">
        <v>634</v>
      </c>
      <c r="E41" t="s">
        <v>826</v>
      </c>
      <c r="F41" s="5">
        <v>499950</v>
      </c>
      <c r="G41" t="s">
        <v>413</v>
      </c>
      <c r="H41">
        <v>1230</v>
      </c>
      <c r="I41">
        <v>8774</v>
      </c>
      <c r="J41">
        <v>3</v>
      </c>
      <c r="K41">
        <v>1</v>
      </c>
      <c r="L41">
        <v>1</v>
      </c>
      <c r="M41" s="4" t="str">
        <f>HYPERLINK("http://locsearch.nwmls.com//ReturnMap.aspx?hidMLS=NWML&amp;VHW=47.715997:-122.289300:.25:&amp;Z=4&amp;H=300&amp;W=400&amp;PP=47.715997:-122.289300:1:027176949","Map")</f>
        <v>Map</v>
      </c>
      <c r="N41" s="4" t="str">
        <f>HYPERLINK("http://locmedia.nwmls.com/DO_NOT_LINK/bigphoto/949/27176949.jpg?tsp=20071110140029","Photo")</f>
        <v>Photo</v>
      </c>
      <c r="O41" s="4" t="str">
        <f>HYPERLINK("http://locator.nwmls.com/scripts/mgrqispi.dll?APPNAME=Locator&amp;PRGNAME=MLSPictureDescriptions&amp;ARGUMENTS=-N585198739,-N27176949,-AE","More")</f>
        <v>More</v>
      </c>
      <c r="Q41" t="s">
        <v>827</v>
      </c>
      <c r="R41" t="s">
        <v>57</v>
      </c>
      <c r="S41" t="s">
        <v>755</v>
      </c>
      <c r="T41" t="s">
        <v>129</v>
      </c>
      <c r="U41" t="s">
        <v>26</v>
      </c>
      <c r="V41" s="6" t="s">
        <v>59</v>
      </c>
      <c r="X41" t="s">
        <v>27</v>
      </c>
      <c r="Y41" t="s">
        <v>28</v>
      </c>
      <c r="Z41" t="s">
        <v>184</v>
      </c>
      <c r="AA41" t="s">
        <v>828</v>
      </c>
      <c r="AB41">
        <v>2007</v>
      </c>
      <c r="AC41">
        <v>2900</v>
      </c>
      <c r="AD41" t="s">
        <v>829</v>
      </c>
      <c r="AE41" t="s">
        <v>830</v>
      </c>
      <c r="AF41" t="s">
        <v>831</v>
      </c>
      <c r="AG41">
        <v>47.715997000000002</v>
      </c>
      <c r="AH41">
        <v>-122.2893</v>
      </c>
      <c r="AI41" t="s">
        <v>33</v>
      </c>
      <c r="AJ41">
        <v>98125</v>
      </c>
      <c r="AK41" t="s">
        <v>34</v>
      </c>
      <c r="AL41" t="s">
        <v>311</v>
      </c>
      <c r="AM41" t="s">
        <v>35</v>
      </c>
      <c r="AO41">
        <v>0.20100000000000001</v>
      </c>
      <c r="AP41" t="s">
        <v>832</v>
      </c>
      <c r="AQ41">
        <v>505</v>
      </c>
      <c r="AR41" t="s">
        <v>742</v>
      </c>
      <c r="AS41" t="s">
        <v>833</v>
      </c>
      <c r="AT41">
        <v>3</v>
      </c>
      <c r="AW41" s="17"/>
      <c r="AX41">
        <f t="shared" ca="1" si="0"/>
        <v>25</v>
      </c>
      <c r="AZ41" s="9">
        <v>39408</v>
      </c>
    </row>
    <row r="42" spans="1:52">
      <c r="A42">
        <v>27177922</v>
      </c>
      <c r="B42" s="11" t="str">
        <f>HYPERLINK("http://locmedia.nwmls.com/DO_NOT_LINK/bigphoto/922/27177922.jpg?tsp=20071004111413","Cancelled")</f>
        <v>Cancelled</v>
      </c>
      <c r="C42">
        <v>705</v>
      </c>
      <c r="D42" t="s">
        <v>146</v>
      </c>
      <c r="E42" t="s">
        <v>396</v>
      </c>
      <c r="F42" s="5">
        <v>469950</v>
      </c>
      <c r="G42" t="s">
        <v>397</v>
      </c>
      <c r="H42">
        <v>2060</v>
      </c>
      <c r="I42">
        <v>3880</v>
      </c>
      <c r="J42">
        <v>3</v>
      </c>
      <c r="K42">
        <v>1.75</v>
      </c>
      <c r="L42">
        <v>1</v>
      </c>
      <c r="M42" s="4" t="str">
        <f>HYPERLINK("http://locsearch.nwmls.com//ReturnMap.aspx?hidMLS=NWML&amp;VHW=47.684485:-122.388746:.25:&amp;Z=4&amp;H=300&amp;W=400&amp;PP=47.684485:-122.388746:1:027177922","Map")</f>
        <v>Map</v>
      </c>
      <c r="N42" s="4" t="str">
        <f>HYPERLINK("http://locmedia.nwmls.com/DO_NOT_LINK/bigphoto/922/27177922.jpg?tsp=20071004111413","Photo")</f>
        <v>Photo</v>
      </c>
      <c r="O42" s="4" t="str">
        <f>HYPERLINK("http://locator.nwmls.com/scripts/mgrqispi.dll?APPNAME=Locator&amp;PRGNAME=MLSPictureDescriptions&amp;ARGUMENTS=-N363684315,-N27177922,-AE","More")</f>
        <v>More</v>
      </c>
      <c r="Q42" t="s">
        <v>56</v>
      </c>
      <c r="R42" t="s">
        <v>23</v>
      </c>
      <c r="S42" t="s">
        <v>199</v>
      </c>
      <c r="T42" t="s">
        <v>44</v>
      </c>
      <c r="U42" t="s">
        <v>26</v>
      </c>
      <c r="X42" t="s">
        <v>27</v>
      </c>
      <c r="Y42" t="s">
        <v>28</v>
      </c>
      <c r="Z42" t="s">
        <v>398</v>
      </c>
      <c r="AB42">
        <v>2007</v>
      </c>
      <c r="AC42">
        <v>539</v>
      </c>
      <c r="AD42" t="s">
        <v>399</v>
      </c>
      <c r="AE42" t="s">
        <v>121</v>
      </c>
      <c r="AF42" t="s">
        <v>400</v>
      </c>
      <c r="AG42" s="15">
        <v>47.684485000000002</v>
      </c>
      <c r="AH42" s="15">
        <v>-122.388746</v>
      </c>
      <c r="AI42" t="s">
        <v>33</v>
      </c>
      <c r="AJ42">
        <v>98117</v>
      </c>
      <c r="AK42" t="s">
        <v>34</v>
      </c>
      <c r="AL42" t="s">
        <v>35</v>
      </c>
      <c r="AM42" t="s">
        <v>35</v>
      </c>
      <c r="AO42">
        <v>8.8999999999999996E-2</v>
      </c>
      <c r="AP42" t="s">
        <v>401</v>
      </c>
      <c r="AQ42">
        <v>534</v>
      </c>
      <c r="AR42" t="s">
        <v>196</v>
      </c>
      <c r="AS42" t="s">
        <v>402</v>
      </c>
      <c r="AT42">
        <v>1</v>
      </c>
      <c r="AU42" t="s">
        <v>913</v>
      </c>
      <c r="AW42" s="17"/>
      <c r="AX42">
        <f t="shared" ca="1" si="0"/>
        <v>28</v>
      </c>
      <c r="AZ42" s="9">
        <v>39405</v>
      </c>
    </row>
    <row r="43" spans="1:52">
      <c r="A43">
        <v>27177984</v>
      </c>
      <c r="B43" s="4" t="str">
        <f>HYPERLINK("http://locmedia.nwmls.com/DO_NOT_LINK/bigphoto/984/27177984.jpg?tsp=20071005141504","Expired")</f>
        <v>Expired</v>
      </c>
      <c r="C43">
        <v>705</v>
      </c>
      <c r="D43" t="s">
        <v>81</v>
      </c>
      <c r="E43" t="s">
        <v>586</v>
      </c>
      <c r="F43" s="5">
        <v>437500</v>
      </c>
      <c r="G43" t="s">
        <v>587</v>
      </c>
      <c r="H43">
        <v>1650</v>
      </c>
      <c r="I43">
        <v>5117</v>
      </c>
      <c r="J43">
        <v>3</v>
      </c>
      <c r="K43">
        <v>1</v>
      </c>
      <c r="M43" s="4" t="str">
        <f>HYPERLINK("http://locsearch.nwmls.com//ReturnMap.aspx?hidMLS=NWML&amp;VHW=47.674600:-122.372809:.25:&amp;Z=4&amp;H=300&amp;W=400&amp;PP=47.674600:-122.372809:1:027177984","Map")</f>
        <v>Map</v>
      </c>
      <c r="N43" s="4" t="str">
        <f>HYPERLINK("http://locmedia.nwmls.com/DO_NOT_LINK/bigphoto/984/27177984.jpg?tsp=20071005141504","Photo")</f>
        <v>Photo</v>
      </c>
      <c r="O43" s="4" t="str">
        <f>HYPERLINK("http://locator.nwmls.com/scripts/mgrqispi.dll?APPNAME=Locator&amp;PRGNAME=MLSPictureDescriptions&amp;ARGUMENTS=-N363684315,-N27177984,-AE","More")</f>
        <v>More</v>
      </c>
      <c r="P43" t="s">
        <v>317</v>
      </c>
      <c r="Q43" t="s">
        <v>56</v>
      </c>
      <c r="R43" t="s">
        <v>95</v>
      </c>
      <c r="S43" t="s">
        <v>43</v>
      </c>
      <c r="T43" t="s">
        <v>25</v>
      </c>
      <c r="U43" t="s">
        <v>26</v>
      </c>
      <c r="V43" s="6" t="s">
        <v>59</v>
      </c>
      <c r="X43" t="s">
        <v>27</v>
      </c>
      <c r="Y43" t="s">
        <v>28</v>
      </c>
      <c r="Z43" t="s">
        <v>588</v>
      </c>
      <c r="AA43" t="s">
        <v>589</v>
      </c>
      <c r="AB43">
        <v>2007</v>
      </c>
      <c r="AC43">
        <v>3290</v>
      </c>
      <c r="AD43" t="s">
        <v>590</v>
      </c>
      <c r="AE43" t="s">
        <v>591</v>
      </c>
      <c r="AF43" t="s">
        <v>392</v>
      </c>
      <c r="AG43">
        <v>47.674599999999998</v>
      </c>
      <c r="AH43">
        <v>-122.372809</v>
      </c>
      <c r="AI43" t="s">
        <v>33</v>
      </c>
      <c r="AJ43">
        <v>98107</v>
      </c>
      <c r="AK43" t="s">
        <v>34</v>
      </c>
      <c r="AL43" t="s">
        <v>592</v>
      </c>
      <c r="AM43" t="s">
        <v>35</v>
      </c>
      <c r="AO43">
        <v>0.11700000000000001</v>
      </c>
      <c r="AP43" t="s">
        <v>593</v>
      </c>
      <c r="AQ43">
        <v>534</v>
      </c>
      <c r="AR43" t="s">
        <v>577</v>
      </c>
      <c r="AS43" t="s">
        <v>594</v>
      </c>
      <c r="AT43">
        <v>2</v>
      </c>
      <c r="AU43" t="s">
        <v>922</v>
      </c>
      <c r="AW43" s="17"/>
      <c r="AX43">
        <f t="shared" ca="1" si="0"/>
        <v>28</v>
      </c>
      <c r="AZ43" s="9">
        <v>39405</v>
      </c>
    </row>
    <row r="44" spans="1:52">
      <c r="A44">
        <v>27180210</v>
      </c>
      <c r="B44" s="4" t="str">
        <f>HYPERLINK("http://locmedia.nwmls.com/DO_NOT_LINK/bigphoto/210/27180210.jpg?tsp=20071006202240","Active")</f>
        <v>Active</v>
      </c>
      <c r="C44">
        <v>710</v>
      </c>
      <c r="D44" t="s">
        <v>713</v>
      </c>
      <c r="E44" t="s">
        <v>714</v>
      </c>
      <c r="F44" s="5">
        <v>463000</v>
      </c>
      <c r="G44" t="s">
        <v>21</v>
      </c>
      <c r="H44">
        <v>2500</v>
      </c>
      <c r="I44">
        <v>7749</v>
      </c>
      <c r="J44">
        <v>4</v>
      </c>
      <c r="K44">
        <v>2</v>
      </c>
      <c r="L44">
        <v>2</v>
      </c>
      <c r="M44" s="4" t="str">
        <f>HYPERLINK("http://locsearch.nwmls.com//ReturnMap.aspx?hidMLS=NWML&amp;VHW=47.728533:-122.325424:.25:&amp;Z=4&amp;H=300&amp;W=400&amp;PP=47.728533:-122.325424:1:027180210","Map")</f>
        <v>Map</v>
      </c>
      <c r="N44" s="4" t="str">
        <f>HYPERLINK("http://locmedia.nwmls.com/DO_NOT_LINK/bigphoto/210/27180210.jpg?tsp=20071006202240","Photo")</f>
        <v>Photo</v>
      </c>
      <c r="O44" s="4" t="str">
        <f>HYPERLINK("http://locator.nwmls.com/scripts/mgrqispi.dll?APPNAME=Locator&amp;PRGNAME=MLSPictureDescriptions&amp;ARGUMENTS=-N585198739,-N27180210,-AE","More")</f>
        <v>More</v>
      </c>
      <c r="P44" t="s">
        <v>41</v>
      </c>
      <c r="Q44" t="s">
        <v>167</v>
      </c>
      <c r="R44" t="s">
        <v>429</v>
      </c>
      <c r="S44" t="s">
        <v>24</v>
      </c>
      <c r="T44" t="s">
        <v>44</v>
      </c>
      <c r="U44" t="s">
        <v>26</v>
      </c>
      <c r="X44" t="s">
        <v>27</v>
      </c>
      <c r="Y44" t="s">
        <v>28</v>
      </c>
      <c r="Z44" t="s">
        <v>715</v>
      </c>
      <c r="AA44" t="s">
        <v>716</v>
      </c>
      <c r="AB44">
        <v>2007</v>
      </c>
      <c r="AC44">
        <v>2622</v>
      </c>
      <c r="AD44" t="s">
        <v>717</v>
      </c>
      <c r="AE44" t="s">
        <v>718</v>
      </c>
      <c r="AF44" t="s">
        <v>719</v>
      </c>
      <c r="AG44">
        <v>47.728532999999999</v>
      </c>
      <c r="AH44">
        <v>-122.325424</v>
      </c>
      <c r="AI44" t="s">
        <v>33</v>
      </c>
      <c r="AJ44">
        <v>98125</v>
      </c>
      <c r="AK44" t="s">
        <v>34</v>
      </c>
      <c r="AL44" t="s">
        <v>35</v>
      </c>
      <c r="AM44" t="s">
        <v>35</v>
      </c>
      <c r="AO44">
        <v>0.17799999999999999</v>
      </c>
      <c r="AP44" t="s">
        <v>720</v>
      </c>
      <c r="AQ44">
        <v>505</v>
      </c>
      <c r="AR44" t="s">
        <v>721</v>
      </c>
      <c r="AS44" t="s">
        <v>722</v>
      </c>
      <c r="AT44">
        <v>1</v>
      </c>
      <c r="AW44" s="17"/>
      <c r="AX44">
        <f t="shared" ca="1" si="0"/>
        <v>25</v>
      </c>
      <c r="AZ44" s="9">
        <v>39408</v>
      </c>
    </row>
    <row r="45" spans="1:52">
      <c r="A45">
        <v>27180340</v>
      </c>
      <c r="B45" s="4" t="str">
        <f>HYPERLINK("http://locmedia.nwmls.com/DO_NOT_LINK/bigphoto/340/27180340.jpg?tsp=20071007145754","Active")</f>
        <v>Active</v>
      </c>
      <c r="C45">
        <v>710</v>
      </c>
      <c r="D45" t="s">
        <v>649</v>
      </c>
      <c r="E45" t="s">
        <v>673</v>
      </c>
      <c r="F45" s="5">
        <v>449900</v>
      </c>
      <c r="G45" t="s">
        <v>94</v>
      </c>
      <c r="H45">
        <v>1920</v>
      </c>
      <c r="I45">
        <v>6752</v>
      </c>
      <c r="J45">
        <v>3</v>
      </c>
      <c r="K45">
        <v>1.75</v>
      </c>
      <c r="L45">
        <v>1</v>
      </c>
      <c r="M45" s="4" t="str">
        <f>HYPERLINK("http://locsearch.nwmls.com//ReturnMap.aspx?hidMLS=NWML&amp;VHW=47.693958:-122.328400:.25:&amp;Z=4&amp;H=300&amp;W=400&amp;PP=47.693958:-122.328400:1:027180340","Map")</f>
        <v>Map</v>
      </c>
      <c r="N45" s="4" t="str">
        <f>HYPERLINK("http://locmedia.nwmls.com/DO_NOT_LINK/bigphoto/340/27180340.jpg?tsp=20071007145754","Photo")</f>
        <v>Photo</v>
      </c>
      <c r="O45" s="4" t="str">
        <f>HYPERLINK("http://locator.nwmls.com/scripts/mgrqispi.dll?APPNAME=Locator&amp;PRGNAME=MLSPictureDescriptions&amp;ARGUMENTS=-N585198739,-N27180340,-AE","More")</f>
        <v>More</v>
      </c>
      <c r="P45" t="s">
        <v>597</v>
      </c>
      <c r="Q45" t="s">
        <v>70</v>
      </c>
      <c r="R45" t="s">
        <v>116</v>
      </c>
      <c r="S45" t="s">
        <v>58</v>
      </c>
      <c r="T45" t="s">
        <v>129</v>
      </c>
      <c r="U45" t="s">
        <v>26</v>
      </c>
      <c r="V45" s="6" t="s">
        <v>59</v>
      </c>
      <c r="X45" t="s">
        <v>27</v>
      </c>
      <c r="Y45" t="s">
        <v>28</v>
      </c>
      <c r="Z45" t="s">
        <v>318</v>
      </c>
      <c r="AB45">
        <v>2007</v>
      </c>
      <c r="AC45">
        <v>3123</v>
      </c>
      <c r="AD45" t="s">
        <v>674</v>
      </c>
      <c r="AE45" t="s">
        <v>238</v>
      </c>
      <c r="AF45" t="s">
        <v>292</v>
      </c>
      <c r="AG45">
        <v>47.693958000000002</v>
      </c>
      <c r="AH45">
        <v>-122.3284</v>
      </c>
      <c r="AI45" t="s">
        <v>33</v>
      </c>
      <c r="AJ45">
        <v>98115</v>
      </c>
      <c r="AK45" t="s">
        <v>34</v>
      </c>
      <c r="AL45" t="s">
        <v>35</v>
      </c>
      <c r="AM45" t="s">
        <v>35</v>
      </c>
      <c r="AO45">
        <v>0.155</v>
      </c>
      <c r="AP45" t="s">
        <v>675</v>
      </c>
      <c r="AQ45">
        <v>535</v>
      </c>
      <c r="AR45" t="s">
        <v>676</v>
      </c>
      <c r="AS45" t="s">
        <v>677</v>
      </c>
      <c r="AT45">
        <v>2</v>
      </c>
      <c r="AU45" t="s">
        <v>923</v>
      </c>
      <c r="AW45" s="17"/>
      <c r="AX45">
        <f t="shared" ca="1" si="0"/>
        <v>25</v>
      </c>
      <c r="AZ45" s="9">
        <v>39408</v>
      </c>
    </row>
    <row r="46" spans="1:52">
      <c r="A46">
        <v>27180376</v>
      </c>
      <c r="B46" s="4" t="str">
        <f>HYPERLINK("http://locmedia.nwmls.com/DO_NOT_LINK/bigphoto/376/27180376.jpg?tsp=20071127223300","Active")</f>
        <v>Active</v>
      </c>
      <c r="C46">
        <v>705</v>
      </c>
      <c r="D46" t="s">
        <v>53</v>
      </c>
      <c r="E46" t="s">
        <v>198</v>
      </c>
      <c r="F46" s="14">
        <v>409500</v>
      </c>
      <c r="G46" t="s">
        <v>148</v>
      </c>
      <c r="H46">
        <v>1140</v>
      </c>
      <c r="I46">
        <v>6350</v>
      </c>
      <c r="J46">
        <v>2</v>
      </c>
      <c r="K46">
        <v>1</v>
      </c>
      <c r="L46">
        <v>1</v>
      </c>
      <c r="M46" s="4" t="str">
        <f>HYPERLINK("http://locsearch.nwmls.com//ReturnMap.aspx?hidMLS=NWML&amp;VHW=47.699974:-122.358080:.25:&amp;Z=4&amp;H=300&amp;W=400&amp;PP=47.699974:-122.358080:1:027180376","Map")</f>
        <v>Map</v>
      </c>
      <c r="N46" s="4" t="str">
        <f>HYPERLINK("http://locmedia.nwmls.com/DO_NOT_LINK/bigphoto/376/27180376.jpg?tsp=20071127223300","Photo")</f>
        <v>Photo</v>
      </c>
      <c r="O46" s="4" t="str">
        <f>HYPERLINK("http://locator.nwmls.com/scripts/mgrqispi.dll?APPNAME=Locator&amp;PRGNAME=MLSPictureDescriptions&amp;ARGUMENTS=-N363684315,-N27180376,-AE","More")</f>
        <v>More</v>
      </c>
      <c r="P46" t="s">
        <v>41</v>
      </c>
      <c r="Q46" t="s">
        <v>84</v>
      </c>
      <c r="R46" t="s">
        <v>85</v>
      </c>
      <c r="S46" t="s">
        <v>199</v>
      </c>
      <c r="T46" t="s">
        <v>72</v>
      </c>
      <c r="U46" t="s">
        <v>26</v>
      </c>
      <c r="V46" t="s">
        <v>200</v>
      </c>
      <c r="X46" t="s">
        <v>27</v>
      </c>
      <c r="Y46" t="s">
        <v>28</v>
      </c>
      <c r="Z46" t="s">
        <v>96</v>
      </c>
      <c r="AB46">
        <v>2007</v>
      </c>
      <c r="AC46">
        <v>3012</v>
      </c>
      <c r="AD46" t="s">
        <v>201</v>
      </c>
      <c r="AE46" t="s">
        <v>202</v>
      </c>
      <c r="AF46" t="s">
        <v>203</v>
      </c>
      <c r="AG46">
        <v>47.699973999999997</v>
      </c>
      <c r="AH46" s="12">
        <v>-122.35808</v>
      </c>
      <c r="AI46" t="s">
        <v>33</v>
      </c>
      <c r="AJ46">
        <v>98117</v>
      </c>
      <c r="AK46" t="s">
        <v>34</v>
      </c>
      <c r="AL46">
        <v>7</v>
      </c>
      <c r="AM46" t="s">
        <v>35</v>
      </c>
      <c r="AO46">
        <v>0.14599999999999999</v>
      </c>
      <c r="AP46" s="12" t="s">
        <v>993</v>
      </c>
      <c r="AQ46">
        <v>504</v>
      </c>
      <c r="AR46" t="s">
        <v>204</v>
      </c>
      <c r="AS46" s="12" t="s">
        <v>994</v>
      </c>
      <c r="AT46">
        <v>3</v>
      </c>
      <c r="AU46" t="s">
        <v>924</v>
      </c>
      <c r="AW46" s="17"/>
      <c r="AX46">
        <f t="shared" ca="1" si="0"/>
        <v>28</v>
      </c>
      <c r="AZ46" s="9">
        <v>39405</v>
      </c>
    </row>
    <row r="47" spans="1:52">
      <c r="A47">
        <v>27181015</v>
      </c>
      <c r="B47" s="13" t="str">
        <f>HYPERLINK("http://locmedia.nwmls.com/DO_NOT_LINK/bigphoto/015/27181015.jpg?tsp=20071010133250","Pending")</f>
        <v>Pending</v>
      </c>
      <c r="C47">
        <v>705</v>
      </c>
      <c r="D47" t="s">
        <v>81</v>
      </c>
      <c r="E47" t="s">
        <v>346</v>
      </c>
      <c r="F47" s="5">
        <v>459950</v>
      </c>
      <c r="G47" t="s">
        <v>347</v>
      </c>
      <c r="H47">
        <v>2000</v>
      </c>
      <c r="I47">
        <v>5700</v>
      </c>
      <c r="J47">
        <v>2</v>
      </c>
      <c r="K47">
        <v>1.75</v>
      </c>
      <c r="L47">
        <v>1</v>
      </c>
      <c r="M47" s="4" t="str">
        <f>HYPERLINK("http://locsearch.nwmls.com//ReturnMap.aspx?hidMLS=NWML&amp;VHW=47.687999:-122.367300:.25:&amp;Z=4&amp;H=300&amp;W=400&amp;PP=47.687999:-122.367300:1:027181015","Map")</f>
        <v>Map</v>
      </c>
      <c r="N47" s="4" t="str">
        <f>HYPERLINK("http://locmedia.nwmls.com/DO_NOT_LINK/bigphoto/015/27181015.jpg?tsp=20071010133250","Photo")</f>
        <v>Photo</v>
      </c>
      <c r="O47" s="4" t="str">
        <f>HYPERLINK("http://locator.nwmls.com/scripts/mgrqispi.dll?APPNAME=Locator&amp;PRGNAME=MLSPictureDescriptions&amp;ARGUMENTS=-N363684315,-N27181015,-AE","More")</f>
        <v>More</v>
      </c>
      <c r="P47" t="s">
        <v>41</v>
      </c>
      <c r="Q47" t="s">
        <v>56</v>
      </c>
      <c r="R47" t="s">
        <v>116</v>
      </c>
      <c r="S47" t="s">
        <v>199</v>
      </c>
      <c r="T47" t="s">
        <v>129</v>
      </c>
      <c r="U47" t="s">
        <v>26</v>
      </c>
      <c r="V47" s="6" t="s">
        <v>59</v>
      </c>
      <c r="X47" t="s">
        <v>27</v>
      </c>
      <c r="Y47" t="s">
        <v>28</v>
      </c>
      <c r="Z47" t="s">
        <v>184</v>
      </c>
      <c r="AB47">
        <v>2007</v>
      </c>
      <c r="AC47">
        <v>3392</v>
      </c>
      <c r="AD47" t="s">
        <v>348</v>
      </c>
      <c r="AE47" t="s">
        <v>121</v>
      </c>
      <c r="AF47" t="s">
        <v>349</v>
      </c>
      <c r="AG47">
        <v>47.687998999999998</v>
      </c>
      <c r="AH47">
        <v>-122.3673</v>
      </c>
      <c r="AI47" t="s">
        <v>33</v>
      </c>
      <c r="AJ47">
        <v>98117</v>
      </c>
      <c r="AK47" t="s">
        <v>34</v>
      </c>
      <c r="AL47">
        <v>6</v>
      </c>
      <c r="AM47" t="s">
        <v>35</v>
      </c>
      <c r="AO47">
        <v>0.13100000000000001</v>
      </c>
      <c r="AP47" t="s">
        <v>350</v>
      </c>
      <c r="AQ47">
        <v>534</v>
      </c>
      <c r="AR47" t="s">
        <v>313</v>
      </c>
      <c r="AS47" t="s">
        <v>351</v>
      </c>
      <c r="AT47">
        <v>3</v>
      </c>
      <c r="AW47" s="17"/>
      <c r="AX47">
        <f t="shared" ca="1" si="0"/>
        <v>28</v>
      </c>
      <c r="AZ47" s="9">
        <v>39405</v>
      </c>
    </row>
    <row r="48" spans="1:52">
      <c r="A48">
        <v>27181171</v>
      </c>
      <c r="B48" s="4" t="str">
        <f>HYPERLINK("http://locmedia.nwmls.com/DO_NOT_LINK/bigphoto/171/27181171.jpg?tsp=20071115130032","Active")</f>
        <v>Active</v>
      </c>
      <c r="C48">
        <v>705</v>
      </c>
      <c r="D48" t="s">
        <v>53</v>
      </c>
      <c r="E48" t="s">
        <v>54</v>
      </c>
      <c r="F48" s="5">
        <v>369950</v>
      </c>
      <c r="G48" t="s">
        <v>55</v>
      </c>
      <c r="H48">
        <v>1120</v>
      </c>
      <c r="I48">
        <v>3833</v>
      </c>
      <c r="J48">
        <v>3</v>
      </c>
      <c r="K48">
        <v>1</v>
      </c>
      <c r="L48">
        <v>1</v>
      </c>
      <c r="M48" s="4" t="str">
        <f>HYPERLINK("http://locsearch.nwmls.com//ReturnMap.aspx?hidMLS=NWML&amp;VHW=47.703601:-122.349685:.25:&amp;Z=4&amp;H=300&amp;W=400&amp;PP=47.703601:-122.349685:1:027181171","Map")</f>
        <v>Map</v>
      </c>
      <c r="N48" s="4" t="str">
        <f>HYPERLINK("http://locmedia.nwmls.com/DO_NOT_LINK/bigphoto/171/27181171.jpg?tsp=20071115130032","Photo")</f>
        <v>Photo</v>
      </c>
      <c r="O48" s="4" t="str">
        <f>HYPERLINK("http://locator.nwmls.com/scripts/mgrqispi.dll?APPNAME=Locator&amp;PRGNAME=MLSPictureDescriptions&amp;ARGUMENTS=-N363684315,-N27181171,-AE","More")</f>
        <v>More</v>
      </c>
      <c r="Q48" t="s">
        <v>56</v>
      </c>
      <c r="R48" t="s">
        <v>57</v>
      </c>
      <c r="S48" t="s">
        <v>58</v>
      </c>
      <c r="U48" t="s">
        <v>26</v>
      </c>
      <c r="V48" s="6" t="s">
        <v>59</v>
      </c>
      <c r="X48" t="s">
        <v>27</v>
      </c>
      <c r="Y48" t="s">
        <v>28</v>
      </c>
      <c r="Z48" t="s">
        <v>60</v>
      </c>
      <c r="AB48">
        <v>2007</v>
      </c>
      <c r="AC48">
        <v>2334</v>
      </c>
      <c r="AD48" t="s">
        <v>61</v>
      </c>
      <c r="AF48" t="s">
        <v>62</v>
      </c>
      <c r="AG48">
        <v>47.703600999999999</v>
      </c>
      <c r="AH48">
        <v>-122.34968499999999</v>
      </c>
      <c r="AI48" t="s">
        <v>33</v>
      </c>
      <c r="AJ48">
        <v>98133</v>
      </c>
      <c r="AK48" t="s">
        <v>34</v>
      </c>
      <c r="AL48" t="s">
        <v>35</v>
      </c>
      <c r="AM48" t="s">
        <v>35</v>
      </c>
      <c r="AO48">
        <v>8.7999999999999995E-2</v>
      </c>
      <c r="AP48" t="s">
        <v>63</v>
      </c>
      <c r="AQ48">
        <v>504</v>
      </c>
      <c r="AR48" t="s">
        <v>64</v>
      </c>
      <c r="AS48" t="s">
        <v>65</v>
      </c>
      <c r="AT48">
        <v>1</v>
      </c>
      <c r="AU48" t="s">
        <v>913</v>
      </c>
      <c r="AW48" s="17"/>
      <c r="AX48">
        <f t="shared" ca="1" si="0"/>
        <v>28</v>
      </c>
      <c r="AZ48" s="9">
        <v>39405</v>
      </c>
    </row>
    <row r="49" spans="1:52">
      <c r="A49">
        <v>27181193</v>
      </c>
      <c r="B49" s="13" t="str">
        <f>HYPERLINK("http://locmedia.nwmls.com/DO_NOT_LINK/bigphoto/193/27181193.jpg?tsp=20071005144156","Pending")</f>
        <v>Pending</v>
      </c>
      <c r="C49">
        <v>705</v>
      </c>
      <c r="D49" t="s">
        <v>113</v>
      </c>
      <c r="E49" t="s">
        <v>166</v>
      </c>
      <c r="F49" s="5">
        <v>409950</v>
      </c>
      <c r="G49" t="s">
        <v>21</v>
      </c>
      <c r="H49">
        <v>0</v>
      </c>
      <c r="I49">
        <v>6750</v>
      </c>
      <c r="J49">
        <v>3</v>
      </c>
      <c r="K49">
        <v>1.75</v>
      </c>
      <c r="L49">
        <v>1</v>
      </c>
      <c r="M49" s="4" t="str">
        <f>HYPERLINK("http://locsearch.nwmls.com//ReturnMap.aspx?hidMLS=NWML&amp;VHW=47.729804:-122.358201:.25:&amp;Z=4&amp;H=300&amp;W=400&amp;PP=47.729804:-122.358201:1:027181193","Map")</f>
        <v>Map</v>
      </c>
      <c r="N49" s="4" t="str">
        <f>HYPERLINK("http://locmedia.nwmls.com/DO_NOT_LINK/bigphoto/193/27181193.jpg?tsp=20071005144156","Photo")</f>
        <v>Photo</v>
      </c>
      <c r="O49" s="4" t="str">
        <f>HYPERLINK("http://locator.nwmls.com/scripts/mgrqispi.dll?APPNAME=Locator&amp;PRGNAME=MLSPictureDescriptions&amp;ARGUMENTS=-N363684315,-N27181193,-AE","More")</f>
        <v>More</v>
      </c>
      <c r="Q49" t="s">
        <v>167</v>
      </c>
      <c r="R49" t="s">
        <v>23</v>
      </c>
      <c r="S49" t="s">
        <v>58</v>
      </c>
      <c r="T49" t="s">
        <v>25</v>
      </c>
      <c r="U49" t="s">
        <v>26</v>
      </c>
      <c r="X49" t="s">
        <v>27</v>
      </c>
      <c r="Y49" t="s">
        <v>28</v>
      </c>
      <c r="Z49" t="s">
        <v>150</v>
      </c>
      <c r="AB49">
        <v>2007</v>
      </c>
      <c r="AC49">
        <v>2900</v>
      </c>
      <c r="AD49" t="s">
        <v>168</v>
      </c>
      <c r="AE49" t="s">
        <v>169</v>
      </c>
      <c r="AF49" t="s">
        <v>170</v>
      </c>
      <c r="AG49">
        <v>47.729804000000001</v>
      </c>
      <c r="AH49">
        <v>-122.35820099999999</v>
      </c>
      <c r="AI49" t="s">
        <v>33</v>
      </c>
      <c r="AJ49">
        <v>98177</v>
      </c>
      <c r="AK49" t="s">
        <v>34</v>
      </c>
      <c r="AL49">
        <v>5</v>
      </c>
      <c r="AM49" t="s">
        <v>35</v>
      </c>
      <c r="AO49">
        <v>0.155</v>
      </c>
      <c r="AP49" t="s">
        <v>171</v>
      </c>
      <c r="AQ49">
        <v>504</v>
      </c>
      <c r="AR49" t="s">
        <v>172</v>
      </c>
      <c r="AS49" t="s">
        <v>173</v>
      </c>
      <c r="AT49">
        <v>-5</v>
      </c>
      <c r="AW49" s="17"/>
      <c r="AX49">
        <f t="shared" ca="1" si="0"/>
        <v>28</v>
      </c>
      <c r="AZ49" s="9">
        <v>39405</v>
      </c>
    </row>
    <row r="50" spans="1:52">
      <c r="A50">
        <v>27182064</v>
      </c>
      <c r="B50" s="4" t="str">
        <f>HYPERLINK("http://locmedia.nwmls.com/DO_NOT_LINK/bigphoto/064/27182064.jpg?tsp=20071006190749","Active")</f>
        <v>Active</v>
      </c>
      <c r="C50">
        <v>705</v>
      </c>
      <c r="D50" t="s">
        <v>113</v>
      </c>
      <c r="E50" t="s">
        <v>206</v>
      </c>
      <c r="F50" s="5">
        <v>419000</v>
      </c>
      <c r="G50" t="s">
        <v>21</v>
      </c>
      <c r="H50">
        <v>1871</v>
      </c>
      <c r="I50">
        <v>0</v>
      </c>
      <c r="J50">
        <v>3</v>
      </c>
      <c r="K50">
        <v>1</v>
      </c>
      <c r="M50" s="4" t="str">
        <f>HYPERLINK("http://locsearch.nwmls.com//ReturnMap.aspx?hidMLS=NWML&amp;VHW=47.732301:-122.352013:.25:&amp;Z=4&amp;H=300&amp;W=400&amp;PP=47.732301:-122.352013:1:027182064","Map")</f>
        <v>Map</v>
      </c>
      <c r="N50" s="4" t="str">
        <f>HYPERLINK("http://locmedia.nwmls.com/DO_NOT_LINK/bigphoto/064/27182064.jpg?tsp=20071006190749","Photo")</f>
        <v>Photo</v>
      </c>
      <c r="O50" s="4" t="str">
        <f>HYPERLINK("http://locator.nwmls.com/scripts/mgrqispi.dll?APPNAME=Locator&amp;PRGNAME=MLSPictureDescriptions&amp;ARGUMENTS=-N363684315,-N27182064,-AE","More")</f>
        <v>More</v>
      </c>
      <c r="P50" t="s">
        <v>41</v>
      </c>
      <c r="Q50" t="s">
        <v>56</v>
      </c>
      <c r="R50" t="s">
        <v>95</v>
      </c>
      <c r="S50" t="s">
        <v>24</v>
      </c>
      <c r="T50" t="s">
        <v>25</v>
      </c>
      <c r="U50" t="s">
        <v>26</v>
      </c>
      <c r="V50" s="6" t="s">
        <v>59</v>
      </c>
      <c r="X50" t="s">
        <v>27</v>
      </c>
      <c r="Y50" t="s">
        <v>28</v>
      </c>
      <c r="Z50" t="s">
        <v>207</v>
      </c>
      <c r="AA50" t="s">
        <v>208</v>
      </c>
      <c r="AB50">
        <v>2007</v>
      </c>
      <c r="AC50">
        <v>3039</v>
      </c>
      <c r="AD50" t="s">
        <v>209</v>
      </c>
      <c r="AE50" t="s">
        <v>210</v>
      </c>
      <c r="AF50" t="s">
        <v>211</v>
      </c>
      <c r="AG50">
        <v>47.732301</v>
      </c>
      <c r="AH50">
        <v>-122.352013</v>
      </c>
      <c r="AI50" t="s">
        <v>33</v>
      </c>
      <c r="AJ50">
        <v>98133</v>
      </c>
      <c r="AK50" t="s">
        <v>34</v>
      </c>
      <c r="AL50" t="s">
        <v>35</v>
      </c>
      <c r="AM50" t="s">
        <v>35</v>
      </c>
      <c r="AO50">
        <v>0</v>
      </c>
      <c r="AP50" t="s">
        <v>212</v>
      </c>
      <c r="AQ50">
        <v>504</v>
      </c>
      <c r="AR50" t="s">
        <v>213</v>
      </c>
      <c r="AS50" t="s">
        <v>214</v>
      </c>
      <c r="AT50">
        <v>1</v>
      </c>
      <c r="AU50" t="s">
        <v>913</v>
      </c>
      <c r="AW50" s="17"/>
      <c r="AX50">
        <f t="shared" ca="1" si="0"/>
        <v>28</v>
      </c>
      <c r="AZ50" s="9">
        <v>39405</v>
      </c>
    </row>
    <row r="51" spans="1:52">
      <c r="A51">
        <v>27182187</v>
      </c>
      <c r="B51" s="4" t="str">
        <f>HYPERLINK("http://locmedia.nwmls.com/DO_NOT_LINK/bigphoto/187/27182187.jpg?tsp=20071007140427","Active")</f>
        <v>Active</v>
      </c>
      <c r="C51">
        <v>705</v>
      </c>
      <c r="D51" t="s">
        <v>66</v>
      </c>
      <c r="E51" t="s">
        <v>511</v>
      </c>
      <c r="F51" s="5">
        <v>499000</v>
      </c>
      <c r="G51" t="s">
        <v>316</v>
      </c>
      <c r="H51">
        <v>1290</v>
      </c>
      <c r="I51">
        <v>3790</v>
      </c>
      <c r="J51">
        <v>3</v>
      </c>
      <c r="K51">
        <v>1</v>
      </c>
      <c r="L51">
        <v>1</v>
      </c>
      <c r="M51" s="4" t="str">
        <f>HYPERLINK("http://locsearch.nwmls.com//ReturnMap.aspx?hidMLS=NWML&amp;VHW=47.688826:-122.311119:.25:&amp;Z=4&amp;H=300&amp;W=400&amp;PP=47.688826:-122.311119:1:027182187","Map")</f>
        <v>Map</v>
      </c>
      <c r="N51" s="4" t="str">
        <f>HYPERLINK("http://locmedia.nwmls.com/DO_NOT_LINK/bigphoto/187/27182187.jpg?tsp=20071007140427","Photo")</f>
        <v>Photo</v>
      </c>
      <c r="O51" s="4" t="str">
        <f>HYPERLINK("http://locator.nwmls.com/scripts/mgrqispi.dll?APPNAME=Locator&amp;PRGNAME=MLSPictureDescriptions&amp;ARGUMENTS=-N363684315,-N27182187,-AE","More")</f>
        <v>More</v>
      </c>
      <c r="P51" t="s">
        <v>262</v>
      </c>
      <c r="Q51" t="s">
        <v>56</v>
      </c>
      <c r="R51" t="s">
        <v>116</v>
      </c>
      <c r="S51" t="s">
        <v>128</v>
      </c>
      <c r="T51" t="s">
        <v>300</v>
      </c>
      <c r="U51" t="s">
        <v>26</v>
      </c>
      <c r="X51" t="s">
        <v>27</v>
      </c>
      <c r="Y51" t="s">
        <v>28</v>
      </c>
      <c r="Z51" t="s">
        <v>207</v>
      </c>
      <c r="AA51" t="s">
        <v>512</v>
      </c>
      <c r="AB51">
        <v>2007</v>
      </c>
      <c r="AC51">
        <v>2956</v>
      </c>
      <c r="AD51" t="s">
        <v>513</v>
      </c>
      <c r="AE51" t="s">
        <v>238</v>
      </c>
      <c r="AF51" t="s">
        <v>514</v>
      </c>
      <c r="AG51">
        <v>47.688825999999999</v>
      </c>
      <c r="AH51">
        <v>-122.31111900000001</v>
      </c>
      <c r="AI51" t="s">
        <v>33</v>
      </c>
      <c r="AJ51">
        <v>98115</v>
      </c>
      <c r="AK51" t="s">
        <v>34</v>
      </c>
      <c r="AL51" t="s">
        <v>35</v>
      </c>
      <c r="AM51" t="s">
        <v>35</v>
      </c>
      <c r="AO51">
        <v>8.6999999999999994E-2</v>
      </c>
      <c r="AP51" t="s">
        <v>515</v>
      </c>
      <c r="AQ51">
        <v>535</v>
      </c>
      <c r="AR51" t="s">
        <v>516</v>
      </c>
      <c r="AS51" t="s">
        <v>517</v>
      </c>
      <c r="AT51">
        <v>1</v>
      </c>
      <c r="AU51" t="s">
        <v>913</v>
      </c>
      <c r="AW51" s="17"/>
      <c r="AX51">
        <f t="shared" ca="1" si="0"/>
        <v>28</v>
      </c>
      <c r="AZ51" s="9">
        <v>39405</v>
      </c>
    </row>
    <row r="52" spans="1:52">
      <c r="A52">
        <v>27182314</v>
      </c>
      <c r="B52" s="4" t="str">
        <f>HYPERLINK("http://locmedia.nwmls.com/DO_NOT_LINK/bigphoto/314/27182314.jpg?tsp=20071010140226","Active")</f>
        <v>Active</v>
      </c>
      <c r="C52">
        <v>710</v>
      </c>
      <c r="D52" t="s">
        <v>656</v>
      </c>
      <c r="E52" t="s">
        <v>657</v>
      </c>
      <c r="F52" s="5">
        <v>439000</v>
      </c>
      <c r="G52" t="s">
        <v>21</v>
      </c>
      <c r="H52">
        <v>0</v>
      </c>
      <c r="I52">
        <v>0</v>
      </c>
      <c r="J52">
        <v>2</v>
      </c>
      <c r="K52">
        <v>1</v>
      </c>
      <c r="L52">
        <v>1</v>
      </c>
      <c r="M52" s="4" t="str">
        <f>HYPERLINK("http://locsearch.nwmls.com//ReturnMap.aspx?hidMLS=NWML&amp;VHW=47.690170:-122.283083:.25:&amp;Z=4&amp;H=300&amp;W=400&amp;PP=47.690170:-122.283083:1:027182314","Map")</f>
        <v>Map</v>
      </c>
      <c r="N52" s="4" t="str">
        <f>HYPERLINK("http://locmedia.nwmls.com/DO_NOT_LINK/bigphoto/314/27182314.jpg?tsp=20071010140226","Photo")</f>
        <v>Photo</v>
      </c>
      <c r="O52" s="4" t="str">
        <f>HYPERLINK("http://locator.nwmls.com/scripts/mgrqispi.dll?APPNAME=Locator&amp;PRGNAME=MLSPictureDescriptions&amp;ARGUMENTS=-N585198739,-N27182314,-AE","More")</f>
        <v>More</v>
      </c>
      <c r="Q52" t="s">
        <v>70</v>
      </c>
      <c r="R52" t="s">
        <v>658</v>
      </c>
      <c r="S52" t="s">
        <v>128</v>
      </c>
      <c r="T52" t="s">
        <v>25</v>
      </c>
      <c r="U52" t="s">
        <v>26</v>
      </c>
      <c r="X52" t="s">
        <v>27</v>
      </c>
      <c r="Y52" t="s">
        <v>28</v>
      </c>
      <c r="Z52" t="s">
        <v>659</v>
      </c>
      <c r="AB52">
        <v>2007</v>
      </c>
      <c r="AC52">
        <v>2876</v>
      </c>
      <c r="AD52" t="s">
        <v>660</v>
      </c>
      <c r="AF52" t="s">
        <v>661</v>
      </c>
      <c r="AG52">
        <v>47.690170000000002</v>
      </c>
      <c r="AH52">
        <v>-122.283083</v>
      </c>
      <c r="AI52" t="s">
        <v>33</v>
      </c>
      <c r="AJ52">
        <v>98115</v>
      </c>
      <c r="AK52" t="s">
        <v>34</v>
      </c>
      <c r="AL52" t="s">
        <v>35</v>
      </c>
      <c r="AM52" t="s">
        <v>35</v>
      </c>
      <c r="AO52">
        <v>0</v>
      </c>
      <c r="AP52" t="s">
        <v>662</v>
      </c>
      <c r="AQ52">
        <v>535</v>
      </c>
      <c r="AR52" t="s">
        <v>371</v>
      </c>
      <c r="AS52" t="s">
        <v>663</v>
      </c>
      <c r="AT52">
        <v>3</v>
      </c>
      <c r="AW52" s="17"/>
      <c r="AX52">
        <f t="shared" ca="1" si="0"/>
        <v>25</v>
      </c>
      <c r="AZ52" s="9">
        <v>39408</v>
      </c>
    </row>
    <row r="53" spans="1:52">
      <c r="A53">
        <v>27182369</v>
      </c>
      <c r="B53" s="11" t="str">
        <f>HYPERLINK("http://locmedia.nwmls.com/DO_NOT_LINK/bigphoto/369/27182369.jpg?tsp=20071008094614","Expired")</f>
        <v>Expired</v>
      </c>
      <c r="C53">
        <v>705</v>
      </c>
      <c r="D53" t="s">
        <v>146</v>
      </c>
      <c r="E53" t="s">
        <v>560</v>
      </c>
      <c r="F53" s="5">
        <v>500000</v>
      </c>
      <c r="G53" t="s">
        <v>397</v>
      </c>
      <c r="H53">
        <v>1980</v>
      </c>
      <c r="I53">
        <v>5000</v>
      </c>
      <c r="J53">
        <v>3</v>
      </c>
      <c r="K53">
        <v>1.75</v>
      </c>
      <c r="L53">
        <v>2</v>
      </c>
      <c r="M53" s="4" t="str">
        <f>HYPERLINK("http://locsearch.nwmls.com//ReturnMap.aspx?hidMLS=NWML&amp;VHW=47.677301:-122.397201:.25:&amp;Z=4&amp;H=300&amp;W=400&amp;PP=47.677301:-122.397201:1:027182369","Map")</f>
        <v>Map</v>
      </c>
      <c r="N53" s="4" t="str">
        <f>HYPERLINK("http://locmedia.nwmls.com/DO_NOT_LINK/bigphoto/369/27182369.jpg?tsp=20071008094614","Photo")</f>
        <v>Photo</v>
      </c>
      <c r="O53" s="4" t="str">
        <f>HYPERLINK("http://locator.nwmls.com/scripts/mgrqispi.dll?APPNAME=Locator&amp;PRGNAME=MLSPictureDescriptions&amp;ARGUMENTS=-N363684315,-N27182369,-AE","More")</f>
        <v>More</v>
      </c>
      <c r="P53" t="s">
        <v>41</v>
      </c>
      <c r="Q53" t="s">
        <v>56</v>
      </c>
      <c r="R53" t="s">
        <v>95</v>
      </c>
      <c r="S53" t="s">
        <v>475</v>
      </c>
      <c r="T53" t="s">
        <v>129</v>
      </c>
      <c r="U53" t="s">
        <v>26</v>
      </c>
      <c r="V53" s="6" t="s">
        <v>59</v>
      </c>
      <c r="X53" t="s">
        <v>27</v>
      </c>
      <c r="Y53" t="s">
        <v>28</v>
      </c>
      <c r="Z53" t="s">
        <v>176</v>
      </c>
      <c r="AA53" t="s">
        <v>561</v>
      </c>
      <c r="AB53">
        <v>2007</v>
      </c>
      <c r="AC53">
        <v>3309</v>
      </c>
      <c r="AD53" t="s">
        <v>562</v>
      </c>
      <c r="AE53" t="s">
        <v>121</v>
      </c>
      <c r="AF53" t="s">
        <v>563</v>
      </c>
      <c r="AG53">
        <v>47.677301</v>
      </c>
      <c r="AH53">
        <v>-122.397201</v>
      </c>
      <c r="AI53" t="s">
        <v>33</v>
      </c>
      <c r="AJ53">
        <v>98117</v>
      </c>
      <c r="AK53" t="s">
        <v>34</v>
      </c>
      <c r="AL53" t="s">
        <v>35</v>
      </c>
      <c r="AM53" t="s">
        <v>35</v>
      </c>
      <c r="AO53">
        <v>0.115</v>
      </c>
      <c r="AP53" t="s">
        <v>564</v>
      </c>
      <c r="AQ53">
        <v>534</v>
      </c>
      <c r="AR53" t="s">
        <v>480</v>
      </c>
      <c r="AS53" t="s">
        <v>565</v>
      </c>
      <c r="AT53">
        <v>4</v>
      </c>
      <c r="AU53" t="s">
        <v>925</v>
      </c>
      <c r="AV53" s="9">
        <v>39363</v>
      </c>
      <c r="AW53" s="17">
        <v>48</v>
      </c>
      <c r="AX53">
        <f t="shared" ca="1" si="0"/>
        <v>70</v>
      </c>
      <c r="AY53" t="s">
        <v>907</v>
      </c>
      <c r="AZ53" s="9">
        <v>39405</v>
      </c>
    </row>
    <row r="54" spans="1:52">
      <c r="A54">
        <v>27183237</v>
      </c>
      <c r="B54" s="13" t="str">
        <f>HYPERLINK("http://locmedia.nwmls.com/DO_NOT_LINK/bigphoto/237/27183237.jpg?tsp=20071011181507","Active - STI")</f>
        <v>Active - STI</v>
      </c>
      <c r="C54">
        <v>710</v>
      </c>
      <c r="D54" t="s">
        <v>704</v>
      </c>
      <c r="E54" t="s">
        <v>705</v>
      </c>
      <c r="F54" s="5">
        <v>459500</v>
      </c>
      <c r="G54" t="s">
        <v>148</v>
      </c>
      <c r="H54">
        <v>1900</v>
      </c>
      <c r="I54">
        <v>7200</v>
      </c>
      <c r="J54">
        <v>2</v>
      </c>
      <c r="K54">
        <v>1.75</v>
      </c>
      <c r="L54">
        <v>2</v>
      </c>
      <c r="M54" s="4" t="str">
        <f>HYPERLINK("http://locsearch.nwmls.com//ReturnMap.aspx?hidMLS=NWML&amp;VHW=47.709310:-122.306246:.25:&amp;Z=4&amp;H=300&amp;W=400&amp;PP=47.709310:-122.306246:1:027183237","Map")</f>
        <v>Map</v>
      </c>
      <c r="N54" s="4" t="str">
        <f>HYPERLINK("http://locmedia.nwmls.com/DO_NOT_LINK/bigphoto/237/27183237.jpg?tsp=20071011181507","Photo")</f>
        <v>Photo</v>
      </c>
      <c r="O54" s="4" t="str">
        <f>HYPERLINK("http://locator.nwmls.com/scripts/mgrqispi.dll?APPNAME=Locator&amp;PRGNAME=MLSPictureDescriptions&amp;ARGUMENTS=-N585198739,-N27183237,-AE","More")</f>
        <v>More</v>
      </c>
      <c r="Q54" t="s">
        <v>56</v>
      </c>
      <c r="R54" t="s">
        <v>95</v>
      </c>
      <c r="S54" t="s">
        <v>706</v>
      </c>
      <c r="T54" t="s">
        <v>129</v>
      </c>
      <c r="U54" t="s">
        <v>26</v>
      </c>
      <c r="V54">
        <v>41</v>
      </c>
      <c r="X54" t="s">
        <v>27</v>
      </c>
      <c r="Y54" t="s">
        <v>28</v>
      </c>
      <c r="Z54" t="s">
        <v>104</v>
      </c>
      <c r="AB54">
        <v>2007</v>
      </c>
      <c r="AC54">
        <v>3105</v>
      </c>
      <c r="AD54" t="s">
        <v>707</v>
      </c>
      <c r="AE54" t="s">
        <v>708</v>
      </c>
      <c r="AF54" t="s">
        <v>709</v>
      </c>
      <c r="AG54">
        <v>47.709310000000002</v>
      </c>
      <c r="AH54">
        <v>-122.306246</v>
      </c>
      <c r="AI54" t="s">
        <v>33</v>
      </c>
      <c r="AJ54">
        <v>98125</v>
      </c>
      <c r="AK54" t="s">
        <v>34</v>
      </c>
      <c r="AL54" t="s">
        <v>35</v>
      </c>
      <c r="AM54" t="s">
        <v>35</v>
      </c>
      <c r="AO54">
        <v>0.16500000000000001</v>
      </c>
      <c r="AP54" t="s">
        <v>710</v>
      </c>
      <c r="AQ54">
        <v>505</v>
      </c>
      <c r="AR54" t="s">
        <v>711</v>
      </c>
      <c r="AS54" t="s">
        <v>712</v>
      </c>
      <c r="AT54">
        <v>3</v>
      </c>
      <c r="AV54" s="9">
        <v>39364</v>
      </c>
      <c r="AW54" s="17">
        <v>47</v>
      </c>
      <c r="AX54">
        <v>70</v>
      </c>
      <c r="AZ54" s="9">
        <v>39408</v>
      </c>
    </row>
    <row r="55" spans="1:52">
      <c r="A55">
        <v>27183898</v>
      </c>
      <c r="B55" s="4" t="str">
        <f>HYPERLINK("http://locmedia.nwmls.com/DO_NOT_LINK/bigphoto/898/27183898.jpg?tsp=20071010132921","Active")</f>
        <v>Active</v>
      </c>
      <c r="C55">
        <v>705</v>
      </c>
      <c r="D55" t="s">
        <v>443</v>
      </c>
      <c r="E55" t="s">
        <v>444</v>
      </c>
      <c r="F55" s="5">
        <v>479450</v>
      </c>
      <c r="G55" t="s">
        <v>445</v>
      </c>
      <c r="H55">
        <v>1200</v>
      </c>
      <c r="I55">
        <v>3400</v>
      </c>
      <c r="J55">
        <v>3</v>
      </c>
      <c r="K55">
        <v>3</v>
      </c>
      <c r="M55" s="4" t="str">
        <f>HYPERLINK("http://locsearch.nwmls.com//ReturnMap.aspx?hidMLS=NWML&amp;VHW=47.652700:-122.339581:.25:&amp;Z=4&amp;H=300&amp;W=400&amp;PP=47.652700:-122.339581:1:027183898","Map")</f>
        <v>Map</v>
      </c>
      <c r="N55" s="4" t="str">
        <f>HYPERLINK("http://locmedia.nwmls.com/DO_NOT_LINK/bigphoto/898/27183898.jpg?tsp=20071010132921","Photo")</f>
        <v>Photo</v>
      </c>
      <c r="O55" t="s">
        <v>435</v>
      </c>
      <c r="P55" t="s">
        <v>41</v>
      </c>
      <c r="Q55" t="s">
        <v>56</v>
      </c>
      <c r="R55" t="s">
        <v>95</v>
      </c>
      <c r="S55" t="s">
        <v>43</v>
      </c>
      <c r="T55" t="s">
        <v>44</v>
      </c>
      <c r="U55" t="s">
        <v>26</v>
      </c>
      <c r="V55" s="6" t="s">
        <v>59</v>
      </c>
      <c r="X55" t="s">
        <v>27</v>
      </c>
      <c r="Y55" t="s">
        <v>28</v>
      </c>
      <c r="Z55" t="s">
        <v>446</v>
      </c>
      <c r="AB55">
        <v>2007</v>
      </c>
      <c r="AC55">
        <v>2733</v>
      </c>
      <c r="AD55" t="s">
        <v>447</v>
      </c>
      <c r="AE55" t="s">
        <v>448</v>
      </c>
      <c r="AF55" t="s">
        <v>449</v>
      </c>
      <c r="AG55">
        <v>47.652700000000003</v>
      </c>
      <c r="AH55">
        <v>-122.339581</v>
      </c>
      <c r="AI55" t="s">
        <v>33</v>
      </c>
      <c r="AJ55">
        <v>98103</v>
      </c>
      <c r="AK55" t="s">
        <v>34</v>
      </c>
      <c r="AL55">
        <v>1</v>
      </c>
      <c r="AM55" t="s">
        <v>35</v>
      </c>
      <c r="AO55">
        <v>7.8E-2</v>
      </c>
      <c r="AP55" t="s">
        <v>450</v>
      </c>
      <c r="AQ55">
        <v>534</v>
      </c>
      <c r="AR55" t="s">
        <v>451</v>
      </c>
      <c r="AS55" t="s">
        <v>452</v>
      </c>
      <c r="AT55">
        <v>1</v>
      </c>
      <c r="AU55" t="s">
        <v>913</v>
      </c>
      <c r="AW55" s="17"/>
      <c r="AX55">
        <f t="shared" ref="AX55:AX80" ca="1" si="1">IF(ISBLANK($AW55),TODAY()-$AZ55,TODAY()-$AV55)</f>
        <v>28</v>
      </c>
      <c r="AZ55" s="9">
        <v>39405</v>
      </c>
    </row>
    <row r="56" spans="1:52">
      <c r="A56">
        <v>27184437</v>
      </c>
      <c r="B56" s="4" t="str">
        <f>HYPERLINK("http://locmedia.nwmls.com/DO_NOT_LINK/bigphoto/437/27184437.jpg?tsp=20071012171503","Active")</f>
        <v>Active</v>
      </c>
      <c r="C56">
        <v>710</v>
      </c>
      <c r="D56" t="s">
        <v>801</v>
      </c>
      <c r="E56" t="s">
        <v>802</v>
      </c>
      <c r="F56" s="5">
        <v>489500</v>
      </c>
      <c r="G56" t="s">
        <v>803</v>
      </c>
      <c r="H56">
        <v>1390</v>
      </c>
      <c r="I56">
        <v>2575</v>
      </c>
      <c r="J56">
        <v>2</v>
      </c>
      <c r="K56">
        <v>2</v>
      </c>
      <c r="L56">
        <v>1</v>
      </c>
      <c r="M56" s="4" t="str">
        <f>HYPERLINK("http://locsearch.nwmls.com//ReturnMap.aspx?hidMLS=NWML&amp;VHW=47.679810:-122.301724:.25:&amp;Z=4&amp;H=300&amp;W=400&amp;PP=47.679810:-122.301724:1:027184437","Map")</f>
        <v>Map</v>
      </c>
      <c r="N56" s="4" t="str">
        <f>HYPERLINK("http://locmedia.nwmls.com/DO_NOT_LINK/bigphoto/437/27184437.jpg?tsp=20071012171503","Photo")</f>
        <v>Photo</v>
      </c>
      <c r="O56" s="4" t="str">
        <f>HYPERLINK("http://locator.nwmls.com/scripts/mgrqispi.dll?APPNAME=Locator&amp;PRGNAME=MLSPictureDescriptions&amp;ARGUMENTS=-N585198739,-N27184437,-AE","More")</f>
        <v>More</v>
      </c>
      <c r="P56" t="s">
        <v>41</v>
      </c>
      <c r="Q56" t="s">
        <v>804</v>
      </c>
      <c r="R56" t="s">
        <v>23</v>
      </c>
      <c r="S56" t="s">
        <v>24</v>
      </c>
      <c r="T56" t="s">
        <v>25</v>
      </c>
      <c r="U56" t="s">
        <v>26</v>
      </c>
      <c r="V56" t="s">
        <v>805</v>
      </c>
      <c r="X56" t="s">
        <v>27</v>
      </c>
      <c r="Y56" t="s">
        <v>28</v>
      </c>
      <c r="Z56" t="s">
        <v>806</v>
      </c>
      <c r="AB56">
        <v>2006</v>
      </c>
      <c r="AC56">
        <v>2826</v>
      </c>
      <c r="AD56" t="s">
        <v>807</v>
      </c>
      <c r="AE56" t="s">
        <v>808</v>
      </c>
      <c r="AF56" t="s">
        <v>809</v>
      </c>
      <c r="AG56">
        <v>47.679810000000003</v>
      </c>
      <c r="AH56">
        <v>-122.30172399999999</v>
      </c>
      <c r="AI56" t="s">
        <v>33</v>
      </c>
      <c r="AJ56">
        <v>98115</v>
      </c>
      <c r="AK56" t="s">
        <v>34</v>
      </c>
      <c r="AL56">
        <v>17</v>
      </c>
      <c r="AM56" t="s">
        <v>35</v>
      </c>
      <c r="AO56">
        <v>5.8999999999999997E-2</v>
      </c>
      <c r="AP56" t="s">
        <v>810</v>
      </c>
      <c r="AQ56">
        <v>535</v>
      </c>
      <c r="AR56" t="s">
        <v>480</v>
      </c>
      <c r="AS56" t="s">
        <v>811</v>
      </c>
      <c r="AT56">
        <v>1</v>
      </c>
      <c r="AW56" s="17"/>
      <c r="AX56">
        <f t="shared" ca="1" si="1"/>
        <v>25</v>
      </c>
      <c r="AZ56" s="9">
        <v>39408</v>
      </c>
    </row>
    <row r="57" spans="1:52">
      <c r="A57">
        <v>27185407</v>
      </c>
      <c r="B57" s="4" t="str">
        <f>HYPERLINK("http://locmedia.nwmls.com/DO_NOT_LINK/bigphoto/407/27185407.jpg?tsp=20071013084406","Active")</f>
        <v>Active</v>
      </c>
      <c r="C57">
        <v>705</v>
      </c>
      <c r="D57" t="s">
        <v>33</v>
      </c>
      <c r="E57" t="s">
        <v>93</v>
      </c>
      <c r="F57" s="5">
        <v>385000</v>
      </c>
      <c r="G57" t="s">
        <v>94</v>
      </c>
      <c r="H57">
        <v>1080</v>
      </c>
      <c r="I57">
        <v>8380</v>
      </c>
      <c r="J57">
        <v>2</v>
      </c>
      <c r="K57">
        <v>1</v>
      </c>
      <c r="M57" s="4" t="str">
        <f>HYPERLINK("http://locsearch.nwmls.com//ReturnMap.aspx?hidMLS=NWML&amp;VHW=47.704995:-122.367400:.25:&amp;Z=4&amp;H=300&amp;W=400&amp;PP=47.704995:-122.367400:1:027185407","Map")</f>
        <v>Map</v>
      </c>
      <c r="N57" s="4" t="str">
        <f>HYPERLINK("http://locmedia.nwmls.com/DO_NOT_LINK/bigphoto/407/27185407.jpg?tsp=20071013084406","Photo")</f>
        <v>Photo</v>
      </c>
      <c r="O57" s="4" t="str">
        <f>HYPERLINK("http://locator.nwmls.com/scripts/mgrqispi.dll?APPNAME=Locator&amp;PRGNAME=MLSPictureDescriptions&amp;ARGUMENTS=-N363684315,-N27185407,-AE","More")</f>
        <v>More</v>
      </c>
      <c r="Q57" t="s">
        <v>56</v>
      </c>
      <c r="R57" t="s">
        <v>95</v>
      </c>
      <c r="U57" t="s">
        <v>26</v>
      </c>
      <c r="V57" s="6" t="s">
        <v>59</v>
      </c>
      <c r="X57" t="s">
        <v>27</v>
      </c>
      <c r="Y57" t="s">
        <v>28</v>
      </c>
      <c r="Z57" t="s">
        <v>96</v>
      </c>
      <c r="AB57">
        <v>2007</v>
      </c>
      <c r="AC57">
        <v>2900</v>
      </c>
      <c r="AD57" t="s">
        <v>97</v>
      </c>
      <c r="AF57" t="s">
        <v>98</v>
      </c>
      <c r="AG57">
        <v>47.704994999999997</v>
      </c>
      <c r="AH57">
        <v>-122.3674</v>
      </c>
      <c r="AI57" t="s">
        <v>33</v>
      </c>
      <c r="AJ57">
        <v>98177</v>
      </c>
      <c r="AK57" t="s">
        <v>34</v>
      </c>
      <c r="AL57" t="s">
        <v>35</v>
      </c>
      <c r="AM57" t="s">
        <v>35</v>
      </c>
      <c r="AO57">
        <v>0.192</v>
      </c>
      <c r="AP57" t="s">
        <v>99</v>
      </c>
      <c r="AQ57">
        <v>504</v>
      </c>
      <c r="AR57" t="s">
        <v>100</v>
      </c>
      <c r="AS57" t="s">
        <v>101</v>
      </c>
      <c r="AT57">
        <v>1</v>
      </c>
      <c r="AU57" t="s">
        <v>926</v>
      </c>
      <c r="AW57" s="17"/>
      <c r="AX57">
        <f t="shared" ca="1" si="1"/>
        <v>28</v>
      </c>
      <c r="AZ57" s="9">
        <v>39405</v>
      </c>
    </row>
    <row r="58" spans="1:52">
      <c r="A58">
        <v>27186085</v>
      </c>
      <c r="B58" s="13" t="str">
        <f>HYPERLINK("http://locmedia.nwmls.com/DO_NOT_LINK/bigphoto/085/27186085.jpg?tsp=20071016134757","Active - STI")</f>
        <v>Active - STI</v>
      </c>
      <c r="C58">
        <v>705</v>
      </c>
      <c r="D58" t="s">
        <v>113</v>
      </c>
      <c r="E58" t="s">
        <v>215</v>
      </c>
      <c r="F58" s="5">
        <v>425000</v>
      </c>
      <c r="G58" t="s">
        <v>94</v>
      </c>
      <c r="H58">
        <v>1280</v>
      </c>
      <c r="I58">
        <v>6420</v>
      </c>
      <c r="J58">
        <v>3</v>
      </c>
      <c r="K58">
        <v>1.75</v>
      </c>
      <c r="L58">
        <v>2</v>
      </c>
      <c r="M58" s="4" t="str">
        <f>HYPERLINK("http://locsearch.nwmls.com//ReturnMap.aspx?hidMLS=NWML&amp;VHW=47.717016:-122.369537:.25:&amp;Z=4&amp;H=300&amp;W=400&amp;PP=47.717016:-122.369537:1:027186085","Map")</f>
        <v>Map</v>
      </c>
      <c r="N58" s="4" t="str">
        <f>HYPERLINK("http://locmedia.nwmls.com/DO_NOT_LINK/bigphoto/085/27186085.jpg?tsp=20071016134757","Photo")</f>
        <v>Photo</v>
      </c>
      <c r="O58" s="4" t="str">
        <f>HYPERLINK("http://locator.nwmls.com/scripts/mgrqispi.dll?APPNAME=Locator&amp;PRGNAME=MLSPictureDescriptions&amp;ARGUMENTS=-N363684315,-N27186085,-AE","More")</f>
        <v>More</v>
      </c>
      <c r="Q58" t="s">
        <v>56</v>
      </c>
      <c r="R58" t="s">
        <v>95</v>
      </c>
      <c r="S58" t="s">
        <v>128</v>
      </c>
      <c r="T58" t="s">
        <v>25</v>
      </c>
      <c r="U58" t="s">
        <v>26</v>
      </c>
      <c r="V58" s="6" t="s">
        <v>216</v>
      </c>
      <c r="X58" t="s">
        <v>27</v>
      </c>
      <c r="Y58" t="s">
        <v>28</v>
      </c>
      <c r="Z58" t="s">
        <v>217</v>
      </c>
      <c r="AA58" t="s">
        <v>218</v>
      </c>
      <c r="AB58">
        <v>2007</v>
      </c>
      <c r="AC58">
        <v>2864</v>
      </c>
      <c r="AD58" t="s">
        <v>219</v>
      </c>
      <c r="AE58" t="s">
        <v>121</v>
      </c>
      <c r="AF58" t="s">
        <v>220</v>
      </c>
      <c r="AG58">
        <v>47.717016000000001</v>
      </c>
      <c r="AH58">
        <v>-122.36953699999999</v>
      </c>
      <c r="AI58" t="s">
        <v>33</v>
      </c>
      <c r="AJ58">
        <v>98177</v>
      </c>
      <c r="AK58" t="s">
        <v>34</v>
      </c>
      <c r="AL58">
        <v>14</v>
      </c>
      <c r="AM58" t="s">
        <v>35</v>
      </c>
      <c r="AO58">
        <v>0.14699999999999999</v>
      </c>
      <c r="AP58" t="s">
        <v>221</v>
      </c>
      <c r="AQ58">
        <v>504</v>
      </c>
      <c r="AR58" t="s">
        <v>222</v>
      </c>
      <c r="AS58" t="s">
        <v>223</v>
      </c>
      <c r="AT58">
        <v>3</v>
      </c>
      <c r="AW58" s="17"/>
      <c r="AX58">
        <f t="shared" ca="1" si="1"/>
        <v>28</v>
      </c>
      <c r="AZ58" s="9">
        <v>39405</v>
      </c>
    </row>
    <row r="59" spans="1:52">
      <c r="A59">
        <v>27186277</v>
      </c>
      <c r="B59" s="4" t="str">
        <f>HYPERLINK("http://locmedia.nwmls.com/DO_NOT_LINK/bigphoto/277/27186277.jpg?tsp=20071015150127","Active")</f>
        <v>Active</v>
      </c>
      <c r="C59">
        <v>710</v>
      </c>
      <c r="D59" t="s">
        <v>723</v>
      </c>
      <c r="E59" t="s">
        <v>724</v>
      </c>
      <c r="F59" s="5">
        <v>465000</v>
      </c>
      <c r="G59" t="s">
        <v>40</v>
      </c>
      <c r="H59">
        <v>1490</v>
      </c>
      <c r="I59">
        <v>4200</v>
      </c>
      <c r="J59">
        <v>2</v>
      </c>
      <c r="K59">
        <v>1.75</v>
      </c>
      <c r="M59" s="4" t="str">
        <f>HYPERLINK("http://locsearch.nwmls.com//ReturnMap.aspx?hidMLS=NWML&amp;VHW=47.674807:-122.284898:.25:&amp;Z=4&amp;H=300&amp;W=400&amp;PP=47.674807:-122.284898:1:027186277","Map")</f>
        <v>Map</v>
      </c>
      <c r="N59" s="4" t="str">
        <f>HYPERLINK("http://locmedia.nwmls.com/DO_NOT_LINK/bigphoto/277/27186277.jpg?tsp=20071015150127","Photo")</f>
        <v>Photo</v>
      </c>
      <c r="O59" s="4" t="str">
        <f>HYPERLINK("http://locator.nwmls.com/scripts/mgrqispi.dll?APPNAME=Locator&amp;PRGNAME=MLSPictureDescriptions&amp;ARGUMENTS=-N585198739,-N27186277,-AE","More")</f>
        <v>More</v>
      </c>
      <c r="P59" t="s">
        <v>41</v>
      </c>
      <c r="Q59" t="s">
        <v>42</v>
      </c>
      <c r="R59" t="s">
        <v>57</v>
      </c>
      <c r="S59" t="s">
        <v>128</v>
      </c>
      <c r="T59" t="s">
        <v>263</v>
      </c>
      <c r="U59" t="s">
        <v>26</v>
      </c>
      <c r="V59" s="6" t="s">
        <v>59</v>
      </c>
      <c r="X59" t="s">
        <v>27</v>
      </c>
      <c r="Y59" t="s">
        <v>28</v>
      </c>
      <c r="Z59" t="s">
        <v>150</v>
      </c>
      <c r="AB59">
        <v>2007</v>
      </c>
      <c r="AC59">
        <v>3253</v>
      </c>
      <c r="AD59" t="s">
        <v>725</v>
      </c>
      <c r="AE59" t="s">
        <v>692</v>
      </c>
      <c r="AF59" t="s">
        <v>726</v>
      </c>
      <c r="AG59">
        <v>47.674807000000001</v>
      </c>
      <c r="AH59">
        <v>-122.284898</v>
      </c>
      <c r="AI59" t="s">
        <v>33</v>
      </c>
      <c r="AJ59">
        <v>98115</v>
      </c>
      <c r="AK59" t="s">
        <v>34</v>
      </c>
      <c r="AL59">
        <v>7</v>
      </c>
      <c r="AM59" t="s">
        <v>35</v>
      </c>
      <c r="AO59">
        <v>9.6000000000000002E-2</v>
      </c>
      <c r="AP59" t="s">
        <v>727</v>
      </c>
      <c r="AQ59">
        <v>535</v>
      </c>
      <c r="AR59" t="s">
        <v>287</v>
      </c>
      <c r="AS59" t="s">
        <v>728</v>
      </c>
      <c r="AT59">
        <v>3</v>
      </c>
      <c r="AW59" s="17"/>
      <c r="AX59">
        <f t="shared" ca="1" si="1"/>
        <v>25</v>
      </c>
      <c r="AZ59" s="9">
        <v>39408</v>
      </c>
    </row>
    <row r="60" spans="1:52">
      <c r="A60">
        <v>27186837</v>
      </c>
      <c r="B60" s="4" t="str">
        <f>HYPERLINK("http://locmedia.nwmls.com/DO_NOT_LINK/bigphoto/837/27186837.jpg?tsp=20071015230242","Active")</f>
        <v>Active</v>
      </c>
      <c r="C60">
        <v>705</v>
      </c>
      <c r="D60" t="s">
        <v>113</v>
      </c>
      <c r="E60" t="s">
        <v>114</v>
      </c>
      <c r="F60" s="5">
        <v>399950</v>
      </c>
      <c r="G60" t="s">
        <v>115</v>
      </c>
      <c r="H60">
        <v>1500</v>
      </c>
      <c r="I60">
        <v>7460</v>
      </c>
      <c r="J60">
        <v>3</v>
      </c>
      <c r="K60">
        <v>1</v>
      </c>
      <c r="L60">
        <v>1</v>
      </c>
      <c r="M60" s="4" t="str">
        <f>HYPERLINK("http://locsearch.nwmls.com//ReturnMap.aspx?hidMLS=NWML&amp;VHW=47.710500:-122.358416:.25:&amp;Z=4&amp;H=300&amp;W=400&amp;PP=47.710500:-122.358416:1:027186837","Map")</f>
        <v>Map</v>
      </c>
      <c r="N60" s="4" t="str">
        <f>HYPERLINK("http://locmedia.nwmls.com/DO_NOT_LINK/bigphoto/837/27186837.jpg?tsp=20071015230242","Photo")</f>
        <v>Photo</v>
      </c>
      <c r="O60" s="4" t="str">
        <f>HYPERLINK("http://locator.nwmls.com/scripts/mgrqispi.dll?APPNAME=Locator&amp;PRGNAME=MLSPictureDescriptions&amp;ARGUMENTS=-N363684315,-N27186837,-AE","More")</f>
        <v>More</v>
      </c>
      <c r="Q60" t="s">
        <v>56</v>
      </c>
      <c r="R60" t="s">
        <v>116</v>
      </c>
      <c r="S60" t="s">
        <v>117</v>
      </c>
      <c r="V60" s="6" t="s">
        <v>59</v>
      </c>
      <c r="X60" t="s">
        <v>27</v>
      </c>
      <c r="Y60" t="s">
        <v>28</v>
      </c>
      <c r="Z60" t="s">
        <v>118</v>
      </c>
      <c r="AA60" t="s">
        <v>119</v>
      </c>
      <c r="AB60">
        <v>2007</v>
      </c>
      <c r="AC60">
        <v>2965</v>
      </c>
      <c r="AD60" t="s">
        <v>120</v>
      </c>
      <c r="AE60" t="s">
        <v>121</v>
      </c>
      <c r="AF60" t="s">
        <v>122</v>
      </c>
      <c r="AG60">
        <v>47.710500000000003</v>
      </c>
      <c r="AH60">
        <v>-122.35841600000001</v>
      </c>
      <c r="AI60" t="s">
        <v>33</v>
      </c>
      <c r="AJ60">
        <v>98177</v>
      </c>
      <c r="AK60" t="s">
        <v>34</v>
      </c>
      <c r="AL60">
        <v>10</v>
      </c>
      <c r="AM60" t="s">
        <v>35</v>
      </c>
      <c r="AO60">
        <v>0.17100000000000001</v>
      </c>
      <c r="AP60" t="s">
        <v>123</v>
      </c>
      <c r="AQ60">
        <v>504</v>
      </c>
      <c r="AR60" t="s">
        <v>124</v>
      </c>
      <c r="AS60" t="s">
        <v>125</v>
      </c>
      <c r="AT60">
        <v>2</v>
      </c>
      <c r="AU60" t="s">
        <v>927</v>
      </c>
      <c r="AW60" s="17"/>
      <c r="AX60">
        <f t="shared" ca="1" si="1"/>
        <v>28</v>
      </c>
      <c r="AZ60" s="9">
        <v>39405</v>
      </c>
    </row>
    <row r="61" spans="1:52">
      <c r="A61">
        <v>27186914</v>
      </c>
      <c r="B61" s="4" t="str">
        <f>HYPERLINK("http://locmedia.nwmls.com/DO_NOT_LINK/bigphoto/914/27186914.jpg?tsp=20071016113828","Active")</f>
        <v>Active</v>
      </c>
      <c r="C61">
        <v>705</v>
      </c>
      <c r="D61" t="s">
        <v>81</v>
      </c>
      <c r="E61" t="s">
        <v>233</v>
      </c>
      <c r="F61" s="5">
        <v>429500</v>
      </c>
      <c r="G61" t="s">
        <v>234</v>
      </c>
      <c r="H61">
        <v>1350</v>
      </c>
      <c r="I61">
        <v>5100</v>
      </c>
      <c r="J61">
        <v>2</v>
      </c>
      <c r="K61">
        <v>1</v>
      </c>
      <c r="M61" s="4" t="str">
        <f>HYPERLINK("http://locsearch.nwmls.com//ReturnMap.aspx?hidMLS=NWML&amp;VHW=47.679183:-122.390826:.25:&amp;Z=4&amp;H=300&amp;W=400&amp;PP=47.679183:-122.390826:1:027186914","Map")</f>
        <v>Map</v>
      </c>
      <c r="N61" s="4" t="str">
        <f>HYPERLINK("http://locmedia.nwmls.com/DO_NOT_LINK/bigphoto/914/27186914.jpg?tsp=20071016113828","Photo")</f>
        <v>Photo</v>
      </c>
      <c r="O61" s="4" t="str">
        <f>HYPERLINK("http://locator.nwmls.com/scripts/mgrqispi.dll?APPNAME=Locator&amp;PRGNAME=MLSPictureDescriptions&amp;ARGUMENTS=-N363684315,-N27186914,-AE","More")</f>
        <v>More</v>
      </c>
      <c r="P61" t="s">
        <v>41</v>
      </c>
      <c r="Q61" t="s">
        <v>56</v>
      </c>
      <c r="R61" t="s">
        <v>23</v>
      </c>
      <c r="S61" t="s">
        <v>235</v>
      </c>
      <c r="T61" t="s">
        <v>129</v>
      </c>
      <c r="U61" t="s">
        <v>26</v>
      </c>
      <c r="V61" s="6" t="s">
        <v>59</v>
      </c>
      <c r="X61" t="s">
        <v>27</v>
      </c>
      <c r="Y61" t="s">
        <v>28</v>
      </c>
      <c r="Z61" t="s">
        <v>236</v>
      </c>
      <c r="AB61">
        <v>2007</v>
      </c>
      <c r="AC61">
        <v>497</v>
      </c>
      <c r="AD61" t="s">
        <v>237</v>
      </c>
      <c r="AE61" t="s">
        <v>238</v>
      </c>
      <c r="AF61" t="s">
        <v>179</v>
      </c>
      <c r="AG61" s="12">
        <v>47.679183000000002</v>
      </c>
      <c r="AH61" s="12">
        <v>-122.390826</v>
      </c>
      <c r="AI61" t="s">
        <v>33</v>
      </c>
      <c r="AJ61">
        <v>98117</v>
      </c>
      <c r="AK61" t="s">
        <v>34</v>
      </c>
      <c r="AL61" t="s">
        <v>35</v>
      </c>
      <c r="AM61" t="s">
        <v>35</v>
      </c>
      <c r="AO61">
        <v>0.11700000000000001</v>
      </c>
      <c r="AP61" t="s">
        <v>239</v>
      </c>
      <c r="AQ61">
        <v>534</v>
      </c>
      <c r="AR61" t="s">
        <v>189</v>
      </c>
      <c r="AS61" t="s">
        <v>240</v>
      </c>
      <c r="AT61">
        <v>1</v>
      </c>
      <c r="AU61" t="s">
        <v>928</v>
      </c>
      <c r="AW61" s="17"/>
      <c r="AX61">
        <f t="shared" ca="1" si="1"/>
        <v>28</v>
      </c>
      <c r="AZ61" s="9">
        <v>39405</v>
      </c>
    </row>
    <row r="62" spans="1:52">
      <c r="A62">
        <v>27187248</v>
      </c>
      <c r="B62" s="4" t="str">
        <f>HYPERLINK("http://locmedia.nwmls.com/DO_NOT_LINK/bigphoto/248/27187248.jpg?tsp=20071017161507","Active")</f>
        <v>Active</v>
      </c>
      <c r="C62">
        <v>705</v>
      </c>
      <c r="D62" t="s">
        <v>146</v>
      </c>
      <c r="E62" t="s">
        <v>147</v>
      </c>
      <c r="F62" s="5">
        <v>399950</v>
      </c>
      <c r="G62" t="s">
        <v>148</v>
      </c>
      <c r="H62">
        <v>800</v>
      </c>
      <c r="I62">
        <v>2880</v>
      </c>
      <c r="J62">
        <v>2</v>
      </c>
      <c r="K62">
        <v>1</v>
      </c>
      <c r="L62">
        <v>1</v>
      </c>
      <c r="M62" s="4" t="str">
        <f>HYPERLINK("http://locsearch.nwmls.com//ReturnMap.aspx?hidMLS=NWML&amp;VHW=47.686801:-122.394106:.25:&amp;Z=4&amp;H=300&amp;W=400&amp;PP=47.686801:-122.394106:1:027187248","Map")</f>
        <v>Map</v>
      </c>
      <c r="N62" s="4" t="str">
        <f>HYPERLINK("http://locmedia.nwmls.com/DO_NOT_LINK/bigphoto/248/27187248.jpg?tsp=20071017161507","Photo")</f>
        <v>Photo</v>
      </c>
      <c r="O62" s="4" t="str">
        <f>HYPERLINK("http://locator.nwmls.com/scripts/mgrqispi.dll?APPNAME=Locator&amp;PRGNAME=MLSPictureDescriptions&amp;ARGUMENTS=-N363684315,-N27187248,-AE","More")</f>
        <v>More</v>
      </c>
      <c r="Q62" t="s">
        <v>149</v>
      </c>
      <c r="R62" t="s">
        <v>116</v>
      </c>
      <c r="S62" t="s">
        <v>43</v>
      </c>
      <c r="T62" t="s">
        <v>25</v>
      </c>
      <c r="U62" t="s">
        <v>26</v>
      </c>
      <c r="V62" s="6" t="s">
        <v>59</v>
      </c>
      <c r="X62" t="s">
        <v>27</v>
      </c>
      <c r="Y62" t="s">
        <v>28</v>
      </c>
      <c r="Z62" t="s">
        <v>150</v>
      </c>
      <c r="AB62">
        <v>2007</v>
      </c>
      <c r="AC62">
        <v>3215</v>
      </c>
      <c r="AD62" t="s">
        <v>151</v>
      </c>
      <c r="AG62">
        <v>47.686801000000003</v>
      </c>
      <c r="AH62">
        <v>-122.39410599999999</v>
      </c>
      <c r="AI62" t="s">
        <v>33</v>
      </c>
      <c r="AJ62">
        <v>98117</v>
      </c>
      <c r="AK62" t="s">
        <v>34</v>
      </c>
      <c r="AL62" t="s">
        <v>35</v>
      </c>
      <c r="AM62" t="s">
        <v>35</v>
      </c>
      <c r="AO62">
        <v>6.6000000000000003E-2</v>
      </c>
      <c r="AP62" t="s">
        <v>152</v>
      </c>
      <c r="AQ62">
        <v>534</v>
      </c>
      <c r="AR62" t="s">
        <v>153</v>
      </c>
      <c r="AS62" t="s">
        <v>154</v>
      </c>
      <c r="AT62">
        <v>1</v>
      </c>
      <c r="AU62" t="s">
        <v>913</v>
      </c>
      <c r="AW62" s="17"/>
      <c r="AX62">
        <f t="shared" ca="1" si="1"/>
        <v>28</v>
      </c>
      <c r="AZ62" s="9">
        <v>39405</v>
      </c>
    </row>
    <row r="63" spans="1:52">
      <c r="A63">
        <v>27187495</v>
      </c>
      <c r="B63" s="4" t="str">
        <f>HYPERLINK("http://locmedia.nwmls.com/DO_NOT_LINK/bigphoto/495/27187495.jpg?tsp=20071016231331","Active")</f>
        <v>Active</v>
      </c>
      <c r="C63">
        <v>705</v>
      </c>
      <c r="D63" t="s">
        <v>146</v>
      </c>
      <c r="E63" t="s">
        <v>378</v>
      </c>
      <c r="F63" s="5">
        <v>468000</v>
      </c>
      <c r="G63" t="s">
        <v>55</v>
      </c>
      <c r="H63">
        <v>1830</v>
      </c>
      <c r="I63">
        <v>4284</v>
      </c>
      <c r="J63">
        <v>2</v>
      </c>
      <c r="K63">
        <v>1</v>
      </c>
      <c r="M63" s="4" t="str">
        <f>HYPERLINK("http://locsearch.nwmls.com//ReturnMap.aspx?hidMLS=NWML&amp;VHW=47.683585:-122.393000:.25:&amp;Z=4&amp;H=300&amp;W=400&amp;PP=47.683585:-122.393000:1:027187495","Map")</f>
        <v>Map</v>
      </c>
      <c r="N63" s="4" t="str">
        <f>HYPERLINK("http://locmedia.nwmls.com/DO_NOT_LINK/bigphoto/495/27187495.jpg?tsp=20071016231331","Photo")</f>
        <v>Photo</v>
      </c>
      <c r="O63" s="4" t="str">
        <f>HYPERLINK("http://locator.nwmls.com/scripts/mgrqispi.dll?APPNAME=Locator&amp;PRGNAME=MLSPictureDescriptions&amp;ARGUMENTS=-N363684315,-N27187495,-AE","More")</f>
        <v>More</v>
      </c>
      <c r="P63" t="s">
        <v>379</v>
      </c>
      <c r="Q63" t="s">
        <v>56</v>
      </c>
      <c r="R63" t="s">
        <v>116</v>
      </c>
      <c r="S63" t="s">
        <v>58</v>
      </c>
      <c r="T63" t="s">
        <v>300</v>
      </c>
      <c r="U63" t="s">
        <v>26</v>
      </c>
      <c r="V63" t="s">
        <v>380</v>
      </c>
      <c r="X63" t="s">
        <v>27</v>
      </c>
      <c r="Y63" t="s">
        <v>28</v>
      </c>
      <c r="Z63" t="s">
        <v>381</v>
      </c>
      <c r="AA63" t="s">
        <v>382</v>
      </c>
      <c r="AB63">
        <v>2007</v>
      </c>
      <c r="AC63">
        <v>3355</v>
      </c>
      <c r="AD63" t="s">
        <v>383</v>
      </c>
      <c r="AE63" t="s">
        <v>133</v>
      </c>
      <c r="AF63" t="s">
        <v>384</v>
      </c>
      <c r="AG63">
        <v>47.683585000000001</v>
      </c>
      <c r="AH63">
        <v>-122.393</v>
      </c>
      <c r="AI63" t="s">
        <v>33</v>
      </c>
      <c r="AJ63">
        <v>98117</v>
      </c>
      <c r="AK63" t="s">
        <v>34</v>
      </c>
      <c r="AL63" t="s">
        <v>385</v>
      </c>
      <c r="AM63" t="s">
        <v>35</v>
      </c>
      <c r="AO63">
        <v>9.8000000000000004E-2</v>
      </c>
      <c r="AP63" t="s">
        <v>386</v>
      </c>
      <c r="AQ63">
        <v>534</v>
      </c>
      <c r="AR63" t="s">
        <v>153</v>
      </c>
      <c r="AS63" t="s">
        <v>387</v>
      </c>
      <c r="AT63">
        <v>1</v>
      </c>
      <c r="AU63" t="s">
        <v>929</v>
      </c>
      <c r="AW63" s="17"/>
      <c r="AX63">
        <f t="shared" ca="1" si="1"/>
        <v>28</v>
      </c>
      <c r="AZ63" s="9">
        <v>39405</v>
      </c>
    </row>
    <row r="64" spans="1:52">
      <c r="A64">
        <v>27187501</v>
      </c>
      <c r="B64" s="4" t="str">
        <f>HYPERLINK("http://locmedia.nwmls.com/DO_NOT_LINK/bigphoto/501/27187501.jpg?tsp=20071017170625","Active")</f>
        <v>Active</v>
      </c>
      <c r="C64">
        <v>705</v>
      </c>
      <c r="D64" t="s">
        <v>53</v>
      </c>
      <c r="E64" t="s">
        <v>545</v>
      </c>
      <c r="F64" s="5">
        <v>499999</v>
      </c>
      <c r="G64" t="s">
        <v>546</v>
      </c>
      <c r="H64">
        <v>1360</v>
      </c>
      <c r="I64">
        <v>4024</v>
      </c>
      <c r="J64">
        <v>3</v>
      </c>
      <c r="K64">
        <v>1.75</v>
      </c>
      <c r="M64" s="4" t="str">
        <f>HYPERLINK("http://locsearch.nwmls.com//ReturnMap.aspx?hidMLS=NWML&amp;VHW=47.703600:-122.354946:.25:&amp;Z=4&amp;H=300&amp;W=400&amp;PP=47.703600:-122.354946:1:027187501","Map")</f>
        <v>Map</v>
      </c>
      <c r="N64" s="4" t="str">
        <f>HYPERLINK("http://locmedia.nwmls.com/DO_NOT_LINK/bigphoto/501/27187501.jpg?tsp=20071017170625","Photo")</f>
        <v>Photo</v>
      </c>
      <c r="O64" s="4" t="str">
        <f>HYPERLINK("http://locator.nwmls.com/scripts/mgrqispi.dll?APPNAME=Locator&amp;PRGNAME=MLSPictureDescriptions&amp;ARGUMENTS=-N363684315,-N27187501,-AE","More")</f>
        <v>More</v>
      </c>
      <c r="Q64" t="s">
        <v>56</v>
      </c>
      <c r="R64" t="s">
        <v>116</v>
      </c>
      <c r="S64" t="s">
        <v>547</v>
      </c>
      <c r="T64" t="s">
        <v>72</v>
      </c>
      <c r="U64" t="s">
        <v>26</v>
      </c>
      <c r="V64" s="6" t="s">
        <v>59</v>
      </c>
      <c r="X64" t="s">
        <v>27</v>
      </c>
      <c r="Y64" t="s">
        <v>28</v>
      </c>
      <c r="Z64" t="s">
        <v>505</v>
      </c>
      <c r="AB64">
        <v>2007</v>
      </c>
      <c r="AC64">
        <v>2334</v>
      </c>
      <c r="AD64" t="s">
        <v>548</v>
      </c>
      <c r="AF64" t="s">
        <v>266</v>
      </c>
      <c r="AG64">
        <v>47.703600000000002</v>
      </c>
      <c r="AH64">
        <v>-122.354946</v>
      </c>
      <c r="AI64" t="s">
        <v>33</v>
      </c>
      <c r="AJ64">
        <v>98133</v>
      </c>
      <c r="AK64" t="s">
        <v>34</v>
      </c>
      <c r="AL64">
        <v>1</v>
      </c>
      <c r="AM64" t="s">
        <v>35</v>
      </c>
      <c r="AO64">
        <v>9.1999999999999998E-2</v>
      </c>
      <c r="AP64" t="s">
        <v>549</v>
      </c>
      <c r="AQ64">
        <v>504</v>
      </c>
      <c r="AR64" t="s">
        <v>64</v>
      </c>
      <c r="AS64" t="s">
        <v>550</v>
      </c>
      <c r="AT64">
        <v>2</v>
      </c>
      <c r="AW64" s="17"/>
      <c r="AX64">
        <f t="shared" ca="1" si="1"/>
        <v>28</v>
      </c>
      <c r="AZ64" s="9">
        <v>39405</v>
      </c>
    </row>
    <row r="65" spans="1:52">
      <c r="A65">
        <v>27187662</v>
      </c>
      <c r="B65" s="13" t="str">
        <f>HYPERLINK("http://locmedia.nwmls.com/DO_NOT_LINK/bigphoto/662/27187662.jpg?tsp=20071018080347","Cancelled")</f>
        <v>Cancelled</v>
      </c>
      <c r="C65">
        <v>705</v>
      </c>
      <c r="D65" t="s">
        <v>224</v>
      </c>
      <c r="E65" t="s">
        <v>526</v>
      </c>
      <c r="F65" s="5">
        <v>499950</v>
      </c>
      <c r="G65" t="s">
        <v>527</v>
      </c>
      <c r="H65">
        <v>0</v>
      </c>
      <c r="I65">
        <v>0</v>
      </c>
      <c r="J65">
        <v>2</v>
      </c>
      <c r="K65">
        <v>1</v>
      </c>
      <c r="L65">
        <v>1</v>
      </c>
      <c r="M65" s="4" t="str">
        <f>HYPERLINK("http://locsearch.nwmls.com//ReturnMap.aspx?hidMLS=NWML&amp;VHW=47.668675:-122.358328:.25:&amp;Z=4&amp;H=300&amp;W=400&amp;PP=47.668675:-122.358328:1:027187662","Map")</f>
        <v>Map</v>
      </c>
      <c r="N65" s="4" t="str">
        <f>HYPERLINK("http://locmedia.nwmls.com/DO_NOT_LINK/bigphoto/662/27187662.jpg?tsp=20071018080347","Photo")</f>
        <v>Photo</v>
      </c>
      <c r="O65" s="4" t="str">
        <f>HYPERLINK("http://locator.nwmls.com/scripts/mgrqispi.dll?APPNAME=Locator&amp;PRGNAME=MLSPictureDescriptions&amp;ARGUMENTS=-N363684315,-N27187662,-AE","More")</f>
        <v>More</v>
      </c>
      <c r="Q65" t="s">
        <v>56</v>
      </c>
      <c r="R65" t="s">
        <v>116</v>
      </c>
      <c r="S65" t="s">
        <v>128</v>
      </c>
      <c r="T65" t="s">
        <v>300</v>
      </c>
      <c r="V65" s="6" t="s">
        <v>59</v>
      </c>
      <c r="X65" t="s">
        <v>27</v>
      </c>
      <c r="Y65" t="s">
        <v>28</v>
      </c>
      <c r="Z65" t="s">
        <v>150</v>
      </c>
      <c r="AA65" t="s">
        <v>528</v>
      </c>
      <c r="AB65">
        <v>2007</v>
      </c>
      <c r="AC65">
        <v>3188</v>
      </c>
      <c r="AD65" t="s">
        <v>529</v>
      </c>
      <c r="AF65" t="s">
        <v>530</v>
      </c>
      <c r="AG65" s="12">
        <v>47.668675</v>
      </c>
      <c r="AH65" s="12">
        <v>-122.358328</v>
      </c>
      <c r="AI65" t="s">
        <v>33</v>
      </c>
      <c r="AJ65">
        <v>98107</v>
      </c>
      <c r="AK65" t="s">
        <v>34</v>
      </c>
      <c r="AL65" t="s">
        <v>35</v>
      </c>
      <c r="AM65" t="s">
        <v>35</v>
      </c>
      <c r="AO65">
        <v>0</v>
      </c>
      <c r="AP65" t="s">
        <v>531</v>
      </c>
      <c r="AQ65">
        <v>534</v>
      </c>
      <c r="AR65" t="s">
        <v>323</v>
      </c>
      <c r="AS65" t="s">
        <v>532</v>
      </c>
      <c r="AT65">
        <v>3</v>
      </c>
      <c r="AU65" t="s">
        <v>930</v>
      </c>
      <c r="AW65" s="17"/>
      <c r="AX65">
        <f t="shared" ca="1" si="1"/>
        <v>28</v>
      </c>
      <c r="AZ65" s="9">
        <v>39405</v>
      </c>
    </row>
    <row r="66" spans="1:52">
      <c r="A66">
        <v>27188492</v>
      </c>
      <c r="B66" s="13" t="str">
        <f>HYPERLINK("http://locmedia.nwmls.com/DO_NOT_LINK/bigphoto/492/27188492.jpg?tsp=20071024111743","Cancelled")</f>
        <v>Cancelled</v>
      </c>
      <c r="C66">
        <v>705</v>
      </c>
      <c r="D66" t="s">
        <v>66</v>
      </c>
      <c r="E66" t="s">
        <v>501</v>
      </c>
      <c r="F66" s="5">
        <v>499000</v>
      </c>
      <c r="G66" t="s">
        <v>502</v>
      </c>
      <c r="H66">
        <v>1150</v>
      </c>
      <c r="I66">
        <v>6120</v>
      </c>
      <c r="J66">
        <v>2</v>
      </c>
      <c r="K66">
        <v>1</v>
      </c>
      <c r="M66" s="4" t="str">
        <f>HYPERLINK("http://locsearch.nwmls.com//ReturnMap.aspx?hidMLS=NWML&amp;VHW=47.669300:-122.325059:.25:&amp;Z=4&amp;H=300&amp;W=400&amp;PP=47.669300:-122.325059:1:027188492","Map")</f>
        <v>Map</v>
      </c>
      <c r="N66" s="4" t="str">
        <f>HYPERLINK("http://locmedia.nwmls.com/DO_NOT_LINK/bigphoto/492/27188492.jpg?tsp=20071024111743","Photo")</f>
        <v>Photo</v>
      </c>
      <c r="O66" s="4" t="str">
        <f>HYPERLINK("http://locator.nwmls.com/scripts/mgrqispi.dll?APPNAME=Locator&amp;PRGNAME=MLSPictureDescriptions&amp;ARGUMENTS=-N363684315,-N27188492,-AE","More")</f>
        <v>More</v>
      </c>
      <c r="P66" t="s">
        <v>262</v>
      </c>
      <c r="Q66" t="s">
        <v>56</v>
      </c>
      <c r="R66" t="s">
        <v>95</v>
      </c>
      <c r="S66" t="s">
        <v>503</v>
      </c>
      <c r="T66" t="s">
        <v>300</v>
      </c>
      <c r="U66" t="s">
        <v>26</v>
      </c>
      <c r="V66" t="s">
        <v>504</v>
      </c>
      <c r="X66" t="s">
        <v>27</v>
      </c>
      <c r="Y66" t="s">
        <v>28</v>
      </c>
      <c r="Z66" t="s">
        <v>505</v>
      </c>
      <c r="AB66">
        <v>2007</v>
      </c>
      <c r="AC66">
        <v>2974</v>
      </c>
      <c r="AD66" t="s">
        <v>506</v>
      </c>
      <c r="AF66" t="s">
        <v>507</v>
      </c>
      <c r="AG66">
        <v>47.6693</v>
      </c>
      <c r="AH66">
        <v>-122.325059</v>
      </c>
      <c r="AI66" t="s">
        <v>33</v>
      </c>
      <c r="AJ66">
        <v>98105</v>
      </c>
      <c r="AK66" t="s">
        <v>34</v>
      </c>
      <c r="AL66">
        <v>1</v>
      </c>
      <c r="AM66" t="s">
        <v>35</v>
      </c>
      <c r="AO66">
        <v>0.14000000000000001</v>
      </c>
      <c r="AP66" t="s">
        <v>508</v>
      </c>
      <c r="AQ66">
        <v>535</v>
      </c>
      <c r="AR66" t="s">
        <v>509</v>
      </c>
      <c r="AS66" t="s">
        <v>510</v>
      </c>
      <c r="AT66">
        <v>3</v>
      </c>
      <c r="AU66" t="s">
        <v>931</v>
      </c>
      <c r="AW66" s="17"/>
      <c r="AX66">
        <f t="shared" ca="1" si="1"/>
        <v>28</v>
      </c>
      <c r="AZ66" s="9">
        <v>39405</v>
      </c>
    </row>
    <row r="67" spans="1:52">
      <c r="A67">
        <v>27188920</v>
      </c>
      <c r="B67" s="4" t="str">
        <f>HYPERLINK("http://locmedia.nwmls.com/DO_NOT_LINK/bigphoto/920/27188920.jpg?tsp=20071019112034","Active")</f>
        <v>Active</v>
      </c>
      <c r="C67">
        <v>710</v>
      </c>
      <c r="D67" t="s">
        <v>656</v>
      </c>
      <c r="E67" t="s">
        <v>678</v>
      </c>
      <c r="F67" s="5">
        <v>449950</v>
      </c>
      <c r="G67" t="s">
        <v>21</v>
      </c>
      <c r="H67">
        <v>930</v>
      </c>
      <c r="I67">
        <v>8712</v>
      </c>
      <c r="J67">
        <v>2</v>
      </c>
      <c r="K67">
        <v>1</v>
      </c>
      <c r="L67">
        <v>1</v>
      </c>
      <c r="M67" s="4" t="str">
        <f>HYPERLINK("http://locsearch.nwmls.com//ReturnMap.aspx?hidMLS=NWML&amp;VHW=47.704701:-122.282915:.25:&amp;Z=4&amp;H=300&amp;W=400&amp;PP=47.704701:-122.282915:1:027188920","Map")</f>
        <v>Map</v>
      </c>
      <c r="N67" s="4" t="str">
        <f>HYPERLINK("http://locmedia.nwmls.com/DO_NOT_LINK/bigphoto/920/27188920.jpg?tsp=20071019112034","Photo")</f>
        <v>Photo</v>
      </c>
      <c r="O67" s="4" t="str">
        <f>HYPERLINK("http://locator.nwmls.com/scripts/mgrqispi.dll?APPNAME=Locator&amp;PRGNAME=MLSPictureDescriptions&amp;ARGUMENTS=-N585198739,-N27188920,-AE","More")</f>
        <v>More</v>
      </c>
      <c r="Q67" t="s">
        <v>679</v>
      </c>
      <c r="R67" t="s">
        <v>57</v>
      </c>
      <c r="S67" t="s">
        <v>128</v>
      </c>
      <c r="T67" t="s">
        <v>25</v>
      </c>
      <c r="U67" t="s">
        <v>26</v>
      </c>
      <c r="V67" s="6" t="s">
        <v>59</v>
      </c>
      <c r="X67" t="s">
        <v>27</v>
      </c>
      <c r="Y67" t="s">
        <v>28</v>
      </c>
      <c r="Z67" t="s">
        <v>680</v>
      </c>
      <c r="AA67" t="s">
        <v>681</v>
      </c>
      <c r="AB67">
        <v>2007</v>
      </c>
      <c r="AC67">
        <v>2881</v>
      </c>
      <c r="AD67" t="s">
        <v>682</v>
      </c>
      <c r="AE67" t="s">
        <v>121</v>
      </c>
      <c r="AF67" t="s">
        <v>683</v>
      </c>
      <c r="AG67">
        <v>47.704701</v>
      </c>
      <c r="AH67">
        <v>-122.282915</v>
      </c>
      <c r="AI67" t="s">
        <v>33</v>
      </c>
      <c r="AJ67">
        <v>98125</v>
      </c>
      <c r="AK67" t="s">
        <v>34</v>
      </c>
      <c r="AL67">
        <v>14</v>
      </c>
      <c r="AM67" t="s">
        <v>35</v>
      </c>
      <c r="AO67">
        <v>0.2</v>
      </c>
      <c r="AP67" t="s">
        <v>684</v>
      </c>
      <c r="AQ67">
        <v>505</v>
      </c>
      <c r="AR67" t="s">
        <v>466</v>
      </c>
      <c r="AS67" t="s">
        <v>685</v>
      </c>
      <c r="AT67">
        <v>3</v>
      </c>
      <c r="AW67" s="17"/>
      <c r="AX67">
        <f t="shared" ca="1" si="1"/>
        <v>25</v>
      </c>
      <c r="AZ67" s="9">
        <v>39408</v>
      </c>
    </row>
    <row r="68" spans="1:52">
      <c r="A68">
        <v>27189991</v>
      </c>
      <c r="B68" s="4" t="str">
        <f>HYPERLINK("http://locmedia.nwmls.com/DO_NOT_LINK/bigphoto/991/27189991.jpg?tsp=20071024144956","Active")</f>
        <v>Active</v>
      </c>
      <c r="C68">
        <v>705</v>
      </c>
      <c r="D68" t="s">
        <v>81</v>
      </c>
      <c r="E68" t="s">
        <v>137</v>
      </c>
      <c r="F68" s="5">
        <v>399950</v>
      </c>
      <c r="G68" t="s">
        <v>138</v>
      </c>
      <c r="H68">
        <v>1540</v>
      </c>
      <c r="I68">
        <v>2500</v>
      </c>
      <c r="J68">
        <v>2</v>
      </c>
      <c r="K68">
        <v>2</v>
      </c>
      <c r="M68" s="4" t="str">
        <f>HYPERLINK("http://locsearch.nwmls.com//ReturnMap.aspx?hidMLS=NWML&amp;VHW=47.683055:-122.373620:.25:&amp;Z=4&amp;H=300&amp;W=400&amp;PP=47.683055:-122.373620:1:027189991","Map")</f>
        <v>Map</v>
      </c>
      <c r="N68" s="4" t="str">
        <f>HYPERLINK("http://locmedia.nwmls.com/DO_NOT_LINK/bigphoto/991/27189991.jpg?tsp=20071024144956","Photo")</f>
        <v>Photo</v>
      </c>
      <c r="O68" s="4" t="str">
        <f>HYPERLINK("http://locator.nwmls.com/scripts/mgrqispi.dll?APPNAME=Locator&amp;PRGNAME=MLSPictureDescriptions&amp;ARGUMENTS=-N363684315,-N27189991,-AE","More")</f>
        <v>More</v>
      </c>
      <c r="P68" t="s">
        <v>41</v>
      </c>
      <c r="Q68" t="s">
        <v>56</v>
      </c>
      <c r="R68" t="s">
        <v>95</v>
      </c>
      <c r="S68" t="s">
        <v>128</v>
      </c>
      <c r="T68" t="s">
        <v>129</v>
      </c>
      <c r="U68" t="s">
        <v>26</v>
      </c>
      <c r="V68" s="6" t="s">
        <v>59</v>
      </c>
      <c r="X68" t="s">
        <v>27</v>
      </c>
      <c r="Y68" t="s">
        <v>28</v>
      </c>
      <c r="Z68" t="s">
        <v>139</v>
      </c>
      <c r="AA68" t="s">
        <v>140</v>
      </c>
      <c r="AB68">
        <v>2007</v>
      </c>
      <c r="AC68">
        <v>2956</v>
      </c>
      <c r="AD68" t="s">
        <v>141</v>
      </c>
      <c r="AE68" t="s">
        <v>142</v>
      </c>
      <c r="AF68" t="s">
        <v>143</v>
      </c>
      <c r="AG68">
        <v>47.683055000000003</v>
      </c>
      <c r="AH68">
        <v>-122.37362</v>
      </c>
      <c r="AI68" t="s">
        <v>33</v>
      </c>
      <c r="AJ68">
        <v>98117</v>
      </c>
      <c r="AK68" t="s">
        <v>34</v>
      </c>
      <c r="AL68">
        <v>48</v>
      </c>
      <c r="AM68" t="s">
        <v>35</v>
      </c>
      <c r="AO68">
        <v>5.7000000000000002E-2</v>
      </c>
      <c r="AP68" t="s">
        <v>144</v>
      </c>
      <c r="AQ68">
        <v>534</v>
      </c>
      <c r="AR68" t="s">
        <v>91</v>
      </c>
      <c r="AS68" t="s">
        <v>145</v>
      </c>
      <c r="AT68">
        <v>1</v>
      </c>
      <c r="AW68" s="17"/>
      <c r="AX68">
        <f t="shared" ca="1" si="1"/>
        <v>28</v>
      </c>
      <c r="AZ68" s="9">
        <v>39405</v>
      </c>
    </row>
    <row r="69" spans="1:52">
      <c r="A69">
        <v>27190229</v>
      </c>
      <c r="B69" s="4" t="str">
        <f>HYPERLINK("http://locmedia.nwmls.com/DO_NOT_LINK/bigphoto/229/27190229.jpg?tsp=20071026145346","Active - STI")</f>
        <v>Active - STI</v>
      </c>
      <c r="C69">
        <v>710</v>
      </c>
      <c r="D69" t="s">
        <v>656</v>
      </c>
      <c r="E69" t="s">
        <v>851</v>
      </c>
      <c r="F69" s="5">
        <v>419950</v>
      </c>
      <c r="G69" t="s">
        <v>127</v>
      </c>
      <c r="H69">
        <v>1670</v>
      </c>
      <c r="I69">
        <v>5413</v>
      </c>
      <c r="J69">
        <v>2</v>
      </c>
      <c r="K69">
        <v>1</v>
      </c>
      <c r="M69" s="4" t="str">
        <f>HYPERLINK("http://locsearch.nwmls.com//ReturnMap.aspx?hidMLS=NWML&amp;VHW=47.696244:-122.301501:.25:&amp;Z=4&amp;H=300&amp;W=400&amp;PP=47.696244:-122.301501:1:027190229","Map")</f>
        <v>Map</v>
      </c>
      <c r="N69" s="4" t="str">
        <f>HYPERLINK("http://locmedia.nwmls.com/DO_NOT_LINK/bigphoto/229/27190229.jpg?tsp=20071026145346","Photo")</f>
        <v>Photo</v>
      </c>
      <c r="O69" s="4" t="str">
        <f>HYPERLINK("http://locator.nwmls.com/scripts/mgrqispi.dll?APPNAME=Locator&amp;PRGNAME=MLSPictureDescriptions&amp;ARGUMENTS=-N585198739,-N27190229,-AE","More")</f>
        <v>More</v>
      </c>
      <c r="P69" t="s">
        <v>41</v>
      </c>
      <c r="Q69" t="s">
        <v>56</v>
      </c>
      <c r="R69" t="s">
        <v>95</v>
      </c>
      <c r="S69" t="s">
        <v>58</v>
      </c>
      <c r="T69" t="s">
        <v>300</v>
      </c>
      <c r="U69" t="s">
        <v>26</v>
      </c>
      <c r="V69" s="6" t="s">
        <v>59</v>
      </c>
      <c r="X69" t="s">
        <v>27</v>
      </c>
      <c r="Y69" t="s">
        <v>28</v>
      </c>
      <c r="Z69" t="s">
        <v>852</v>
      </c>
      <c r="AB69">
        <v>2007</v>
      </c>
      <c r="AC69">
        <v>3030</v>
      </c>
      <c r="AD69" t="s">
        <v>853</v>
      </c>
      <c r="AE69" t="s">
        <v>302</v>
      </c>
      <c r="AF69" t="s">
        <v>303</v>
      </c>
      <c r="AG69">
        <v>47.696244</v>
      </c>
      <c r="AH69">
        <v>-122.301501</v>
      </c>
      <c r="AI69" t="s">
        <v>33</v>
      </c>
      <c r="AJ69">
        <v>98115</v>
      </c>
      <c r="AK69" t="s">
        <v>34</v>
      </c>
      <c r="AL69" t="s">
        <v>854</v>
      </c>
      <c r="AM69" t="s">
        <v>35</v>
      </c>
      <c r="AO69">
        <v>0.124</v>
      </c>
      <c r="AP69" t="s">
        <v>855</v>
      </c>
      <c r="AQ69">
        <v>505</v>
      </c>
      <c r="AR69" t="s">
        <v>840</v>
      </c>
      <c r="AS69" t="s">
        <v>856</v>
      </c>
      <c r="AT69">
        <v>-5</v>
      </c>
      <c r="AV69" s="9">
        <v>39381</v>
      </c>
      <c r="AW69" s="17">
        <v>30</v>
      </c>
      <c r="AX69">
        <f t="shared" ca="1" si="1"/>
        <v>52</v>
      </c>
      <c r="AZ69" s="9">
        <v>39408</v>
      </c>
    </row>
    <row r="70" spans="1:52">
      <c r="A70">
        <v>27190910</v>
      </c>
      <c r="B70" s="4" t="str">
        <f>HYPERLINK("http://locmedia.nwmls.com/DO_NOT_LINK/bigphoto/910/27190910.jpg?tsp=20071024102346","Active")</f>
        <v>Active</v>
      </c>
      <c r="C70">
        <v>705</v>
      </c>
      <c r="D70" t="s">
        <v>113</v>
      </c>
      <c r="E70" t="s">
        <v>352</v>
      </c>
      <c r="F70" s="5">
        <v>465000</v>
      </c>
      <c r="G70" t="s">
        <v>353</v>
      </c>
      <c r="H70">
        <v>2280</v>
      </c>
      <c r="I70">
        <v>7020</v>
      </c>
      <c r="J70">
        <v>3</v>
      </c>
      <c r="K70">
        <v>2.5</v>
      </c>
      <c r="M70" s="4" t="str">
        <f>HYPERLINK("http://locsearch.nwmls.com//ReturnMap.aspx?hidMLS=NWML&amp;VHW=47.719443:-122.358291:.25:&amp;Z=4&amp;H=300&amp;W=400&amp;PP=47.719443:-122.358291:1:027190910","Map")</f>
        <v>Map</v>
      </c>
      <c r="N70" s="4" t="str">
        <f>HYPERLINK("http://locmedia.nwmls.com/DO_NOT_LINK/bigphoto/910/27190910.jpg?tsp=20071024102346","Photo")</f>
        <v>Photo</v>
      </c>
      <c r="O70" s="4" t="str">
        <f>HYPERLINK("http://locator.nwmls.com/scripts/mgrqispi.dll?APPNAME=Locator&amp;PRGNAME=MLSPictureDescriptions&amp;ARGUMENTS=-N363684315,-N27190910,-AE","More")</f>
        <v>More</v>
      </c>
      <c r="P70" t="s">
        <v>354</v>
      </c>
      <c r="Q70" t="s">
        <v>56</v>
      </c>
      <c r="R70" t="s">
        <v>116</v>
      </c>
      <c r="S70" t="s">
        <v>86</v>
      </c>
      <c r="T70" t="s">
        <v>72</v>
      </c>
      <c r="U70" t="s">
        <v>26</v>
      </c>
      <c r="V70" s="6" t="s">
        <v>59</v>
      </c>
      <c r="X70" t="s">
        <v>27</v>
      </c>
      <c r="Y70" t="s">
        <v>28</v>
      </c>
      <c r="Z70" t="s">
        <v>355</v>
      </c>
      <c r="AB70">
        <v>2007</v>
      </c>
      <c r="AC70">
        <v>564</v>
      </c>
      <c r="AD70" t="s">
        <v>356</v>
      </c>
      <c r="AE70" t="s">
        <v>357</v>
      </c>
      <c r="AF70" t="s">
        <v>358</v>
      </c>
      <c r="AG70">
        <v>47.719442999999998</v>
      </c>
      <c r="AH70">
        <v>-122.35829099999999</v>
      </c>
      <c r="AI70" t="s">
        <v>33</v>
      </c>
      <c r="AJ70">
        <v>98177</v>
      </c>
      <c r="AK70" t="s">
        <v>34</v>
      </c>
      <c r="AL70" t="s">
        <v>35</v>
      </c>
      <c r="AM70" t="s">
        <v>35</v>
      </c>
      <c r="AO70">
        <v>0.161</v>
      </c>
      <c r="AP70" t="s">
        <v>359</v>
      </c>
      <c r="AQ70">
        <v>504</v>
      </c>
      <c r="AR70" t="s">
        <v>323</v>
      </c>
      <c r="AS70" t="s">
        <v>360</v>
      </c>
      <c r="AT70">
        <v>3</v>
      </c>
      <c r="AW70" s="17"/>
      <c r="AX70">
        <f t="shared" ca="1" si="1"/>
        <v>28</v>
      </c>
      <c r="AZ70" s="9">
        <v>39405</v>
      </c>
    </row>
    <row r="71" spans="1:52">
      <c r="A71">
        <v>27191547</v>
      </c>
      <c r="B71" s="4" t="str">
        <f>HYPERLINK("http://locmedia.nwmls.com/DO_NOT_LINK/bigphoto/547/27191547.jpg?tsp=20071107055208","Active")</f>
        <v>Active</v>
      </c>
      <c r="C71">
        <v>705</v>
      </c>
      <c r="D71" t="s">
        <v>81</v>
      </c>
      <c r="E71" t="s">
        <v>336</v>
      </c>
      <c r="F71" s="16">
        <v>439992</v>
      </c>
      <c r="G71" t="s">
        <v>337</v>
      </c>
      <c r="H71">
        <v>1906</v>
      </c>
      <c r="I71">
        <v>5100</v>
      </c>
      <c r="J71">
        <v>2</v>
      </c>
      <c r="K71">
        <v>2</v>
      </c>
      <c r="M71" s="4" t="str">
        <f>HYPERLINK("http://locsearch.nwmls.com//ReturnMap.aspx?hidMLS=NWML&amp;VHW=47.682159:-122.384316:.25:&amp;Z=4&amp;H=300&amp;W=400&amp;PP=47.682159:-122.384316:1:027191547","Map")</f>
        <v>Map</v>
      </c>
      <c r="N71" s="4" t="str">
        <f>HYPERLINK("http://locmedia.nwmls.com/DO_NOT_LINK/bigphoto/547/27191547.jpg?tsp=20071107055208","Photo")</f>
        <v>Photo</v>
      </c>
      <c r="O71" s="4" t="str">
        <f>HYPERLINK("http://locator.nwmls.com/scripts/mgrqispi.dll?APPNAME=Locator&amp;PRGNAME=MLSPictureDescriptions&amp;ARGUMENTS=-N363684315,-N27191547,-AE","More")</f>
        <v>More</v>
      </c>
      <c r="Q71" t="s">
        <v>56</v>
      </c>
      <c r="R71" t="s">
        <v>95</v>
      </c>
      <c r="S71" t="s">
        <v>338</v>
      </c>
      <c r="T71" t="s">
        <v>263</v>
      </c>
      <c r="U71" t="s">
        <v>26</v>
      </c>
      <c r="V71" s="6" t="s">
        <v>59</v>
      </c>
      <c r="X71" t="s">
        <v>27</v>
      </c>
      <c r="Y71" t="s">
        <v>28</v>
      </c>
      <c r="Z71" t="s">
        <v>339</v>
      </c>
      <c r="AB71">
        <v>2007</v>
      </c>
      <c r="AC71">
        <v>3141</v>
      </c>
      <c r="AD71" t="s">
        <v>340</v>
      </c>
      <c r="AE71" t="s">
        <v>341</v>
      </c>
      <c r="AF71" t="s">
        <v>342</v>
      </c>
      <c r="AG71" s="15">
        <v>47.682158999999999</v>
      </c>
      <c r="AH71" s="15">
        <v>-122.384316</v>
      </c>
      <c r="AI71" t="s">
        <v>33</v>
      </c>
      <c r="AJ71">
        <v>98117</v>
      </c>
      <c r="AK71" t="s">
        <v>34</v>
      </c>
      <c r="AL71" t="s">
        <v>343</v>
      </c>
      <c r="AM71" t="s">
        <v>35</v>
      </c>
      <c r="AO71">
        <v>0.11700000000000001</v>
      </c>
      <c r="AP71" s="15" t="s">
        <v>1004</v>
      </c>
      <c r="AQ71">
        <v>534</v>
      </c>
      <c r="AR71" t="s">
        <v>196</v>
      </c>
      <c r="AS71" t="s">
        <v>345</v>
      </c>
      <c r="AT71">
        <v>1</v>
      </c>
      <c r="AU71" t="s">
        <v>932</v>
      </c>
      <c r="AW71" s="17"/>
      <c r="AX71">
        <f t="shared" ca="1" si="1"/>
        <v>28</v>
      </c>
      <c r="AZ71" s="9">
        <v>39405</v>
      </c>
    </row>
    <row r="72" spans="1:52">
      <c r="A72">
        <v>27191568</v>
      </c>
      <c r="B72" s="4" t="str">
        <f>HYPERLINK("http://locmedia.nwmls.com/DO_NOT_LINK/bigphoto/568/27191568.jpg?tsp=20071025163105","Active")</f>
        <v>Active</v>
      </c>
      <c r="C72">
        <v>705</v>
      </c>
      <c r="D72" t="s">
        <v>66</v>
      </c>
      <c r="E72" t="s">
        <v>67</v>
      </c>
      <c r="F72" s="5">
        <v>374950</v>
      </c>
      <c r="G72" t="s">
        <v>68</v>
      </c>
      <c r="H72">
        <v>1175</v>
      </c>
      <c r="I72">
        <v>1366</v>
      </c>
      <c r="J72">
        <v>2</v>
      </c>
      <c r="K72">
        <v>2.5</v>
      </c>
      <c r="M72" s="4" t="str">
        <f>HYPERLINK("http://locsearch.nwmls.com//ReturnMap.aspx?hidMLS=NWML&amp;VHW=47.695753:-122.341899:.25:&amp;Z=4&amp;H=300&amp;W=400&amp;PP=47.695753:-122.341899:1:027191568","Map")</f>
        <v>Map</v>
      </c>
      <c r="N72" s="4" t="str">
        <f>HYPERLINK("http://locmedia.nwmls.com/DO_NOT_LINK/bigphoto/568/27191568.jpg?tsp=20071025163105","Photo")</f>
        <v>Photo</v>
      </c>
      <c r="O72" s="4" t="str">
        <f>HYPERLINK("http://locator.nwmls.com/scripts/mgrqispi.dll?APPNAME=Locator&amp;PRGNAME=MLSPictureDescriptions&amp;ARGUMENTS=-N363684315,-N27191568,-AE","More")</f>
        <v>More</v>
      </c>
      <c r="P72" t="s">
        <v>69</v>
      </c>
      <c r="Q72" t="s">
        <v>70</v>
      </c>
      <c r="R72" t="s">
        <v>57</v>
      </c>
      <c r="S72" t="s">
        <v>71</v>
      </c>
      <c r="T72" t="s">
        <v>72</v>
      </c>
      <c r="U72" t="s">
        <v>26</v>
      </c>
      <c r="X72" t="s">
        <v>27</v>
      </c>
      <c r="Y72" t="s">
        <v>28</v>
      </c>
      <c r="Z72" t="s">
        <v>73</v>
      </c>
      <c r="AA72" t="s">
        <v>74</v>
      </c>
      <c r="AB72">
        <v>2007</v>
      </c>
      <c r="AC72">
        <v>2715</v>
      </c>
      <c r="AD72" t="s">
        <v>75</v>
      </c>
      <c r="AE72" t="s">
        <v>76</v>
      </c>
      <c r="AF72" t="s">
        <v>77</v>
      </c>
      <c r="AG72">
        <v>47.695753000000003</v>
      </c>
      <c r="AH72">
        <v>-122.341899</v>
      </c>
      <c r="AI72" t="s">
        <v>33</v>
      </c>
      <c r="AJ72">
        <v>98103</v>
      </c>
      <c r="AK72" t="s">
        <v>34</v>
      </c>
      <c r="AL72" t="s">
        <v>35</v>
      </c>
      <c r="AM72" t="s">
        <v>35</v>
      </c>
      <c r="AO72">
        <v>3.1E-2</v>
      </c>
      <c r="AP72" t="s">
        <v>78</v>
      </c>
      <c r="AQ72">
        <v>504</v>
      </c>
      <c r="AR72" t="s">
        <v>79</v>
      </c>
      <c r="AS72" t="s">
        <v>80</v>
      </c>
      <c r="AT72">
        <v>1</v>
      </c>
      <c r="AU72" t="s">
        <v>913</v>
      </c>
      <c r="AW72" s="17"/>
      <c r="AX72">
        <f t="shared" ca="1" si="1"/>
        <v>28</v>
      </c>
      <c r="AZ72" s="9">
        <v>39405</v>
      </c>
    </row>
    <row r="73" spans="1:52">
      <c r="A73">
        <v>27191805</v>
      </c>
      <c r="B73" s="11" t="str">
        <f>HYPERLINK("http://locmedia.nwmls.com/DO_NOT_LINK/bigphoto/805/27191805.jpg?tsp=20071025175431","Pending")</f>
        <v>Pending</v>
      </c>
      <c r="C73">
        <v>705</v>
      </c>
      <c r="D73" t="s">
        <v>81</v>
      </c>
      <c r="E73" t="s">
        <v>579</v>
      </c>
      <c r="F73" s="5">
        <v>459950</v>
      </c>
      <c r="G73" t="s">
        <v>502</v>
      </c>
      <c r="H73">
        <v>0</v>
      </c>
      <c r="I73">
        <v>0</v>
      </c>
      <c r="J73">
        <v>3</v>
      </c>
      <c r="K73">
        <v>2</v>
      </c>
      <c r="M73" s="4" t="str">
        <f>HYPERLINK("http://locsearch.nwmls.com//ReturnMap.aspx?hidMLS=NWML&amp;VHW=47.682514:-122.362927:.25:&amp;Z=4&amp;H=300&amp;W=400&amp;PP=47.682514:-122.362927:1:027191805","Map")</f>
        <v>Map</v>
      </c>
      <c r="N73" s="4" t="str">
        <f>HYPERLINK("http://locmedia.nwmls.com/DO_NOT_LINK/bigphoto/805/27191805.jpg?tsp=20071025175431","Photo")</f>
        <v>Photo</v>
      </c>
      <c r="O73" s="4" t="str">
        <f>HYPERLINK("http://locator.nwmls.com/scripts/mgrqispi.dll?APPNAME=Locator&amp;PRGNAME=MLSPictureDescriptions&amp;ARGUMENTS=-N363684315,-N27191805,-AE","More")</f>
        <v>More</v>
      </c>
      <c r="P73" t="s">
        <v>580</v>
      </c>
      <c r="Q73" t="s">
        <v>327</v>
      </c>
      <c r="R73" t="s">
        <v>57</v>
      </c>
      <c r="S73" t="s">
        <v>199</v>
      </c>
      <c r="V73" s="6" t="s">
        <v>59</v>
      </c>
      <c r="X73" t="s">
        <v>27</v>
      </c>
      <c r="Y73" t="s">
        <v>28</v>
      </c>
      <c r="Z73" t="s">
        <v>176</v>
      </c>
      <c r="AB73">
        <v>2007</v>
      </c>
      <c r="AC73">
        <v>3104</v>
      </c>
      <c r="AD73" t="s">
        <v>581</v>
      </c>
      <c r="AE73" t="s">
        <v>582</v>
      </c>
      <c r="AF73" t="s">
        <v>583</v>
      </c>
      <c r="AG73">
        <v>47.682513999999998</v>
      </c>
      <c r="AH73">
        <v>-122.362927</v>
      </c>
      <c r="AI73" t="s">
        <v>33</v>
      </c>
      <c r="AJ73">
        <v>98117</v>
      </c>
      <c r="AK73" t="s">
        <v>34</v>
      </c>
      <c r="AL73" t="s">
        <v>35</v>
      </c>
      <c r="AM73" t="s">
        <v>35</v>
      </c>
      <c r="AO73">
        <v>0</v>
      </c>
      <c r="AP73" t="s">
        <v>584</v>
      </c>
      <c r="AQ73">
        <v>534</v>
      </c>
      <c r="AR73" t="s">
        <v>313</v>
      </c>
      <c r="AS73" t="s">
        <v>585</v>
      </c>
      <c r="AT73">
        <v>4</v>
      </c>
      <c r="AV73" s="9">
        <v>39380</v>
      </c>
      <c r="AW73" s="17">
        <v>31</v>
      </c>
      <c r="AX73">
        <f t="shared" ca="1" si="1"/>
        <v>53</v>
      </c>
      <c r="AY73" t="s">
        <v>920</v>
      </c>
      <c r="AZ73" s="9">
        <v>39405</v>
      </c>
    </row>
    <row r="74" spans="1:52">
      <c r="A74">
        <v>27191868</v>
      </c>
      <c r="B74" s="4" t="str">
        <f>HYPERLINK("http://locmedia.nwmls.com/DO_NOT_LINK/bigphoto/868/27191868.jpg?tsp=20071025123212","Active")</f>
        <v>Active</v>
      </c>
      <c r="C74">
        <v>705</v>
      </c>
      <c r="D74" t="s">
        <v>53</v>
      </c>
      <c r="E74" t="s">
        <v>325</v>
      </c>
      <c r="F74" s="5">
        <v>459900</v>
      </c>
      <c r="G74" t="s">
        <v>326</v>
      </c>
      <c r="H74">
        <v>2080</v>
      </c>
      <c r="I74">
        <v>4950</v>
      </c>
      <c r="J74">
        <v>3</v>
      </c>
      <c r="K74">
        <v>1.5</v>
      </c>
      <c r="M74" s="4" t="str">
        <f>HYPERLINK("http://locsearch.nwmls.com//ReturnMap.aspx?hidMLS=NWML&amp;VHW=47.692101:-122.364968:.25:&amp;Z=4&amp;H=300&amp;W=400&amp;PP=47.692101:-122.364968:1:027191868","Map")</f>
        <v>Map</v>
      </c>
      <c r="N74" s="4" t="str">
        <f>HYPERLINK("http://locmedia.nwmls.com/DO_NOT_LINK/bigphoto/868/27191868.jpg?tsp=20071025123212","Photo")</f>
        <v>Photo</v>
      </c>
      <c r="O74" s="4" t="str">
        <f>HYPERLINK("http://locator.nwmls.com/scripts/mgrqispi.dll?APPNAME=Locator&amp;PRGNAME=MLSPictureDescriptions&amp;ARGUMENTS=-N363684315,-N27191868,-AE","More")</f>
        <v>More</v>
      </c>
      <c r="Q74" t="s">
        <v>327</v>
      </c>
      <c r="R74" t="s">
        <v>23</v>
      </c>
      <c r="S74" t="s">
        <v>328</v>
      </c>
      <c r="T74" t="s">
        <v>129</v>
      </c>
      <c r="U74" t="s">
        <v>26</v>
      </c>
      <c r="V74" s="6" t="s">
        <v>59</v>
      </c>
      <c r="X74" t="s">
        <v>27</v>
      </c>
      <c r="Y74" t="s">
        <v>28</v>
      </c>
      <c r="Z74" t="s">
        <v>329</v>
      </c>
      <c r="AB74">
        <v>2007</v>
      </c>
      <c r="AC74">
        <v>2807</v>
      </c>
      <c r="AD74" t="s">
        <v>330</v>
      </c>
      <c r="AE74" t="s">
        <v>331</v>
      </c>
      <c r="AF74" t="s">
        <v>332</v>
      </c>
      <c r="AG74">
        <v>47.692101000000001</v>
      </c>
      <c r="AH74">
        <v>-122.364968</v>
      </c>
      <c r="AI74" t="s">
        <v>33</v>
      </c>
      <c r="AJ74">
        <v>98117</v>
      </c>
      <c r="AK74" t="s">
        <v>34</v>
      </c>
      <c r="AL74" t="s">
        <v>35</v>
      </c>
      <c r="AM74" t="s">
        <v>35</v>
      </c>
      <c r="AO74">
        <v>0.114</v>
      </c>
      <c r="AP74" t="s">
        <v>333</v>
      </c>
      <c r="AQ74">
        <v>534</v>
      </c>
      <c r="AR74" t="s">
        <v>334</v>
      </c>
      <c r="AS74" t="s">
        <v>335</v>
      </c>
      <c r="AT74">
        <v>1</v>
      </c>
      <c r="AU74" t="s">
        <v>933</v>
      </c>
      <c r="AW74" s="17"/>
      <c r="AX74">
        <f t="shared" ca="1" si="1"/>
        <v>28</v>
      </c>
      <c r="AZ74" s="9">
        <v>39405</v>
      </c>
    </row>
    <row r="75" spans="1:52">
      <c r="A75">
        <v>27192140</v>
      </c>
      <c r="B75" s="4" t="str">
        <f>HYPERLINK("http://locmedia.nwmls.com/DO_NOT_LINK/bigphoto/140/27192140.jpg?tsp=20071108202917","Active")</f>
        <v>Active</v>
      </c>
      <c r="C75">
        <v>705</v>
      </c>
      <c r="D75" t="s">
        <v>81</v>
      </c>
      <c r="E75" t="s">
        <v>388</v>
      </c>
      <c r="F75" s="5">
        <v>469950</v>
      </c>
      <c r="G75" t="s">
        <v>389</v>
      </c>
      <c r="H75">
        <v>1820</v>
      </c>
      <c r="I75">
        <v>0</v>
      </c>
      <c r="J75">
        <v>3</v>
      </c>
      <c r="K75">
        <v>1</v>
      </c>
      <c r="L75">
        <v>1</v>
      </c>
      <c r="M75" s="4" t="str">
        <f>HYPERLINK("http://locsearch.nwmls.com//ReturnMap.aspx?hidMLS=NWML&amp;VHW=47.676000:-122.368291:.25:&amp;Z=4&amp;H=300&amp;W=400&amp;PP=47.676000:-122.368291:1:027192140","Map")</f>
        <v>Map</v>
      </c>
      <c r="N75" s="4" t="str">
        <f>HYPERLINK("http://locmedia.nwmls.com/DO_NOT_LINK/bigphoto/140/27192140.jpg?tsp=20071108202917","Photo")</f>
        <v>Photo</v>
      </c>
      <c r="O75" s="4" t="str">
        <f>HYPERLINK("http://locator.nwmls.com/scripts/mgrqispi.dll?APPNAME=Locator&amp;PRGNAME=MLSPictureDescriptions&amp;ARGUMENTS=-N363684315,-N27192140,-AE","More")</f>
        <v>More</v>
      </c>
      <c r="P75" t="s">
        <v>41</v>
      </c>
      <c r="Q75" t="s">
        <v>56</v>
      </c>
      <c r="R75" t="s">
        <v>116</v>
      </c>
      <c r="S75" t="s">
        <v>43</v>
      </c>
      <c r="T75" t="s">
        <v>129</v>
      </c>
      <c r="U75" t="s">
        <v>26</v>
      </c>
      <c r="V75" s="6" t="s">
        <v>59</v>
      </c>
      <c r="X75" t="s">
        <v>27</v>
      </c>
      <c r="Y75" t="s">
        <v>28</v>
      </c>
      <c r="Z75" t="s">
        <v>150</v>
      </c>
      <c r="AB75">
        <v>2007</v>
      </c>
      <c r="AC75">
        <v>2867</v>
      </c>
      <c r="AD75" t="s">
        <v>390</v>
      </c>
      <c r="AE75" t="s">
        <v>391</v>
      </c>
      <c r="AF75" t="s">
        <v>392</v>
      </c>
      <c r="AG75">
        <v>47.676000000000002</v>
      </c>
      <c r="AH75">
        <v>-122.368291</v>
      </c>
      <c r="AI75" t="s">
        <v>33</v>
      </c>
      <c r="AJ75">
        <v>98117</v>
      </c>
      <c r="AK75" t="s">
        <v>34</v>
      </c>
      <c r="AL75" t="s">
        <v>393</v>
      </c>
      <c r="AM75" t="s">
        <v>35</v>
      </c>
      <c r="AO75">
        <v>0</v>
      </c>
      <c r="AP75" t="s">
        <v>394</v>
      </c>
      <c r="AQ75">
        <v>534</v>
      </c>
      <c r="AR75" t="s">
        <v>295</v>
      </c>
      <c r="AS75" t="s">
        <v>395</v>
      </c>
      <c r="AT75">
        <v>3</v>
      </c>
      <c r="AW75" s="17"/>
      <c r="AX75">
        <f t="shared" ca="1" si="1"/>
        <v>28</v>
      </c>
      <c r="AZ75" s="9">
        <v>39405</v>
      </c>
    </row>
    <row r="76" spans="1:52">
      <c r="A76">
        <v>27192222</v>
      </c>
      <c r="B76" s="4" t="str">
        <f>HYPERLINK("http://locmedia.nwmls.com/DO_NOT_LINK/bigphoto/222/27192222.jpg?tsp=20071025151633","Active")</f>
        <v>Active</v>
      </c>
      <c r="C76">
        <v>705</v>
      </c>
      <c r="D76" t="s">
        <v>66</v>
      </c>
      <c r="E76" t="s">
        <v>434</v>
      </c>
      <c r="F76" s="5">
        <v>475000</v>
      </c>
      <c r="G76" t="s">
        <v>337</v>
      </c>
      <c r="H76">
        <v>1860</v>
      </c>
      <c r="I76">
        <v>4080</v>
      </c>
      <c r="J76">
        <v>3</v>
      </c>
      <c r="K76">
        <v>1</v>
      </c>
      <c r="M76" s="4" t="str">
        <f>HYPERLINK("http://locsearch.nwmls.com//ReturnMap.aspx?hidMLS=NWML&amp;VHW=47.689101:-122.342226:.25:&amp;Z=4&amp;H=300&amp;W=400&amp;PP=47.689101:-122.342226:1:027192222","Map")</f>
        <v>Map</v>
      </c>
      <c r="N76" s="4" t="str">
        <f>HYPERLINK("http://locmedia.nwmls.com/DO_NOT_LINK/bigphoto/222/27192222.jpg?tsp=20071025151633","Photo")</f>
        <v>Photo</v>
      </c>
      <c r="O76" s="13" t="str">
        <f>HYPERLINK("http://locator.nwmls.com/scripts/mgrqispi.dll?APPNAME=Locator&amp;PRGNAME=MLSPictureDescriptions&amp;ARGUMENTS=-N363684315,-N27192222,-AE","More")</f>
        <v>More</v>
      </c>
      <c r="P76" t="s">
        <v>436</v>
      </c>
      <c r="Q76" t="s">
        <v>56</v>
      </c>
      <c r="R76" t="s">
        <v>95</v>
      </c>
      <c r="S76" t="s">
        <v>24</v>
      </c>
      <c r="T76" t="s">
        <v>300</v>
      </c>
      <c r="U76" t="s">
        <v>26</v>
      </c>
      <c r="V76" s="6" t="s">
        <v>59</v>
      </c>
      <c r="X76" t="s">
        <v>437</v>
      </c>
      <c r="Y76" t="s">
        <v>28</v>
      </c>
      <c r="Z76" t="s">
        <v>438</v>
      </c>
      <c r="AB76">
        <v>2007</v>
      </c>
      <c r="AC76">
        <v>2947</v>
      </c>
      <c r="AD76" t="s">
        <v>439</v>
      </c>
      <c r="AE76" t="s">
        <v>31</v>
      </c>
      <c r="AF76" t="s">
        <v>440</v>
      </c>
      <c r="AG76">
        <v>47.689101000000001</v>
      </c>
      <c r="AH76">
        <v>-122.342226</v>
      </c>
      <c r="AI76" t="s">
        <v>33</v>
      </c>
      <c r="AJ76">
        <v>98103</v>
      </c>
      <c r="AK76" t="s">
        <v>34</v>
      </c>
      <c r="AL76" t="s">
        <v>35</v>
      </c>
      <c r="AM76" t="s">
        <v>35</v>
      </c>
      <c r="AO76">
        <v>9.4E-2</v>
      </c>
      <c r="AP76" t="s">
        <v>441</v>
      </c>
      <c r="AQ76">
        <v>534</v>
      </c>
      <c r="AR76" t="s">
        <v>377</v>
      </c>
      <c r="AS76" t="s">
        <v>442</v>
      </c>
      <c r="AT76">
        <v>4</v>
      </c>
      <c r="AV76" s="9">
        <v>39380</v>
      </c>
      <c r="AW76" s="17">
        <v>31</v>
      </c>
      <c r="AX76">
        <f t="shared" ca="1" si="1"/>
        <v>53</v>
      </c>
      <c r="AY76" t="s">
        <v>920</v>
      </c>
      <c r="AZ76" s="9">
        <v>39405</v>
      </c>
    </row>
    <row r="77" spans="1:52">
      <c r="A77">
        <v>27192797</v>
      </c>
      <c r="B77" s="11" t="str">
        <f>HYPERLINK("http://locmedia.nwmls.com/DO_NOT_LINK/bigphoto/797/27192797.jpg?tsp=20071026165055","Pending")</f>
        <v>Pending</v>
      </c>
      <c r="C77">
        <v>705</v>
      </c>
      <c r="D77" t="s">
        <v>81</v>
      </c>
      <c r="E77" t="s">
        <v>428</v>
      </c>
      <c r="F77" s="5">
        <v>475000</v>
      </c>
      <c r="G77" t="s">
        <v>326</v>
      </c>
      <c r="H77">
        <v>1710</v>
      </c>
      <c r="I77">
        <v>4470</v>
      </c>
      <c r="J77">
        <v>2</v>
      </c>
      <c r="K77">
        <v>1</v>
      </c>
      <c r="L77">
        <v>1</v>
      </c>
      <c r="M77" s="4" t="str">
        <f>HYPERLINK("http://locsearch.nwmls.com//ReturnMap.aspx?hidMLS=NWML&amp;VHW=47.685665:-122.367300:.25:&amp;Z=4&amp;H=300&amp;W=400&amp;PP=47.685665:-122.367300:1:027192797","Map")</f>
        <v>Map</v>
      </c>
      <c r="N77" s="4" t="str">
        <f>HYPERLINK("http://locmedia.nwmls.com/DO_NOT_LINK/bigphoto/797/27192797.jpg?tsp=20071026165055","Photo")</f>
        <v>Photo</v>
      </c>
      <c r="O77" s="4" t="str">
        <f>HYPERLINK("http://locator.nwmls.com/scripts/mgrqispi.dll?APPNAME=Locator&amp;PRGNAME=MLSPictureDescriptions&amp;ARGUMENTS=-N363684315,-N27192797,-AE","More")</f>
        <v>More</v>
      </c>
      <c r="P77" t="s">
        <v>41</v>
      </c>
      <c r="Q77" t="s">
        <v>56</v>
      </c>
      <c r="R77" t="s">
        <v>429</v>
      </c>
      <c r="T77" t="s">
        <v>300</v>
      </c>
      <c r="V77" s="6" t="s">
        <v>59</v>
      </c>
      <c r="X77" t="s">
        <v>27</v>
      </c>
      <c r="Y77" t="s">
        <v>28</v>
      </c>
      <c r="Z77" t="s">
        <v>430</v>
      </c>
      <c r="AB77">
        <v>2007</v>
      </c>
      <c r="AC77">
        <v>4218</v>
      </c>
      <c r="AD77" t="s">
        <v>431</v>
      </c>
      <c r="AG77">
        <v>47.685665</v>
      </c>
      <c r="AH77">
        <v>-122.3673</v>
      </c>
      <c r="AI77" t="s">
        <v>33</v>
      </c>
      <c r="AJ77">
        <v>98117</v>
      </c>
      <c r="AK77" t="s">
        <v>34</v>
      </c>
      <c r="AL77" t="s">
        <v>35</v>
      </c>
      <c r="AM77" t="s">
        <v>35</v>
      </c>
      <c r="AO77">
        <v>0.10299999999999999</v>
      </c>
      <c r="AP77" t="s">
        <v>432</v>
      </c>
      <c r="AQ77">
        <v>534</v>
      </c>
      <c r="AR77" t="s">
        <v>313</v>
      </c>
      <c r="AS77" t="s">
        <v>433</v>
      </c>
      <c r="AT77">
        <v>1</v>
      </c>
      <c r="AU77" t="s">
        <v>934</v>
      </c>
      <c r="AW77" s="17"/>
      <c r="AX77">
        <f t="shared" ca="1" si="1"/>
        <v>28</v>
      </c>
      <c r="AZ77" s="9">
        <v>39405</v>
      </c>
    </row>
    <row r="78" spans="1:52">
      <c r="A78">
        <v>27192998</v>
      </c>
      <c r="B78" s="4" t="str">
        <f>HYPERLINK("http://locmedia.nwmls.com/DO_NOT_LINK/bigphoto/998/27192998.jpg?tsp=20071101104542","Active")</f>
        <v>Active</v>
      </c>
      <c r="C78">
        <v>705</v>
      </c>
      <c r="D78" t="s">
        <v>19</v>
      </c>
      <c r="E78" t="s">
        <v>20</v>
      </c>
      <c r="F78" s="5">
        <v>359500</v>
      </c>
      <c r="G78" t="s">
        <v>21</v>
      </c>
      <c r="H78">
        <v>0</v>
      </c>
      <c r="I78">
        <v>6408</v>
      </c>
      <c r="J78">
        <v>2</v>
      </c>
      <c r="K78">
        <v>1</v>
      </c>
      <c r="M78" s="4" t="str">
        <f>HYPERLINK("http://locsearch.nwmls.com//ReturnMap.aspx?hidMLS=NWML&amp;VHW=47.716991:-122.340631:.25:&amp;Z=4&amp;H=300&amp;W=400&amp;PP=47.716991:-122.340631:1:027192998","Map")</f>
        <v>Map</v>
      </c>
      <c r="N78" s="4" t="str">
        <f>HYPERLINK("http://locmedia.nwmls.com/DO_NOT_LINK/bigphoto/998/27192998.jpg?tsp=20071101104542","Photo")</f>
        <v>Photo</v>
      </c>
      <c r="O78" s="4" t="str">
        <f>HYPERLINK("http://locator.nwmls.com/scripts/mgrqispi.dll?APPNAME=Locator&amp;PRGNAME=MLSPictureDescriptions&amp;ARGUMENTS=-N363684315,-N27192998,-AE","More")</f>
        <v>More</v>
      </c>
      <c r="Q78" t="s">
        <v>22</v>
      </c>
      <c r="R78" t="s">
        <v>23</v>
      </c>
      <c r="S78" t="s">
        <v>24</v>
      </c>
      <c r="T78" t="s">
        <v>25</v>
      </c>
      <c r="U78" t="s">
        <v>26</v>
      </c>
      <c r="X78" t="s">
        <v>27</v>
      </c>
      <c r="Y78" t="s">
        <v>28</v>
      </c>
      <c r="Z78" t="s">
        <v>29</v>
      </c>
      <c r="AB78">
        <v>2007</v>
      </c>
      <c r="AC78">
        <v>2408</v>
      </c>
      <c r="AD78" t="s">
        <v>30</v>
      </c>
      <c r="AE78" t="s">
        <v>31</v>
      </c>
      <c r="AF78" t="s">
        <v>32</v>
      </c>
      <c r="AG78" s="12">
        <v>47.716991</v>
      </c>
      <c r="AH78" s="12">
        <v>-122.340631</v>
      </c>
      <c r="AI78" t="s">
        <v>33</v>
      </c>
      <c r="AJ78">
        <v>98133</v>
      </c>
      <c r="AK78" t="s">
        <v>34</v>
      </c>
      <c r="AL78" t="s">
        <v>35</v>
      </c>
      <c r="AM78" t="s">
        <v>35</v>
      </c>
      <c r="AO78">
        <v>0.14699999999999999</v>
      </c>
      <c r="AP78" t="s">
        <v>36</v>
      </c>
      <c r="AQ78">
        <v>505</v>
      </c>
      <c r="AR78" t="s">
        <v>37</v>
      </c>
      <c r="AS78" t="s">
        <v>38</v>
      </c>
      <c r="AT78">
        <v>3</v>
      </c>
      <c r="AU78" t="s">
        <v>935</v>
      </c>
      <c r="AW78" s="17"/>
      <c r="AX78">
        <f t="shared" ca="1" si="1"/>
        <v>28</v>
      </c>
      <c r="AZ78" s="9">
        <v>39405</v>
      </c>
    </row>
    <row r="79" spans="1:52">
      <c r="A79">
        <v>27193177</v>
      </c>
      <c r="B79" s="4" t="str">
        <f>HYPERLINK("http://locmedia.nwmls.com/DO_NOT_LINK/bigphoto/177/27193177.jpg?tsp=20071028021527","Active")</f>
        <v>Active</v>
      </c>
      <c r="C79">
        <v>705</v>
      </c>
      <c r="D79" t="s">
        <v>403</v>
      </c>
      <c r="E79" t="s">
        <v>482</v>
      </c>
      <c r="F79" s="5">
        <v>498000</v>
      </c>
      <c r="G79" t="s">
        <v>483</v>
      </c>
      <c r="H79">
        <v>1200</v>
      </c>
      <c r="I79">
        <v>2400</v>
      </c>
      <c r="J79">
        <v>2</v>
      </c>
      <c r="K79">
        <v>1</v>
      </c>
      <c r="L79">
        <v>1</v>
      </c>
      <c r="M79" s="4" t="str">
        <f>HYPERLINK("http://locsearch.nwmls.com//ReturnMap.aspx?hidMLS=NWML&amp;VHW=47.654158:-122.350739:.25:&amp;Z=4&amp;H=300&amp;W=400&amp;PP=47.654158:-122.350739:1:027193177","Map")</f>
        <v>Map</v>
      </c>
      <c r="N79" s="4" t="str">
        <f>HYPERLINK("http://locmedia.nwmls.com/DO_NOT_LINK/bigphoto/177/27193177.jpg?tsp=20071028021527","Photo")</f>
        <v>Photo</v>
      </c>
      <c r="O79" s="4" t="str">
        <f>HYPERLINK("http://locator.nwmls.com/scripts/mgrqispi.dll?APPNAME=Locator&amp;PRGNAME=MLSPictureDescriptions&amp;ARGUMENTS=-N363684315,-N27193177,-AE","More")</f>
        <v>More</v>
      </c>
      <c r="P79" t="s">
        <v>41</v>
      </c>
      <c r="Q79" t="s">
        <v>484</v>
      </c>
      <c r="R79" t="s">
        <v>95</v>
      </c>
      <c r="S79" t="s">
        <v>485</v>
      </c>
      <c r="T79" t="s">
        <v>300</v>
      </c>
      <c r="U79" t="s">
        <v>26</v>
      </c>
      <c r="X79" t="s">
        <v>27</v>
      </c>
      <c r="Y79" t="s">
        <v>28</v>
      </c>
      <c r="Z79" t="s">
        <v>486</v>
      </c>
      <c r="AA79" t="s">
        <v>487</v>
      </c>
      <c r="AB79">
        <v>2007</v>
      </c>
      <c r="AC79">
        <v>2510</v>
      </c>
      <c r="AD79" t="s">
        <v>488</v>
      </c>
      <c r="AE79" t="s">
        <v>489</v>
      </c>
      <c r="AF79" t="s">
        <v>490</v>
      </c>
      <c r="AG79">
        <v>47.654158000000002</v>
      </c>
      <c r="AH79">
        <v>-122.350739</v>
      </c>
      <c r="AI79" t="s">
        <v>33</v>
      </c>
      <c r="AJ79">
        <v>98103</v>
      </c>
      <c r="AK79" t="s">
        <v>34</v>
      </c>
      <c r="AL79" t="s">
        <v>35</v>
      </c>
      <c r="AM79" t="s">
        <v>35</v>
      </c>
      <c r="AO79">
        <v>5.5E-2</v>
      </c>
      <c r="AP79" t="s">
        <v>491</v>
      </c>
      <c r="AQ79">
        <v>534</v>
      </c>
      <c r="AR79" t="s">
        <v>64</v>
      </c>
      <c r="AS79" t="s">
        <v>492</v>
      </c>
      <c r="AT79">
        <v>1</v>
      </c>
      <c r="AU79" t="s">
        <v>913</v>
      </c>
      <c r="AW79" s="17"/>
      <c r="AX79">
        <f t="shared" ca="1" si="1"/>
        <v>28</v>
      </c>
      <c r="AZ79" s="9">
        <v>39405</v>
      </c>
    </row>
    <row r="80" spans="1:52">
      <c r="A80">
        <v>27193790</v>
      </c>
      <c r="B80" s="4" t="str">
        <f>HYPERLINK("http://locmedia.nwmls.com/DO_NOT_LINK/bigphoto/790/27193790.jpg?tsp=20071123141640","Active")</f>
        <v>Active</v>
      </c>
      <c r="C80">
        <v>710</v>
      </c>
      <c r="D80" t="s">
        <v>649</v>
      </c>
      <c r="E80" t="s">
        <v>650</v>
      </c>
      <c r="F80" s="5">
        <v>437950</v>
      </c>
      <c r="G80" t="s">
        <v>138</v>
      </c>
      <c r="H80">
        <v>1600</v>
      </c>
      <c r="I80">
        <v>5080</v>
      </c>
      <c r="J80">
        <v>3</v>
      </c>
      <c r="K80">
        <v>2</v>
      </c>
      <c r="M80" s="4" t="str">
        <f>HYPERLINK("http://locsearch.nwmls.com//ReturnMap.aspx?hidMLS=NWML&amp;VHW=47.699416:-122.310841:.25:&amp;Z=4&amp;H=300&amp;W=400&amp;PP=47.699416:-122.310841:1:027193790","Map")</f>
        <v>Map</v>
      </c>
      <c r="N80" s="4" t="str">
        <f>HYPERLINK("http://locmedia.nwmls.com/DO_NOT_LINK/bigphoto/790/27193790.jpg?tsp=20071123141640","Photo")</f>
        <v>Photo</v>
      </c>
      <c r="O80" s="4" t="str">
        <f>HYPERLINK("http://locator.nwmls.com/scripts/mgrqispi.dll?APPNAME=Locator&amp;PRGNAME=MLSPictureDescriptions&amp;ARGUMENTS=-N585198739,-N27193790,-AE","More")</f>
        <v>More</v>
      </c>
      <c r="P80" t="s">
        <v>41</v>
      </c>
      <c r="Q80" t="s">
        <v>22</v>
      </c>
      <c r="R80" t="s">
        <v>23</v>
      </c>
      <c r="S80" t="s">
        <v>651</v>
      </c>
      <c r="T80" t="s">
        <v>44</v>
      </c>
      <c r="U80" t="s">
        <v>26</v>
      </c>
      <c r="V80" s="6" t="s">
        <v>59</v>
      </c>
      <c r="X80" t="s">
        <v>27</v>
      </c>
      <c r="Y80" t="s">
        <v>28</v>
      </c>
      <c r="Z80" t="s">
        <v>430</v>
      </c>
      <c r="AA80" t="s">
        <v>382</v>
      </c>
      <c r="AB80">
        <v>2007</v>
      </c>
      <c r="AC80">
        <v>2557</v>
      </c>
      <c r="AD80" t="s">
        <v>652</v>
      </c>
      <c r="AE80" t="s">
        <v>653</v>
      </c>
      <c r="AF80" t="s">
        <v>179</v>
      </c>
      <c r="AG80">
        <v>47.699415999999999</v>
      </c>
      <c r="AH80">
        <v>-122.310841</v>
      </c>
      <c r="AI80" t="s">
        <v>33</v>
      </c>
      <c r="AJ80">
        <v>98115</v>
      </c>
      <c r="AK80" t="s">
        <v>34</v>
      </c>
      <c r="AL80">
        <v>23</v>
      </c>
      <c r="AM80" t="s">
        <v>35</v>
      </c>
      <c r="AO80">
        <v>0.11700000000000001</v>
      </c>
      <c r="AP80" t="s">
        <v>654</v>
      </c>
      <c r="AQ80">
        <v>505</v>
      </c>
      <c r="AR80" t="s">
        <v>655</v>
      </c>
      <c r="AS80" s="12" t="s">
        <v>870</v>
      </c>
      <c r="AT80">
        <v>1</v>
      </c>
      <c r="AW80" s="17"/>
      <c r="AX80">
        <f t="shared" ca="1" si="1"/>
        <v>25</v>
      </c>
      <c r="AZ80" s="9">
        <v>39408</v>
      </c>
    </row>
    <row r="81" spans="1:52">
      <c r="A81">
        <v>27194200</v>
      </c>
      <c r="B81" s="13" t="str">
        <f>HYPERLINK("http://locmedia.nwmls.com/DO_NOT_LINK/bigphoto/200/27194200.jpg?tsp=20071103174504","Temp. Off Mrkt.")</f>
        <v>Temp. Off Mrkt.</v>
      </c>
      <c r="C81">
        <v>705</v>
      </c>
      <c r="D81" t="s">
        <v>224</v>
      </c>
      <c r="E81" t="s">
        <v>225</v>
      </c>
      <c r="F81" s="5">
        <v>429000</v>
      </c>
      <c r="G81" t="s">
        <v>226</v>
      </c>
      <c r="H81">
        <v>1020</v>
      </c>
      <c r="I81">
        <v>2605</v>
      </c>
      <c r="J81">
        <v>2</v>
      </c>
      <c r="K81">
        <v>1</v>
      </c>
      <c r="L81">
        <v>1</v>
      </c>
      <c r="M81" s="4" t="str">
        <f>HYPERLINK("http://locsearch.nwmls.com//ReturnMap.aspx?hidMLS=NWML&amp;VHW=47.674301:-122.349922:.25:&amp;Z=4&amp;H=300&amp;W=400&amp;PP=47.674301:-122.349922:1:027194200","Map")</f>
        <v>Map</v>
      </c>
      <c r="N81" s="4" t="str">
        <f>HYPERLINK("http://locmedia.nwmls.com/DO_NOT_LINK/bigphoto/200/27194200.jpg?tsp=20071103174504","Photo")</f>
        <v>Photo</v>
      </c>
      <c r="O81" s="4" t="str">
        <f>HYPERLINK("http://locator.nwmls.com/scripts/mgrqispi.dll?APPNAME=Locator&amp;PRGNAME=MLSPictureDescriptions&amp;ARGUMENTS=-N363684315,-N27194200,-AE","More")</f>
        <v>More</v>
      </c>
      <c r="P81" t="s">
        <v>227</v>
      </c>
      <c r="Q81" t="s">
        <v>56</v>
      </c>
      <c r="R81" t="s">
        <v>116</v>
      </c>
      <c r="S81" t="s">
        <v>128</v>
      </c>
      <c r="V81" s="6" t="s">
        <v>59</v>
      </c>
      <c r="X81" t="s">
        <v>27</v>
      </c>
      <c r="Y81" t="s">
        <v>28</v>
      </c>
      <c r="Z81" t="s">
        <v>29</v>
      </c>
      <c r="AB81">
        <v>2007</v>
      </c>
      <c r="AC81">
        <v>2919</v>
      </c>
      <c r="AD81" t="s">
        <v>228</v>
      </c>
      <c r="AE81" t="s">
        <v>229</v>
      </c>
      <c r="AF81" t="s">
        <v>230</v>
      </c>
      <c r="AG81" s="12">
        <v>47.674301</v>
      </c>
      <c r="AH81" s="12">
        <v>-122.34992200000001</v>
      </c>
      <c r="AI81" t="s">
        <v>33</v>
      </c>
      <c r="AJ81">
        <v>98103</v>
      </c>
      <c r="AK81" t="s">
        <v>34</v>
      </c>
      <c r="AL81">
        <v>1</v>
      </c>
      <c r="AM81" t="s">
        <v>35</v>
      </c>
      <c r="AO81">
        <v>0.06</v>
      </c>
      <c r="AP81" t="s">
        <v>231</v>
      </c>
      <c r="AQ81">
        <v>534</v>
      </c>
      <c r="AR81" t="s">
        <v>172</v>
      </c>
      <c r="AS81" t="s">
        <v>232</v>
      </c>
      <c r="AT81">
        <v>1</v>
      </c>
      <c r="AW81" s="17"/>
      <c r="AX81">
        <v>67</v>
      </c>
      <c r="AZ81" s="9">
        <v>39405</v>
      </c>
    </row>
    <row r="82" spans="1:52">
      <c r="A82">
        <v>27194590</v>
      </c>
      <c r="B82" s="4" t="str">
        <f>HYPERLINK("http://locmedia.nwmls.com/DO_NOT_LINK/bigphoto/590/27194590.jpg?tsp=20071123100517","Active")</f>
        <v>Active</v>
      </c>
      <c r="C82">
        <v>710</v>
      </c>
      <c r="D82" t="s">
        <v>634</v>
      </c>
      <c r="E82" t="s">
        <v>796</v>
      </c>
      <c r="F82" s="5">
        <v>489500</v>
      </c>
      <c r="G82" t="s">
        <v>115</v>
      </c>
      <c r="H82">
        <v>2370</v>
      </c>
      <c r="I82">
        <v>7000</v>
      </c>
      <c r="J82">
        <v>4</v>
      </c>
      <c r="K82">
        <v>2</v>
      </c>
      <c r="L82">
        <v>2</v>
      </c>
      <c r="M82" s="4" t="str">
        <f>HYPERLINK("http://locsearch.nwmls.com//ReturnMap.aspx?hidMLS=NWML&amp;VHW=47.708361:-122.287807:.25:&amp;Z=4&amp;H=300&amp;W=400&amp;PP=47.708361:-122.287807:1:027194590","Map")</f>
        <v>Map</v>
      </c>
      <c r="N82" s="4" t="str">
        <f>HYPERLINK("http://locmedia.nwmls.com/DO_NOT_LINK/bigphoto/590/27194590.jpg?tsp=20071123100517","Photo")</f>
        <v>Photo</v>
      </c>
      <c r="O82" s="4" t="str">
        <f>HYPERLINK("http://locator.nwmls.com/scripts/mgrqispi.dll?APPNAME=Locator&amp;PRGNAME=MLSPictureDescriptions&amp;ARGUMENTS=-N585198739,-N27194590,-AE","More")</f>
        <v>More</v>
      </c>
      <c r="P82" t="s">
        <v>41</v>
      </c>
      <c r="Q82" t="s">
        <v>56</v>
      </c>
      <c r="R82" t="s">
        <v>95</v>
      </c>
      <c r="S82" t="s">
        <v>199</v>
      </c>
      <c r="T82" t="s">
        <v>553</v>
      </c>
      <c r="U82" t="s">
        <v>26</v>
      </c>
      <c r="V82" s="6" t="s">
        <v>59</v>
      </c>
      <c r="X82" t="s">
        <v>27</v>
      </c>
      <c r="Y82" t="s">
        <v>28</v>
      </c>
      <c r="Z82" t="s">
        <v>797</v>
      </c>
      <c r="AB82">
        <v>2007</v>
      </c>
      <c r="AC82">
        <v>3661</v>
      </c>
      <c r="AD82" t="s">
        <v>798</v>
      </c>
      <c r="AE82" t="s">
        <v>799</v>
      </c>
      <c r="AF82" t="s">
        <v>800</v>
      </c>
      <c r="AG82" s="12">
        <v>47.708360999999996</v>
      </c>
      <c r="AH82" s="12">
        <v>-122.287807</v>
      </c>
      <c r="AI82" t="s">
        <v>33</v>
      </c>
      <c r="AJ82">
        <v>98125</v>
      </c>
      <c r="AK82" t="s">
        <v>34</v>
      </c>
      <c r="AL82" t="s">
        <v>35</v>
      </c>
      <c r="AM82" t="s">
        <v>35</v>
      </c>
      <c r="AO82">
        <v>0.161</v>
      </c>
      <c r="AP82" s="12" t="s">
        <v>992</v>
      </c>
      <c r="AQ82">
        <v>505</v>
      </c>
      <c r="AR82" t="s">
        <v>641</v>
      </c>
      <c r="AS82" s="12" t="s">
        <v>872</v>
      </c>
      <c r="AT82">
        <v>3</v>
      </c>
      <c r="AW82" s="17"/>
      <c r="AX82">
        <f t="shared" ref="AX82:AX98" ca="1" si="2">IF(ISBLANK($AW82),TODAY()-$AZ82,TODAY()-$AV82)</f>
        <v>25</v>
      </c>
      <c r="AZ82" s="9">
        <v>39408</v>
      </c>
    </row>
    <row r="83" spans="1:52">
      <c r="A83">
        <v>27194605</v>
      </c>
      <c r="B83" s="4" t="str">
        <f>HYPERLINK("http://locmedia.nwmls.com/DO_NOT_LINK/bigphoto/605/27194605.jpg?tsp=20071031062444","Active")</f>
        <v>Active</v>
      </c>
      <c r="C83">
        <v>710</v>
      </c>
      <c r="D83" t="s">
        <v>656</v>
      </c>
      <c r="F83" s="5">
        <v>499950</v>
      </c>
      <c r="G83" t="s">
        <v>688</v>
      </c>
      <c r="H83">
        <v>1930</v>
      </c>
      <c r="I83">
        <v>8299</v>
      </c>
      <c r="J83">
        <v>4</v>
      </c>
      <c r="K83">
        <v>1.75</v>
      </c>
      <c r="L83">
        <v>2</v>
      </c>
      <c r="M83" t="s">
        <v>243</v>
      </c>
      <c r="N83" s="4" t="str">
        <f>HYPERLINK("http://locmedia.nwmls.com/DO_NOT_LINK/bigphoto/605/27194605.jpg?tsp=20071031062444","Photo")</f>
        <v>Photo</v>
      </c>
      <c r="O83" s="4" t="str">
        <f>HYPERLINK("http://locator.nwmls.com/scripts/mgrqispi.dll?APPNAME=Locator&amp;PRGNAME=MLSPictureDescriptions&amp;ARGUMENTS=-N585198739,-N27194605,-AE","More")</f>
        <v>More</v>
      </c>
      <c r="P83" t="s">
        <v>41</v>
      </c>
      <c r="Q83" t="s">
        <v>834</v>
      </c>
      <c r="R83" t="s">
        <v>835</v>
      </c>
      <c r="T83" t="s">
        <v>72</v>
      </c>
      <c r="U83" t="s">
        <v>26</v>
      </c>
      <c r="V83" s="6" t="s">
        <v>59</v>
      </c>
      <c r="X83" t="s">
        <v>27</v>
      </c>
      <c r="Y83" t="s">
        <v>28</v>
      </c>
      <c r="Z83" t="s">
        <v>423</v>
      </c>
      <c r="AB83">
        <v>2007</v>
      </c>
      <c r="AC83">
        <v>3429</v>
      </c>
      <c r="AD83" t="s">
        <v>836</v>
      </c>
      <c r="AE83" t="s">
        <v>837</v>
      </c>
      <c r="AI83" t="s">
        <v>33</v>
      </c>
      <c r="AJ83">
        <v>98115</v>
      </c>
      <c r="AK83" t="s">
        <v>34</v>
      </c>
      <c r="AL83" t="s">
        <v>838</v>
      </c>
      <c r="AM83" t="s">
        <v>35</v>
      </c>
      <c r="AO83">
        <v>0.191</v>
      </c>
      <c r="AP83" t="s">
        <v>839</v>
      </c>
      <c r="AQ83">
        <v>505</v>
      </c>
      <c r="AR83" t="s">
        <v>840</v>
      </c>
      <c r="AS83" t="s">
        <v>841</v>
      </c>
      <c r="AT83">
        <v>1</v>
      </c>
      <c r="AW83" s="17"/>
      <c r="AX83">
        <f t="shared" ca="1" si="2"/>
        <v>25</v>
      </c>
      <c r="AZ83" s="9">
        <v>39408</v>
      </c>
    </row>
    <row r="84" spans="1:52">
      <c r="A84">
        <v>27195187</v>
      </c>
      <c r="B84" s="4" t="str">
        <f>HYPERLINK("http://locmedia.nwmls.com/DO_NOT_LINK/bigphoto/187/27195187.jpg?tsp=20071101103513","Active")</f>
        <v>Active</v>
      </c>
      <c r="C84">
        <v>705</v>
      </c>
      <c r="D84" t="s">
        <v>81</v>
      </c>
      <c r="E84" t="s">
        <v>473</v>
      </c>
      <c r="F84" s="5">
        <v>495000</v>
      </c>
      <c r="G84" t="s">
        <v>474</v>
      </c>
      <c r="H84">
        <v>2060</v>
      </c>
      <c r="I84">
        <v>5000</v>
      </c>
      <c r="J84">
        <v>4</v>
      </c>
      <c r="K84">
        <v>1</v>
      </c>
      <c r="M84" s="4" t="str">
        <f>HYPERLINK("http://locsearch.nwmls.com//ReturnMap.aspx?hidMLS=NWML&amp;VHW=47.679501:-122.394650:.25:&amp;Z=4&amp;H=300&amp;W=400&amp;PP=47.679501:-122.394650:1:027195187","Map")</f>
        <v>Map</v>
      </c>
      <c r="N84" s="4" t="str">
        <f>HYPERLINK("http://locmedia.nwmls.com/DO_NOT_LINK/bigphoto/187/27195187.jpg?tsp=20071101103513","Photo")</f>
        <v>Photo</v>
      </c>
      <c r="O84" t="s">
        <v>435</v>
      </c>
      <c r="Q84" t="s">
        <v>56</v>
      </c>
      <c r="R84" t="s">
        <v>57</v>
      </c>
      <c r="S84" t="s">
        <v>475</v>
      </c>
      <c r="T84" t="s">
        <v>300</v>
      </c>
      <c r="U84" t="s">
        <v>26</v>
      </c>
      <c r="V84" s="6" t="s">
        <v>59</v>
      </c>
      <c r="X84" t="s">
        <v>27</v>
      </c>
      <c r="Y84" t="s">
        <v>28</v>
      </c>
      <c r="Z84" t="s">
        <v>272</v>
      </c>
      <c r="AA84" t="s">
        <v>476</v>
      </c>
      <c r="AB84">
        <v>2007</v>
      </c>
      <c r="AC84">
        <v>3661</v>
      </c>
      <c r="AD84" t="s">
        <v>477</v>
      </c>
      <c r="AE84" t="s">
        <v>302</v>
      </c>
      <c r="AG84">
        <v>47.679501000000002</v>
      </c>
      <c r="AH84">
        <v>-122.39465</v>
      </c>
      <c r="AI84" t="s">
        <v>33</v>
      </c>
      <c r="AJ84">
        <v>98117</v>
      </c>
      <c r="AK84" t="s">
        <v>34</v>
      </c>
      <c r="AL84" t="s">
        <v>478</v>
      </c>
      <c r="AM84" t="s">
        <v>35</v>
      </c>
      <c r="AO84">
        <v>0.115</v>
      </c>
      <c r="AP84" t="s">
        <v>479</v>
      </c>
      <c r="AQ84">
        <v>534</v>
      </c>
      <c r="AR84" t="s">
        <v>480</v>
      </c>
      <c r="AS84" t="s">
        <v>481</v>
      </c>
      <c r="AT84">
        <v>1</v>
      </c>
      <c r="AU84" t="s">
        <v>936</v>
      </c>
      <c r="AW84" s="17"/>
      <c r="AX84">
        <f t="shared" ca="1" si="2"/>
        <v>28</v>
      </c>
      <c r="AZ84" s="9">
        <v>39405</v>
      </c>
    </row>
    <row r="85" spans="1:52">
      <c r="A85">
        <v>27195272</v>
      </c>
      <c r="B85" s="4" t="str">
        <f>HYPERLINK("http://locmedia.nwmls.com/DO_NOT_LINK/bigphoto/272/27195272.jpg?tsp=20071101094057","Active")</f>
        <v>Active</v>
      </c>
      <c r="C85">
        <v>705</v>
      </c>
      <c r="D85" t="s">
        <v>53</v>
      </c>
      <c r="E85" t="s">
        <v>453</v>
      </c>
      <c r="F85" s="5">
        <v>479950</v>
      </c>
      <c r="G85" t="s">
        <v>389</v>
      </c>
      <c r="H85">
        <v>1740</v>
      </c>
      <c r="I85">
        <v>4800</v>
      </c>
      <c r="J85">
        <v>4</v>
      </c>
      <c r="K85">
        <v>2</v>
      </c>
      <c r="L85">
        <v>1</v>
      </c>
      <c r="M85" s="4" t="str">
        <f>HYPERLINK("http://locsearch.nwmls.com//ReturnMap.aspx?hidMLS=NWML&amp;VHW=47.692101:-122.363552:.25:&amp;Z=4&amp;H=300&amp;W=400&amp;PP=47.692101:-122.363552:1:027195272","Map")</f>
        <v>Map</v>
      </c>
      <c r="N85" s="4" t="str">
        <f>HYPERLINK("http://locmedia.nwmls.com/DO_NOT_LINK/bigphoto/272/27195272.jpg?tsp=20071101094057","Photo")</f>
        <v>Photo</v>
      </c>
      <c r="O85" s="4" t="str">
        <f>HYPERLINK("http://locator.nwmls.com/scripts/mgrqispi.dll?APPNAME=Locator&amp;PRGNAME=MLSPictureDescriptions&amp;ARGUMENTS=-N363684315,-N27195272,-AE","More")</f>
        <v>More</v>
      </c>
      <c r="P85" t="s">
        <v>41</v>
      </c>
      <c r="Q85" t="s">
        <v>56</v>
      </c>
      <c r="R85" t="s">
        <v>95</v>
      </c>
      <c r="S85" t="s">
        <v>24</v>
      </c>
      <c r="T85" t="s">
        <v>72</v>
      </c>
      <c r="U85" t="s">
        <v>26</v>
      </c>
      <c r="V85" s="6" t="s">
        <v>59</v>
      </c>
      <c r="X85" t="s">
        <v>27</v>
      </c>
      <c r="Y85" t="s">
        <v>28</v>
      </c>
      <c r="Z85" t="s">
        <v>184</v>
      </c>
      <c r="AB85">
        <v>2007</v>
      </c>
      <c r="AC85">
        <v>2928</v>
      </c>
      <c r="AD85" t="s">
        <v>454</v>
      </c>
      <c r="AE85" t="s">
        <v>455</v>
      </c>
      <c r="AF85" t="s">
        <v>456</v>
      </c>
      <c r="AG85">
        <v>47.692101000000001</v>
      </c>
      <c r="AH85">
        <v>-122.363552</v>
      </c>
      <c r="AI85" t="s">
        <v>33</v>
      </c>
      <c r="AJ85">
        <v>98117</v>
      </c>
      <c r="AK85" t="s">
        <v>34</v>
      </c>
      <c r="AL85" t="s">
        <v>35</v>
      </c>
      <c r="AM85" t="s">
        <v>35</v>
      </c>
      <c r="AO85">
        <v>0.11</v>
      </c>
      <c r="AP85" t="s">
        <v>457</v>
      </c>
      <c r="AQ85">
        <v>534</v>
      </c>
      <c r="AR85" t="s">
        <v>334</v>
      </c>
      <c r="AS85" t="s">
        <v>458</v>
      </c>
      <c r="AT85">
        <v>4</v>
      </c>
      <c r="AV85" s="9">
        <v>39387</v>
      </c>
      <c r="AW85" s="17">
        <v>24</v>
      </c>
      <c r="AX85">
        <f t="shared" ca="1" si="2"/>
        <v>46</v>
      </c>
      <c r="AY85" t="s">
        <v>920</v>
      </c>
      <c r="AZ85" s="9">
        <v>39405</v>
      </c>
    </row>
    <row r="86" spans="1:52">
      <c r="A86">
        <v>27195392</v>
      </c>
      <c r="B86" s="4" t="str">
        <f>HYPERLINK("http://locmedia.nwmls.com/DO_NOT_LINK/bigphoto/392/27195392.jpg?tsp=20071101104722","Active")</f>
        <v>Active</v>
      </c>
      <c r="C86">
        <v>710</v>
      </c>
      <c r="D86" t="s">
        <v>656</v>
      </c>
      <c r="E86" t="s">
        <v>744</v>
      </c>
      <c r="F86" s="5">
        <v>474950</v>
      </c>
      <c r="G86" t="s">
        <v>546</v>
      </c>
      <c r="H86">
        <v>1610</v>
      </c>
      <c r="I86">
        <v>6208</v>
      </c>
      <c r="J86">
        <v>2</v>
      </c>
      <c r="K86">
        <v>1</v>
      </c>
      <c r="L86">
        <v>1</v>
      </c>
      <c r="M86" s="4" t="str">
        <f>HYPERLINK("http://locsearch.nwmls.com//ReturnMap.aspx?hidMLS=NWML&amp;VHW=47.690013:-122.296090:.25:&amp;Z=4&amp;H=300&amp;W=400&amp;PP=47.690013:-122.296090:1:027195392","Map")</f>
        <v>Map</v>
      </c>
      <c r="N86" s="4" t="str">
        <f>HYPERLINK("http://locmedia.nwmls.com/DO_NOT_LINK/bigphoto/392/27195392.jpg?tsp=20071101104722","Photo")</f>
        <v>Photo</v>
      </c>
      <c r="O86" s="4" t="str">
        <f>HYPERLINK("http://locator.nwmls.com/scripts/mgrqispi.dll?APPNAME=Locator&amp;PRGNAME=MLSPictureDescriptions&amp;ARGUMENTS=-N585198739,-N27195392,-AE","More")</f>
        <v>More</v>
      </c>
      <c r="Q86" t="s">
        <v>56</v>
      </c>
      <c r="R86" t="s">
        <v>116</v>
      </c>
      <c r="T86" t="s">
        <v>44</v>
      </c>
      <c r="U86" t="s">
        <v>26</v>
      </c>
      <c r="V86" s="6" t="s">
        <v>59</v>
      </c>
      <c r="X86" t="s">
        <v>27</v>
      </c>
      <c r="Y86" t="s">
        <v>28</v>
      </c>
      <c r="AB86">
        <v>2007</v>
      </c>
      <c r="AC86">
        <v>3253</v>
      </c>
      <c r="AD86" t="s">
        <v>745</v>
      </c>
      <c r="AG86">
        <v>47.690013</v>
      </c>
      <c r="AH86">
        <v>-122.29609000000001</v>
      </c>
      <c r="AI86" t="s">
        <v>33</v>
      </c>
      <c r="AJ86">
        <v>98115</v>
      </c>
      <c r="AK86" t="s">
        <v>34</v>
      </c>
      <c r="AL86">
        <v>1</v>
      </c>
      <c r="AM86" t="s">
        <v>35</v>
      </c>
      <c r="AO86">
        <v>0.14299999999999999</v>
      </c>
      <c r="AP86" t="s">
        <v>746</v>
      </c>
      <c r="AQ86">
        <v>535</v>
      </c>
      <c r="AR86" t="s">
        <v>426</v>
      </c>
      <c r="AS86" t="s">
        <v>747</v>
      </c>
      <c r="AT86">
        <v>3</v>
      </c>
      <c r="AW86" s="17"/>
      <c r="AX86">
        <f t="shared" ca="1" si="2"/>
        <v>25</v>
      </c>
      <c r="AZ86" s="9">
        <v>39408</v>
      </c>
    </row>
    <row r="87" spans="1:52">
      <c r="A87">
        <v>27195530</v>
      </c>
      <c r="B87" s="13" t="str">
        <f>HYPERLINK("http://locmedia.nwmls.com/DO_NOT_LINK/bigphoto/530/27195530.jpg?tsp=20071105112115","Cancelled")</f>
        <v>Cancelled</v>
      </c>
      <c r="C87">
        <v>710</v>
      </c>
      <c r="D87" t="s">
        <v>649</v>
      </c>
      <c r="E87" t="s">
        <v>729</v>
      </c>
      <c r="F87" s="5">
        <v>465000</v>
      </c>
      <c r="G87" t="s">
        <v>730</v>
      </c>
      <c r="H87">
        <v>2580</v>
      </c>
      <c r="I87">
        <v>6360</v>
      </c>
      <c r="J87">
        <v>3</v>
      </c>
      <c r="K87">
        <v>1.75</v>
      </c>
      <c r="L87">
        <v>1</v>
      </c>
      <c r="M87" s="4" t="str">
        <f>HYPERLINK("http://locsearch.nwmls.com//ReturnMap.aspx?hidMLS=NWML&amp;VHW=47.693101:-122.316974:.25:&amp;Z=4&amp;H=300&amp;W=400&amp;PP=47.693101:-122.316974:1:027195530","Map")</f>
        <v>Map</v>
      </c>
      <c r="N87" s="4" t="str">
        <f>HYPERLINK("http://locmedia.nwmls.com/DO_NOT_LINK/bigphoto/530/27195530.jpg?tsp=20071105112115","Photo")</f>
        <v>Photo</v>
      </c>
      <c r="O87" s="4" t="str">
        <f>HYPERLINK("http://locator.nwmls.com/scripts/mgrqispi.dll?APPNAME=Locator&amp;PRGNAME=MLSPictureDescriptions&amp;ARGUMENTS=-N585198739,-N27195530,-AE","More")</f>
        <v>More</v>
      </c>
      <c r="P87" t="s">
        <v>604</v>
      </c>
      <c r="Q87" t="s">
        <v>484</v>
      </c>
      <c r="R87" t="s">
        <v>572</v>
      </c>
      <c r="S87" t="s">
        <v>24</v>
      </c>
      <c r="T87" t="s">
        <v>129</v>
      </c>
      <c r="V87" s="6" t="s">
        <v>59</v>
      </c>
      <c r="X87" t="s">
        <v>27</v>
      </c>
      <c r="Y87" t="s">
        <v>28</v>
      </c>
      <c r="Z87" t="s">
        <v>731</v>
      </c>
      <c r="AB87">
        <v>2007</v>
      </c>
      <c r="AC87">
        <v>3503</v>
      </c>
      <c r="AD87" t="s">
        <v>732</v>
      </c>
      <c r="AE87" t="s">
        <v>733</v>
      </c>
      <c r="AF87" t="s">
        <v>734</v>
      </c>
      <c r="AG87">
        <v>47.693100999999999</v>
      </c>
      <c r="AH87">
        <v>-122.316974</v>
      </c>
      <c r="AI87" t="s">
        <v>33</v>
      </c>
      <c r="AJ87">
        <v>98115</v>
      </c>
      <c r="AK87" t="s">
        <v>34</v>
      </c>
      <c r="AL87" t="s">
        <v>35</v>
      </c>
      <c r="AM87" t="s">
        <v>35</v>
      </c>
      <c r="AO87">
        <v>0.14599999999999999</v>
      </c>
      <c r="AP87" t="s">
        <v>735</v>
      </c>
      <c r="AQ87">
        <v>535</v>
      </c>
      <c r="AR87" t="s">
        <v>676</v>
      </c>
      <c r="AS87" t="s">
        <v>736</v>
      </c>
      <c r="AT87">
        <v>2</v>
      </c>
      <c r="AW87" s="17"/>
      <c r="AX87">
        <f t="shared" ca="1" si="2"/>
        <v>25</v>
      </c>
      <c r="AZ87" s="9">
        <v>39408</v>
      </c>
    </row>
    <row r="88" spans="1:52">
      <c r="A88">
        <v>27195561</v>
      </c>
      <c r="B88" s="4" t="str">
        <f>HYPERLINK("http://locmedia.nwmls.com/DO_NOT_LINK/bigphoto/561/27195561.jpg?tsp=20071103211514","Active")</f>
        <v>Active</v>
      </c>
      <c r="C88">
        <v>705</v>
      </c>
      <c r="D88" t="s">
        <v>361</v>
      </c>
      <c r="E88" t="s">
        <v>362</v>
      </c>
      <c r="F88" s="5">
        <v>465000</v>
      </c>
      <c r="G88" t="s">
        <v>363</v>
      </c>
      <c r="H88">
        <v>1460</v>
      </c>
      <c r="I88">
        <v>7200</v>
      </c>
      <c r="J88">
        <v>3</v>
      </c>
      <c r="K88">
        <v>1</v>
      </c>
      <c r="L88">
        <v>2</v>
      </c>
      <c r="M88" s="4" t="str">
        <f>HYPERLINK("http://locsearch.nwmls.com//ReturnMap.aspx?hidMLS=NWML&amp;VHW=47.693076:-122.372800:.25:&amp;Z=4&amp;H=300&amp;W=400&amp;PP=47.693076:-122.372800:1:027195561","Map")</f>
        <v>Map</v>
      </c>
      <c r="N88" s="4" t="str">
        <f>HYPERLINK("http://locmedia.nwmls.com/DO_NOT_LINK/bigphoto/561/27195561.jpg?tsp=20071103211514","Photo")</f>
        <v>Photo</v>
      </c>
      <c r="O88" s="4" t="str">
        <f>HYPERLINK("http://locator.nwmls.com/scripts/mgrqispi.dll?APPNAME=Locator&amp;PRGNAME=MLSPictureDescriptions&amp;ARGUMENTS=-N363684315,-N27195561,-AE","More")</f>
        <v>More</v>
      </c>
      <c r="Q88" t="s">
        <v>56</v>
      </c>
      <c r="R88" t="s">
        <v>116</v>
      </c>
      <c r="S88" t="s">
        <v>364</v>
      </c>
      <c r="T88" t="s">
        <v>25</v>
      </c>
      <c r="U88" t="s">
        <v>26</v>
      </c>
      <c r="V88" s="6" t="s">
        <v>59</v>
      </c>
      <c r="X88" t="s">
        <v>27</v>
      </c>
      <c r="Y88" t="s">
        <v>28</v>
      </c>
      <c r="Z88" t="s">
        <v>365</v>
      </c>
      <c r="AA88" t="s">
        <v>366</v>
      </c>
      <c r="AB88">
        <v>2007</v>
      </c>
      <c r="AC88">
        <v>2965</v>
      </c>
      <c r="AD88" t="s">
        <v>367</v>
      </c>
      <c r="AE88" t="s">
        <v>368</v>
      </c>
      <c r="AF88" t="s">
        <v>369</v>
      </c>
      <c r="AG88">
        <v>47.693075999999998</v>
      </c>
      <c r="AH88">
        <v>-122.3728</v>
      </c>
      <c r="AI88" t="s">
        <v>33</v>
      </c>
      <c r="AJ88">
        <v>98117</v>
      </c>
      <c r="AK88" t="s">
        <v>34</v>
      </c>
      <c r="AL88">
        <v>4</v>
      </c>
      <c r="AM88" t="s">
        <v>35</v>
      </c>
      <c r="AO88">
        <v>0.16500000000000001</v>
      </c>
      <c r="AP88" t="s">
        <v>370</v>
      </c>
      <c r="AQ88">
        <v>534</v>
      </c>
      <c r="AR88" t="s">
        <v>371</v>
      </c>
      <c r="AS88" t="s">
        <v>372</v>
      </c>
      <c r="AT88">
        <v>3</v>
      </c>
      <c r="AU88" t="s">
        <v>937</v>
      </c>
      <c r="AW88" s="17"/>
      <c r="AX88">
        <f t="shared" ca="1" si="2"/>
        <v>28</v>
      </c>
      <c r="AY88" t="s">
        <v>916</v>
      </c>
      <c r="AZ88" s="9">
        <v>39405</v>
      </c>
    </row>
    <row r="89" spans="1:52">
      <c r="A89">
        <v>27195722</v>
      </c>
      <c r="B89" s="4" t="str">
        <f>HYPERLINK("http://locmedia.nwmls.com/DO_NOT_LINK/bigphoto/722/27195722.jpg?tsp=20071118152534","Active")</f>
        <v>Active</v>
      </c>
      <c r="C89">
        <v>705</v>
      </c>
      <c r="D89" t="s">
        <v>81</v>
      </c>
      <c r="E89" t="s">
        <v>82</v>
      </c>
      <c r="F89" s="5">
        <v>385000</v>
      </c>
      <c r="G89" t="s">
        <v>83</v>
      </c>
      <c r="H89">
        <v>0</v>
      </c>
      <c r="I89">
        <v>4005</v>
      </c>
      <c r="J89">
        <v>2</v>
      </c>
      <c r="K89">
        <v>1</v>
      </c>
      <c r="L89">
        <v>1</v>
      </c>
      <c r="M89" s="4" t="str">
        <f>HYPERLINK("http://locsearch.nwmls.com//ReturnMap.aspx?hidMLS=NWML&amp;VHW=47.687115:-122.378926:.25:&amp;Z=4&amp;H=300&amp;W=400&amp;PP=47.687115:-122.378926:1:027195722","Map")</f>
        <v>Map</v>
      </c>
      <c r="N89" s="4" t="str">
        <f>HYPERLINK("http://locmedia.nwmls.com/DO_NOT_LINK/bigphoto/722/27195722.jpg?tsp=20071118152534","Photo")</f>
        <v>Photo</v>
      </c>
      <c r="O89" s="4" t="str">
        <f>HYPERLINK("http://locator.nwmls.com/scripts/mgrqispi.dll?APPNAME=Locator&amp;PRGNAME=MLSPictureDescriptions&amp;ARGUMENTS=-N363684315,-N27195722,-AE","More")</f>
        <v>More</v>
      </c>
      <c r="Q89" t="s">
        <v>84</v>
      </c>
      <c r="R89" t="s">
        <v>85</v>
      </c>
      <c r="S89" t="s">
        <v>86</v>
      </c>
      <c r="T89" t="s">
        <v>25</v>
      </c>
      <c r="U89" t="s">
        <v>26</v>
      </c>
      <c r="V89" s="6" t="s">
        <v>59</v>
      </c>
      <c r="X89" t="s">
        <v>27</v>
      </c>
      <c r="Y89" t="s">
        <v>28</v>
      </c>
      <c r="Z89" t="s">
        <v>87</v>
      </c>
      <c r="AB89">
        <v>2007</v>
      </c>
      <c r="AC89">
        <v>2548</v>
      </c>
      <c r="AD89" t="s">
        <v>88</v>
      </c>
      <c r="AE89" t="s">
        <v>31</v>
      </c>
      <c r="AF89" t="s">
        <v>89</v>
      </c>
      <c r="AG89">
        <v>47.687114999999999</v>
      </c>
      <c r="AH89">
        <v>-122.37892600000001</v>
      </c>
      <c r="AI89" t="s">
        <v>33</v>
      </c>
      <c r="AJ89">
        <v>98117</v>
      </c>
      <c r="AK89" t="s">
        <v>34</v>
      </c>
      <c r="AL89" t="s">
        <v>35</v>
      </c>
      <c r="AM89" t="s">
        <v>35</v>
      </c>
      <c r="AO89">
        <v>9.1999999999999998E-2</v>
      </c>
      <c r="AP89" t="s">
        <v>90</v>
      </c>
      <c r="AQ89">
        <v>534</v>
      </c>
      <c r="AR89" t="s">
        <v>91</v>
      </c>
      <c r="AS89" t="s">
        <v>92</v>
      </c>
      <c r="AT89">
        <v>1</v>
      </c>
      <c r="AW89" s="17"/>
      <c r="AX89">
        <f t="shared" ca="1" si="2"/>
        <v>28</v>
      </c>
      <c r="AZ89" s="9">
        <v>39405</v>
      </c>
    </row>
    <row r="90" spans="1:52">
      <c r="A90">
        <v>27195834</v>
      </c>
      <c r="B90" s="13" t="str">
        <f>HYPERLINK("http://locmedia.nwmls.com/DO_NOT_LINK/bigphoto/834/27195834.jpg?tsp=20071121105115","Active - STI")</f>
        <v>Active - STI</v>
      </c>
      <c r="C90">
        <v>705</v>
      </c>
      <c r="D90" t="s">
        <v>66</v>
      </c>
      <c r="E90" t="s">
        <v>373</v>
      </c>
      <c r="F90" s="5">
        <v>465450</v>
      </c>
      <c r="G90" t="s">
        <v>270</v>
      </c>
      <c r="H90">
        <v>0</v>
      </c>
      <c r="I90">
        <v>0</v>
      </c>
      <c r="J90">
        <v>2</v>
      </c>
      <c r="K90">
        <v>1</v>
      </c>
      <c r="L90">
        <v>2</v>
      </c>
      <c r="M90" s="4" t="str">
        <f>HYPERLINK("http://locsearch.nwmls.com//ReturnMap.aspx?hidMLS=NWML&amp;VHW=47.688721:-122.341304:.25:&amp;Z=4&amp;H=300&amp;W=400&amp;PP=47.688721:-122.341304:1:027195834","Map")</f>
        <v>Map</v>
      </c>
      <c r="N90" s="4" t="str">
        <f>HYPERLINK("http://locmedia.nwmls.com/DO_NOT_LINK/bigphoto/834/27195834.jpg?tsp=20071121105115","Photo")</f>
        <v>Photo</v>
      </c>
      <c r="O90" s="4" t="str">
        <f>HYPERLINK("http://locator.nwmls.com/scripts/mgrqispi.dll?APPNAME=Locator&amp;PRGNAME=MLSPictureDescriptions&amp;ARGUMENTS=-N363684315,-N27195834,-AE","More")</f>
        <v>More</v>
      </c>
      <c r="P90" t="s">
        <v>41</v>
      </c>
      <c r="Q90" t="s">
        <v>56</v>
      </c>
      <c r="R90" t="s">
        <v>95</v>
      </c>
      <c r="S90" t="s">
        <v>43</v>
      </c>
      <c r="T90" t="s">
        <v>129</v>
      </c>
      <c r="V90" s="6" t="s">
        <v>59</v>
      </c>
      <c r="X90" t="s">
        <v>27</v>
      </c>
      <c r="Y90" t="s">
        <v>28</v>
      </c>
      <c r="Z90" t="s">
        <v>329</v>
      </c>
      <c r="AB90">
        <v>2006</v>
      </c>
      <c r="AC90">
        <v>3837</v>
      </c>
      <c r="AD90" t="s">
        <v>374</v>
      </c>
      <c r="AF90" t="s">
        <v>375</v>
      </c>
      <c r="AG90">
        <v>47.688721000000001</v>
      </c>
      <c r="AH90">
        <v>-122.34130399999999</v>
      </c>
      <c r="AI90" t="s">
        <v>33</v>
      </c>
      <c r="AJ90">
        <v>98103</v>
      </c>
      <c r="AK90" t="s">
        <v>34</v>
      </c>
      <c r="AL90" t="s">
        <v>35</v>
      </c>
      <c r="AM90" t="s">
        <v>35</v>
      </c>
      <c r="AO90">
        <v>0</v>
      </c>
      <c r="AP90" t="s">
        <v>376</v>
      </c>
      <c r="AQ90">
        <v>534</v>
      </c>
      <c r="AR90" t="s">
        <v>377</v>
      </c>
      <c r="AS90" s="12" t="s">
        <v>874</v>
      </c>
      <c r="AT90">
        <v>3</v>
      </c>
      <c r="AW90" s="17"/>
      <c r="AX90">
        <f t="shared" ca="1" si="2"/>
        <v>28</v>
      </c>
      <c r="AZ90" s="9">
        <v>39405</v>
      </c>
    </row>
    <row r="91" spans="1:52">
      <c r="A91">
        <v>27196098</v>
      </c>
      <c r="B91" s="13" t="str">
        <f>HYPERLINK("http://locmedia.nwmls.com/DO_NOT_LINK/bigphoto/098/27196098.jpg?tsp=20071105195507","Pending")</f>
        <v>Pending</v>
      </c>
      <c r="C91">
        <v>710</v>
      </c>
      <c r="D91" t="s">
        <v>857</v>
      </c>
      <c r="E91" t="s">
        <v>858</v>
      </c>
      <c r="F91" s="5">
        <v>429500</v>
      </c>
      <c r="G91" t="s">
        <v>859</v>
      </c>
      <c r="H91">
        <v>2140</v>
      </c>
      <c r="I91">
        <v>4300</v>
      </c>
      <c r="J91">
        <v>2</v>
      </c>
      <c r="K91">
        <v>1</v>
      </c>
      <c r="L91">
        <v>1</v>
      </c>
      <c r="M91" s="4" t="str">
        <f>HYPERLINK("http://locsearch.nwmls.com//ReturnMap.aspx?hidMLS=NWML&amp;VHW=47.669545:-122.320101:.25:&amp;Z=4&amp;H=300&amp;W=400&amp;PP=47.669545:-122.320101:1:027196098","Map")</f>
        <v>Map</v>
      </c>
      <c r="N91" s="4" t="str">
        <f>HYPERLINK("http://locmedia.nwmls.com/DO_NOT_LINK/bigphoto/098/27196098.jpg?tsp=20071105195507","Photo")</f>
        <v>Photo</v>
      </c>
      <c r="O91" s="4" t="str">
        <f>HYPERLINK("http://locator.nwmls.com/scripts/mgrqispi.dll?APPNAME=Locator&amp;PRGNAME=MLSPictureDescriptions&amp;ARGUMENTS=-N585198739,-N27196098,-AE","More")</f>
        <v>More</v>
      </c>
      <c r="Q91" t="s">
        <v>56</v>
      </c>
      <c r="R91" t="s">
        <v>95</v>
      </c>
      <c r="S91" t="s">
        <v>43</v>
      </c>
      <c r="T91" t="s">
        <v>300</v>
      </c>
      <c r="U91" t="s">
        <v>26</v>
      </c>
      <c r="V91" s="6" t="s">
        <v>59</v>
      </c>
      <c r="X91" t="s">
        <v>27</v>
      </c>
      <c r="Y91" t="s">
        <v>28</v>
      </c>
      <c r="AA91" t="s">
        <v>495</v>
      </c>
      <c r="AB91">
        <v>2007</v>
      </c>
      <c r="AC91">
        <v>3142</v>
      </c>
      <c r="AD91" t="s">
        <v>860</v>
      </c>
      <c r="AE91" t="s">
        <v>121</v>
      </c>
      <c r="AF91" t="s">
        <v>122</v>
      </c>
      <c r="AG91">
        <v>47.669544999999999</v>
      </c>
      <c r="AH91">
        <v>-122.32010099999999</v>
      </c>
      <c r="AI91" t="s">
        <v>33</v>
      </c>
      <c r="AJ91">
        <v>98105</v>
      </c>
      <c r="AK91" t="s">
        <v>34</v>
      </c>
      <c r="AL91">
        <v>18</v>
      </c>
      <c r="AM91" t="s">
        <v>35</v>
      </c>
      <c r="AO91">
        <v>9.9000000000000005E-2</v>
      </c>
      <c r="AP91" t="s">
        <v>861</v>
      </c>
      <c r="AQ91">
        <v>535</v>
      </c>
      <c r="AR91" t="s">
        <v>509</v>
      </c>
      <c r="AS91" t="s">
        <v>862</v>
      </c>
      <c r="AT91">
        <v>3</v>
      </c>
      <c r="AV91" s="9">
        <v>39391</v>
      </c>
      <c r="AW91" s="17">
        <v>20</v>
      </c>
      <c r="AX91">
        <f t="shared" ca="1" si="2"/>
        <v>42</v>
      </c>
      <c r="AZ91" s="9">
        <v>39408</v>
      </c>
    </row>
    <row r="92" spans="1:52">
      <c r="A92">
        <v>27196775</v>
      </c>
      <c r="B92" s="4" t="str">
        <f>HYPERLINK("http://locmedia.nwmls.com/DO_NOT_LINK/bigphoto/775/27196775.jpg?tsp=20071111075832","Active")</f>
        <v>Active</v>
      </c>
      <c r="C92">
        <v>705</v>
      </c>
      <c r="D92" t="s">
        <v>224</v>
      </c>
      <c r="E92" t="s">
        <v>493</v>
      </c>
      <c r="F92" s="14">
        <v>475000</v>
      </c>
      <c r="G92" t="s">
        <v>494</v>
      </c>
      <c r="H92">
        <v>1980</v>
      </c>
      <c r="I92">
        <v>3000</v>
      </c>
      <c r="J92">
        <v>4</v>
      </c>
      <c r="K92">
        <v>2</v>
      </c>
      <c r="L92">
        <v>2</v>
      </c>
      <c r="M92" s="4" t="str">
        <f>HYPERLINK("http://locsearch.nwmls.com//ReturnMap.aspx?hidMLS=NWML&amp;VHW=47.665785:-122.356813:.25:&amp;Z=4&amp;H=300&amp;W=400&amp;PP=47.665785:-122.356813:1:027196775","Map")</f>
        <v>Map</v>
      </c>
      <c r="N92" s="4" t="str">
        <f>HYPERLINK("http://locmedia.nwmls.com/DO_NOT_LINK/bigphoto/775/27196775.jpg?tsp=20071111075832","Photo")</f>
        <v>Photo</v>
      </c>
      <c r="O92" s="4" t="str">
        <f>HYPERLINK("http://locator.nwmls.com/scripts/mgrqispi.dll?APPNAME=Locator&amp;PRGNAME=MLSPictureDescriptions&amp;ARGUMENTS=-N363684315,-N27196775,-AE","More")</f>
        <v>More</v>
      </c>
      <c r="P92" t="s">
        <v>41</v>
      </c>
      <c r="Q92" t="s">
        <v>56</v>
      </c>
      <c r="R92" t="s">
        <v>95</v>
      </c>
      <c r="S92" t="s">
        <v>128</v>
      </c>
      <c r="T92" t="s">
        <v>44</v>
      </c>
      <c r="U92" t="s">
        <v>26</v>
      </c>
      <c r="V92">
        <v>5</v>
      </c>
      <c r="X92" t="s">
        <v>27</v>
      </c>
      <c r="Y92" t="s">
        <v>28</v>
      </c>
      <c r="Z92" t="s">
        <v>207</v>
      </c>
      <c r="AA92" t="s">
        <v>495</v>
      </c>
      <c r="AB92">
        <v>2007</v>
      </c>
      <c r="AC92">
        <v>3327</v>
      </c>
      <c r="AD92" t="s">
        <v>496</v>
      </c>
      <c r="AE92" t="s">
        <v>497</v>
      </c>
      <c r="AF92" t="s">
        <v>498</v>
      </c>
      <c r="AG92">
        <v>47.665785</v>
      </c>
      <c r="AH92">
        <v>-122.356813</v>
      </c>
      <c r="AI92" t="s">
        <v>33</v>
      </c>
      <c r="AJ92">
        <v>98103</v>
      </c>
      <c r="AK92" t="s">
        <v>34</v>
      </c>
      <c r="AL92" t="s">
        <v>35</v>
      </c>
      <c r="AM92" t="s">
        <v>35</v>
      </c>
      <c r="AO92">
        <v>6.9000000000000006E-2</v>
      </c>
      <c r="AP92" t="s">
        <v>499</v>
      </c>
      <c r="AQ92">
        <v>534</v>
      </c>
      <c r="AR92" t="s">
        <v>323</v>
      </c>
      <c r="AS92" t="s">
        <v>500</v>
      </c>
      <c r="AT92">
        <v>1</v>
      </c>
      <c r="AU92" t="s">
        <v>913</v>
      </c>
      <c r="AW92" s="17"/>
      <c r="AX92">
        <f t="shared" ca="1" si="2"/>
        <v>28</v>
      </c>
      <c r="AZ92" s="9">
        <v>39405</v>
      </c>
    </row>
    <row r="93" spans="1:52">
      <c r="A93">
        <v>27197093</v>
      </c>
      <c r="B93" s="13" t="str">
        <f>HYPERLINK("http://locmedia.nwmls.com/DO_NOT_LINK/bigphoto/093/27197093.jpg?tsp=20071106194805","Pending")</f>
        <v>Pending</v>
      </c>
      <c r="C93">
        <v>705</v>
      </c>
      <c r="D93" t="s">
        <v>81</v>
      </c>
      <c r="E93" t="s">
        <v>571</v>
      </c>
      <c r="F93" s="5">
        <v>449000</v>
      </c>
      <c r="G93" t="s">
        <v>234</v>
      </c>
      <c r="H93">
        <v>1325</v>
      </c>
      <c r="I93">
        <v>3638</v>
      </c>
      <c r="J93">
        <v>2</v>
      </c>
      <c r="K93">
        <v>1.5</v>
      </c>
      <c r="L93">
        <v>1</v>
      </c>
      <c r="M93" s="4" t="str">
        <f>HYPERLINK("http://locsearch.nwmls.com//ReturnMap.aspx?hidMLS=NWML&amp;VHW=47.678959:-122.370893:.25:&amp;Z=4&amp;H=300&amp;W=400&amp;PP=47.678959:-122.370893:1:027197093","Map")</f>
        <v>Map</v>
      </c>
      <c r="N93" s="4" t="str">
        <f>HYPERLINK("http://locmedia.nwmls.com/DO_NOT_LINK/bigphoto/093/27197093.jpg?tsp=20071106194805","Photo")</f>
        <v>Photo</v>
      </c>
      <c r="O93" s="4" t="str">
        <f>HYPERLINK("http://locator.nwmls.com/scripts/mgrqispi.dll?APPNAME=Locator&amp;PRGNAME=MLSPictureDescriptions&amp;ARGUMENTS=-N363684315,-N27197093,-AE","More")</f>
        <v>More</v>
      </c>
      <c r="Q93" t="s">
        <v>56</v>
      </c>
      <c r="R93" t="s">
        <v>572</v>
      </c>
      <c r="S93" t="s">
        <v>199</v>
      </c>
      <c r="T93" t="s">
        <v>129</v>
      </c>
      <c r="U93" t="s">
        <v>26</v>
      </c>
      <c r="V93">
        <v>28</v>
      </c>
      <c r="X93" t="s">
        <v>27</v>
      </c>
      <c r="Y93" t="s">
        <v>28</v>
      </c>
      <c r="Z93" t="s">
        <v>573</v>
      </c>
      <c r="AA93" t="s">
        <v>307</v>
      </c>
      <c r="AB93">
        <v>2007</v>
      </c>
      <c r="AC93">
        <v>3039</v>
      </c>
      <c r="AD93" t="s">
        <v>574</v>
      </c>
      <c r="AE93" t="s">
        <v>575</v>
      </c>
      <c r="AF93" t="s">
        <v>440</v>
      </c>
      <c r="AG93">
        <v>47.678958999999999</v>
      </c>
      <c r="AH93">
        <v>-122.370893</v>
      </c>
      <c r="AI93" t="s">
        <v>33</v>
      </c>
      <c r="AJ93">
        <v>98117</v>
      </c>
      <c r="AK93" t="s">
        <v>34</v>
      </c>
      <c r="AL93" t="s">
        <v>35</v>
      </c>
      <c r="AM93" t="s">
        <v>35</v>
      </c>
      <c r="AO93">
        <v>8.4000000000000005E-2</v>
      </c>
      <c r="AP93" t="s">
        <v>576</v>
      </c>
      <c r="AQ93">
        <v>534</v>
      </c>
      <c r="AR93" t="s">
        <v>577</v>
      </c>
      <c r="AS93" t="s">
        <v>578</v>
      </c>
      <c r="AT93">
        <v>1</v>
      </c>
      <c r="AU93" t="s">
        <v>913</v>
      </c>
      <c r="AW93" s="17"/>
      <c r="AX93">
        <f t="shared" ca="1" si="2"/>
        <v>28</v>
      </c>
      <c r="AZ93" s="9">
        <v>39405</v>
      </c>
    </row>
    <row r="94" spans="1:52">
      <c r="A94">
        <v>27197172</v>
      </c>
      <c r="B94" s="4" t="str">
        <f>HYPERLINK("http://locmedia.nwmls.com/DO_NOT_LINK/bigphoto/172/27197172.jpg?tsp=20071109120558","Active")</f>
        <v>Active</v>
      </c>
      <c r="C94">
        <v>705</v>
      </c>
      <c r="D94" t="s">
        <v>19</v>
      </c>
      <c r="E94" t="s">
        <v>39</v>
      </c>
      <c r="F94" s="5">
        <v>369900</v>
      </c>
      <c r="G94" t="s">
        <v>40</v>
      </c>
      <c r="H94">
        <v>1580</v>
      </c>
      <c r="I94">
        <v>5100</v>
      </c>
      <c r="J94">
        <v>4</v>
      </c>
      <c r="K94">
        <v>1.75</v>
      </c>
      <c r="M94" s="4" t="str">
        <f>HYPERLINK("http://locsearch.nwmls.com//ReturnMap.aspx?hidMLS=NWML&amp;VHW=47.731845:-122.343410:.25:&amp;Z=4&amp;H=300&amp;W=400&amp;PP=47.731845:-122.343410:1:027197172","Map")</f>
        <v>Map</v>
      </c>
      <c r="N94" s="4" t="str">
        <f>HYPERLINK("http://locmedia.nwmls.com/DO_NOT_LINK/bigphoto/172/27197172.jpg?tsp=20071109120558","Photo")</f>
        <v>Photo</v>
      </c>
      <c r="O94" s="4" t="str">
        <f>HYPERLINK("http://locator.nwmls.com/scripts/mgrqispi.dll?APPNAME=Locator&amp;PRGNAME=MLSPictureDescriptions&amp;ARGUMENTS=-N363684315,-N27197172,-AE","More")</f>
        <v>More</v>
      </c>
      <c r="P94" t="s">
        <v>41</v>
      </c>
      <c r="Q94" t="s">
        <v>42</v>
      </c>
      <c r="R94" t="s">
        <v>23</v>
      </c>
      <c r="S94" t="s">
        <v>43</v>
      </c>
      <c r="T94" t="s">
        <v>44</v>
      </c>
      <c r="U94" t="s">
        <v>26</v>
      </c>
      <c r="X94" t="s">
        <v>27</v>
      </c>
      <c r="Y94" t="s">
        <v>28</v>
      </c>
      <c r="Z94" t="s">
        <v>45</v>
      </c>
      <c r="AA94" t="s">
        <v>46</v>
      </c>
      <c r="AB94">
        <v>2007</v>
      </c>
      <c r="AC94">
        <v>2585</v>
      </c>
      <c r="AD94" s="15" t="s">
        <v>1001</v>
      </c>
      <c r="AE94" t="s">
        <v>48</v>
      </c>
      <c r="AF94" t="s">
        <v>49</v>
      </c>
      <c r="AG94">
        <v>47.731845</v>
      </c>
      <c r="AH94">
        <v>-122.34341000000001</v>
      </c>
      <c r="AI94" t="s">
        <v>33</v>
      </c>
      <c r="AJ94">
        <v>98133</v>
      </c>
      <c r="AK94" t="s">
        <v>34</v>
      </c>
      <c r="AL94">
        <v>44</v>
      </c>
      <c r="AM94" t="s">
        <v>35</v>
      </c>
      <c r="AO94">
        <v>0.11700000000000001</v>
      </c>
      <c r="AP94" s="15" t="s">
        <v>1002</v>
      </c>
      <c r="AQ94">
        <v>504</v>
      </c>
      <c r="AR94" t="s">
        <v>51</v>
      </c>
      <c r="AS94" t="s">
        <v>52</v>
      </c>
      <c r="AT94">
        <v>3</v>
      </c>
      <c r="AU94" t="s">
        <v>938</v>
      </c>
      <c r="AW94" s="17"/>
      <c r="AX94">
        <f t="shared" ca="1" si="2"/>
        <v>28</v>
      </c>
      <c r="AZ94" s="9">
        <v>39405</v>
      </c>
    </row>
    <row r="95" spans="1:52">
      <c r="A95">
        <v>27197782</v>
      </c>
      <c r="B95" s="13" t="str">
        <f>HYPERLINK("http://locmedia.nwmls.com/DO_NOT_LINK/bigphoto/782/27197782.jpg?tsp=20071106104336","Active - STI")</f>
        <v>Active - STI</v>
      </c>
      <c r="C95">
        <v>705</v>
      </c>
      <c r="D95" t="s">
        <v>146</v>
      </c>
      <c r="E95" t="s">
        <v>518</v>
      </c>
      <c r="F95" s="5">
        <v>499900</v>
      </c>
      <c r="G95" t="s">
        <v>270</v>
      </c>
      <c r="H95">
        <v>1660</v>
      </c>
      <c r="I95">
        <v>4800</v>
      </c>
      <c r="J95">
        <v>3</v>
      </c>
      <c r="K95">
        <v>1</v>
      </c>
      <c r="L95">
        <v>1</v>
      </c>
      <c r="M95" s="4" t="str">
        <f>HYPERLINK("http://locsearch.nwmls.com//ReturnMap.aspx?hidMLS=NWML&amp;VHW=47.686406:-122.381099:.25:&amp;Z=4&amp;H=300&amp;W=400&amp;PP=47.686406:-122.381099:1:027197782","Map")</f>
        <v>Map</v>
      </c>
      <c r="N95" s="4" t="str">
        <f>HYPERLINK("http://locmedia.nwmls.com/DO_NOT_LINK/bigphoto/782/27197782.jpg?tsp=20071106104336","Photo")</f>
        <v>Photo</v>
      </c>
      <c r="O95" s="4" t="str">
        <f>HYPERLINK("http://locator.nwmls.com/scripts/mgrqispi.dll?APPNAME=Locator&amp;PRGNAME=MLSPictureDescriptions&amp;ARGUMENTS=-N363684315,-N27197782,-AE","More")</f>
        <v>More</v>
      </c>
      <c r="P95" t="s">
        <v>262</v>
      </c>
      <c r="Q95" t="s">
        <v>56</v>
      </c>
      <c r="R95" t="s">
        <v>116</v>
      </c>
      <c r="S95" t="s">
        <v>128</v>
      </c>
      <c r="T95" t="s">
        <v>129</v>
      </c>
      <c r="U95" t="s">
        <v>26</v>
      </c>
      <c r="V95" s="6" t="s">
        <v>59</v>
      </c>
      <c r="X95" t="s">
        <v>27</v>
      </c>
      <c r="Y95" t="s">
        <v>28</v>
      </c>
      <c r="Z95" t="s">
        <v>519</v>
      </c>
      <c r="AA95" t="s">
        <v>319</v>
      </c>
      <c r="AB95">
        <v>2007</v>
      </c>
      <c r="AC95">
        <v>3596</v>
      </c>
      <c r="AD95" t="s">
        <v>520</v>
      </c>
      <c r="AE95" t="s">
        <v>521</v>
      </c>
      <c r="AF95" t="s">
        <v>522</v>
      </c>
      <c r="AG95">
        <v>47.686405999999998</v>
      </c>
      <c r="AH95">
        <v>-122.38109900000001</v>
      </c>
      <c r="AI95" t="s">
        <v>33</v>
      </c>
      <c r="AJ95">
        <v>98117</v>
      </c>
      <c r="AK95" t="s">
        <v>34</v>
      </c>
      <c r="AL95" t="s">
        <v>523</v>
      </c>
      <c r="AM95" t="s">
        <v>35</v>
      </c>
      <c r="AO95">
        <v>0.11</v>
      </c>
      <c r="AP95" t="s">
        <v>524</v>
      </c>
      <c r="AQ95">
        <v>534</v>
      </c>
      <c r="AR95" t="s">
        <v>196</v>
      </c>
      <c r="AS95" t="s">
        <v>525</v>
      </c>
      <c r="AT95">
        <v>3</v>
      </c>
      <c r="AU95" t="s">
        <v>939</v>
      </c>
      <c r="AV95" s="9">
        <v>39392</v>
      </c>
      <c r="AW95" s="17">
        <v>19</v>
      </c>
      <c r="AX95">
        <f t="shared" ca="1" si="2"/>
        <v>41</v>
      </c>
      <c r="AZ95" s="9">
        <v>39405</v>
      </c>
    </row>
    <row r="96" spans="1:52">
      <c r="A96">
        <v>27198380</v>
      </c>
      <c r="B96" s="11" t="str">
        <f>HYPERLINK("http://locmedia.nwmls.com/DO_NOT_LINK/bigphoto/380/27198380.jpg?tsp=20071116133954","Active - STI")</f>
        <v>Active - STI</v>
      </c>
      <c r="C96">
        <v>705</v>
      </c>
      <c r="D96" t="s">
        <v>81</v>
      </c>
      <c r="E96" t="s">
        <v>551</v>
      </c>
      <c r="F96" s="5">
        <v>500000</v>
      </c>
      <c r="G96" t="s">
        <v>552</v>
      </c>
      <c r="H96">
        <v>2500</v>
      </c>
      <c r="I96">
        <v>5300</v>
      </c>
      <c r="J96">
        <v>2</v>
      </c>
      <c r="K96">
        <v>3</v>
      </c>
      <c r="M96" s="4" t="str">
        <f>HYPERLINK("http://locsearch.nwmls.com//ReturnMap.aspx?hidMLS=NWML&amp;VHW=47.679049:-122.367671:.25:&amp;Z=4&amp;H=300&amp;W=400&amp;PP=47.679049:-122.367671:1:027198380","Map")</f>
        <v>Map</v>
      </c>
      <c r="N96" s="4" t="str">
        <f>HYPERLINK("http://locmedia.nwmls.com/DO_NOT_LINK/bigphoto/380/27198380.jpg?tsp=20071116133954","Photo")</f>
        <v>Photo</v>
      </c>
      <c r="O96" s="4" t="str">
        <f>HYPERLINK("http://locator.nwmls.com/scripts/mgrqispi.dll?APPNAME=Locator&amp;PRGNAME=MLSPictureDescriptions&amp;ARGUMENTS=-N363684315,-N27198380,-AE","More")</f>
        <v>More</v>
      </c>
      <c r="Q96" t="s">
        <v>56</v>
      </c>
      <c r="R96" t="s">
        <v>116</v>
      </c>
      <c r="S96" t="s">
        <v>199</v>
      </c>
      <c r="T96" t="s">
        <v>553</v>
      </c>
      <c r="U96" t="s">
        <v>26</v>
      </c>
      <c r="V96">
        <v>28</v>
      </c>
      <c r="X96" t="s">
        <v>27</v>
      </c>
      <c r="Y96" t="s">
        <v>28</v>
      </c>
      <c r="Z96" t="s">
        <v>554</v>
      </c>
      <c r="AA96" t="s">
        <v>555</v>
      </c>
      <c r="AB96">
        <v>2007</v>
      </c>
      <c r="AC96">
        <v>3773</v>
      </c>
      <c r="AD96" t="s">
        <v>556</v>
      </c>
      <c r="AE96" t="s">
        <v>557</v>
      </c>
      <c r="AF96" t="s">
        <v>558</v>
      </c>
      <c r="AG96" s="12">
        <v>47.679048999999999</v>
      </c>
      <c r="AH96" s="12">
        <v>-122.367671</v>
      </c>
      <c r="AI96" t="s">
        <v>33</v>
      </c>
      <c r="AJ96">
        <v>98117</v>
      </c>
      <c r="AK96" t="s">
        <v>34</v>
      </c>
      <c r="AL96">
        <v>6</v>
      </c>
      <c r="AM96" t="s">
        <v>35</v>
      </c>
      <c r="AO96">
        <v>0.122</v>
      </c>
      <c r="AP96" s="12" t="s">
        <v>876</v>
      </c>
      <c r="AQ96">
        <v>534</v>
      </c>
      <c r="AR96" t="s">
        <v>295</v>
      </c>
      <c r="AS96" t="s">
        <v>559</v>
      </c>
      <c r="AT96">
        <v>2</v>
      </c>
      <c r="AU96" t="s">
        <v>940</v>
      </c>
      <c r="AW96" s="17"/>
      <c r="AX96">
        <f t="shared" ca="1" si="2"/>
        <v>28</v>
      </c>
      <c r="AZ96" s="9">
        <v>39405</v>
      </c>
    </row>
    <row r="97" spans="1:52">
      <c r="A97">
        <v>27198546</v>
      </c>
      <c r="B97" s="4" t="str">
        <f>HYPERLINK("http://locmedia.nwmls.com/DO_NOT_LINK/bigphoto/546/27198546.jpg?tsp=20071107130541","Active")</f>
        <v>Active</v>
      </c>
      <c r="C97">
        <v>710</v>
      </c>
      <c r="D97" t="s">
        <v>763</v>
      </c>
      <c r="E97" t="s">
        <v>764</v>
      </c>
      <c r="F97" s="5">
        <v>479500</v>
      </c>
      <c r="G97" t="s">
        <v>765</v>
      </c>
      <c r="H97">
        <v>2240</v>
      </c>
      <c r="I97">
        <v>3075</v>
      </c>
      <c r="J97">
        <v>3</v>
      </c>
      <c r="K97">
        <v>2</v>
      </c>
      <c r="L97">
        <v>1</v>
      </c>
      <c r="M97" s="4" t="str">
        <f>HYPERLINK("http://locsearch.nwmls.com//ReturnMap.aspx?hidMLS=NWML&amp;VHW=47.700749:-122.280100:.25:&amp;Z=4&amp;H=300&amp;W=400&amp;PP=47.700749:-122.280100:1:027198546","Map")</f>
        <v>Map</v>
      </c>
      <c r="N97" s="4" t="str">
        <f>HYPERLINK("http://locmedia.nwmls.com/DO_NOT_LINK/bigphoto/546/27198546.jpg?tsp=20071107130541","Photo")</f>
        <v>Photo</v>
      </c>
      <c r="O97" s="4" t="str">
        <f>HYPERLINK("http://locator.nwmls.com/scripts/mgrqispi.dll?APPNAME=Locator&amp;PRGNAME=MLSPictureDescriptions&amp;ARGUMENTS=-N585198739,-N27198546,-AE","More")</f>
        <v>More</v>
      </c>
      <c r="Q97" t="s">
        <v>56</v>
      </c>
      <c r="R97" t="s">
        <v>23</v>
      </c>
      <c r="S97" t="s">
        <v>475</v>
      </c>
      <c r="U97" t="s">
        <v>26</v>
      </c>
      <c r="V97" s="6" t="s">
        <v>59</v>
      </c>
      <c r="X97" t="s">
        <v>27</v>
      </c>
      <c r="Y97" t="s">
        <v>28</v>
      </c>
      <c r="Z97" t="s">
        <v>423</v>
      </c>
      <c r="AB97">
        <v>2007</v>
      </c>
      <c r="AC97">
        <v>3578</v>
      </c>
      <c r="AD97" t="s">
        <v>766</v>
      </c>
      <c r="AE97" t="s">
        <v>408</v>
      </c>
      <c r="AF97" t="s">
        <v>179</v>
      </c>
      <c r="AG97">
        <v>47.700749000000002</v>
      </c>
      <c r="AH97">
        <v>-122.2801</v>
      </c>
      <c r="AI97" t="s">
        <v>33</v>
      </c>
      <c r="AJ97">
        <v>98115</v>
      </c>
      <c r="AK97" t="s">
        <v>34</v>
      </c>
      <c r="AL97" t="s">
        <v>35</v>
      </c>
      <c r="AM97" t="s">
        <v>35</v>
      </c>
      <c r="AO97">
        <v>7.0999999999999994E-2</v>
      </c>
      <c r="AP97" t="s">
        <v>767</v>
      </c>
      <c r="AQ97">
        <v>505</v>
      </c>
      <c r="AR97" t="s">
        <v>768</v>
      </c>
      <c r="AS97" t="s">
        <v>769</v>
      </c>
      <c r="AT97">
        <v>1</v>
      </c>
      <c r="AU97" t="s">
        <v>913</v>
      </c>
      <c r="AW97" s="17"/>
      <c r="AX97">
        <f t="shared" ca="1" si="2"/>
        <v>25</v>
      </c>
      <c r="AZ97" s="9">
        <v>39408</v>
      </c>
    </row>
    <row r="98" spans="1:52">
      <c r="A98">
        <v>27200170</v>
      </c>
      <c r="B98" s="4" t="str">
        <f>HYPERLINK("http://locmedia.nwmls.com/DO_NOT_LINK/bigphoto/170/27200170.jpg?tsp=20071115210313","Active")</f>
        <v>Active</v>
      </c>
      <c r="C98">
        <v>710</v>
      </c>
      <c r="D98" t="s">
        <v>704</v>
      </c>
      <c r="E98" t="s">
        <v>812</v>
      </c>
      <c r="F98" s="5">
        <v>489950</v>
      </c>
      <c r="G98" t="s">
        <v>397</v>
      </c>
      <c r="H98">
        <v>2050</v>
      </c>
      <c r="I98">
        <v>7241</v>
      </c>
      <c r="J98">
        <v>3</v>
      </c>
      <c r="K98">
        <v>2</v>
      </c>
      <c r="L98">
        <v>2</v>
      </c>
      <c r="M98" s="4" t="str">
        <f>HYPERLINK("http://locsearch.nwmls.com//ReturnMap.aspx?hidMLS=NWML&amp;VHW=47.707246:-122.308093:.25:&amp;Z=4&amp;H=300&amp;W=400&amp;PP=47.707246:-122.308093:1:027200170","Map")</f>
        <v>Map</v>
      </c>
      <c r="N98" s="4" t="str">
        <f>HYPERLINK("http://locmedia.nwmls.com/DO_NOT_LINK/bigphoto/170/27200170.jpg?tsp=20071115210313","Photo")</f>
        <v>Photo</v>
      </c>
      <c r="O98" s="4" t="str">
        <f>HYPERLINK("http://locator.nwmls.com/scripts/mgrqispi.dll?APPNAME=Locator&amp;PRGNAME=MLSPictureDescriptions&amp;ARGUMENTS=-N585198739,-N27200170,-AE","More")</f>
        <v>More</v>
      </c>
      <c r="Q98" t="s">
        <v>56</v>
      </c>
      <c r="R98" t="s">
        <v>116</v>
      </c>
      <c r="S98" t="s">
        <v>299</v>
      </c>
      <c r="T98" t="s">
        <v>129</v>
      </c>
      <c r="V98" s="6" t="s">
        <v>59</v>
      </c>
      <c r="X98" t="s">
        <v>27</v>
      </c>
      <c r="Y98" t="s">
        <v>28</v>
      </c>
      <c r="Z98" t="s">
        <v>318</v>
      </c>
      <c r="AB98">
        <v>2007</v>
      </c>
      <c r="AC98">
        <v>1151</v>
      </c>
      <c r="AD98" t="s">
        <v>813</v>
      </c>
      <c r="AE98" t="s">
        <v>739</v>
      </c>
      <c r="AF98" t="s">
        <v>303</v>
      </c>
      <c r="AG98">
        <v>47.707245999999998</v>
      </c>
      <c r="AH98">
        <v>-122.308093</v>
      </c>
      <c r="AI98" t="s">
        <v>33</v>
      </c>
      <c r="AJ98">
        <v>98125</v>
      </c>
      <c r="AK98" t="s">
        <v>34</v>
      </c>
      <c r="AL98" t="s">
        <v>35</v>
      </c>
      <c r="AM98" t="s">
        <v>35</v>
      </c>
      <c r="AO98">
        <v>0.16600000000000001</v>
      </c>
      <c r="AP98" t="s">
        <v>814</v>
      </c>
      <c r="AQ98">
        <v>505</v>
      </c>
      <c r="AR98" t="s">
        <v>815</v>
      </c>
      <c r="AS98" t="s">
        <v>816</v>
      </c>
      <c r="AT98">
        <v>3</v>
      </c>
      <c r="AW98" s="17"/>
      <c r="AX98">
        <f t="shared" ca="1" si="2"/>
        <v>25</v>
      </c>
      <c r="AZ98" s="9">
        <v>39408</v>
      </c>
    </row>
    <row r="99" spans="1:52">
      <c r="A99">
        <v>27200786</v>
      </c>
      <c r="B99" s="4" t="str">
        <f>HYPERLINK("http://locmedia.nwmls.com/DO_NOT_LINK/bigphoto/786/27200786.jpg?tsp=20071112225949","Pending")</f>
        <v>Pending</v>
      </c>
      <c r="C99">
        <v>705</v>
      </c>
      <c r="D99" t="s">
        <v>81</v>
      </c>
      <c r="E99" t="s">
        <v>611</v>
      </c>
      <c r="F99" s="5">
        <v>449950</v>
      </c>
      <c r="G99" t="s">
        <v>55</v>
      </c>
      <c r="H99">
        <v>1960</v>
      </c>
      <c r="I99">
        <v>4770</v>
      </c>
      <c r="J99">
        <v>3</v>
      </c>
      <c r="K99">
        <v>2</v>
      </c>
      <c r="L99">
        <v>1</v>
      </c>
      <c r="M99" s="4" t="str">
        <f>HYPERLINK("http://locsearch.nwmls.com//ReturnMap.aspx?hidMLS=NWML&amp;VHW=47.678623:-122.367310:.25:&amp;Z=4&amp;H=300&amp;W=400&amp;PP=47.678623:-122.367310:1:027200786","Map")</f>
        <v>Map</v>
      </c>
      <c r="N99" s="4" t="str">
        <f>HYPERLINK("http://locmedia.nwmls.com/DO_NOT_LINK/bigphoto/786/27200786.jpg?tsp=20071112225949","Photo")</f>
        <v>Photo</v>
      </c>
      <c r="O99" s="4" t="str">
        <f>HYPERLINK("http://locator.nwmls.com/scripts/mgrqispi.dll?APPNAME=Locator&amp;PRGNAME=MLSPictureDescriptions&amp;ARGUMENTS=-N363684315,-N27200786,-AE","More")</f>
        <v>More</v>
      </c>
      <c r="Q99" t="s">
        <v>612</v>
      </c>
      <c r="R99" t="s">
        <v>429</v>
      </c>
      <c r="S99" t="s">
        <v>43</v>
      </c>
      <c r="T99" t="s">
        <v>72</v>
      </c>
      <c r="U99" t="s">
        <v>26</v>
      </c>
      <c r="X99" t="s">
        <v>27</v>
      </c>
      <c r="Y99" t="s">
        <v>28</v>
      </c>
      <c r="Z99" t="s">
        <v>613</v>
      </c>
      <c r="AB99">
        <v>2007</v>
      </c>
      <c r="AC99">
        <v>3290</v>
      </c>
      <c r="AD99" t="s">
        <v>614</v>
      </c>
      <c r="AE99" t="s">
        <v>615</v>
      </c>
      <c r="AF99" t="s">
        <v>616</v>
      </c>
      <c r="AG99">
        <v>47.678623000000002</v>
      </c>
      <c r="AH99">
        <v>-122.36731</v>
      </c>
      <c r="AI99" t="s">
        <v>33</v>
      </c>
      <c r="AJ99">
        <v>98117</v>
      </c>
      <c r="AK99" t="s">
        <v>34</v>
      </c>
      <c r="AL99" t="s">
        <v>35</v>
      </c>
      <c r="AM99" t="s">
        <v>35</v>
      </c>
      <c r="AO99">
        <v>0.11</v>
      </c>
      <c r="AP99" t="s">
        <v>617</v>
      </c>
      <c r="AQ99">
        <v>534</v>
      </c>
      <c r="AR99" t="s">
        <v>295</v>
      </c>
      <c r="AS99" t="s">
        <v>618</v>
      </c>
      <c r="AT99">
        <v>3</v>
      </c>
      <c r="AW99" s="17"/>
      <c r="AX99">
        <v>27</v>
      </c>
      <c r="AZ99" s="9">
        <v>39405</v>
      </c>
    </row>
    <row r="100" spans="1:52">
      <c r="A100">
        <v>27200939</v>
      </c>
      <c r="B100" s="4" t="str">
        <f>HYPERLINK("http://locmedia.nwmls.com/DO_NOT_LINK/bigphoto/939/27200939.jpg?tsp=20071113122307","Active")</f>
        <v>Active</v>
      </c>
      <c r="C100">
        <v>710</v>
      </c>
      <c r="D100" t="s">
        <v>656</v>
      </c>
      <c r="E100" t="s">
        <v>842</v>
      </c>
      <c r="F100" s="5">
        <v>499990</v>
      </c>
      <c r="G100" t="s">
        <v>21</v>
      </c>
      <c r="H100">
        <v>1439</v>
      </c>
      <c r="I100">
        <v>6000</v>
      </c>
      <c r="J100">
        <v>3</v>
      </c>
      <c r="K100">
        <v>1.75</v>
      </c>
      <c r="L100">
        <v>1</v>
      </c>
      <c r="M100" s="4" t="str">
        <f>HYPERLINK("http://locsearch.nwmls.com//ReturnMap.aspx?hidMLS=NWML&amp;VHW=47.683866:-122.286300:.25:&amp;Z=4&amp;H=300&amp;W=400&amp;PP=47.683866:-122.286300:1:027200939","Map")</f>
        <v>Map</v>
      </c>
      <c r="N100" s="4" t="str">
        <f>HYPERLINK("http://locmedia.nwmls.com/DO_NOT_LINK/bigphoto/939/27200939.jpg?tsp=20071113122307","Photo")</f>
        <v>Photo</v>
      </c>
      <c r="O100" s="4" t="str">
        <f>HYPERLINK("http://locator.nwmls.com/scripts/mgrqispi.dll?APPNAME=Locator&amp;PRGNAME=MLSPictureDescriptions&amp;ARGUMENTS=-N585198739,-N27200939,-AE","More")</f>
        <v>More</v>
      </c>
      <c r="Q100" t="s">
        <v>56</v>
      </c>
      <c r="R100" t="s">
        <v>843</v>
      </c>
      <c r="S100" t="s">
        <v>755</v>
      </c>
      <c r="T100" t="s">
        <v>25</v>
      </c>
      <c r="U100" t="s">
        <v>26</v>
      </c>
      <c r="V100">
        <v>71</v>
      </c>
      <c r="W100" t="s">
        <v>844</v>
      </c>
      <c r="X100" t="s">
        <v>27</v>
      </c>
      <c r="Y100" t="s">
        <v>28</v>
      </c>
      <c r="Z100" t="s">
        <v>96</v>
      </c>
      <c r="AA100" t="s">
        <v>845</v>
      </c>
      <c r="AB100">
        <v>2007</v>
      </c>
      <c r="AC100">
        <v>3012</v>
      </c>
      <c r="AD100" t="s">
        <v>846</v>
      </c>
      <c r="AE100" t="s">
        <v>847</v>
      </c>
      <c r="AF100" t="s">
        <v>848</v>
      </c>
      <c r="AG100">
        <v>47.683866000000002</v>
      </c>
      <c r="AH100">
        <v>-122.2863</v>
      </c>
      <c r="AI100" t="s">
        <v>33</v>
      </c>
      <c r="AJ100">
        <v>98115</v>
      </c>
      <c r="AK100" t="s">
        <v>34</v>
      </c>
      <c r="AL100">
        <v>1</v>
      </c>
      <c r="AM100" t="s">
        <v>35</v>
      </c>
      <c r="AO100">
        <v>0.13800000000000001</v>
      </c>
      <c r="AP100" t="s">
        <v>849</v>
      </c>
      <c r="AQ100">
        <v>535</v>
      </c>
      <c r="AR100" t="s">
        <v>196</v>
      </c>
      <c r="AS100" t="s">
        <v>850</v>
      </c>
      <c r="AT100">
        <v>3</v>
      </c>
      <c r="AW100" s="17"/>
      <c r="AX100">
        <f ca="1">IF(ISBLANK($AW100),TODAY()-$AZ100,TODAY()-$AV100)</f>
        <v>25</v>
      </c>
      <c r="AZ100" s="9">
        <v>39408</v>
      </c>
    </row>
    <row r="101" spans="1:52">
      <c r="A101">
        <v>27201523</v>
      </c>
      <c r="B101" s="4" t="str">
        <f>HYPERLINK("http://locmedia.nwmls.com/DO_NOT_LINK/bigphoto/523/27201523.jpg?tsp=20071113234350","Active")</f>
        <v>Active</v>
      </c>
      <c r="C101">
        <v>710</v>
      </c>
      <c r="D101" t="s">
        <v>649</v>
      </c>
      <c r="E101" t="s">
        <v>748</v>
      </c>
      <c r="F101" s="5">
        <v>475000</v>
      </c>
      <c r="G101" t="s">
        <v>596</v>
      </c>
      <c r="H101">
        <v>1620</v>
      </c>
      <c r="I101">
        <v>7750</v>
      </c>
      <c r="J101">
        <v>3</v>
      </c>
      <c r="K101">
        <v>2</v>
      </c>
      <c r="L101">
        <v>1</v>
      </c>
      <c r="M101" s="4" t="str">
        <f>HYPERLINK("http://locsearch.nwmls.com//ReturnMap.aspx?hidMLS=NWML&amp;VHW=47.699432:-122.308441:.25:&amp;Z=4&amp;H=300&amp;W=400&amp;PP=47.699432:-122.308441:1:027201523","Map")</f>
        <v>Map</v>
      </c>
      <c r="N101" s="4" t="str">
        <f>HYPERLINK("http://locmedia.nwmls.com/DO_NOT_LINK/bigphoto/523/27201523.jpg?tsp=20071113234350","Photo")</f>
        <v>Photo</v>
      </c>
      <c r="O101" s="4" t="str">
        <f>HYPERLINK("http://locator.nwmls.com/scripts/mgrqispi.dll?APPNAME=Locator&amp;PRGNAME=MLSPictureDescriptions&amp;ARGUMENTS=-N585198739,-N27201523,-AE","More")</f>
        <v>More</v>
      </c>
      <c r="Q101" t="s">
        <v>56</v>
      </c>
      <c r="R101" t="s">
        <v>95</v>
      </c>
      <c r="S101" t="s">
        <v>503</v>
      </c>
      <c r="T101" t="s">
        <v>129</v>
      </c>
      <c r="U101" t="s">
        <v>26</v>
      </c>
      <c r="V101" s="6" t="s">
        <v>59</v>
      </c>
      <c r="X101" t="s">
        <v>27</v>
      </c>
      <c r="Y101" t="s">
        <v>28</v>
      </c>
      <c r="Z101" t="s">
        <v>272</v>
      </c>
      <c r="AA101" t="s">
        <v>307</v>
      </c>
      <c r="AB101">
        <v>2007</v>
      </c>
      <c r="AC101">
        <v>3067</v>
      </c>
      <c r="AD101" t="s">
        <v>749</v>
      </c>
      <c r="AE101" t="s">
        <v>750</v>
      </c>
      <c r="AF101" t="s">
        <v>751</v>
      </c>
      <c r="AG101">
        <v>47.699432000000002</v>
      </c>
      <c r="AH101">
        <v>-122.308441</v>
      </c>
      <c r="AI101" t="s">
        <v>33</v>
      </c>
      <c r="AJ101">
        <v>98115</v>
      </c>
      <c r="AK101" t="s">
        <v>34</v>
      </c>
      <c r="AL101">
        <v>7</v>
      </c>
      <c r="AM101" t="s">
        <v>35</v>
      </c>
      <c r="AO101">
        <v>0.17799999999999999</v>
      </c>
      <c r="AP101" t="s">
        <v>752</v>
      </c>
      <c r="AQ101">
        <v>505</v>
      </c>
      <c r="AR101" t="s">
        <v>655</v>
      </c>
      <c r="AS101" t="s">
        <v>753</v>
      </c>
      <c r="AT101">
        <v>4</v>
      </c>
      <c r="AU101" t="s">
        <v>941</v>
      </c>
      <c r="AV101" s="9">
        <v>39399</v>
      </c>
      <c r="AW101" s="17">
        <v>12</v>
      </c>
      <c r="AX101">
        <f ca="1">IF(ISBLANK($AW101),TODAY()-$AZ101,TODAY()-$AV101)</f>
        <v>34</v>
      </c>
      <c r="AY101" t="s">
        <v>907</v>
      </c>
      <c r="AZ101" s="9">
        <v>39408</v>
      </c>
    </row>
    <row r="102" spans="1:52">
      <c r="A102">
        <v>27201655</v>
      </c>
      <c r="B102" s="4" t="str">
        <f>HYPERLINK("http://locmedia.nwmls.com/DO_NOT_LINK/bigphoto/655/27201655.jpg?tsp=20071114121259","Active")</f>
        <v>Active</v>
      </c>
      <c r="C102">
        <v>705</v>
      </c>
      <c r="D102" t="s">
        <v>113</v>
      </c>
      <c r="E102" t="s">
        <v>126</v>
      </c>
      <c r="F102" s="5">
        <v>399950</v>
      </c>
      <c r="G102" t="s">
        <v>127</v>
      </c>
      <c r="H102">
        <v>1800</v>
      </c>
      <c r="I102">
        <v>5040</v>
      </c>
      <c r="J102">
        <v>4</v>
      </c>
      <c r="K102">
        <v>1.75</v>
      </c>
      <c r="L102">
        <v>1</v>
      </c>
      <c r="M102" s="4" t="str">
        <f>HYPERLINK("http://locsearch.nwmls.com//ReturnMap.aspx?hidMLS=NWML&amp;VHW=47.706203:-122.351464:.25:&amp;Z=4&amp;H=300&amp;W=400&amp;PP=47.706203:-122.351464:1:027201655","Map")</f>
        <v>Map</v>
      </c>
      <c r="N102" s="4" t="str">
        <f>HYPERLINK("http://locmedia.nwmls.com/DO_NOT_LINK/bigphoto/655/27201655.jpg?tsp=20071114121259","Photo")</f>
        <v>Photo</v>
      </c>
      <c r="O102" s="4" t="str">
        <f>HYPERLINK("http://locator.nwmls.com/scripts/mgrqispi.dll?APPNAME=Locator&amp;PRGNAME=MLSPictureDescriptions&amp;ARGUMENTS=-N363684315,-N27201655,-AE","More")</f>
        <v>More</v>
      </c>
      <c r="Q102" t="s">
        <v>56</v>
      </c>
      <c r="R102" t="s">
        <v>95</v>
      </c>
      <c r="S102" t="s">
        <v>128</v>
      </c>
      <c r="T102" t="s">
        <v>129</v>
      </c>
      <c r="U102" t="s">
        <v>26</v>
      </c>
      <c r="V102" s="6" t="s">
        <v>59</v>
      </c>
      <c r="X102" t="s">
        <v>27</v>
      </c>
      <c r="Y102" t="s">
        <v>28</v>
      </c>
      <c r="Z102" t="s">
        <v>130</v>
      </c>
      <c r="AA102" t="s">
        <v>131</v>
      </c>
      <c r="AB102">
        <v>2007</v>
      </c>
      <c r="AC102">
        <v>2854</v>
      </c>
      <c r="AD102" t="s">
        <v>132</v>
      </c>
      <c r="AE102" t="s">
        <v>133</v>
      </c>
      <c r="AF102" t="s">
        <v>134</v>
      </c>
      <c r="AG102">
        <v>47.706203000000002</v>
      </c>
      <c r="AH102">
        <v>-122.35146400000001</v>
      </c>
      <c r="AI102" t="s">
        <v>33</v>
      </c>
      <c r="AJ102">
        <v>98133</v>
      </c>
      <c r="AK102" t="s">
        <v>34</v>
      </c>
      <c r="AL102">
        <v>21</v>
      </c>
      <c r="AM102" t="s">
        <v>35</v>
      </c>
      <c r="AO102">
        <v>0.11600000000000001</v>
      </c>
      <c r="AP102" t="s">
        <v>135</v>
      </c>
      <c r="AQ102">
        <v>504</v>
      </c>
      <c r="AR102" t="s">
        <v>64</v>
      </c>
      <c r="AS102" t="s">
        <v>136</v>
      </c>
      <c r="AT102">
        <v>1</v>
      </c>
      <c r="AU102" t="s">
        <v>942</v>
      </c>
      <c r="AW102" s="17"/>
      <c r="AX102">
        <f ca="1">IF(ISBLANK($AW102),TODAY()-$AZ102,TODAY()-$AV102)</f>
        <v>28</v>
      </c>
      <c r="AY102" t="s">
        <v>916</v>
      </c>
      <c r="AZ102" s="9">
        <v>39405</v>
      </c>
    </row>
    <row r="103" spans="1:52">
      <c r="A103">
        <v>27202386</v>
      </c>
      <c r="B103" s="4" t="str">
        <f>HYPERLINK("http://locmedia.nwmls.com/DO_NOT_LINK/bigphoto/386/27202386.jpg?tsp=20071116120541","Active")</f>
        <v>Active</v>
      </c>
      <c r="C103">
        <v>705</v>
      </c>
      <c r="D103" t="s">
        <v>81</v>
      </c>
      <c r="E103" t="s">
        <v>877</v>
      </c>
      <c r="F103" s="5">
        <v>425000</v>
      </c>
      <c r="G103" t="s">
        <v>878</v>
      </c>
      <c r="H103">
        <v>1680</v>
      </c>
      <c r="I103">
        <v>5100</v>
      </c>
      <c r="J103">
        <v>2</v>
      </c>
      <c r="K103">
        <v>1</v>
      </c>
      <c r="M103" s="4" t="str">
        <f>HYPERLINK("http://locsearch.nwmls.com//ReturnMap.aspx?hidMLS=NWML&amp;VHW=47.677360:-122.393000:.25:&amp;Z=4&amp;H=300&amp;W=400&amp;PP=47.677360:-122.393000:1:027202386","Map")</f>
        <v>Map</v>
      </c>
      <c r="N103" s="4" t="str">
        <f>HYPERLINK("http://locmedia.nwmls.com/DO_NOT_LINK/bigphoto/386/27202386.jpg?tsp=20071116120541","Photo")</f>
        <v>Photo</v>
      </c>
      <c r="O103" s="4" t="str">
        <f>HYPERLINK("http://locator.nwmls.com/scripts/mgrqispi.dll?APPNAME=Locator&amp;PRGNAME=MLSPictureDescriptions&amp;ARGUMENTS=-N789602585,-N27202386,-AE","More")</f>
        <v>More</v>
      </c>
      <c r="Q103" t="s">
        <v>56</v>
      </c>
      <c r="R103" t="s">
        <v>95</v>
      </c>
      <c r="S103" t="s">
        <v>879</v>
      </c>
      <c r="T103" t="s">
        <v>129</v>
      </c>
      <c r="U103" t="s">
        <v>26</v>
      </c>
      <c r="V103" s="6" t="s">
        <v>59</v>
      </c>
      <c r="X103" t="s">
        <v>27</v>
      </c>
      <c r="Y103" t="s">
        <v>28</v>
      </c>
      <c r="Z103" t="s">
        <v>880</v>
      </c>
      <c r="AB103">
        <v>2007</v>
      </c>
      <c r="AC103">
        <v>3364</v>
      </c>
      <c r="AD103" t="s">
        <v>881</v>
      </c>
      <c r="AE103" t="s">
        <v>882</v>
      </c>
      <c r="AF103" t="s">
        <v>883</v>
      </c>
      <c r="AG103">
        <v>47.67736</v>
      </c>
      <c r="AH103">
        <v>-122.393</v>
      </c>
      <c r="AI103" t="s">
        <v>33</v>
      </c>
      <c r="AJ103">
        <v>98117</v>
      </c>
      <c r="AK103" t="s">
        <v>34</v>
      </c>
      <c r="AL103" t="s">
        <v>35</v>
      </c>
      <c r="AM103" t="s">
        <v>35</v>
      </c>
      <c r="AO103">
        <v>0.11700000000000001</v>
      </c>
      <c r="AP103" t="s">
        <v>884</v>
      </c>
      <c r="AQ103">
        <v>534</v>
      </c>
      <c r="AR103" t="s">
        <v>480</v>
      </c>
      <c r="AS103" t="s">
        <v>885</v>
      </c>
      <c r="AT103">
        <v>4</v>
      </c>
      <c r="AV103" s="9">
        <v>39402</v>
      </c>
      <c r="AW103" s="17">
        <v>9</v>
      </c>
      <c r="AX103">
        <f ca="1">IF(ISBLANK($AW103),TODAY()-$AZ103,TODAY()-$AV103)</f>
        <v>31</v>
      </c>
      <c r="AY103" t="s">
        <v>920</v>
      </c>
      <c r="AZ103" s="9">
        <v>39409</v>
      </c>
    </row>
    <row r="104" spans="1:52">
      <c r="A104">
        <v>27203347</v>
      </c>
      <c r="B104" s="4" t="str">
        <f>HYPERLINK("http://locmedia.nwmls.com/DO_NOT_LINK/bigphoto/347/27203347.jpg?tsp=20071116180425","Active")</f>
        <v>Active</v>
      </c>
      <c r="C104">
        <v>710</v>
      </c>
      <c r="D104" t="s">
        <v>901</v>
      </c>
      <c r="E104" t="s">
        <v>902</v>
      </c>
      <c r="F104" s="5">
        <v>475000</v>
      </c>
      <c r="G104" t="s">
        <v>148</v>
      </c>
      <c r="H104">
        <v>0</v>
      </c>
      <c r="I104">
        <v>6000</v>
      </c>
      <c r="J104">
        <v>3</v>
      </c>
      <c r="K104">
        <v>1</v>
      </c>
      <c r="L104">
        <v>1</v>
      </c>
      <c r="M104" s="4" t="str">
        <f>HYPERLINK("http://locsearch.nwmls.com//ReturnMap.aspx?hidMLS=NWML&amp;VHW=47.684499:-122.281024:.25:&amp;Z=4&amp;H=300&amp;W=400&amp;PP=47.684499:-122.281024:1:027203347","Map")</f>
        <v>Map</v>
      </c>
      <c r="N104" s="4" t="str">
        <f>HYPERLINK("http://locmedia.nwmls.com/DO_NOT_LINK/bigphoto/347/27203347.jpg?tsp=20071116180425","Photo")</f>
        <v>Photo</v>
      </c>
      <c r="O104" s="4" t="str">
        <f>HYPERLINK("http://locator.nwmls.com/scripts/mgrqispi.dll?APPNAME=Locator&amp;PRGNAME=MLSPictureDescriptions&amp;ARGUMENTS=-N789602585,-N27203347,-AE","More")</f>
        <v>More</v>
      </c>
      <c r="Q104" t="s">
        <v>56</v>
      </c>
      <c r="R104" t="s">
        <v>116</v>
      </c>
      <c r="S104" t="s">
        <v>58</v>
      </c>
      <c r="T104" t="s">
        <v>263</v>
      </c>
      <c r="U104" t="s">
        <v>26</v>
      </c>
      <c r="V104" s="6" t="s">
        <v>59</v>
      </c>
      <c r="X104" t="s">
        <v>17</v>
      </c>
      <c r="Y104" t="s">
        <v>28</v>
      </c>
      <c r="Z104" t="s">
        <v>430</v>
      </c>
      <c r="AB104">
        <v>2007</v>
      </c>
      <c r="AC104">
        <v>3392</v>
      </c>
      <c r="AD104" t="s">
        <v>903</v>
      </c>
      <c r="AE104" t="s">
        <v>302</v>
      </c>
      <c r="AF104" t="s">
        <v>904</v>
      </c>
      <c r="AG104">
        <v>47.684499000000002</v>
      </c>
      <c r="AH104">
        <v>-122.281024</v>
      </c>
      <c r="AI104" t="s">
        <v>33</v>
      </c>
      <c r="AJ104">
        <v>98115</v>
      </c>
      <c r="AK104" t="s">
        <v>34</v>
      </c>
      <c r="AL104" t="s">
        <v>35</v>
      </c>
      <c r="AM104" t="s">
        <v>35</v>
      </c>
      <c r="AO104">
        <v>0.13800000000000001</v>
      </c>
      <c r="AP104" s="12" t="s">
        <v>995</v>
      </c>
      <c r="AQ104">
        <v>535</v>
      </c>
      <c r="AR104" t="s">
        <v>91</v>
      </c>
      <c r="AS104" t="s">
        <v>906</v>
      </c>
      <c r="AT104">
        <v>2</v>
      </c>
      <c r="AW104" s="17"/>
      <c r="AX104">
        <f ca="1">IF(ISBLANK($AW104),TODAY()-$AZ104,TODAY()-$AV104)</f>
        <v>24</v>
      </c>
      <c r="AZ104" s="9">
        <v>39409</v>
      </c>
    </row>
    <row r="105" spans="1:52">
      <c r="A105">
        <v>27204851</v>
      </c>
      <c r="B105" s="4" t="str">
        <f>HYPERLINK("http://locmedia.nwmls.com/DO_NOT_LINK/bigphoto/851/27204851.jpg?tsp=20071128111621","Active")</f>
        <v>Active</v>
      </c>
      <c r="C105">
        <v>705</v>
      </c>
      <c r="D105" t="s">
        <v>361</v>
      </c>
      <c r="E105" t="s">
        <v>1014</v>
      </c>
      <c r="F105" s="5">
        <v>450000</v>
      </c>
      <c r="G105" t="s">
        <v>21</v>
      </c>
      <c r="H105">
        <v>2360</v>
      </c>
      <c r="I105">
        <v>6200</v>
      </c>
      <c r="J105">
        <v>2</v>
      </c>
      <c r="K105">
        <v>2</v>
      </c>
      <c r="L105">
        <v>1</v>
      </c>
      <c r="M105" s="4" t="str">
        <f>HYPERLINK("http://locsearch.nwmls.com//ReturnMap.aspx?hidMLS=NWML&amp;VHW=47.701530:-122.369828:.25:&amp;Z=4&amp;H=300&amp;W=400&amp;PP=47.701530:-122.369828:1:027204851","Map")</f>
        <v>Map</v>
      </c>
      <c r="N105" s="4" t="str">
        <f>HYPERLINK("http://locmedia.nwmls.com/DO_NOT_LINK/bigphoto/851/27204851.jpg?tsp=20071128111621","Photo")</f>
        <v>Photo</v>
      </c>
      <c r="O105" s="4" t="str">
        <f>HYPERLINK("http://locator.nwmls.com/scripts/mgrqispi.dll?APPNAME=Locator&amp;PRGNAME=MLSPictureDescriptions&amp;ARGUMENTS=-N203200286,-N27204851,-AE","More")</f>
        <v>More</v>
      </c>
      <c r="P105" t="s">
        <v>262</v>
      </c>
      <c r="Q105" t="s">
        <v>1015</v>
      </c>
      <c r="R105" t="s">
        <v>116</v>
      </c>
      <c r="S105" t="s">
        <v>1016</v>
      </c>
      <c r="T105" t="s">
        <v>1017</v>
      </c>
      <c r="U105" t="s">
        <v>26</v>
      </c>
      <c r="V105" s="6" t="s">
        <v>59</v>
      </c>
      <c r="X105" t="s">
        <v>27</v>
      </c>
      <c r="Y105" t="s">
        <v>28</v>
      </c>
      <c r="Z105" t="s">
        <v>184</v>
      </c>
      <c r="AB105">
        <v>2007</v>
      </c>
      <c r="AC105">
        <v>618</v>
      </c>
      <c r="AD105" t="s">
        <v>1018</v>
      </c>
      <c r="AE105" t="s">
        <v>1019</v>
      </c>
      <c r="AF105" t="s">
        <v>600</v>
      </c>
      <c r="AG105">
        <v>47.701529999999998</v>
      </c>
      <c r="AH105">
        <v>-122.369828</v>
      </c>
      <c r="AI105" t="s">
        <v>33</v>
      </c>
      <c r="AJ105">
        <v>98177</v>
      </c>
      <c r="AK105" t="s">
        <v>34</v>
      </c>
      <c r="AL105" t="s">
        <v>35</v>
      </c>
      <c r="AM105" t="s">
        <v>35</v>
      </c>
      <c r="AO105">
        <v>0.14199999999999999</v>
      </c>
      <c r="AP105" t="s">
        <v>1020</v>
      </c>
      <c r="AQ105">
        <v>504</v>
      </c>
      <c r="AR105" t="s">
        <v>100</v>
      </c>
      <c r="AS105" t="s">
        <v>1021</v>
      </c>
      <c r="AT105">
        <v>2</v>
      </c>
      <c r="AU105" t="s">
        <v>1058</v>
      </c>
      <c r="AW105" s="17"/>
      <c r="AY105" t="s">
        <v>916</v>
      </c>
      <c r="AZ105" s="9">
        <v>39417.379224537035</v>
      </c>
    </row>
    <row r="106" spans="1:52">
      <c r="A106">
        <v>27205164</v>
      </c>
      <c r="B106" s="4" t="str">
        <f>HYPERLINK("http://locmedia.nwmls.com/DO_NOT_LINK/bigphoto/164/27205164.jpg?tsp=20071121205402","Active")</f>
        <v>Active</v>
      </c>
      <c r="C106">
        <v>710</v>
      </c>
      <c r="D106" t="s">
        <v>624</v>
      </c>
      <c r="E106" t="s">
        <v>894</v>
      </c>
      <c r="F106" s="5">
        <v>459950</v>
      </c>
      <c r="G106" t="s">
        <v>895</v>
      </c>
      <c r="H106">
        <v>2360</v>
      </c>
      <c r="I106">
        <v>8040</v>
      </c>
      <c r="J106">
        <v>3</v>
      </c>
      <c r="K106">
        <v>1.5</v>
      </c>
      <c r="L106">
        <v>2</v>
      </c>
      <c r="M106" s="4" t="str">
        <f>HYPERLINK("http://locsearch.nwmls.com//ReturnMap.aspx?hidMLS=NWML&amp;VHW=47.713428:-122.302979:.25:&amp;Z=4&amp;H=300&amp;W=400&amp;PP=47.713428:-122.302979:1:027205164","Map")</f>
        <v>Map</v>
      </c>
      <c r="N106" s="4" t="str">
        <f>HYPERLINK("http://locmedia.nwmls.com/DO_NOT_LINK/bigphoto/164/27205164.jpg?tsp=20071121205402","Photo")</f>
        <v>Photo</v>
      </c>
      <c r="O106" s="4" t="str">
        <f>HYPERLINK("http://locator.nwmls.com/scripts/mgrqispi.dll?APPNAME=Locator&amp;PRGNAME=MLSPictureDescriptions&amp;ARGUMENTS=-N789602585,-N27205164,-AE","More")</f>
        <v>More</v>
      </c>
      <c r="P106" t="s">
        <v>262</v>
      </c>
      <c r="Q106" t="s">
        <v>56</v>
      </c>
      <c r="R106" t="s">
        <v>116</v>
      </c>
      <c r="S106" t="s">
        <v>896</v>
      </c>
      <c r="T106" t="s">
        <v>897</v>
      </c>
      <c r="U106" t="s">
        <v>26</v>
      </c>
      <c r="V106" s="6" t="s">
        <v>59</v>
      </c>
      <c r="X106" t="s">
        <v>27</v>
      </c>
      <c r="Y106" t="s">
        <v>28</v>
      </c>
      <c r="Z106" t="s">
        <v>365</v>
      </c>
      <c r="AA106" t="s">
        <v>476</v>
      </c>
      <c r="AB106">
        <v>2007</v>
      </c>
      <c r="AC106">
        <v>564</v>
      </c>
      <c r="AD106" t="s">
        <v>898</v>
      </c>
      <c r="AE106" t="s">
        <v>302</v>
      </c>
      <c r="AF106" t="s">
        <v>471</v>
      </c>
      <c r="AG106">
        <v>47.713428</v>
      </c>
      <c r="AH106">
        <v>-122.30297899999999</v>
      </c>
      <c r="AI106" t="s">
        <v>33</v>
      </c>
      <c r="AJ106">
        <v>98125</v>
      </c>
      <c r="AK106" t="s">
        <v>34</v>
      </c>
      <c r="AL106">
        <v>3</v>
      </c>
      <c r="AM106" t="s">
        <v>35</v>
      </c>
      <c r="AO106">
        <v>0.185</v>
      </c>
      <c r="AP106" s="12" t="s">
        <v>996</v>
      </c>
      <c r="AQ106">
        <v>1</v>
      </c>
      <c r="AR106" t="s">
        <v>539</v>
      </c>
      <c r="AS106" t="s">
        <v>900</v>
      </c>
      <c r="AT106">
        <v>2</v>
      </c>
      <c r="AW106" s="17"/>
      <c r="AX106">
        <f ca="1">IF(ISBLANK($AW106),TODAY()-$AZ106,TODAY()-$AV106)</f>
        <v>24</v>
      </c>
      <c r="AZ106" s="9">
        <v>39409</v>
      </c>
    </row>
    <row r="107" spans="1:52">
      <c r="A107">
        <v>27205179</v>
      </c>
      <c r="B107" s="13" t="str">
        <f>HYPERLINK("http://locmedia.nwmls.com/DO_NOT_LINK/bigphoto/179/27205179.jpg?tsp=20071122124033","Pending")</f>
        <v>Pending</v>
      </c>
      <c r="C107">
        <v>710</v>
      </c>
      <c r="D107" t="s">
        <v>686</v>
      </c>
      <c r="E107" t="s">
        <v>886</v>
      </c>
      <c r="F107" s="5">
        <v>369900</v>
      </c>
      <c r="G107" t="s">
        <v>460</v>
      </c>
      <c r="H107">
        <v>1580</v>
      </c>
      <c r="I107">
        <v>8514</v>
      </c>
      <c r="J107">
        <v>3</v>
      </c>
      <c r="K107">
        <v>1.75</v>
      </c>
      <c r="L107">
        <v>1</v>
      </c>
      <c r="M107" s="4" t="str">
        <f>HYPERLINK("http://locsearch.nwmls.com//ReturnMap.aspx?hidMLS=NWML&amp;VHW=47.728311:-122.296442:.25:&amp;Z=4&amp;H=300&amp;W=400&amp;PP=47.728311:-122.296442:1:027205179","Map")</f>
        <v>Map</v>
      </c>
      <c r="N107" s="4" t="str">
        <f>HYPERLINK("http://locmedia.nwmls.com/DO_NOT_LINK/bigphoto/179/27205179.jpg?tsp=20071122124033","Photo")</f>
        <v>Photo</v>
      </c>
      <c r="O107" s="4" t="str">
        <f>HYPERLINK("http://locator.nwmls.com/scripts/mgrqispi.dll?APPNAME=Locator&amp;PRGNAME=MLSPictureDescriptions&amp;ARGUMENTS=-N789602585,-N27205179,-AE","More")</f>
        <v>More</v>
      </c>
      <c r="Q107" t="s">
        <v>42</v>
      </c>
      <c r="R107" t="s">
        <v>23</v>
      </c>
      <c r="S107" t="s">
        <v>887</v>
      </c>
      <c r="T107" t="s">
        <v>25</v>
      </c>
      <c r="U107" t="s">
        <v>26</v>
      </c>
      <c r="V107" s="6" t="s">
        <v>59</v>
      </c>
      <c r="X107" t="s">
        <v>27</v>
      </c>
      <c r="Y107" t="s">
        <v>28</v>
      </c>
      <c r="Z107" t="s">
        <v>96</v>
      </c>
      <c r="AA107" t="s">
        <v>888</v>
      </c>
      <c r="AB107">
        <v>2007</v>
      </c>
      <c r="AC107">
        <v>2724</v>
      </c>
      <c r="AD107" t="s">
        <v>889</v>
      </c>
      <c r="AE107" t="s">
        <v>890</v>
      </c>
      <c r="AF107" t="s">
        <v>891</v>
      </c>
      <c r="AG107">
        <v>47.728310999999998</v>
      </c>
      <c r="AH107">
        <v>-122.296442</v>
      </c>
      <c r="AI107" t="s">
        <v>33</v>
      </c>
      <c r="AJ107">
        <v>98125</v>
      </c>
      <c r="AK107" t="s">
        <v>34</v>
      </c>
      <c r="AL107">
        <v>6</v>
      </c>
      <c r="AM107" t="s">
        <v>35</v>
      </c>
      <c r="AO107">
        <v>0.19500000000000001</v>
      </c>
      <c r="AP107" t="s">
        <v>892</v>
      </c>
      <c r="AQ107">
        <v>505</v>
      </c>
      <c r="AR107" t="s">
        <v>189</v>
      </c>
      <c r="AS107" t="s">
        <v>893</v>
      </c>
      <c r="AT107">
        <v>-4</v>
      </c>
      <c r="AU107" t="s">
        <v>943</v>
      </c>
      <c r="AV107" s="9">
        <v>39347</v>
      </c>
      <c r="AW107" s="17">
        <v>64</v>
      </c>
      <c r="AX107">
        <v>12</v>
      </c>
      <c r="AY107" t="s">
        <v>920</v>
      </c>
      <c r="AZ107" s="9">
        <v>39409</v>
      </c>
    </row>
    <row r="108" spans="1:52">
      <c r="A108">
        <v>27205426</v>
      </c>
      <c r="B108" s="4" t="str">
        <f>HYPERLINK("http://locmedia.nwmls.com/DO_NOT_LINK/bigphoto/426/27205426.jpg?tsp=20071127204501","Active")</f>
        <v>Active</v>
      </c>
      <c r="C108">
        <v>705</v>
      </c>
      <c r="D108" t="s">
        <v>19</v>
      </c>
      <c r="E108" t="s">
        <v>1006</v>
      </c>
      <c r="F108" s="5">
        <v>439000</v>
      </c>
      <c r="G108" t="s">
        <v>353</v>
      </c>
      <c r="H108">
        <v>1510</v>
      </c>
      <c r="I108">
        <v>9000</v>
      </c>
      <c r="J108">
        <v>3</v>
      </c>
      <c r="K108">
        <v>1.5</v>
      </c>
      <c r="L108">
        <v>1</v>
      </c>
      <c r="M108" s="4" t="str">
        <f>HYPERLINK("http://locsearch.nwmls.com//ReturnMap.aspx?hidMLS=NWML&amp;VHW=47.722883:-122.339570:.25:&amp;Z=4&amp;H=300&amp;W=400&amp;PP=47.722883:-122.339570:1:027205426","Map")</f>
        <v>Map</v>
      </c>
      <c r="N108" s="4" t="str">
        <f>HYPERLINK("http://locmedia.nwmls.com/DO_NOT_LINK/bigphoto/426/27205426.jpg?tsp=20071127204501","Photo")</f>
        <v>Photo</v>
      </c>
      <c r="O108" s="4" t="str">
        <f>HYPERLINK("http://locator.nwmls.com/scripts/mgrqispi.dll?APPNAME=Locator&amp;PRGNAME=MLSPictureDescriptions&amp;ARGUMENTS=-N203200286,-N27205426,-AE","More")</f>
        <v>More</v>
      </c>
      <c r="Q108" t="s">
        <v>56</v>
      </c>
      <c r="R108" t="s">
        <v>843</v>
      </c>
      <c r="S108" t="s">
        <v>24</v>
      </c>
      <c r="T108" t="s">
        <v>300</v>
      </c>
      <c r="U108" t="s">
        <v>26</v>
      </c>
      <c r="V108" s="6" t="s">
        <v>59</v>
      </c>
      <c r="X108" t="s">
        <v>27</v>
      </c>
      <c r="Y108" t="s">
        <v>28</v>
      </c>
      <c r="Z108" t="s">
        <v>606</v>
      </c>
      <c r="AA108" t="s">
        <v>1007</v>
      </c>
      <c r="AB108">
        <v>2007</v>
      </c>
      <c r="AC108">
        <v>3002</v>
      </c>
      <c r="AD108" t="s">
        <v>1008</v>
      </c>
      <c r="AE108" t="s">
        <v>1009</v>
      </c>
      <c r="AF108" t="s">
        <v>1010</v>
      </c>
      <c r="AG108">
        <v>47.722883000000003</v>
      </c>
      <c r="AH108">
        <v>-122.33956999999999</v>
      </c>
      <c r="AI108" t="s">
        <v>33</v>
      </c>
      <c r="AJ108">
        <v>98133</v>
      </c>
      <c r="AK108" t="s">
        <v>34</v>
      </c>
      <c r="AL108" t="s">
        <v>35</v>
      </c>
      <c r="AM108" t="s">
        <v>35</v>
      </c>
      <c r="AO108">
        <v>0.20699999999999999</v>
      </c>
      <c r="AP108" t="s">
        <v>1011</v>
      </c>
      <c r="AQ108">
        <v>504</v>
      </c>
      <c r="AR108" t="s">
        <v>1012</v>
      </c>
      <c r="AS108" t="s">
        <v>1013</v>
      </c>
      <c r="AT108">
        <v>3</v>
      </c>
      <c r="AU108" t="s">
        <v>1053</v>
      </c>
      <c r="AW108" s="17"/>
      <c r="AZ108" s="9">
        <v>39417.379224537035</v>
      </c>
    </row>
    <row r="109" spans="1:52">
      <c r="A109">
        <v>27205766</v>
      </c>
      <c r="B109" s="4" t="str">
        <f>HYPERLINK("http://locmedia.nwmls.com/DO_NOT_LINK/bigphoto/766/27205766.jpg?tsp=20071127083801","Active")</f>
        <v>Active</v>
      </c>
      <c r="C109">
        <v>710</v>
      </c>
      <c r="D109" t="s">
        <v>624</v>
      </c>
      <c r="E109" t="s">
        <v>1032</v>
      </c>
      <c r="F109" s="5">
        <v>448000</v>
      </c>
      <c r="G109" t="s">
        <v>1033</v>
      </c>
      <c r="H109">
        <v>1710</v>
      </c>
      <c r="I109">
        <v>8040</v>
      </c>
      <c r="J109">
        <v>3</v>
      </c>
      <c r="K109">
        <v>2</v>
      </c>
      <c r="L109">
        <v>1</v>
      </c>
      <c r="M109" s="4" t="str">
        <f>HYPERLINK("http://locsearch.nwmls.com//ReturnMap.aspx?hidMLS=NWML&amp;VHW=47.713387:-122.301786:.25:&amp;Z=4&amp;H=300&amp;W=400&amp;PP=47.713387:-122.301786:1:027205766","Map")</f>
        <v>Map</v>
      </c>
      <c r="N109" s="4" t="str">
        <f>HYPERLINK("http://locmedia.nwmls.com/DO_NOT_LINK/bigphoto/766/27205766.jpg?tsp=20071127083801","Photo")</f>
        <v>Photo</v>
      </c>
      <c r="O109" s="4" t="str">
        <f>HYPERLINK("http://locator.nwmls.com/scripts/mgrqispi.dll?APPNAME=Locator&amp;PRGNAME=MLSPictureDescriptions&amp;ARGUMENTS=-N203200286,-N27205766,-AE","More")</f>
        <v>More</v>
      </c>
      <c r="P109" t="s">
        <v>41</v>
      </c>
      <c r="Q109" t="s">
        <v>56</v>
      </c>
      <c r="R109" t="s">
        <v>95</v>
      </c>
      <c r="S109" t="s">
        <v>24</v>
      </c>
      <c r="T109" t="s">
        <v>25</v>
      </c>
      <c r="U109" t="s">
        <v>26</v>
      </c>
      <c r="X109" t="s">
        <v>27</v>
      </c>
      <c r="Y109" t="s">
        <v>28</v>
      </c>
      <c r="Z109" t="s">
        <v>1034</v>
      </c>
      <c r="AB109">
        <v>2007</v>
      </c>
      <c r="AC109">
        <v>3104</v>
      </c>
      <c r="AD109" t="s">
        <v>1035</v>
      </c>
      <c r="AE109" t="s">
        <v>1036</v>
      </c>
      <c r="AF109" t="s">
        <v>1037</v>
      </c>
      <c r="AG109">
        <v>47.713386999999997</v>
      </c>
      <c r="AH109">
        <v>-122.30178600000001</v>
      </c>
      <c r="AI109" t="s">
        <v>33</v>
      </c>
      <c r="AJ109">
        <v>98125</v>
      </c>
      <c r="AK109" t="s">
        <v>34</v>
      </c>
      <c r="AL109">
        <v>18</v>
      </c>
      <c r="AM109" t="s">
        <v>35</v>
      </c>
      <c r="AO109">
        <v>0.185</v>
      </c>
      <c r="AP109" t="s">
        <v>1038</v>
      </c>
      <c r="AQ109">
        <v>505</v>
      </c>
      <c r="AR109" t="s">
        <v>711</v>
      </c>
      <c r="AS109" t="s">
        <v>1039</v>
      </c>
      <c r="AT109">
        <v>4</v>
      </c>
      <c r="AU109" t="s">
        <v>1056</v>
      </c>
      <c r="AW109" s="17"/>
      <c r="AY109" t="s">
        <v>916</v>
      </c>
      <c r="AZ109" s="9">
        <v>39417.379224537035</v>
      </c>
    </row>
    <row r="110" spans="1:52">
      <c r="A110">
        <v>27205781</v>
      </c>
      <c r="B110" s="4" t="str">
        <f>HYPERLINK("http://locmedia.nwmls.com/DO_NOT_LINK/bigphoto/781/27205781.jpg?tsp=20071126104414","Active")</f>
        <v>Active</v>
      </c>
      <c r="C110">
        <v>710</v>
      </c>
      <c r="D110" t="s">
        <v>1026</v>
      </c>
      <c r="E110" t="s">
        <v>1027</v>
      </c>
      <c r="F110" s="5">
        <v>399950</v>
      </c>
      <c r="G110" t="s">
        <v>895</v>
      </c>
      <c r="H110">
        <v>2600</v>
      </c>
      <c r="I110">
        <v>6760</v>
      </c>
      <c r="J110">
        <v>4</v>
      </c>
      <c r="K110">
        <v>2</v>
      </c>
      <c r="L110">
        <v>2</v>
      </c>
      <c r="M110" s="4" t="str">
        <f>HYPERLINK("http://locsearch.nwmls.com//ReturnMap.aspx?hidMLS=NWML&amp;VHW=47.713772:-122.296631:.25:&amp;Z=4&amp;H=300&amp;W=400&amp;PP=47.713772:-122.296631:1:027205781","Map")</f>
        <v>Map</v>
      </c>
      <c r="N110" s="4" t="str">
        <f>HYPERLINK("http://locmedia.nwmls.com/DO_NOT_LINK/bigphoto/781/27205781.jpg?tsp=20071126104414","Photo")</f>
        <v>Photo</v>
      </c>
      <c r="O110" s="4" t="str">
        <f>HYPERLINK("http://locator.nwmls.com/scripts/mgrqispi.dll?APPNAME=Locator&amp;PRGNAME=MLSPictureDescriptions&amp;ARGUMENTS=-N203200286,-N27205781,-AE","More")</f>
        <v>More</v>
      </c>
      <c r="P110" t="s">
        <v>41</v>
      </c>
      <c r="Q110" t="s">
        <v>56</v>
      </c>
      <c r="R110" t="s">
        <v>116</v>
      </c>
      <c r="T110" t="s">
        <v>129</v>
      </c>
      <c r="U110" t="s">
        <v>26</v>
      </c>
      <c r="V110" s="6" t="s">
        <v>59</v>
      </c>
      <c r="X110" t="s">
        <v>27</v>
      </c>
      <c r="Y110" t="s">
        <v>28</v>
      </c>
      <c r="Z110" t="s">
        <v>430</v>
      </c>
      <c r="AB110">
        <v>2007</v>
      </c>
      <c r="AC110">
        <v>2937</v>
      </c>
      <c r="AD110" t="s">
        <v>1028</v>
      </c>
      <c r="AE110" t="s">
        <v>121</v>
      </c>
      <c r="AF110" t="s">
        <v>1029</v>
      </c>
      <c r="AG110">
        <v>47.713771999999999</v>
      </c>
      <c r="AH110">
        <v>-122.296631</v>
      </c>
      <c r="AI110" t="s">
        <v>33</v>
      </c>
      <c r="AJ110">
        <v>98125</v>
      </c>
      <c r="AK110" t="s">
        <v>34</v>
      </c>
      <c r="AL110" t="s">
        <v>35</v>
      </c>
      <c r="AM110" t="s">
        <v>35</v>
      </c>
      <c r="AO110">
        <v>0.155</v>
      </c>
      <c r="AP110" t="s">
        <v>1030</v>
      </c>
      <c r="AQ110">
        <v>505</v>
      </c>
      <c r="AR110" t="s">
        <v>742</v>
      </c>
      <c r="AS110" t="s">
        <v>1031</v>
      </c>
      <c r="AT110">
        <v>2</v>
      </c>
      <c r="AU110" t="s">
        <v>1054</v>
      </c>
      <c r="AW110" s="17"/>
      <c r="AY110" t="s">
        <v>916</v>
      </c>
      <c r="AZ110" s="9">
        <v>39417.379224537035</v>
      </c>
    </row>
    <row r="111" spans="1:52">
      <c r="A111">
        <v>27206082</v>
      </c>
      <c r="B111" s="4" t="str">
        <f>HYPERLINK("http://locmedia.nwmls.com/DO_NOT_LINK/bigphoto/082/27206082.jpg?tsp=20071127133626","Active")</f>
        <v>Active</v>
      </c>
      <c r="C111">
        <v>710</v>
      </c>
      <c r="D111" t="s">
        <v>723</v>
      </c>
      <c r="E111" t="s">
        <v>1040</v>
      </c>
      <c r="F111" s="5">
        <v>474650</v>
      </c>
      <c r="G111" t="s">
        <v>460</v>
      </c>
      <c r="H111">
        <v>1200</v>
      </c>
      <c r="I111">
        <v>5097</v>
      </c>
      <c r="J111">
        <v>2</v>
      </c>
      <c r="K111">
        <v>1.75</v>
      </c>
      <c r="L111">
        <v>1</v>
      </c>
      <c r="M111" s="4" t="str">
        <f>HYPERLINK("http://locsearch.nwmls.com//ReturnMap.aspx?hidMLS=NWML&amp;VHW=47.676685:-122.288957:.25:&amp;Z=4&amp;H=300&amp;W=400&amp;PP=47.676685:-122.288957:1:027206082","Map")</f>
        <v>Map</v>
      </c>
      <c r="N111" s="4" t="str">
        <f>HYPERLINK("http://locmedia.nwmls.com/DO_NOT_LINK/bigphoto/082/27206082.jpg?tsp=20071127133626","Photo")</f>
        <v>Photo</v>
      </c>
      <c r="O111" s="4" t="str">
        <f>HYPERLINK("http://locator.nwmls.com/scripts/mgrqispi.dll?APPNAME=Locator&amp;PRGNAME=MLSPictureDescriptions&amp;ARGUMENTS=-N203200286,-N27206082,-AE","More")</f>
        <v>More</v>
      </c>
      <c r="P111" t="s">
        <v>791</v>
      </c>
      <c r="Q111" t="s">
        <v>56</v>
      </c>
      <c r="R111" t="s">
        <v>116</v>
      </c>
      <c r="S111" t="s">
        <v>1041</v>
      </c>
      <c r="T111" t="s">
        <v>129</v>
      </c>
      <c r="U111" t="s">
        <v>26</v>
      </c>
      <c r="V111" s="6" t="s">
        <v>59</v>
      </c>
      <c r="X111" t="s">
        <v>27</v>
      </c>
      <c r="Y111" t="s">
        <v>28</v>
      </c>
      <c r="Z111" t="s">
        <v>1042</v>
      </c>
      <c r="AA111" t="s">
        <v>18</v>
      </c>
      <c r="AB111">
        <v>2006</v>
      </c>
      <c r="AC111">
        <v>3039</v>
      </c>
      <c r="AD111" t="s">
        <v>1043</v>
      </c>
      <c r="AE111" t="s">
        <v>302</v>
      </c>
      <c r="AF111" t="s">
        <v>661</v>
      </c>
      <c r="AG111">
        <v>47.676684999999999</v>
      </c>
      <c r="AH111">
        <v>-122.288957</v>
      </c>
      <c r="AI111" t="s">
        <v>33</v>
      </c>
      <c r="AJ111">
        <v>98115</v>
      </c>
      <c r="AK111" t="s">
        <v>34</v>
      </c>
      <c r="AL111">
        <v>43</v>
      </c>
      <c r="AM111" t="s">
        <v>35</v>
      </c>
      <c r="AO111">
        <v>0.11700000000000001</v>
      </c>
      <c r="AP111" t="s">
        <v>1044</v>
      </c>
      <c r="AQ111">
        <v>535</v>
      </c>
      <c r="AR111" t="s">
        <v>189</v>
      </c>
      <c r="AS111" t="s">
        <v>1045</v>
      </c>
      <c r="AT111">
        <v>3</v>
      </c>
      <c r="AU111" t="s">
        <v>1051</v>
      </c>
      <c r="AW111" s="17"/>
      <c r="AZ111" s="9">
        <v>39417.379224537035</v>
      </c>
    </row>
    <row r="112" spans="1:52">
      <c r="A112">
        <v>27207377</v>
      </c>
      <c r="B112" s="4" t="str">
        <f>HYPERLINK("http://locmedia.nwmls.com/DO_NOT_LINK/bigphoto/377/27207377.jpg?tsp=20071130090459","Active")</f>
        <v>Active</v>
      </c>
      <c r="C112">
        <v>705</v>
      </c>
      <c r="D112" t="s">
        <v>81</v>
      </c>
      <c r="E112" t="s">
        <v>1022</v>
      </c>
      <c r="F112" s="5">
        <v>460000</v>
      </c>
      <c r="G112" t="s">
        <v>483</v>
      </c>
      <c r="H112">
        <v>1860</v>
      </c>
      <c r="I112">
        <v>3750</v>
      </c>
      <c r="J112">
        <v>2</v>
      </c>
      <c r="K112">
        <v>1</v>
      </c>
      <c r="M112" s="4" t="str">
        <f>HYPERLINK("http://locsearch.nwmls.com//ReturnMap.aspx?hidMLS=NWML&amp;VHW=47.681172:-122.367282:.25:&amp;Z=4&amp;H=300&amp;W=400&amp;PP=47.681172:-122.367282:1:027207377","Map")</f>
        <v>Map</v>
      </c>
      <c r="N112" s="4" t="str">
        <f>HYPERLINK("http://locmedia.nwmls.com/DO_NOT_LINK/bigphoto/377/27207377.jpg?tsp=20071130090459","Photo")</f>
        <v>Photo</v>
      </c>
      <c r="O112" s="4" t="str">
        <f>HYPERLINK("http://locator.nwmls.com/scripts/mgrqispi.dll?APPNAME=Locator&amp;PRGNAME=MLSPictureDescriptions&amp;ARGUMENTS=-N203200286,-N27207377,-AE","More")</f>
        <v>More</v>
      </c>
      <c r="Q112" t="s">
        <v>56</v>
      </c>
      <c r="R112" t="s">
        <v>116</v>
      </c>
      <c r="S112" t="s">
        <v>43</v>
      </c>
      <c r="T112" t="s">
        <v>300</v>
      </c>
      <c r="U112" t="s">
        <v>26</v>
      </c>
      <c r="V112">
        <v>28</v>
      </c>
      <c r="X112" t="s">
        <v>27</v>
      </c>
      <c r="Y112" t="s">
        <v>28</v>
      </c>
      <c r="Z112" t="s">
        <v>60</v>
      </c>
      <c r="AA112" t="s">
        <v>382</v>
      </c>
      <c r="AB112">
        <v>2007</v>
      </c>
      <c r="AC112">
        <v>3290</v>
      </c>
      <c r="AD112" t="s">
        <v>1023</v>
      </c>
      <c r="AE112" t="s">
        <v>302</v>
      </c>
      <c r="AF112" t="s">
        <v>693</v>
      </c>
      <c r="AG112">
        <v>47.681171999999997</v>
      </c>
      <c r="AH112">
        <v>-122.367282</v>
      </c>
      <c r="AI112" t="s">
        <v>33</v>
      </c>
      <c r="AJ112">
        <v>98117</v>
      </c>
      <c r="AK112" t="s">
        <v>34</v>
      </c>
      <c r="AL112" t="s">
        <v>35</v>
      </c>
      <c r="AM112" t="s">
        <v>35</v>
      </c>
      <c r="AO112">
        <v>8.5999999999999993E-2</v>
      </c>
      <c r="AP112" t="s">
        <v>1024</v>
      </c>
      <c r="AQ112">
        <v>534</v>
      </c>
      <c r="AR112" t="s">
        <v>313</v>
      </c>
      <c r="AS112" t="s">
        <v>1025</v>
      </c>
      <c r="AT112">
        <v>2</v>
      </c>
      <c r="AU112" t="s">
        <v>1055</v>
      </c>
      <c r="AW112" s="17"/>
      <c r="AY112" t="s">
        <v>916</v>
      </c>
      <c r="AZ112" s="9">
        <v>39417.379224537035</v>
      </c>
    </row>
    <row r="113" spans="1:52">
      <c r="A113">
        <v>27207393</v>
      </c>
      <c r="B113" s="4" t="str">
        <f>HYPERLINK("http://locmedia.nwmls.com/DO_NOT_LINK/bigphoto/393/27207393.jpg?tsp=20071129135833","Active")</f>
        <v>Active</v>
      </c>
      <c r="C113">
        <v>710</v>
      </c>
      <c r="D113" t="s">
        <v>656</v>
      </c>
      <c r="E113" t="s">
        <v>1046</v>
      </c>
      <c r="F113" s="5">
        <v>496000</v>
      </c>
      <c r="G113" t="s">
        <v>148</v>
      </c>
      <c r="H113">
        <v>1120</v>
      </c>
      <c r="I113">
        <v>5000</v>
      </c>
      <c r="J113">
        <v>2</v>
      </c>
      <c r="K113">
        <v>1</v>
      </c>
      <c r="M113" s="4" t="str">
        <f>HYPERLINK("http://locsearch.nwmls.com//ReturnMap.aspx?hidMLS=NWML&amp;VHW=47.686374:-122.289530:.25:&amp;Z=4&amp;H=300&amp;W=400&amp;PP=47.686374:-122.289530:1:027207393","Map")</f>
        <v>Map</v>
      </c>
      <c r="N113" s="4" t="str">
        <f>HYPERLINK("http://locmedia.nwmls.com/DO_NOT_LINK/bigphoto/393/27207393.jpg?tsp=20071129135833","Photo")</f>
        <v>Photo</v>
      </c>
      <c r="O113" s="4" t="str">
        <f>HYPERLINK("http://locator.nwmls.com/scripts/mgrqispi.dll?APPNAME=Locator&amp;PRGNAME=MLSPictureDescriptions&amp;ARGUMENTS=-N203200286,-N27207393,-AE","More")</f>
        <v>More</v>
      </c>
      <c r="P113" t="s">
        <v>41</v>
      </c>
      <c r="Q113" t="s">
        <v>56</v>
      </c>
      <c r="R113" t="s">
        <v>23</v>
      </c>
      <c r="S113" t="s">
        <v>24</v>
      </c>
      <c r="T113" t="s">
        <v>25</v>
      </c>
      <c r="U113" t="s">
        <v>26</v>
      </c>
      <c r="V113" s="6" t="s">
        <v>59</v>
      </c>
      <c r="X113" t="s">
        <v>27</v>
      </c>
      <c r="Y113" t="s">
        <v>28</v>
      </c>
      <c r="Z113" t="s">
        <v>150</v>
      </c>
      <c r="AB113">
        <v>2007</v>
      </c>
      <c r="AC113">
        <v>3132</v>
      </c>
      <c r="AD113" t="s">
        <v>1047</v>
      </c>
      <c r="AE113" t="s">
        <v>837</v>
      </c>
      <c r="AF113" t="s">
        <v>1048</v>
      </c>
      <c r="AG113">
        <v>47.686374000000001</v>
      </c>
      <c r="AH113">
        <v>-122.28953</v>
      </c>
      <c r="AI113" t="s">
        <v>33</v>
      </c>
      <c r="AJ113">
        <v>98115</v>
      </c>
      <c r="AK113" t="s">
        <v>34</v>
      </c>
      <c r="AL113" t="s">
        <v>35</v>
      </c>
      <c r="AM113" t="s">
        <v>35</v>
      </c>
      <c r="AO113">
        <v>0.115</v>
      </c>
      <c r="AP113" t="s">
        <v>1049</v>
      </c>
      <c r="AQ113">
        <v>535</v>
      </c>
      <c r="AR113" t="s">
        <v>196</v>
      </c>
      <c r="AS113" t="s">
        <v>1050</v>
      </c>
      <c r="AT113">
        <v>3</v>
      </c>
      <c r="AU113" t="s">
        <v>1052</v>
      </c>
      <c r="AW113" s="17"/>
      <c r="AY113" t="s">
        <v>916</v>
      </c>
      <c r="AZ113" s="9">
        <v>39417.379224537035</v>
      </c>
    </row>
  </sheetData>
  <conditionalFormatting sqref="A1:A113">
    <cfRule type="expression" dxfId="3" priority="2">
      <formula>ISBLANK($AT1)</formula>
    </cfRule>
  </conditionalFormatting>
  <conditionalFormatting sqref="AX1:AX113">
    <cfRule type="expression" dxfId="2" priority="1">
      <formula>ISBLANK($AW1)</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7"/>
  <dimension ref="A1:AY106"/>
  <sheetViews>
    <sheetView topLeftCell="AC1" workbookViewId="0">
      <selection activeCell="AC1" sqref="AC1"/>
    </sheetView>
  </sheetViews>
  <sheetFormatPr defaultRowHeight="15"/>
  <cols>
    <col min="1" max="1" width="9.140625" customWidth="1"/>
    <col min="2" max="2" width="15.140625" customWidth="1"/>
    <col min="3" max="46" width="9.140625" customWidth="1"/>
    <col min="47" max="47" width="15.85546875" customWidth="1"/>
    <col min="48" max="48" width="12.42578125" customWidth="1"/>
    <col min="49" max="51" width="9.140625" customWidth="1"/>
  </cols>
  <sheetData>
    <row r="1" spans="1:51">
      <c r="A1" t="s">
        <v>16</v>
      </c>
      <c r="B1" t="s">
        <v>946</v>
      </c>
      <c r="C1" t="s">
        <v>947</v>
      </c>
      <c r="D1" t="s">
        <v>17</v>
      </c>
      <c r="E1" t="s">
        <v>948</v>
      </c>
      <c r="F1" t="s">
        <v>949</v>
      </c>
      <c r="G1" t="s">
        <v>950</v>
      </c>
      <c r="H1" t="s">
        <v>951</v>
      </c>
      <c r="I1" t="s">
        <v>952</v>
      </c>
      <c r="J1" t="s">
        <v>953</v>
      </c>
      <c r="K1" t="s">
        <v>954</v>
      </c>
      <c r="L1" t="s">
        <v>955</v>
      </c>
      <c r="M1" t="s">
        <v>956</v>
      </c>
      <c r="N1" t="s">
        <v>957</v>
      </c>
      <c r="O1" t="s">
        <v>958</v>
      </c>
      <c r="P1" t="s">
        <v>959</v>
      </c>
      <c r="Q1" t="s">
        <v>960</v>
      </c>
      <c r="R1" t="s">
        <v>961</v>
      </c>
      <c r="S1" t="s">
        <v>962</v>
      </c>
      <c r="T1" t="s">
        <v>18</v>
      </c>
      <c r="U1" t="s">
        <v>963</v>
      </c>
      <c r="V1" t="s">
        <v>964</v>
      </c>
      <c r="W1" t="s">
        <v>965</v>
      </c>
      <c r="X1" t="s">
        <v>966</v>
      </c>
      <c r="Y1" t="s">
        <v>967</v>
      </c>
      <c r="Z1" t="s">
        <v>968</v>
      </c>
      <c r="AA1" t="s">
        <v>969</v>
      </c>
      <c r="AB1" t="s">
        <v>970</v>
      </c>
      <c r="AC1" t="s">
        <v>971</v>
      </c>
      <c r="AD1" t="s">
        <v>972</v>
      </c>
      <c r="AE1" t="s">
        <v>973</v>
      </c>
      <c r="AF1" t="s">
        <v>974</v>
      </c>
      <c r="AG1" t="s">
        <v>975</v>
      </c>
      <c r="AH1" t="s">
        <v>976</v>
      </c>
      <c r="AI1" t="s">
        <v>977</v>
      </c>
      <c r="AJ1" t="s">
        <v>978</v>
      </c>
      <c r="AK1" t="s">
        <v>979</v>
      </c>
      <c r="AL1" t="s">
        <v>980</v>
      </c>
      <c r="AM1" t="s">
        <v>981</v>
      </c>
      <c r="AN1" t="s">
        <v>982</v>
      </c>
      <c r="AO1" t="s">
        <v>983</v>
      </c>
      <c r="AP1" t="s">
        <v>984</v>
      </c>
      <c r="AQ1" t="s">
        <v>985</v>
      </c>
      <c r="AR1" t="s">
        <v>986</v>
      </c>
      <c r="AS1" t="s">
        <v>987</v>
      </c>
      <c r="AT1" t="s">
        <v>619</v>
      </c>
      <c r="AU1" t="s">
        <v>3</v>
      </c>
      <c r="AV1" t="s">
        <v>620</v>
      </c>
      <c r="AW1" t="s">
        <v>621</v>
      </c>
      <c r="AX1" t="s">
        <v>622</v>
      </c>
      <c r="AY1" t="s">
        <v>623</v>
      </c>
    </row>
    <row r="2" spans="1:51">
      <c r="A2">
        <v>27085410</v>
      </c>
      <c r="B2" s="4" t="str">
        <f>HYPERLINK("http://locmedia.nwmls.com/DO_NOT_LINK/bigphoto/410/27085410.jpg?tsp=20070730001920","Pending")</f>
        <v>Pending</v>
      </c>
      <c r="C2">
        <v>710</v>
      </c>
      <c r="D2" t="s">
        <v>649</v>
      </c>
      <c r="E2" t="s">
        <v>863</v>
      </c>
      <c r="F2" s="5">
        <v>484500</v>
      </c>
      <c r="G2" t="s">
        <v>803</v>
      </c>
      <c r="H2">
        <v>2580</v>
      </c>
      <c r="I2">
        <v>5040</v>
      </c>
      <c r="J2">
        <v>4</v>
      </c>
      <c r="K2">
        <v>2.5</v>
      </c>
      <c r="L2">
        <v>2</v>
      </c>
      <c r="M2" s="4" t="str">
        <f>HYPERLINK("http://locsearch.nwmls.com//ReturnMap.aspx?hidMLS=NWML&amp;VHW=47.695000:-122.326460:.25:&amp;Z=4&amp;H=300&amp;W=400&amp;PP=47.695000:-122.326460:1:027085410","Map")</f>
        <v>Map</v>
      </c>
      <c r="N2" s="4" t="str">
        <f>HYPERLINK("http://locmedia.nwmls.com/DO_NOT_LINK/bigphoto/410/27085410.jpg?tsp=20070730001920","Photo")</f>
        <v>Photo</v>
      </c>
      <c r="O2" s="4" t="str">
        <f>HYPERLINK("http://locator.nwmls.com/scripts/mgrqispi.dll?APPNAME=Locator&amp;PRGNAME=MLSPictureDescriptions&amp;ARGUMENTS=-N719932170,-N27085410,-AE","More")</f>
        <v>More</v>
      </c>
      <c r="Q2" t="s">
        <v>56</v>
      </c>
      <c r="R2" t="s">
        <v>95</v>
      </c>
      <c r="S2" t="s">
        <v>199</v>
      </c>
      <c r="T2" t="s">
        <v>44</v>
      </c>
      <c r="U2" t="s">
        <v>26</v>
      </c>
      <c r="X2" t="s">
        <v>27</v>
      </c>
      <c r="Y2" t="s">
        <v>28</v>
      </c>
      <c r="Z2" t="s">
        <v>423</v>
      </c>
      <c r="AA2" t="s">
        <v>864</v>
      </c>
      <c r="AB2">
        <v>2007</v>
      </c>
      <c r="AC2">
        <v>3791</v>
      </c>
      <c r="AD2" t="s">
        <v>865</v>
      </c>
      <c r="AE2" t="s">
        <v>866</v>
      </c>
      <c r="AF2" t="s">
        <v>867</v>
      </c>
      <c r="AG2">
        <v>47.695</v>
      </c>
      <c r="AH2">
        <v>-122.32646</v>
      </c>
      <c r="AI2" t="s">
        <v>33</v>
      </c>
      <c r="AJ2">
        <v>98115</v>
      </c>
      <c r="AK2" t="s">
        <v>34</v>
      </c>
      <c r="AL2" t="s">
        <v>35</v>
      </c>
      <c r="AM2" t="s">
        <v>35</v>
      </c>
      <c r="AO2">
        <v>0.11600000000000001</v>
      </c>
      <c r="AP2" t="s">
        <v>868</v>
      </c>
      <c r="AQ2">
        <v>505</v>
      </c>
      <c r="AR2" t="s">
        <v>761</v>
      </c>
      <c r="AS2" t="s">
        <v>869</v>
      </c>
      <c r="AT2">
        <v>2</v>
      </c>
      <c r="AV2" s="9"/>
      <c r="AX2">
        <f t="shared" ref="AX2:AX33" ca="1" si="0">IF(AW2&gt;0,TODAY()-AV2,TODAY()-DATE(2007,11,19))</f>
        <v>28</v>
      </c>
    </row>
    <row r="3" spans="1:51">
      <c r="A3">
        <v>27085974</v>
      </c>
      <c r="B3" s="4" t="str">
        <f>HYPERLINK("http://locmedia.nwmls.com/DO_NOT_LINK/bigphoto/974/27085974.jpg?tsp=20070608143008","Active")</f>
        <v>Active</v>
      </c>
      <c r="C3">
        <v>710</v>
      </c>
      <c r="D3" t="s">
        <v>643</v>
      </c>
      <c r="E3" t="s">
        <v>644</v>
      </c>
      <c r="F3" s="5">
        <v>410000</v>
      </c>
      <c r="G3" t="s">
        <v>645</v>
      </c>
      <c r="H3">
        <v>1810</v>
      </c>
      <c r="I3">
        <v>2501</v>
      </c>
      <c r="J3">
        <v>2</v>
      </c>
      <c r="K3">
        <v>1.5</v>
      </c>
      <c r="L3">
        <v>1</v>
      </c>
      <c r="M3" s="4" t="str">
        <f>HYPERLINK("http://locsearch.nwmls.com//ReturnMap.aspx?hidMLS=NWML&amp;VHW=47.672227:-122.319677:.25:&amp;Z=4&amp;H=300&amp;W=400&amp;PP=47.672227:-122.319677:1:027085974","Map")</f>
        <v>Map</v>
      </c>
      <c r="N3" s="4" t="str">
        <f>HYPERLINK("http://locmedia.nwmls.com/DO_NOT_LINK/bigphoto/974/27085974.jpg?tsp=20070608143008","Photo")</f>
        <v>Photo</v>
      </c>
      <c r="O3" s="4" t="str">
        <f>HYPERLINK("http://locator.nwmls.com/scripts/mgrqispi.dll?APPNAME=Locator&amp;PRGNAME=MLSPictureDescriptions&amp;ARGUMENTS=-N719932170,-N27085974,-AE","More")</f>
        <v>More</v>
      </c>
      <c r="P3" t="s">
        <v>41</v>
      </c>
      <c r="Q3" t="s">
        <v>56</v>
      </c>
      <c r="R3" t="s">
        <v>116</v>
      </c>
      <c r="S3" t="s">
        <v>43</v>
      </c>
      <c r="T3" t="s">
        <v>300</v>
      </c>
      <c r="U3" t="s">
        <v>26</v>
      </c>
      <c r="X3" t="s">
        <v>27</v>
      </c>
      <c r="Y3" t="s">
        <v>28</v>
      </c>
      <c r="Z3" t="s">
        <v>150</v>
      </c>
      <c r="AA3" t="s">
        <v>119</v>
      </c>
      <c r="AB3">
        <v>2006</v>
      </c>
      <c r="AC3">
        <v>3373</v>
      </c>
      <c r="AD3" t="s">
        <v>646</v>
      </c>
      <c r="AE3" t="s">
        <v>302</v>
      </c>
      <c r="AG3">
        <v>47.672226999999999</v>
      </c>
      <c r="AH3">
        <v>-122.319677</v>
      </c>
      <c r="AI3" t="s">
        <v>33</v>
      </c>
      <c r="AJ3">
        <v>98115</v>
      </c>
      <c r="AK3" t="s">
        <v>34</v>
      </c>
      <c r="AL3" t="s">
        <v>35</v>
      </c>
      <c r="AM3" t="s">
        <v>35</v>
      </c>
      <c r="AO3">
        <v>5.7000000000000002E-2</v>
      </c>
      <c r="AP3" t="s">
        <v>647</v>
      </c>
      <c r="AQ3">
        <v>535</v>
      </c>
      <c r="AR3" t="s">
        <v>509</v>
      </c>
      <c r="AS3" t="s">
        <v>648</v>
      </c>
      <c r="AT3">
        <v>2</v>
      </c>
      <c r="AV3" s="9"/>
      <c r="AX3">
        <f t="shared" ca="1" si="0"/>
        <v>28</v>
      </c>
    </row>
    <row r="4" spans="1:51">
      <c r="A4">
        <v>27087539</v>
      </c>
      <c r="B4" s="13" t="str">
        <f>HYPERLINK("http://locmedia.nwmls.com/DO_NOT_LINK/bigphoto/539/27087539.jpg?tsp=20071010095117","Sold")</f>
        <v>Sold</v>
      </c>
      <c r="C4">
        <v>705</v>
      </c>
      <c r="D4" t="s">
        <v>81</v>
      </c>
      <c r="E4" t="s">
        <v>566</v>
      </c>
      <c r="F4" s="5">
        <v>489950</v>
      </c>
      <c r="G4" t="s">
        <v>270</v>
      </c>
      <c r="H4">
        <v>1840</v>
      </c>
      <c r="I4">
        <v>4051</v>
      </c>
      <c r="J4">
        <v>4</v>
      </c>
      <c r="K4">
        <v>2</v>
      </c>
      <c r="L4">
        <v>1</v>
      </c>
      <c r="M4" s="4" t="str">
        <f>HYPERLINK("http://locsearch.nwmls.com//ReturnMap.aspx?hidMLS=NWML&amp;VHW=47.686900:-122.373311:.25:&amp;Z=4&amp;H=300&amp;W=400&amp;PP=47.686900:-122.373311:1:027087539","Map")</f>
        <v>Map</v>
      </c>
      <c r="N4" s="4" t="str">
        <f>HYPERLINK("http://locmedia.nwmls.com/DO_NOT_LINK/bigphoto/539/27087539.jpg?tsp=20071010095117","Photo")</f>
        <v>Photo</v>
      </c>
      <c r="O4" s="4" t="str">
        <f>HYPERLINK("http://locator.nwmls.com/scripts/mgrqispi.dll?APPNAME=Locator&amp;PRGNAME=MLSPictureDescriptions&amp;ARGUMENTS=-N595036758,-N27087539,-AE","More")</f>
        <v>More</v>
      </c>
      <c r="Q4" t="s">
        <v>56</v>
      </c>
      <c r="R4" t="s">
        <v>95</v>
      </c>
      <c r="S4" t="s">
        <v>24</v>
      </c>
      <c r="T4" t="s">
        <v>72</v>
      </c>
      <c r="X4" t="s">
        <v>17</v>
      </c>
      <c r="Y4" t="s">
        <v>28</v>
      </c>
      <c r="Z4" t="s">
        <v>184</v>
      </c>
      <c r="AB4">
        <v>2007</v>
      </c>
      <c r="AC4">
        <v>3076</v>
      </c>
      <c r="AD4" t="s">
        <v>567</v>
      </c>
      <c r="AE4" t="s">
        <v>568</v>
      </c>
      <c r="AF4" t="s">
        <v>303</v>
      </c>
      <c r="AG4">
        <v>47.686900000000001</v>
      </c>
      <c r="AH4">
        <v>-122.373311</v>
      </c>
      <c r="AI4" t="s">
        <v>33</v>
      </c>
      <c r="AJ4">
        <v>98117</v>
      </c>
      <c r="AK4" t="s">
        <v>34</v>
      </c>
      <c r="AL4">
        <v>10</v>
      </c>
      <c r="AM4" t="s">
        <v>35</v>
      </c>
      <c r="AN4" s="12">
        <v>485000</v>
      </c>
      <c r="AO4">
        <v>9.2999999999999999E-2</v>
      </c>
      <c r="AP4" t="s">
        <v>569</v>
      </c>
      <c r="AQ4">
        <v>534</v>
      </c>
      <c r="AR4" t="s">
        <v>91</v>
      </c>
      <c r="AS4" t="s">
        <v>570</v>
      </c>
      <c r="AT4">
        <v>2</v>
      </c>
      <c r="AV4" s="9"/>
      <c r="AX4">
        <f t="shared" ca="1" si="0"/>
        <v>28</v>
      </c>
    </row>
    <row r="5" spans="1:51">
      <c r="A5">
        <v>27090381</v>
      </c>
      <c r="B5" s="4" t="str">
        <f>HYPERLINK("http://locmedia.nwmls.com/DO_NOT_LINK/bigphoto/381/27090381.jpg?tsp=20070830174913","Active")</f>
        <v>Active</v>
      </c>
      <c r="C5">
        <v>705</v>
      </c>
      <c r="D5" t="s">
        <v>81</v>
      </c>
      <c r="E5" t="s">
        <v>288</v>
      </c>
      <c r="F5" s="5">
        <v>450000</v>
      </c>
      <c r="G5" t="s">
        <v>261</v>
      </c>
      <c r="H5">
        <v>1520</v>
      </c>
      <c r="I5">
        <v>4000</v>
      </c>
      <c r="J5">
        <v>3</v>
      </c>
      <c r="K5">
        <v>1.75</v>
      </c>
      <c r="L5">
        <v>1</v>
      </c>
      <c r="M5" s="4" t="str">
        <f>HYPERLINK("http://locsearch.nwmls.com//ReturnMap.aspx?hidMLS=NWML&amp;VHW=47.675619:-122.364001:.25:&amp;Z=4&amp;H=300&amp;W=400&amp;PP=47.675619:-122.364001:1:027090381","Map")</f>
        <v>Map</v>
      </c>
      <c r="N5" s="4" t="str">
        <f>HYPERLINK("http://locmedia.nwmls.com/DO_NOT_LINK/bigphoto/381/27090381.jpg?tsp=20070830174913","Photo")</f>
        <v>Photo</v>
      </c>
      <c r="O5" s="4" t="str">
        <f>HYPERLINK("http://locator.nwmls.com/scripts/mgrqispi.dll?APPNAME=Locator&amp;PRGNAME=MLSPictureDescriptions&amp;ARGUMENTS=-N595036758,-N27090381,-AE","More")</f>
        <v>More</v>
      </c>
      <c r="Q5" t="s">
        <v>56</v>
      </c>
      <c r="R5" t="s">
        <v>116</v>
      </c>
      <c r="S5" t="s">
        <v>199</v>
      </c>
      <c r="T5" t="s">
        <v>129</v>
      </c>
      <c r="U5" t="s">
        <v>26</v>
      </c>
      <c r="X5" t="s">
        <v>27</v>
      </c>
      <c r="Y5" t="s">
        <v>28</v>
      </c>
      <c r="Z5" t="s">
        <v>289</v>
      </c>
      <c r="AA5" t="s">
        <v>290</v>
      </c>
      <c r="AB5">
        <v>2006</v>
      </c>
      <c r="AC5">
        <v>3104</v>
      </c>
      <c r="AD5" t="s">
        <v>291</v>
      </c>
      <c r="AE5" t="s">
        <v>121</v>
      </c>
      <c r="AF5" t="s">
        <v>292</v>
      </c>
      <c r="AG5">
        <v>47.675618999999998</v>
      </c>
      <c r="AH5">
        <v>-122.364001</v>
      </c>
      <c r="AI5" t="s">
        <v>33</v>
      </c>
      <c r="AJ5">
        <v>98107</v>
      </c>
      <c r="AK5" t="s">
        <v>34</v>
      </c>
      <c r="AL5" t="s">
        <v>293</v>
      </c>
      <c r="AM5" t="s">
        <v>35</v>
      </c>
      <c r="AO5">
        <v>9.1999999999999998E-2</v>
      </c>
      <c r="AP5" t="s">
        <v>294</v>
      </c>
      <c r="AQ5">
        <v>534</v>
      </c>
      <c r="AR5" t="s">
        <v>295</v>
      </c>
      <c r="AS5" t="s">
        <v>296</v>
      </c>
      <c r="AT5">
        <v>4</v>
      </c>
      <c r="AV5" s="9">
        <v>39224</v>
      </c>
      <c r="AW5">
        <v>187</v>
      </c>
      <c r="AX5">
        <f t="shared" ca="1" si="0"/>
        <v>209</v>
      </c>
      <c r="AY5" t="s">
        <v>907</v>
      </c>
    </row>
    <row r="6" spans="1:51">
      <c r="A6">
        <v>27091504</v>
      </c>
      <c r="B6" s="4" t="str">
        <f>HYPERLINK("http://locmedia.nwmls.com/DO_NOT_LINK/bigphoto/504/27091504.jpg?tsp=20070824150007","Active")</f>
        <v>Active</v>
      </c>
      <c r="C6">
        <v>705</v>
      </c>
      <c r="D6" t="s">
        <v>113</v>
      </c>
      <c r="E6" t="s">
        <v>315</v>
      </c>
      <c r="F6" s="5">
        <v>455000</v>
      </c>
      <c r="G6" t="s">
        <v>316</v>
      </c>
      <c r="H6">
        <v>2800</v>
      </c>
      <c r="I6">
        <v>6591</v>
      </c>
      <c r="J6">
        <v>5</v>
      </c>
      <c r="K6">
        <v>1.75</v>
      </c>
      <c r="L6">
        <v>1</v>
      </c>
      <c r="M6" s="4" t="str">
        <f>HYPERLINK("http://locsearch.nwmls.com//ReturnMap.aspx?hidMLS=NWML&amp;VHW=47.716396:-122.352888:.25:&amp;Z=4&amp;H=300&amp;W=400&amp;PP=47.716396:-122.352888:1:027091504","Map")</f>
        <v>Map</v>
      </c>
      <c r="N6" s="4" t="str">
        <f>HYPERLINK("http://locmedia.nwmls.com/DO_NOT_LINK/bigphoto/504/27091504.jpg?tsp=20070824150007","Photo")</f>
        <v>Photo</v>
      </c>
      <c r="O6" s="4" t="str">
        <f>HYPERLINK("http://locator.nwmls.com/scripts/mgrqispi.dll?APPNAME=Locator&amp;PRGNAME=MLSPictureDescriptions&amp;ARGUMENTS=-N595036758,-N27091504,-AE","More")</f>
        <v>More</v>
      </c>
      <c r="P6" t="s">
        <v>317</v>
      </c>
      <c r="Q6" t="s">
        <v>56</v>
      </c>
      <c r="R6" t="s">
        <v>95</v>
      </c>
      <c r="S6" t="s">
        <v>128</v>
      </c>
      <c r="T6" t="s">
        <v>44</v>
      </c>
      <c r="U6" t="s">
        <v>26</v>
      </c>
      <c r="X6" t="s">
        <v>27</v>
      </c>
      <c r="Y6" t="s">
        <v>28</v>
      </c>
      <c r="Z6" t="s">
        <v>318</v>
      </c>
      <c r="AA6" t="s">
        <v>319</v>
      </c>
      <c r="AB6">
        <v>2006</v>
      </c>
      <c r="AC6">
        <v>3133</v>
      </c>
      <c r="AD6" t="s">
        <v>320</v>
      </c>
      <c r="AE6" t="s">
        <v>302</v>
      </c>
      <c r="AF6" t="s">
        <v>321</v>
      </c>
      <c r="AG6">
        <v>47.716396000000003</v>
      </c>
      <c r="AH6">
        <v>-122.35288799999999</v>
      </c>
      <c r="AI6" t="s">
        <v>33</v>
      </c>
      <c r="AJ6">
        <v>98133</v>
      </c>
      <c r="AK6" t="s">
        <v>34</v>
      </c>
      <c r="AL6">
        <v>15</v>
      </c>
      <c r="AM6" t="s">
        <v>35</v>
      </c>
      <c r="AO6">
        <v>0.151</v>
      </c>
      <c r="AP6" t="s">
        <v>322</v>
      </c>
      <c r="AQ6">
        <v>504</v>
      </c>
      <c r="AR6" t="s">
        <v>323</v>
      </c>
      <c r="AS6" t="s">
        <v>324</v>
      </c>
      <c r="AT6">
        <v>1</v>
      </c>
      <c r="AV6" s="9"/>
      <c r="AX6">
        <f t="shared" ca="1" si="0"/>
        <v>28</v>
      </c>
    </row>
    <row r="7" spans="1:51">
      <c r="A7">
        <v>27096757</v>
      </c>
      <c r="B7" s="4" t="str">
        <f>HYPERLINK("http://locmedia.nwmls.com/DO_NOT_LINK/bigphoto/757/27096757.jpg?tsp=20071119165750","Active")</f>
        <v>Active</v>
      </c>
      <c r="C7">
        <v>705</v>
      </c>
      <c r="D7" t="s">
        <v>81</v>
      </c>
      <c r="E7" t="s">
        <v>279</v>
      </c>
      <c r="F7" s="5">
        <v>449990</v>
      </c>
      <c r="G7" t="s">
        <v>280</v>
      </c>
      <c r="H7">
        <v>1620</v>
      </c>
      <c r="I7">
        <v>0</v>
      </c>
      <c r="J7">
        <v>3</v>
      </c>
      <c r="K7">
        <v>2.5</v>
      </c>
      <c r="L7">
        <v>1</v>
      </c>
      <c r="M7" s="4" t="str">
        <f>HYPERLINK("http://locsearch.nwmls.com//ReturnMap.aspx?hidMLS=NWML&amp;VHW=47.671653:-122.382535:.25:&amp;Z=4&amp;H=300&amp;W=400&amp;PP=47.671653:-122.382535:1:027096757","Map")</f>
        <v>Map</v>
      </c>
      <c r="N7" s="4" t="str">
        <f>HYPERLINK("http://locmedia.nwmls.com/DO_NOT_LINK/bigphoto/757/27096757.jpg?tsp=20071119165750","Photo")</f>
        <v>Photo</v>
      </c>
      <c r="O7" s="4" t="str">
        <f>HYPERLINK("http://locator.nwmls.com/scripts/mgrqispi.dll?APPNAME=Locator&amp;PRGNAME=MLSPictureDescriptions&amp;ARGUMENTS=-N595036758,-N27096757,-AE","More")</f>
        <v>More</v>
      </c>
      <c r="Q7" t="s">
        <v>281</v>
      </c>
      <c r="R7" t="s">
        <v>57</v>
      </c>
      <c r="S7" t="s">
        <v>282</v>
      </c>
      <c r="U7" t="s">
        <v>26</v>
      </c>
      <c r="X7" t="s">
        <v>17</v>
      </c>
      <c r="Y7" t="s">
        <v>28</v>
      </c>
      <c r="Z7" t="s">
        <v>253</v>
      </c>
      <c r="AA7" t="s">
        <v>283</v>
      </c>
      <c r="AB7">
        <v>2007</v>
      </c>
      <c r="AD7" t="s">
        <v>284</v>
      </c>
      <c r="AE7" t="s">
        <v>285</v>
      </c>
      <c r="AF7" t="s">
        <v>122</v>
      </c>
      <c r="AG7" s="12">
        <v>47.671652999999999</v>
      </c>
      <c r="AH7" s="12">
        <v>-122.382535</v>
      </c>
      <c r="AI7" t="s">
        <v>33</v>
      </c>
      <c r="AJ7">
        <v>98107</v>
      </c>
      <c r="AK7" t="s">
        <v>34</v>
      </c>
      <c r="AL7" t="s">
        <v>35</v>
      </c>
      <c r="AM7" t="s">
        <v>35</v>
      </c>
      <c r="AO7">
        <v>0</v>
      </c>
      <c r="AP7" t="s">
        <v>286</v>
      </c>
      <c r="AQ7">
        <v>534</v>
      </c>
      <c r="AR7" t="s">
        <v>287</v>
      </c>
      <c r="AS7" s="12" t="s">
        <v>873</v>
      </c>
      <c r="AT7">
        <v>1</v>
      </c>
      <c r="AV7" s="9"/>
      <c r="AX7">
        <f t="shared" ca="1" si="0"/>
        <v>28</v>
      </c>
    </row>
    <row r="8" spans="1:51">
      <c r="A8">
        <v>27113171</v>
      </c>
      <c r="B8" s="4" t="str">
        <f>HYPERLINK("http://locmedia.nwmls.com/DO_NOT_LINK/bigphoto/171/27113171.jpg?tsp=20070803133120","Active")</f>
        <v>Active</v>
      </c>
      <c r="C8">
        <v>705</v>
      </c>
      <c r="D8" t="s">
        <v>19</v>
      </c>
      <c r="E8" t="s">
        <v>102</v>
      </c>
      <c r="F8" s="5">
        <v>399900</v>
      </c>
      <c r="G8" t="s">
        <v>103</v>
      </c>
      <c r="H8">
        <v>1250</v>
      </c>
      <c r="I8">
        <v>5250</v>
      </c>
      <c r="J8">
        <v>3</v>
      </c>
      <c r="K8">
        <v>2</v>
      </c>
      <c r="L8">
        <v>1</v>
      </c>
      <c r="M8" s="4" t="str">
        <f>HYPERLINK("http://locsearch.nwmls.com//ReturnMap.aspx?hidMLS=NWML&amp;VHW=47.732891:-122.334301:.25:&amp;Z=4&amp;H=300&amp;W=400&amp;PP=47.732891:-122.334301:1:027113171","Map")</f>
        <v>Map</v>
      </c>
      <c r="N8" s="4" t="str">
        <f>HYPERLINK("http://locmedia.nwmls.com/DO_NOT_LINK/bigphoto/171/27113171.jpg?tsp=20070803133120","Photo")</f>
        <v>Photo</v>
      </c>
      <c r="O8" s="4" t="str">
        <f>HYPERLINK("http://locator.nwmls.com/scripts/mgrqispi.dll?APPNAME=Locator&amp;PRGNAME=MLSPictureDescriptions&amp;ARGUMENTS=-N595036758,-N27113171,-AE","More")</f>
        <v>More</v>
      </c>
      <c r="Q8" t="s">
        <v>56</v>
      </c>
      <c r="R8" t="s">
        <v>95</v>
      </c>
      <c r="S8" t="s">
        <v>24</v>
      </c>
      <c r="T8" t="s">
        <v>25</v>
      </c>
      <c r="V8">
        <v>348</v>
      </c>
      <c r="X8" t="s">
        <v>27</v>
      </c>
      <c r="Y8" t="s">
        <v>28</v>
      </c>
      <c r="Z8" t="s">
        <v>104</v>
      </c>
      <c r="AA8" t="s">
        <v>105</v>
      </c>
      <c r="AB8">
        <v>2007</v>
      </c>
      <c r="AC8">
        <v>2343</v>
      </c>
      <c r="AD8" t="s">
        <v>106</v>
      </c>
      <c r="AE8" t="s">
        <v>107</v>
      </c>
      <c r="AF8" t="s">
        <v>108</v>
      </c>
      <c r="AG8">
        <v>47.732891000000002</v>
      </c>
      <c r="AH8">
        <v>-122.334301</v>
      </c>
      <c r="AI8" t="s">
        <v>33</v>
      </c>
      <c r="AJ8">
        <v>98133</v>
      </c>
      <c r="AK8" t="s">
        <v>34</v>
      </c>
      <c r="AL8" t="s">
        <v>109</v>
      </c>
      <c r="AM8" t="s">
        <v>35</v>
      </c>
      <c r="AO8">
        <v>0.121</v>
      </c>
      <c r="AP8" t="s">
        <v>110</v>
      </c>
      <c r="AQ8">
        <v>505</v>
      </c>
      <c r="AR8" t="s">
        <v>111</v>
      </c>
      <c r="AS8" t="s">
        <v>112</v>
      </c>
      <c r="AT8">
        <v>3</v>
      </c>
      <c r="AV8" s="9"/>
      <c r="AX8">
        <f t="shared" ca="1" si="0"/>
        <v>28</v>
      </c>
    </row>
    <row r="9" spans="1:51">
      <c r="A9">
        <v>27130666</v>
      </c>
      <c r="B9" s="4" t="str">
        <f>HYPERLINK("http://locmedia.nwmls.com/DO_NOT_LINK/bigphoto/666/27130666.jpg?tsp=20071029072125","Active")</f>
        <v>Active</v>
      </c>
      <c r="C9">
        <v>710</v>
      </c>
      <c r="D9" t="s">
        <v>656</v>
      </c>
      <c r="E9" t="s">
        <v>776</v>
      </c>
      <c r="F9" s="5">
        <v>479950</v>
      </c>
      <c r="G9" t="s">
        <v>413</v>
      </c>
      <c r="H9">
        <v>1800</v>
      </c>
      <c r="I9">
        <v>5000</v>
      </c>
      <c r="J9">
        <v>5</v>
      </c>
      <c r="K9">
        <v>1.75</v>
      </c>
      <c r="L9">
        <v>1</v>
      </c>
      <c r="M9" s="4" t="str">
        <f>HYPERLINK("http://locsearch.nwmls.com//ReturnMap.aspx?hidMLS=NWML&amp;VHW=47.685146:-122.290600:.25:&amp;Z=4&amp;H=300&amp;W=400&amp;PP=47.685146:-122.290600:1:027130666","Map")</f>
        <v>Map</v>
      </c>
      <c r="N9" s="4" t="str">
        <f>HYPERLINK("http://locmedia.nwmls.com/DO_NOT_LINK/bigphoto/666/27130666.jpg?tsp=20071029072125","Photo")</f>
        <v>Photo</v>
      </c>
      <c r="O9" s="4" t="str">
        <f>HYPERLINK("http://locator.nwmls.com/scripts/mgrqispi.dll?APPNAME=Locator&amp;PRGNAME=MLSPictureDescriptions&amp;ARGUMENTS=-N719932170,-N27130666,-AE","More")</f>
        <v>More</v>
      </c>
      <c r="P9" t="s">
        <v>41</v>
      </c>
      <c r="Q9" t="s">
        <v>56</v>
      </c>
      <c r="R9" t="s">
        <v>95</v>
      </c>
      <c r="S9" t="s">
        <v>43</v>
      </c>
      <c r="T9" t="s">
        <v>44</v>
      </c>
      <c r="V9" s="6" t="s">
        <v>59</v>
      </c>
      <c r="X9" t="s">
        <v>27</v>
      </c>
      <c r="Y9" t="s">
        <v>28</v>
      </c>
      <c r="Z9" t="s">
        <v>176</v>
      </c>
      <c r="AB9">
        <v>2007</v>
      </c>
      <c r="AC9">
        <v>2799</v>
      </c>
      <c r="AD9" t="s">
        <v>777</v>
      </c>
      <c r="AE9" t="s">
        <v>778</v>
      </c>
      <c r="AF9" t="s">
        <v>779</v>
      </c>
      <c r="AG9">
        <v>47.685146000000003</v>
      </c>
      <c r="AH9">
        <v>-122.2906</v>
      </c>
      <c r="AI9" t="s">
        <v>33</v>
      </c>
      <c r="AJ9">
        <v>98115</v>
      </c>
      <c r="AK9" t="s">
        <v>34</v>
      </c>
      <c r="AL9" t="s">
        <v>780</v>
      </c>
      <c r="AM9" t="s">
        <v>35</v>
      </c>
      <c r="AO9">
        <v>0.115</v>
      </c>
      <c r="AP9" t="s">
        <v>781</v>
      </c>
      <c r="AQ9">
        <v>535</v>
      </c>
      <c r="AR9" t="s">
        <v>196</v>
      </c>
      <c r="AS9" t="s">
        <v>782</v>
      </c>
      <c r="AT9">
        <v>3</v>
      </c>
      <c r="AU9" t="s">
        <v>908</v>
      </c>
      <c r="AV9" s="9"/>
      <c r="AX9">
        <f t="shared" ca="1" si="0"/>
        <v>28</v>
      </c>
    </row>
    <row r="10" spans="1:51">
      <c r="A10">
        <v>27131523</v>
      </c>
      <c r="B10" s="4" t="str">
        <f>HYPERLINK("http://locmedia.nwmls.com/DO_NOT_LINK/bigphoto/523/27131523.jpg?tsp=20070726161848","Active")</f>
        <v>Active</v>
      </c>
      <c r="C10">
        <v>705</v>
      </c>
      <c r="D10" t="s">
        <v>66</v>
      </c>
      <c r="E10" t="s">
        <v>533</v>
      </c>
      <c r="F10" s="5">
        <v>499950</v>
      </c>
      <c r="G10" t="s">
        <v>94</v>
      </c>
      <c r="H10">
        <v>2590</v>
      </c>
      <c r="I10">
        <v>6480</v>
      </c>
      <c r="J10">
        <v>4</v>
      </c>
      <c r="K10">
        <v>1.75</v>
      </c>
      <c r="L10">
        <v>1</v>
      </c>
      <c r="M10" s="4" t="str">
        <f>HYPERLINK("http://locsearch.nwmls.com//ReturnMap.aspx?hidMLS=NWML&amp;VHW=47.693429:-122.328400:.25:&amp;Z=4&amp;H=300&amp;W=400&amp;PP=47.693429:-122.328400:1:027131523","Map")</f>
        <v>Map</v>
      </c>
      <c r="N10" s="4" t="str">
        <f>HYPERLINK("http://locmedia.nwmls.com/DO_NOT_LINK/bigphoto/523/27131523.jpg?tsp=20070726161848","Photo")</f>
        <v>Photo</v>
      </c>
      <c r="O10" s="4" t="str">
        <f>HYPERLINK("http://locator.nwmls.com/scripts/mgrqispi.dll?APPNAME=Locator&amp;PRGNAME=MLSPictureDescriptions&amp;ARGUMENTS=-N595036758,-N27131523,-AE","More")</f>
        <v>More</v>
      </c>
      <c r="P10" t="s">
        <v>41</v>
      </c>
      <c r="Q10" t="s">
        <v>167</v>
      </c>
      <c r="R10" t="s">
        <v>95</v>
      </c>
      <c r="S10" t="s">
        <v>199</v>
      </c>
      <c r="T10" t="s">
        <v>129</v>
      </c>
      <c r="U10" t="s">
        <v>26</v>
      </c>
      <c r="V10" t="s">
        <v>534</v>
      </c>
      <c r="X10" t="s">
        <v>27</v>
      </c>
      <c r="Y10" t="s">
        <v>28</v>
      </c>
      <c r="Z10" t="s">
        <v>96</v>
      </c>
      <c r="AA10" t="s">
        <v>535</v>
      </c>
      <c r="AB10">
        <v>2007</v>
      </c>
      <c r="AC10">
        <v>3587</v>
      </c>
      <c r="AD10" t="s">
        <v>536</v>
      </c>
      <c r="AE10" t="s">
        <v>121</v>
      </c>
      <c r="AF10" t="s">
        <v>537</v>
      </c>
      <c r="AG10">
        <v>47.693429000000002</v>
      </c>
      <c r="AH10">
        <v>-122.3284</v>
      </c>
      <c r="AI10" t="s">
        <v>33</v>
      </c>
      <c r="AJ10">
        <v>98115</v>
      </c>
      <c r="AK10" t="s">
        <v>34</v>
      </c>
      <c r="AL10" t="s">
        <v>35</v>
      </c>
      <c r="AM10" t="s">
        <v>35</v>
      </c>
      <c r="AO10">
        <v>0.14899999999999999</v>
      </c>
      <c r="AP10" t="s">
        <v>538</v>
      </c>
      <c r="AQ10">
        <v>535</v>
      </c>
      <c r="AR10" t="s">
        <v>539</v>
      </c>
      <c r="AS10" t="s">
        <v>540</v>
      </c>
      <c r="AT10">
        <v>2</v>
      </c>
      <c r="AU10" t="s">
        <v>909</v>
      </c>
      <c r="AV10" s="9"/>
      <c r="AX10">
        <f t="shared" ca="1" si="0"/>
        <v>28</v>
      </c>
    </row>
    <row r="11" spans="1:51">
      <c r="A11">
        <v>27131889</v>
      </c>
      <c r="B11" s="4" t="str">
        <f>HYPERLINK("http://locmedia.nwmls.com/DO_NOT_LINK/bigphoto/889/27131889.jpg?tsp=20070723122814","Active")</f>
        <v>Active</v>
      </c>
      <c r="C11">
        <v>705</v>
      </c>
      <c r="D11" t="s">
        <v>361</v>
      </c>
      <c r="E11" t="s">
        <v>412</v>
      </c>
      <c r="F11" s="5">
        <v>475000</v>
      </c>
      <c r="G11" t="s">
        <v>413</v>
      </c>
      <c r="H11">
        <v>1540</v>
      </c>
      <c r="I11">
        <v>3740</v>
      </c>
      <c r="J11">
        <v>4</v>
      </c>
      <c r="K11">
        <v>2</v>
      </c>
      <c r="L11">
        <v>1</v>
      </c>
      <c r="M11" s="4" t="str">
        <f>HYPERLINK("http://locsearch.nwmls.com//ReturnMap.aspx?hidMLS=NWML&amp;VHW=47.688700:-122.374946:.25:&amp;Z=4&amp;H=300&amp;W=400&amp;PP=47.688700:-122.374946:1:027131889","Map")</f>
        <v>Map</v>
      </c>
      <c r="N11" s="4" t="str">
        <f>HYPERLINK("http://locmedia.nwmls.com/DO_NOT_LINK/bigphoto/889/27131889.jpg?tsp=20070723122814","Photo")</f>
        <v>Photo</v>
      </c>
      <c r="O11" s="4" t="str">
        <f>HYPERLINK("http://locator.nwmls.com/scripts/mgrqispi.dll?APPNAME=Locator&amp;PRGNAME=MLSPictureDescriptions&amp;ARGUMENTS=-N595036758,-N27131889,-AE","More")</f>
        <v>More</v>
      </c>
      <c r="Q11" t="s">
        <v>56</v>
      </c>
      <c r="R11" t="s">
        <v>116</v>
      </c>
      <c r="S11" t="s">
        <v>58</v>
      </c>
      <c r="T11" t="s">
        <v>72</v>
      </c>
      <c r="U11" t="s">
        <v>26</v>
      </c>
      <c r="V11" s="6" t="s">
        <v>59</v>
      </c>
      <c r="X11" t="s">
        <v>27</v>
      </c>
      <c r="Y11" t="s">
        <v>28</v>
      </c>
      <c r="Z11" t="s">
        <v>29</v>
      </c>
      <c r="AA11" t="s">
        <v>414</v>
      </c>
      <c r="AB11">
        <v>2007</v>
      </c>
      <c r="AC11">
        <v>3485</v>
      </c>
      <c r="AD11" t="s">
        <v>415</v>
      </c>
      <c r="AF11" t="s">
        <v>416</v>
      </c>
      <c r="AG11">
        <v>47.688699999999997</v>
      </c>
      <c r="AH11">
        <v>-122.37494599999999</v>
      </c>
      <c r="AI11" t="s">
        <v>33</v>
      </c>
      <c r="AJ11">
        <v>98117</v>
      </c>
      <c r="AK11" t="s">
        <v>34</v>
      </c>
      <c r="AL11" t="s">
        <v>35</v>
      </c>
      <c r="AM11" t="s">
        <v>35</v>
      </c>
      <c r="AO11">
        <v>8.5999999999999993E-2</v>
      </c>
      <c r="AP11" t="s">
        <v>417</v>
      </c>
      <c r="AQ11">
        <v>534</v>
      </c>
      <c r="AR11" t="s">
        <v>371</v>
      </c>
      <c r="AS11" t="s">
        <v>418</v>
      </c>
      <c r="AT11">
        <v>1</v>
      </c>
      <c r="AV11" s="9"/>
      <c r="AX11">
        <f t="shared" ca="1" si="0"/>
        <v>28</v>
      </c>
    </row>
    <row r="12" spans="1:51">
      <c r="A12">
        <v>27132490</v>
      </c>
      <c r="B12" s="4" t="str">
        <f>HYPERLINK("http://locmedia.nwmls.com/DO_NOT_LINK/bigphoto/490/27132490.jpg?tsp=20071017092645","Active")</f>
        <v>Active</v>
      </c>
      <c r="C12">
        <v>710</v>
      </c>
      <c r="D12" t="s">
        <v>624</v>
      </c>
      <c r="E12" t="s">
        <v>625</v>
      </c>
      <c r="F12" s="5">
        <v>399000</v>
      </c>
      <c r="G12" t="s">
        <v>626</v>
      </c>
      <c r="H12">
        <v>1850</v>
      </c>
      <c r="I12">
        <v>9804</v>
      </c>
      <c r="J12">
        <v>3</v>
      </c>
      <c r="K12">
        <v>1</v>
      </c>
      <c r="L12">
        <v>1</v>
      </c>
      <c r="M12" s="4" t="str">
        <f>HYPERLINK("http://locsearch.nwmls.com//ReturnMap.aspx?hidMLS=NWML&amp;VHW=47.719401:-122.310001:.25:&amp;Z=4&amp;H=300&amp;W=400&amp;PP=47.719401:-122.310001:1:027132490","Map")</f>
        <v>Map</v>
      </c>
      <c r="N12" s="4" t="str">
        <f>HYPERLINK("http://locmedia.nwmls.com/DO_NOT_LINK/bigphoto/490/27132490.jpg?tsp=20071017092645","Photo")</f>
        <v>Photo</v>
      </c>
      <c r="O12" s="4" t="str">
        <f>HYPERLINK("http://locator.nwmls.com/scripts/mgrqispi.dll?APPNAME=Locator&amp;PRGNAME=MLSPictureDescriptions&amp;ARGUMENTS=-N719932170,-N27132490,-AE","More")</f>
        <v>More</v>
      </c>
      <c r="P12" t="s">
        <v>604</v>
      </c>
      <c r="Q12" t="s">
        <v>56</v>
      </c>
      <c r="R12" t="s">
        <v>116</v>
      </c>
      <c r="S12" t="s">
        <v>627</v>
      </c>
      <c r="T12" t="s">
        <v>300</v>
      </c>
      <c r="U12" t="s">
        <v>26</v>
      </c>
      <c r="V12" s="6" t="s">
        <v>59</v>
      </c>
      <c r="X12" t="s">
        <v>27</v>
      </c>
      <c r="Y12" t="s">
        <v>28</v>
      </c>
      <c r="Z12" t="s">
        <v>176</v>
      </c>
      <c r="AB12">
        <v>2006</v>
      </c>
      <c r="AC12">
        <v>3700</v>
      </c>
      <c r="AD12" t="s">
        <v>628</v>
      </c>
      <c r="AE12" t="s">
        <v>629</v>
      </c>
      <c r="AF12" t="s">
        <v>630</v>
      </c>
      <c r="AG12">
        <v>47.719400999999998</v>
      </c>
      <c r="AH12">
        <v>-122.310001</v>
      </c>
      <c r="AI12" t="s">
        <v>33</v>
      </c>
      <c r="AJ12">
        <v>98125</v>
      </c>
      <c r="AK12" t="s">
        <v>34</v>
      </c>
      <c r="AL12" t="s">
        <v>35</v>
      </c>
      <c r="AM12" t="s">
        <v>35</v>
      </c>
      <c r="AO12">
        <v>0.22500000000000001</v>
      </c>
      <c r="AP12" t="s">
        <v>631</v>
      </c>
      <c r="AQ12">
        <v>505</v>
      </c>
      <c r="AR12" t="s">
        <v>632</v>
      </c>
      <c r="AS12" t="s">
        <v>633</v>
      </c>
      <c r="AT12">
        <v>2</v>
      </c>
      <c r="AU12" t="s">
        <v>910</v>
      </c>
      <c r="AV12" s="9"/>
      <c r="AX12">
        <f t="shared" ca="1" si="0"/>
        <v>28</v>
      </c>
    </row>
    <row r="13" spans="1:51">
      <c r="A13">
        <v>27133411</v>
      </c>
      <c r="B13" s="4" t="str">
        <f>HYPERLINK("http://locmedia.nwmls.com/DO_NOT_LINK/bigphoto/411/27133411.jpg?tsp=20070723091220","Active")</f>
        <v>Active</v>
      </c>
      <c r="C13">
        <v>710</v>
      </c>
      <c r="D13" t="s">
        <v>634</v>
      </c>
      <c r="E13" t="s">
        <v>635</v>
      </c>
      <c r="F13" s="5">
        <v>399000</v>
      </c>
      <c r="G13" t="s">
        <v>138</v>
      </c>
      <c r="H13">
        <v>1030</v>
      </c>
      <c r="I13">
        <v>8385</v>
      </c>
      <c r="J13">
        <v>3</v>
      </c>
      <c r="K13">
        <v>1</v>
      </c>
      <c r="L13">
        <v>1</v>
      </c>
      <c r="M13" s="4" t="str">
        <f>HYPERLINK("http://locsearch.nwmls.com//ReturnMap.aspx?hidMLS=NWML&amp;VHW=47.709699:-122.292100:.25:&amp;Z=4&amp;H=300&amp;W=400&amp;PP=47.709699:-122.292100:1:027133411","Map")</f>
        <v>Map</v>
      </c>
      <c r="N13" s="4" t="str">
        <f>HYPERLINK("http://locmedia.nwmls.com/DO_NOT_LINK/bigphoto/411/27133411.jpg?tsp=20070723091220","Photo")</f>
        <v>Photo</v>
      </c>
      <c r="O13" s="4" t="str">
        <f>HYPERLINK("http://locator.nwmls.com/scripts/mgrqispi.dll?APPNAME=Locator&amp;PRGNAME=MLSPictureDescriptions&amp;ARGUMENTS=-N719932170,-N27133411,-AE","More")</f>
        <v>More</v>
      </c>
      <c r="P13" t="s">
        <v>41</v>
      </c>
      <c r="Q13" t="s">
        <v>56</v>
      </c>
      <c r="R13" t="s">
        <v>57</v>
      </c>
      <c r="S13" t="s">
        <v>43</v>
      </c>
      <c r="T13" t="s">
        <v>129</v>
      </c>
      <c r="U13" t="s">
        <v>26</v>
      </c>
      <c r="V13" s="6" t="s">
        <v>59</v>
      </c>
      <c r="W13" t="s">
        <v>17</v>
      </c>
      <c r="X13" t="s">
        <v>27</v>
      </c>
      <c r="Y13" t="s">
        <v>28</v>
      </c>
      <c r="Z13" t="s">
        <v>405</v>
      </c>
      <c r="AA13" t="s">
        <v>636</v>
      </c>
      <c r="AB13">
        <v>2007</v>
      </c>
      <c r="AC13">
        <v>2613</v>
      </c>
      <c r="AD13" t="s">
        <v>637</v>
      </c>
      <c r="AE13" t="s">
        <v>638</v>
      </c>
      <c r="AF13" t="s">
        <v>639</v>
      </c>
      <c r="AG13">
        <v>47.709699000000001</v>
      </c>
      <c r="AH13">
        <v>-122.2921</v>
      </c>
      <c r="AI13" t="s">
        <v>33</v>
      </c>
      <c r="AJ13">
        <v>98125</v>
      </c>
      <c r="AK13" t="s">
        <v>34</v>
      </c>
      <c r="AL13">
        <v>8</v>
      </c>
      <c r="AM13" t="s">
        <v>35</v>
      </c>
      <c r="AO13">
        <v>0.192</v>
      </c>
      <c r="AP13" t="s">
        <v>640</v>
      </c>
      <c r="AQ13">
        <v>505</v>
      </c>
      <c r="AR13" t="s">
        <v>641</v>
      </c>
      <c r="AS13" t="s">
        <v>642</v>
      </c>
      <c r="AT13">
        <v>2</v>
      </c>
      <c r="AU13" t="s">
        <v>911</v>
      </c>
      <c r="AV13" s="9"/>
      <c r="AX13">
        <f t="shared" ca="1" si="0"/>
        <v>28</v>
      </c>
    </row>
    <row r="14" spans="1:51">
      <c r="A14">
        <v>27139740</v>
      </c>
      <c r="B14" s="4" t="str">
        <f>HYPERLINK("http://locmedia.nwmls.com/DO_NOT_LINK/bigphoto/740/27139740.jpg?tsp=20070803112108","Active")</f>
        <v>Active</v>
      </c>
      <c r="C14">
        <v>710</v>
      </c>
      <c r="D14" t="s">
        <v>634</v>
      </c>
      <c r="E14" t="s">
        <v>737</v>
      </c>
      <c r="F14" s="5">
        <v>470000</v>
      </c>
      <c r="G14" t="s">
        <v>546</v>
      </c>
      <c r="H14">
        <v>2540</v>
      </c>
      <c r="I14">
        <v>4950</v>
      </c>
      <c r="J14">
        <v>3</v>
      </c>
      <c r="K14">
        <v>3</v>
      </c>
      <c r="L14">
        <v>2</v>
      </c>
      <c r="M14" s="4" t="str">
        <f>HYPERLINK("http://locsearch.nwmls.com//ReturnMap.aspx?hidMLS=NWML&amp;VHW=47.713189:-122.294954:.25:&amp;Z=4&amp;H=300&amp;W=400&amp;PP=47.713189:-122.294954:1:027139740","Map")</f>
        <v>Map</v>
      </c>
      <c r="N14" s="4" t="str">
        <f>HYPERLINK("http://locmedia.nwmls.com/DO_NOT_LINK/bigphoto/740/27139740.jpg?tsp=20070803112108","Photo")</f>
        <v>Photo</v>
      </c>
      <c r="O14" s="4" t="str">
        <f>HYPERLINK("http://locator.nwmls.com/scripts/mgrqispi.dll?APPNAME=Locator&amp;PRGNAME=MLSPictureDescriptions&amp;ARGUMENTS=-N719932170,-N27139740,-AE","More")</f>
        <v>More</v>
      </c>
      <c r="Q14" t="s">
        <v>167</v>
      </c>
      <c r="R14" t="s">
        <v>429</v>
      </c>
      <c r="S14" t="s">
        <v>475</v>
      </c>
      <c r="T14" t="s">
        <v>129</v>
      </c>
      <c r="U14" t="s">
        <v>26</v>
      </c>
      <c r="V14" s="6" t="s">
        <v>59</v>
      </c>
      <c r="X14" t="s">
        <v>27</v>
      </c>
      <c r="Y14" t="s">
        <v>28</v>
      </c>
      <c r="Z14" t="s">
        <v>430</v>
      </c>
      <c r="AB14">
        <v>2006</v>
      </c>
      <c r="AC14">
        <v>3200</v>
      </c>
      <c r="AD14" t="s">
        <v>738</v>
      </c>
      <c r="AE14" t="s">
        <v>739</v>
      </c>
      <c r="AF14" t="s">
        <v>740</v>
      </c>
      <c r="AG14">
        <v>47.713189</v>
      </c>
      <c r="AH14">
        <v>-122.294954</v>
      </c>
      <c r="AI14" t="s">
        <v>33</v>
      </c>
      <c r="AJ14">
        <v>98125</v>
      </c>
      <c r="AK14" t="s">
        <v>34</v>
      </c>
      <c r="AL14" t="s">
        <v>35</v>
      </c>
      <c r="AM14" t="s">
        <v>35</v>
      </c>
      <c r="AO14">
        <v>0.114</v>
      </c>
      <c r="AP14" t="s">
        <v>741</v>
      </c>
      <c r="AQ14">
        <v>505</v>
      </c>
      <c r="AR14" t="s">
        <v>742</v>
      </c>
      <c r="AS14" t="s">
        <v>743</v>
      </c>
      <c r="AT14">
        <v>2</v>
      </c>
      <c r="AU14" t="s">
        <v>912</v>
      </c>
      <c r="AV14" s="9"/>
      <c r="AX14">
        <f t="shared" ca="1" si="0"/>
        <v>28</v>
      </c>
    </row>
    <row r="15" spans="1:51">
      <c r="A15">
        <v>27147967</v>
      </c>
      <c r="B15" s="4" t="str">
        <f>HYPERLINK("http://locmedia.nwmls.com/DO_NOT_LINK/bigphoto/967/27147967.jpg?tsp=20071024153813","Active")</f>
        <v>Active</v>
      </c>
      <c r="C15">
        <v>705</v>
      </c>
      <c r="D15" t="s">
        <v>224</v>
      </c>
      <c r="E15" t="s">
        <v>260</v>
      </c>
      <c r="F15" s="5">
        <v>449500</v>
      </c>
      <c r="G15" t="s">
        <v>261</v>
      </c>
      <c r="H15">
        <v>1730</v>
      </c>
      <c r="I15">
        <v>3500</v>
      </c>
      <c r="J15">
        <v>2</v>
      </c>
      <c r="K15">
        <v>1</v>
      </c>
      <c r="L15">
        <v>1</v>
      </c>
      <c r="M15" s="4" t="str">
        <f>HYPERLINK("http://locsearch.nwmls.com//ReturnMap.aspx?hidMLS=NWML&amp;VHW=47.675854:-122.358501:.25:&amp;Z=4&amp;H=300&amp;W=400&amp;PP=47.675854:-122.358501:1:027147967","Map")</f>
        <v>Map</v>
      </c>
      <c r="N15" s="4" t="str">
        <f>HYPERLINK("http://locmedia.nwmls.com/DO_NOT_LINK/bigphoto/967/27147967.jpg?tsp=20071024153813","Photo")</f>
        <v>Photo</v>
      </c>
      <c r="O15" s="4" t="str">
        <f>HYPERLINK("http://locator.nwmls.com/scripts/mgrqispi.dll?APPNAME=Locator&amp;PRGNAME=MLSPictureDescriptions&amp;ARGUMENTS=-N595036758,-N27147967,-AE","More")</f>
        <v>More</v>
      </c>
      <c r="P15" t="s">
        <v>262</v>
      </c>
      <c r="Q15" t="s">
        <v>42</v>
      </c>
      <c r="R15" t="s">
        <v>23</v>
      </c>
      <c r="S15" t="s">
        <v>199</v>
      </c>
      <c r="T15" t="s">
        <v>263</v>
      </c>
      <c r="V15" s="6" t="s">
        <v>59</v>
      </c>
      <c r="X15" t="s">
        <v>27</v>
      </c>
      <c r="Y15" t="s">
        <v>28</v>
      </c>
      <c r="Z15" t="s">
        <v>150</v>
      </c>
      <c r="AA15" t="s">
        <v>264</v>
      </c>
      <c r="AB15">
        <v>2007</v>
      </c>
      <c r="AC15">
        <v>3476</v>
      </c>
      <c r="AD15" t="s">
        <v>265</v>
      </c>
      <c r="AF15" t="s">
        <v>266</v>
      </c>
      <c r="AG15">
        <v>47.675854000000001</v>
      </c>
      <c r="AH15">
        <v>-122.358501</v>
      </c>
      <c r="AI15" t="s">
        <v>33</v>
      </c>
      <c r="AJ15">
        <v>98107</v>
      </c>
      <c r="AK15" t="s">
        <v>34</v>
      </c>
      <c r="AL15" t="s">
        <v>35</v>
      </c>
      <c r="AM15" t="s">
        <v>35</v>
      </c>
      <c r="AO15">
        <v>0.08</v>
      </c>
      <c r="AP15" t="s">
        <v>267</v>
      </c>
      <c r="AQ15">
        <v>534</v>
      </c>
      <c r="AR15" t="s">
        <v>172</v>
      </c>
      <c r="AS15" t="s">
        <v>268</v>
      </c>
      <c r="AT15">
        <v>1</v>
      </c>
      <c r="AU15" t="s">
        <v>913</v>
      </c>
      <c r="AV15" s="9"/>
      <c r="AX15">
        <f t="shared" ca="1" si="0"/>
        <v>28</v>
      </c>
    </row>
    <row r="16" spans="1:51">
      <c r="A16">
        <v>27151323</v>
      </c>
      <c r="B16" s="4" t="str">
        <f>HYPERLINK("http://locmedia.nwmls.com/DO_NOT_LINK/bigphoto/323/27151323.jpg?tsp=20070817134438","Active")</f>
        <v>Active</v>
      </c>
      <c r="C16">
        <v>705</v>
      </c>
      <c r="D16" t="s">
        <v>81</v>
      </c>
      <c r="E16" t="s">
        <v>269</v>
      </c>
      <c r="F16" s="5">
        <v>449950</v>
      </c>
      <c r="G16" t="s">
        <v>270</v>
      </c>
      <c r="H16">
        <v>1130</v>
      </c>
      <c r="I16">
        <v>5400</v>
      </c>
      <c r="J16">
        <v>2</v>
      </c>
      <c r="K16">
        <v>2.25</v>
      </c>
      <c r="L16">
        <v>1</v>
      </c>
      <c r="M16" s="4" t="str">
        <f>HYPERLINK("http://locsearch.nwmls.com//ReturnMap.aspx?hidMLS=NWML&amp;VHW=47.699514:-122.363400:.25:&amp;Z=4&amp;H=300&amp;W=400&amp;PP=47.699514:-122.363400:1:027151323","Map")</f>
        <v>Map</v>
      </c>
      <c r="N16" s="4" t="str">
        <f>HYPERLINK("http://locmedia.nwmls.com/DO_NOT_LINK/bigphoto/323/27151323.jpg?tsp=20070817134438","Photo")</f>
        <v>Photo</v>
      </c>
      <c r="O16" s="4" t="str">
        <f>HYPERLINK("http://locator.nwmls.com/scripts/mgrqispi.dll?APPNAME=Locator&amp;PRGNAME=MLSPictureDescriptions&amp;ARGUMENTS=-N595036758,-N27151323,-AE","More")</f>
        <v>More</v>
      </c>
      <c r="Q16" t="s">
        <v>167</v>
      </c>
      <c r="R16" t="s">
        <v>57</v>
      </c>
      <c r="S16" t="s">
        <v>271</v>
      </c>
      <c r="U16" t="s">
        <v>26</v>
      </c>
      <c r="X16" t="s">
        <v>27</v>
      </c>
      <c r="Y16" t="s">
        <v>28</v>
      </c>
      <c r="Z16" t="s">
        <v>272</v>
      </c>
      <c r="AB16">
        <v>2007</v>
      </c>
      <c r="AC16">
        <v>2752</v>
      </c>
      <c r="AD16" t="s">
        <v>273</v>
      </c>
      <c r="AE16" t="s">
        <v>274</v>
      </c>
      <c r="AF16" t="s">
        <v>275</v>
      </c>
      <c r="AG16">
        <v>47.699514000000001</v>
      </c>
      <c r="AH16">
        <v>-122.3634</v>
      </c>
      <c r="AI16" t="s">
        <v>33</v>
      </c>
      <c r="AJ16">
        <v>98117</v>
      </c>
      <c r="AK16" t="s">
        <v>34</v>
      </c>
      <c r="AL16" t="s">
        <v>35</v>
      </c>
      <c r="AM16" t="s">
        <v>35</v>
      </c>
      <c r="AO16">
        <v>0.124</v>
      </c>
      <c r="AP16" t="s">
        <v>276</v>
      </c>
      <c r="AQ16">
        <v>504</v>
      </c>
      <c r="AR16" t="s">
        <v>277</v>
      </c>
      <c r="AS16" t="s">
        <v>278</v>
      </c>
      <c r="AT16">
        <v>2</v>
      </c>
      <c r="AV16" s="9"/>
      <c r="AX16">
        <f t="shared" ca="1" si="0"/>
        <v>28</v>
      </c>
    </row>
    <row r="17" spans="1:51">
      <c r="A17">
        <v>27151470</v>
      </c>
      <c r="B17" s="4" t="str">
        <f>HYPERLINK("http://locmedia.nwmls.com/DO_NOT_LINK/bigphoto/470/27151470.jpg?tsp=20070817140628","Cancelled")</f>
        <v>Cancelled</v>
      </c>
      <c r="C17">
        <v>705</v>
      </c>
      <c r="D17" t="s">
        <v>113</v>
      </c>
      <c r="E17" t="s">
        <v>603</v>
      </c>
      <c r="F17" s="5">
        <v>499000</v>
      </c>
      <c r="G17" t="s">
        <v>596</v>
      </c>
      <c r="H17">
        <v>2980</v>
      </c>
      <c r="I17">
        <v>7767</v>
      </c>
      <c r="J17">
        <v>4</v>
      </c>
      <c r="K17">
        <v>1</v>
      </c>
      <c r="L17">
        <v>1</v>
      </c>
      <c r="M17" s="4" t="str">
        <f>HYPERLINK("http://locsearch.nwmls.com//ReturnMap.aspx?hidMLS=NWML&amp;VHW=47.708552:-122.356800:.25:&amp;Z=4&amp;H=300&amp;W=400&amp;PP=47.708552:-122.356800:1:027151470","Map")</f>
        <v>Map</v>
      </c>
      <c r="N17" s="4" t="str">
        <f>HYPERLINK("http://locmedia.nwmls.com/DO_NOT_LINK/bigphoto/470/27151470.jpg?tsp=20070817140628","Photo")</f>
        <v>Photo</v>
      </c>
      <c r="O17" s="4" t="str">
        <f>HYPERLINK("http://locator.nwmls.com/scripts/mgrqispi.dll?APPNAME=Locator&amp;PRGNAME=MLSPictureDescriptions&amp;ARGUMENTS=-N595036758,-N27151470,-AE","More")</f>
        <v>More</v>
      </c>
      <c r="P17" t="s">
        <v>604</v>
      </c>
      <c r="Q17" t="s">
        <v>56</v>
      </c>
      <c r="R17" t="s">
        <v>116</v>
      </c>
      <c r="S17" t="s">
        <v>605</v>
      </c>
      <c r="T17" t="s">
        <v>300</v>
      </c>
      <c r="V17" s="6" t="s">
        <v>59</v>
      </c>
      <c r="X17" t="s">
        <v>27</v>
      </c>
      <c r="Y17" t="s">
        <v>28</v>
      </c>
      <c r="Z17" t="s">
        <v>606</v>
      </c>
      <c r="AA17" t="s">
        <v>607</v>
      </c>
      <c r="AB17">
        <v>2006</v>
      </c>
      <c r="AC17">
        <v>3764</v>
      </c>
      <c r="AD17" t="s">
        <v>608</v>
      </c>
      <c r="AE17" t="s">
        <v>121</v>
      </c>
      <c r="AF17" t="s">
        <v>122</v>
      </c>
      <c r="AG17">
        <v>47.708551999999997</v>
      </c>
      <c r="AH17">
        <v>-122.35680000000001</v>
      </c>
      <c r="AI17" t="s">
        <v>33</v>
      </c>
      <c r="AJ17">
        <v>98133</v>
      </c>
      <c r="AK17" t="s">
        <v>34</v>
      </c>
      <c r="AL17" t="s">
        <v>35</v>
      </c>
      <c r="AM17" t="s">
        <v>35</v>
      </c>
      <c r="AO17">
        <v>0.17799999999999999</v>
      </c>
      <c r="AP17" t="s">
        <v>609</v>
      </c>
      <c r="AQ17">
        <v>504</v>
      </c>
      <c r="AR17" t="s">
        <v>64</v>
      </c>
      <c r="AS17" t="s">
        <v>610</v>
      </c>
      <c r="AT17">
        <v>2</v>
      </c>
      <c r="AU17" t="s">
        <v>914</v>
      </c>
      <c r="AV17" s="9"/>
      <c r="AX17">
        <f t="shared" ca="1" si="0"/>
        <v>28</v>
      </c>
    </row>
    <row r="18" spans="1:51">
      <c r="A18">
        <v>27154608</v>
      </c>
      <c r="B18" s="4" t="str">
        <f>HYPERLINK("http://locmedia.nwmls.com/DO_NOT_LINK/bigphoto/608/27154608.jpg?tsp=20070823100838","Active")</f>
        <v>Active</v>
      </c>
      <c r="C18">
        <v>710</v>
      </c>
      <c r="D18" t="s">
        <v>649</v>
      </c>
      <c r="E18" t="s">
        <v>790</v>
      </c>
      <c r="F18" s="5">
        <v>485000</v>
      </c>
      <c r="G18" t="s">
        <v>226</v>
      </c>
      <c r="H18">
        <v>2840</v>
      </c>
      <c r="I18">
        <v>7548</v>
      </c>
      <c r="J18">
        <v>4</v>
      </c>
      <c r="K18">
        <v>2</v>
      </c>
      <c r="M18" s="4" t="str">
        <f>HYPERLINK("http://locsearch.nwmls.com//ReturnMap.aspx?hidMLS=NWML&amp;VHW=47.690948:-122.323000:.25:&amp;Z=4&amp;H=300&amp;W=400&amp;PP=47.690948:-122.323000:1:027154608","Map")</f>
        <v>Map</v>
      </c>
      <c r="N18" s="4" t="str">
        <f>HYPERLINK("http://locmedia.nwmls.com/DO_NOT_LINK/bigphoto/608/27154608.jpg?tsp=20070823100838","Photo")</f>
        <v>Photo</v>
      </c>
      <c r="O18" s="4" t="str">
        <f>HYPERLINK("http://locator.nwmls.com/scripts/mgrqispi.dll?APPNAME=Locator&amp;PRGNAME=MLSPictureDescriptions&amp;ARGUMENTS=-N719932170,-N27154608,-AE","More")</f>
        <v>More</v>
      </c>
      <c r="P18" t="s">
        <v>791</v>
      </c>
      <c r="Q18" t="s">
        <v>56</v>
      </c>
      <c r="R18" t="s">
        <v>95</v>
      </c>
      <c r="S18" t="s">
        <v>175</v>
      </c>
      <c r="T18" t="s">
        <v>72</v>
      </c>
      <c r="U18" t="s">
        <v>26</v>
      </c>
      <c r="X18" t="s">
        <v>27</v>
      </c>
      <c r="Y18" t="s">
        <v>28</v>
      </c>
      <c r="Z18" t="s">
        <v>184</v>
      </c>
      <c r="AA18" t="s">
        <v>18</v>
      </c>
      <c r="AB18">
        <v>2007</v>
      </c>
      <c r="AC18">
        <v>3086</v>
      </c>
      <c r="AD18" t="s">
        <v>792</v>
      </c>
      <c r="AE18" t="s">
        <v>121</v>
      </c>
      <c r="AF18" t="s">
        <v>793</v>
      </c>
      <c r="AG18">
        <v>47.690947999999999</v>
      </c>
      <c r="AH18">
        <v>-122.32299999999999</v>
      </c>
      <c r="AI18" t="s">
        <v>33</v>
      </c>
      <c r="AJ18">
        <v>98115</v>
      </c>
      <c r="AK18" t="s">
        <v>34</v>
      </c>
      <c r="AL18" t="s">
        <v>35</v>
      </c>
      <c r="AM18" t="s">
        <v>35</v>
      </c>
      <c r="AO18">
        <v>0.17299999999999999</v>
      </c>
      <c r="AP18" t="s">
        <v>794</v>
      </c>
      <c r="AQ18">
        <v>535</v>
      </c>
      <c r="AR18" t="s">
        <v>676</v>
      </c>
      <c r="AS18" t="s">
        <v>795</v>
      </c>
      <c r="AT18">
        <v>1</v>
      </c>
      <c r="AU18" t="s">
        <v>915</v>
      </c>
      <c r="AV18" s="9"/>
      <c r="AX18">
        <f t="shared" ca="1" si="0"/>
        <v>28</v>
      </c>
      <c r="AY18" t="s">
        <v>916</v>
      </c>
    </row>
    <row r="19" spans="1:51">
      <c r="A19">
        <v>27159537</v>
      </c>
      <c r="B19" s="4" t="str">
        <f>HYPERLINK("http://locmedia.nwmls.com/DO_NOT_LINK/bigphoto/537/27159537.jpg?tsp=20070831115009","Active")</f>
        <v>Active</v>
      </c>
      <c r="C19">
        <v>705</v>
      </c>
      <c r="D19" t="s">
        <v>66</v>
      </c>
      <c r="E19" t="s">
        <v>541</v>
      </c>
      <c r="F19" s="5">
        <v>499999</v>
      </c>
      <c r="G19" t="s">
        <v>138</v>
      </c>
      <c r="H19">
        <v>1460</v>
      </c>
      <c r="I19">
        <v>3060</v>
      </c>
      <c r="J19">
        <v>3</v>
      </c>
      <c r="K19">
        <v>1.75</v>
      </c>
      <c r="M19" s="4" t="str">
        <f>HYPERLINK("http://locsearch.nwmls.com//ReturnMap.aspx?hidMLS=NWML&amp;VHW=47.668601:-122.323785:.25:&amp;Z=4&amp;H=300&amp;W=400&amp;PP=47.668601:-122.323785:1:027159537","Map")</f>
        <v>Map</v>
      </c>
      <c r="N19" s="4" t="str">
        <f>HYPERLINK("http://locmedia.nwmls.com/DO_NOT_LINK/bigphoto/537/27159537.jpg?tsp=20070831115009","Photo")</f>
        <v>Photo</v>
      </c>
      <c r="O19" s="4" t="str">
        <f>HYPERLINK("http://locator.nwmls.com/scripts/mgrqispi.dll?APPNAME=Locator&amp;PRGNAME=MLSPictureDescriptions&amp;ARGUMENTS=-N595036758,-N27159537,-AE","More")</f>
        <v>More</v>
      </c>
      <c r="P19" t="s">
        <v>41</v>
      </c>
      <c r="Q19" t="s">
        <v>56</v>
      </c>
      <c r="R19" t="s">
        <v>116</v>
      </c>
      <c r="T19" t="s">
        <v>300</v>
      </c>
      <c r="V19" s="6" t="s">
        <v>59</v>
      </c>
      <c r="X19" t="s">
        <v>27</v>
      </c>
      <c r="Y19" t="s">
        <v>28</v>
      </c>
      <c r="Z19" t="s">
        <v>365</v>
      </c>
      <c r="AB19">
        <v>2006</v>
      </c>
      <c r="AC19">
        <v>3865</v>
      </c>
      <c r="AD19" t="s">
        <v>542</v>
      </c>
      <c r="AF19" t="s">
        <v>392</v>
      </c>
      <c r="AG19">
        <v>47.668601000000002</v>
      </c>
      <c r="AH19">
        <v>-122.323785</v>
      </c>
      <c r="AI19" t="s">
        <v>33</v>
      </c>
      <c r="AJ19">
        <v>98105</v>
      </c>
      <c r="AK19" t="s">
        <v>34</v>
      </c>
      <c r="AL19">
        <v>6</v>
      </c>
      <c r="AM19" t="s">
        <v>35</v>
      </c>
      <c r="AO19">
        <v>7.0000000000000007E-2</v>
      </c>
      <c r="AP19" t="s">
        <v>543</v>
      </c>
      <c r="AQ19">
        <v>535</v>
      </c>
      <c r="AR19" t="s">
        <v>509</v>
      </c>
      <c r="AS19" t="s">
        <v>544</v>
      </c>
      <c r="AT19">
        <v>1</v>
      </c>
      <c r="AU19" t="s">
        <v>913</v>
      </c>
      <c r="AV19" s="9"/>
      <c r="AX19">
        <f t="shared" ca="1" si="0"/>
        <v>28</v>
      </c>
    </row>
    <row r="20" spans="1:51">
      <c r="A20">
        <v>27161472</v>
      </c>
      <c r="B20" s="4" t="str">
        <f>HYPERLINK("http://locmedia.nwmls.com/DO_NOT_LINK/bigphoto/472/27161472.jpg?tsp=20071013160555","Active")</f>
        <v>Active</v>
      </c>
      <c r="C20">
        <v>710</v>
      </c>
      <c r="D20" t="s">
        <v>656</v>
      </c>
      <c r="E20" t="s">
        <v>696</v>
      </c>
      <c r="F20" s="5">
        <v>449950</v>
      </c>
      <c r="G20" t="s">
        <v>115</v>
      </c>
      <c r="H20">
        <v>1180</v>
      </c>
      <c r="I20">
        <v>5413</v>
      </c>
      <c r="J20">
        <v>3</v>
      </c>
      <c r="K20">
        <v>2</v>
      </c>
      <c r="M20" s="4" t="str">
        <f>HYPERLINK("http://locsearch.nwmls.com//ReturnMap.aspx?hidMLS=NWML&amp;VHW=47.694426:-122.301491:.25:&amp;Z=4&amp;H=300&amp;W=400&amp;PP=47.694426:-122.301491:1:027161472","Map")</f>
        <v>Map</v>
      </c>
      <c r="N20" s="4" t="str">
        <f>HYPERLINK("http://locmedia.nwmls.com/DO_NOT_LINK/bigphoto/472/27161472.jpg?tsp=20071013160555","Photo")</f>
        <v>Photo</v>
      </c>
      <c r="O20" s="4" t="str">
        <f>HYPERLINK("http://locator.nwmls.com/scripts/mgrqispi.dll?APPNAME=Locator&amp;PRGNAME=MLSPictureDescriptions&amp;ARGUMENTS=-N719932170,-N27161472,-AE","More")</f>
        <v>More</v>
      </c>
      <c r="Q20" t="s">
        <v>56</v>
      </c>
      <c r="R20" t="s">
        <v>57</v>
      </c>
      <c r="S20" t="s">
        <v>199</v>
      </c>
      <c r="T20" t="s">
        <v>25</v>
      </c>
      <c r="U20" t="s">
        <v>26</v>
      </c>
      <c r="V20" s="6" t="s">
        <v>59</v>
      </c>
      <c r="X20" t="s">
        <v>27</v>
      </c>
      <c r="Y20" t="s">
        <v>28</v>
      </c>
      <c r="Z20" t="s">
        <v>184</v>
      </c>
      <c r="AA20" t="s">
        <v>697</v>
      </c>
      <c r="AB20">
        <v>2007</v>
      </c>
      <c r="AC20">
        <v>2993</v>
      </c>
      <c r="AD20" t="s">
        <v>698</v>
      </c>
      <c r="AE20" t="s">
        <v>699</v>
      </c>
      <c r="AF20" t="s">
        <v>700</v>
      </c>
      <c r="AG20">
        <v>47.694426</v>
      </c>
      <c r="AH20">
        <v>-122.301491</v>
      </c>
      <c r="AI20" t="s">
        <v>33</v>
      </c>
      <c r="AJ20">
        <v>98115</v>
      </c>
      <c r="AK20" t="s">
        <v>34</v>
      </c>
      <c r="AL20" t="s">
        <v>701</v>
      </c>
      <c r="AM20" t="s">
        <v>35</v>
      </c>
      <c r="AO20">
        <v>0.124</v>
      </c>
      <c r="AP20" t="s">
        <v>702</v>
      </c>
      <c r="AQ20">
        <v>535</v>
      </c>
      <c r="AR20" t="s">
        <v>426</v>
      </c>
      <c r="AS20" t="s">
        <v>703</v>
      </c>
      <c r="AT20">
        <v>4</v>
      </c>
      <c r="AU20" t="s">
        <v>917</v>
      </c>
      <c r="AV20" s="9">
        <v>39329</v>
      </c>
      <c r="AW20">
        <v>82</v>
      </c>
      <c r="AX20">
        <f t="shared" ca="1" si="0"/>
        <v>104</v>
      </c>
      <c r="AY20" t="s">
        <v>916</v>
      </c>
    </row>
    <row r="21" spans="1:51">
      <c r="A21">
        <v>27161640</v>
      </c>
      <c r="B21" s="4" t="str">
        <f>HYPERLINK("http://locmedia.nwmls.com/DO_NOT_LINK/bigphoto/640/27161640.jpg?tsp=20070904130827","Active")</f>
        <v>Active</v>
      </c>
      <c r="C21">
        <v>705</v>
      </c>
      <c r="D21" t="s">
        <v>361</v>
      </c>
      <c r="E21" t="s">
        <v>459</v>
      </c>
      <c r="F21" s="5">
        <v>484950</v>
      </c>
      <c r="G21" t="s">
        <v>460</v>
      </c>
      <c r="H21">
        <v>0</v>
      </c>
      <c r="I21">
        <v>6930</v>
      </c>
      <c r="J21">
        <v>2</v>
      </c>
      <c r="K21">
        <v>1</v>
      </c>
      <c r="L21">
        <v>1</v>
      </c>
      <c r="M21" s="4" t="str">
        <f>HYPERLINK("http://locsearch.nwmls.com//ReturnMap.aspx?hidMLS=NWML&amp;VHW=47.704268:-122.372800:.25:&amp;Z=4&amp;H=300&amp;W=400&amp;PP=47.704268:-122.372800:1:027161640","Map")</f>
        <v>Map</v>
      </c>
      <c r="N21" s="4" t="str">
        <f>HYPERLINK("http://locmedia.nwmls.com/DO_NOT_LINK/bigphoto/640/27161640.jpg?tsp=20070904130827","Photo")</f>
        <v>Photo</v>
      </c>
      <c r="O21" s="4" t="str">
        <f>HYPERLINK("http://locator.nwmls.com/scripts/mgrqispi.dll?APPNAME=Locator&amp;PRGNAME=MLSPictureDescriptions&amp;ARGUMENTS=-N595036758,-N27161640,-AE","More")</f>
        <v>More</v>
      </c>
      <c r="Q21" t="s">
        <v>56</v>
      </c>
      <c r="R21" t="s">
        <v>95</v>
      </c>
      <c r="S21" t="s">
        <v>199</v>
      </c>
      <c r="T21" t="s">
        <v>25</v>
      </c>
      <c r="U21" t="s">
        <v>26</v>
      </c>
      <c r="V21" t="s">
        <v>380</v>
      </c>
      <c r="X21" t="s">
        <v>27</v>
      </c>
      <c r="Y21" t="s">
        <v>28</v>
      </c>
      <c r="Z21" t="s">
        <v>461</v>
      </c>
      <c r="AA21" t="s">
        <v>462</v>
      </c>
      <c r="AB21">
        <v>2007</v>
      </c>
      <c r="AC21">
        <v>2863</v>
      </c>
      <c r="AD21" t="s">
        <v>463</v>
      </c>
      <c r="AE21" t="s">
        <v>121</v>
      </c>
      <c r="AF21" t="s">
        <v>464</v>
      </c>
      <c r="AG21">
        <v>47.704267999999999</v>
      </c>
      <c r="AH21">
        <v>-122.3728</v>
      </c>
      <c r="AI21" t="s">
        <v>33</v>
      </c>
      <c r="AJ21">
        <v>98177</v>
      </c>
      <c r="AK21" t="s">
        <v>34</v>
      </c>
      <c r="AL21">
        <v>3</v>
      </c>
      <c r="AM21" t="s">
        <v>35</v>
      </c>
      <c r="AO21">
        <v>0.159</v>
      </c>
      <c r="AP21" t="s">
        <v>465</v>
      </c>
      <c r="AQ21">
        <v>504</v>
      </c>
      <c r="AR21" t="s">
        <v>466</v>
      </c>
      <c r="AS21" t="s">
        <v>467</v>
      </c>
      <c r="AT21">
        <v>4</v>
      </c>
      <c r="AV21" s="9">
        <v>39329</v>
      </c>
      <c r="AW21">
        <v>82</v>
      </c>
      <c r="AX21">
        <f t="shared" ca="1" si="0"/>
        <v>104</v>
      </c>
      <c r="AY21" t="s">
        <v>907</v>
      </c>
    </row>
    <row r="22" spans="1:51">
      <c r="A22">
        <v>27161705</v>
      </c>
      <c r="B22" s="4" t="str">
        <f>HYPERLINK("http://locmedia.nwmls.com/DO_NOT_LINK/bigphoto/705/27161705.jpg?tsp=20071019095934","Active")</f>
        <v>Active</v>
      </c>
      <c r="C22">
        <v>705</v>
      </c>
      <c r="D22" t="s">
        <v>81</v>
      </c>
      <c r="E22" t="s">
        <v>182</v>
      </c>
      <c r="F22" s="5">
        <v>415000</v>
      </c>
      <c r="G22" t="s">
        <v>183</v>
      </c>
      <c r="H22">
        <v>920</v>
      </c>
      <c r="I22">
        <v>0</v>
      </c>
      <c r="J22">
        <v>2</v>
      </c>
      <c r="K22">
        <v>1</v>
      </c>
      <c r="M22" s="4" t="str">
        <f>HYPERLINK("http://locsearch.nwmls.com//ReturnMap.aspx?hidMLS=NWML&amp;VHW=47.676862:-122.388652:.25:&amp;Z=4&amp;H=300&amp;W=400&amp;PP=47.676862:-122.388652:1:027161705","Map")</f>
        <v>Map</v>
      </c>
      <c r="N22" s="4" t="str">
        <f>HYPERLINK("http://locmedia.nwmls.com/DO_NOT_LINK/bigphoto/705/27161705.jpg?tsp=20071019095934","Photo")</f>
        <v>Photo</v>
      </c>
      <c r="O22" s="4" t="str">
        <f>HYPERLINK("http://locator.nwmls.com/scripts/mgrqispi.dll?APPNAME=Locator&amp;PRGNAME=MLSPictureDescriptions&amp;ARGUMENTS=-N595036758,-N27161705,-AE","More")</f>
        <v>More</v>
      </c>
      <c r="Q22" t="s">
        <v>56</v>
      </c>
      <c r="R22" t="s">
        <v>95</v>
      </c>
      <c r="T22" t="s">
        <v>25</v>
      </c>
      <c r="U22" t="s">
        <v>26</v>
      </c>
      <c r="X22" t="s">
        <v>27</v>
      </c>
      <c r="Y22" t="s">
        <v>28</v>
      </c>
      <c r="Z22" t="s">
        <v>184</v>
      </c>
      <c r="AB22">
        <v>2006</v>
      </c>
      <c r="AC22">
        <v>2770</v>
      </c>
      <c r="AD22" t="s">
        <v>185</v>
      </c>
      <c r="AE22" t="s">
        <v>186</v>
      </c>
      <c r="AF22" t="s">
        <v>187</v>
      </c>
      <c r="AG22">
        <v>47.676862</v>
      </c>
      <c r="AH22">
        <v>-122.38865199999999</v>
      </c>
      <c r="AI22" t="s">
        <v>33</v>
      </c>
      <c r="AJ22">
        <v>98117</v>
      </c>
      <c r="AK22" t="s">
        <v>34</v>
      </c>
      <c r="AL22" t="s">
        <v>35</v>
      </c>
      <c r="AM22" t="s">
        <v>35</v>
      </c>
      <c r="AO22">
        <v>0</v>
      </c>
      <c r="AP22" t="s">
        <v>188</v>
      </c>
      <c r="AQ22">
        <v>534</v>
      </c>
      <c r="AR22" t="s">
        <v>189</v>
      </c>
      <c r="AS22" t="s">
        <v>190</v>
      </c>
      <c r="AT22">
        <v>3</v>
      </c>
      <c r="AU22" t="s">
        <v>918</v>
      </c>
      <c r="AV22" s="9"/>
      <c r="AX22">
        <f t="shared" ca="1" si="0"/>
        <v>28</v>
      </c>
    </row>
    <row r="23" spans="1:51">
      <c r="A23">
        <v>27161813</v>
      </c>
      <c r="B23" s="4" t="str">
        <f>HYPERLINK("http://locmedia.nwmls.com/DO_NOT_LINK/bigphoto/813/27161813.jpg?tsp=20070904150815","Active")</f>
        <v>Active</v>
      </c>
      <c r="C23">
        <v>705</v>
      </c>
      <c r="D23" t="s">
        <v>403</v>
      </c>
      <c r="E23" t="s">
        <v>404</v>
      </c>
      <c r="F23" s="5">
        <v>474950</v>
      </c>
      <c r="G23" t="s">
        <v>270</v>
      </c>
      <c r="H23">
        <v>1140</v>
      </c>
      <c r="I23">
        <v>2500</v>
      </c>
      <c r="J23">
        <v>3</v>
      </c>
      <c r="K23">
        <v>1.75</v>
      </c>
      <c r="L23">
        <v>1</v>
      </c>
      <c r="M23" s="4" t="str">
        <f>HYPERLINK("http://locsearch.nwmls.com//ReturnMap.aspx?hidMLS=NWML&amp;VHW=47.661400:-122.351500:.25:&amp;Z=4&amp;H=300&amp;W=400&amp;PP=47.661400:-122.351500:1:027161813","Map")</f>
        <v>Map</v>
      </c>
      <c r="N23" s="4" t="str">
        <f>HYPERLINK("http://locmedia.nwmls.com/DO_NOT_LINK/bigphoto/813/27161813.jpg?tsp=20070904150815","Photo")</f>
        <v>Photo</v>
      </c>
      <c r="O23" s="4" t="str">
        <f>HYPERLINK("http://locator.nwmls.com/scripts/mgrqispi.dll?APPNAME=Locator&amp;PRGNAME=MLSPictureDescriptions&amp;ARGUMENTS=-N595036758,-N27161813,-AE","More")</f>
        <v>More</v>
      </c>
      <c r="Q23" t="s">
        <v>56</v>
      </c>
      <c r="R23" t="s">
        <v>95</v>
      </c>
      <c r="S23" t="s">
        <v>24</v>
      </c>
      <c r="T23" t="s">
        <v>300</v>
      </c>
      <c r="U23" t="s">
        <v>26</v>
      </c>
      <c r="V23" s="6" t="s">
        <v>59</v>
      </c>
      <c r="X23" t="s">
        <v>27</v>
      </c>
      <c r="Y23" t="s">
        <v>28</v>
      </c>
      <c r="Z23" t="s">
        <v>405</v>
      </c>
      <c r="AA23" t="s">
        <v>406</v>
      </c>
      <c r="AB23">
        <v>2007</v>
      </c>
      <c r="AC23">
        <v>3735</v>
      </c>
      <c r="AD23" t="s">
        <v>407</v>
      </c>
      <c r="AE23" t="s">
        <v>408</v>
      </c>
      <c r="AF23" t="s">
        <v>409</v>
      </c>
      <c r="AG23">
        <v>47.6614</v>
      </c>
      <c r="AH23">
        <v>-122.3515</v>
      </c>
      <c r="AI23" t="s">
        <v>33</v>
      </c>
      <c r="AJ23">
        <v>98103</v>
      </c>
      <c r="AK23" t="s">
        <v>34</v>
      </c>
      <c r="AL23">
        <v>18</v>
      </c>
      <c r="AM23" t="s">
        <v>35</v>
      </c>
      <c r="AO23">
        <v>5.7000000000000002E-2</v>
      </c>
      <c r="AP23" t="s">
        <v>410</v>
      </c>
      <c r="AQ23">
        <v>534</v>
      </c>
      <c r="AR23" t="s">
        <v>124</v>
      </c>
      <c r="AS23" t="s">
        <v>411</v>
      </c>
      <c r="AT23">
        <v>1</v>
      </c>
      <c r="AU23" t="s">
        <v>913</v>
      </c>
      <c r="AV23" s="9"/>
      <c r="AX23">
        <f t="shared" ca="1" si="0"/>
        <v>28</v>
      </c>
    </row>
    <row r="24" spans="1:51">
      <c r="A24">
        <v>27162082</v>
      </c>
      <c r="B24" s="4" t="str">
        <f>HYPERLINK("http://locmedia.nwmls.com/DO_NOT_LINK/bigphoto/082/27162082.jpg?tsp=20070904203012","Active")</f>
        <v>Active</v>
      </c>
      <c r="C24">
        <v>710</v>
      </c>
      <c r="D24" t="s">
        <v>649</v>
      </c>
      <c r="E24" t="s">
        <v>817</v>
      </c>
      <c r="F24" s="5">
        <v>499000</v>
      </c>
      <c r="G24" t="s">
        <v>83</v>
      </c>
      <c r="H24">
        <v>2000</v>
      </c>
      <c r="I24">
        <v>3863</v>
      </c>
      <c r="J24">
        <v>2</v>
      </c>
      <c r="K24">
        <v>1</v>
      </c>
      <c r="L24">
        <v>1</v>
      </c>
      <c r="M24" s="4" t="str">
        <f>HYPERLINK("http://locsearch.nwmls.com//ReturnMap.aspx?hidMLS=NWML&amp;VHW=47.687041:-122.314301:.25:&amp;Z=4&amp;H=300&amp;W=400&amp;PP=47.687041:-122.314301:1:027162082","Map")</f>
        <v>Map</v>
      </c>
      <c r="N24" s="4" t="str">
        <f>HYPERLINK("http://locmedia.nwmls.com/DO_NOT_LINK/bigphoto/082/27162082.jpg?tsp=20070904203012","Photo")</f>
        <v>Photo</v>
      </c>
      <c r="O24" s="4" t="str">
        <f>HYPERLINK("http://locator.nwmls.com/scripts/mgrqispi.dll?APPNAME=Locator&amp;PRGNAME=MLSPictureDescriptions&amp;ARGUMENTS=-N719932170,-N27162082,-AE","More")</f>
        <v>More</v>
      </c>
      <c r="Q24" t="s">
        <v>56</v>
      </c>
      <c r="R24" t="s">
        <v>116</v>
      </c>
      <c r="S24" t="s">
        <v>199</v>
      </c>
      <c r="T24" t="s">
        <v>300</v>
      </c>
      <c r="V24" s="6" t="s">
        <v>59</v>
      </c>
      <c r="X24" t="s">
        <v>27</v>
      </c>
      <c r="Y24" t="s">
        <v>28</v>
      </c>
      <c r="Z24" t="s">
        <v>818</v>
      </c>
      <c r="AB24">
        <v>2007</v>
      </c>
      <c r="AC24">
        <v>3309</v>
      </c>
      <c r="AD24" t="s">
        <v>819</v>
      </c>
      <c r="AE24" t="s">
        <v>820</v>
      </c>
      <c r="AF24" t="s">
        <v>821</v>
      </c>
      <c r="AG24">
        <v>47.687041000000001</v>
      </c>
      <c r="AH24">
        <v>-122.314301</v>
      </c>
      <c r="AI24" t="s">
        <v>33</v>
      </c>
      <c r="AJ24">
        <v>98115</v>
      </c>
      <c r="AK24" t="s">
        <v>34</v>
      </c>
      <c r="AL24" t="s">
        <v>35</v>
      </c>
      <c r="AM24" t="s">
        <v>35</v>
      </c>
      <c r="AO24">
        <v>8.8999999999999996E-2</v>
      </c>
      <c r="AP24" t="s">
        <v>822</v>
      </c>
      <c r="AQ24">
        <v>535</v>
      </c>
      <c r="AR24" t="s">
        <v>823</v>
      </c>
      <c r="AS24" t="s">
        <v>824</v>
      </c>
      <c r="AT24">
        <v>4</v>
      </c>
      <c r="AU24" t="s">
        <v>908</v>
      </c>
      <c r="AV24" s="9">
        <v>39329</v>
      </c>
      <c r="AW24">
        <v>82</v>
      </c>
      <c r="AX24">
        <f t="shared" ca="1" si="0"/>
        <v>104</v>
      </c>
      <c r="AY24" t="s">
        <v>907</v>
      </c>
    </row>
    <row r="25" spans="1:51">
      <c r="A25">
        <v>27163040</v>
      </c>
      <c r="B25" s="4" t="str">
        <f>HYPERLINK("http://locmedia.nwmls.com/DO_NOT_LINK/bigphoto/040/27163040.jpg?tsp=20071019133237","Active")</f>
        <v>Active</v>
      </c>
      <c r="C25">
        <v>705</v>
      </c>
      <c r="D25" t="s">
        <v>53</v>
      </c>
      <c r="E25" t="s">
        <v>241</v>
      </c>
      <c r="F25" s="5">
        <v>439500</v>
      </c>
      <c r="G25" t="s">
        <v>242</v>
      </c>
      <c r="H25">
        <v>1790</v>
      </c>
      <c r="I25">
        <v>3302</v>
      </c>
      <c r="J25">
        <v>3</v>
      </c>
      <c r="K25">
        <v>2</v>
      </c>
      <c r="L25">
        <v>1</v>
      </c>
      <c r="M25" t="s">
        <v>243</v>
      </c>
      <c r="N25" s="4" t="str">
        <f>HYPERLINK("http://locmedia.nwmls.com/DO_NOT_LINK/bigphoto/040/27163040.jpg?tsp=20071019133237","Photo")</f>
        <v>Photo</v>
      </c>
      <c r="O25" s="4" t="str">
        <f>HYPERLINK("http://locator.nwmls.com/scripts/mgrqispi.dll?APPNAME=Locator&amp;PRGNAME=MLSPictureDescriptions&amp;ARGUMENTS=-N595036758,-N27163040,-AE","More")</f>
        <v>More</v>
      </c>
      <c r="P25" t="s">
        <v>41</v>
      </c>
      <c r="Q25" t="s">
        <v>22</v>
      </c>
      <c r="R25" t="s">
        <v>23</v>
      </c>
      <c r="S25" t="s">
        <v>199</v>
      </c>
      <c r="T25" t="s">
        <v>25</v>
      </c>
      <c r="U25" t="s">
        <v>26</v>
      </c>
      <c r="V25" s="6" t="s">
        <v>59</v>
      </c>
      <c r="X25" t="s">
        <v>27</v>
      </c>
      <c r="Y25" t="s">
        <v>28</v>
      </c>
      <c r="Z25" t="s">
        <v>244</v>
      </c>
      <c r="AB25">
        <v>2007</v>
      </c>
      <c r="AC25">
        <v>3309</v>
      </c>
      <c r="AD25" t="s">
        <v>245</v>
      </c>
      <c r="AE25" t="s">
        <v>246</v>
      </c>
      <c r="AF25" t="s">
        <v>247</v>
      </c>
      <c r="AI25" t="s">
        <v>33</v>
      </c>
      <c r="AJ25">
        <v>98117</v>
      </c>
      <c r="AK25" t="s">
        <v>34</v>
      </c>
      <c r="AL25" t="s">
        <v>35</v>
      </c>
      <c r="AM25" t="s">
        <v>35</v>
      </c>
      <c r="AO25">
        <v>7.5999999999999998E-2</v>
      </c>
      <c r="AP25" t="s">
        <v>248</v>
      </c>
      <c r="AQ25">
        <v>504</v>
      </c>
      <c r="AR25" t="s">
        <v>204</v>
      </c>
      <c r="AS25" t="s">
        <v>249</v>
      </c>
      <c r="AT25">
        <v>1</v>
      </c>
      <c r="AU25" t="s">
        <v>913</v>
      </c>
      <c r="AV25" s="9"/>
      <c r="AX25">
        <f t="shared" ca="1" si="0"/>
        <v>28</v>
      </c>
    </row>
    <row r="26" spans="1:51">
      <c r="A26">
        <v>27163615</v>
      </c>
      <c r="B26" s="4" t="str">
        <f>HYPERLINK("http://locmedia.nwmls.com/DO_NOT_LINK/bigphoto/615/27163615.jpg?tsp=20070907115620","Active")</f>
        <v>Active</v>
      </c>
      <c r="C26">
        <v>710</v>
      </c>
      <c r="D26" t="s">
        <v>649</v>
      </c>
      <c r="E26" t="s">
        <v>783</v>
      </c>
      <c r="F26" s="5">
        <v>480000</v>
      </c>
      <c r="G26" t="s">
        <v>784</v>
      </c>
      <c r="H26">
        <v>0</v>
      </c>
      <c r="I26">
        <v>5080</v>
      </c>
      <c r="J26">
        <v>2</v>
      </c>
      <c r="K26">
        <v>1.5</v>
      </c>
      <c r="L26">
        <v>1</v>
      </c>
      <c r="M26" s="4" t="str">
        <f>HYPERLINK("http://locsearch.nwmls.com//ReturnMap.aspx?hidMLS=NWML&amp;VHW=47.698501:-122.313312:.25:&amp;Z=4&amp;H=300&amp;W=400&amp;PP=47.698501:-122.313312:1:027163615","Map")</f>
        <v>Map</v>
      </c>
      <c r="N26" s="4" t="str">
        <f>HYPERLINK("http://locmedia.nwmls.com/DO_NOT_LINK/bigphoto/615/27163615.jpg?tsp=20070907115620","Photo")</f>
        <v>Photo</v>
      </c>
      <c r="O26" s="4" t="str">
        <f>HYPERLINK("http://locator.nwmls.com/scripts/mgrqispi.dll?APPNAME=Locator&amp;PRGNAME=MLSPictureDescriptions&amp;ARGUMENTS=-N719932170,-N27163615,-AE","More")</f>
        <v>More</v>
      </c>
      <c r="P26" t="s">
        <v>262</v>
      </c>
      <c r="Q26" t="s">
        <v>56</v>
      </c>
      <c r="R26" t="s">
        <v>95</v>
      </c>
      <c r="S26" t="s">
        <v>175</v>
      </c>
      <c r="T26" t="s">
        <v>300</v>
      </c>
      <c r="U26" t="s">
        <v>26</v>
      </c>
      <c r="V26" s="6" t="s">
        <v>59</v>
      </c>
      <c r="X26" t="s">
        <v>27</v>
      </c>
      <c r="Y26" t="s">
        <v>28</v>
      </c>
      <c r="Z26" t="s">
        <v>785</v>
      </c>
      <c r="AB26">
        <v>2007</v>
      </c>
      <c r="AC26">
        <v>2956</v>
      </c>
      <c r="AD26" t="s">
        <v>786</v>
      </c>
      <c r="AE26" t="s">
        <v>787</v>
      </c>
      <c r="AG26">
        <v>47.698501</v>
      </c>
      <c r="AH26">
        <v>-122.313312</v>
      </c>
      <c r="AI26" t="s">
        <v>33</v>
      </c>
      <c r="AJ26">
        <v>98115</v>
      </c>
      <c r="AK26" t="s">
        <v>34</v>
      </c>
      <c r="AL26" t="s">
        <v>35</v>
      </c>
      <c r="AM26" t="s">
        <v>35</v>
      </c>
      <c r="AO26">
        <v>0.11700000000000001</v>
      </c>
      <c r="AP26" t="s">
        <v>788</v>
      </c>
      <c r="AQ26">
        <v>505</v>
      </c>
      <c r="AR26" t="s">
        <v>655</v>
      </c>
      <c r="AS26" t="s">
        <v>789</v>
      </c>
      <c r="AT26">
        <v>4</v>
      </c>
      <c r="AV26" s="9">
        <v>39331</v>
      </c>
      <c r="AW26">
        <v>80</v>
      </c>
      <c r="AX26">
        <f t="shared" ca="1" si="0"/>
        <v>102</v>
      </c>
      <c r="AY26" t="s">
        <v>907</v>
      </c>
    </row>
    <row r="27" spans="1:51">
      <c r="A27">
        <v>27165590</v>
      </c>
      <c r="B27" s="4" t="str">
        <f>HYPERLINK("http://locmedia.nwmls.com/DO_NOT_LINK/bigphoto/590/27165590.jpg?tsp=20070911091110","Active")</f>
        <v>Active</v>
      </c>
      <c r="C27">
        <v>710</v>
      </c>
      <c r="D27" t="s">
        <v>801</v>
      </c>
      <c r="E27" t="s">
        <v>511</v>
      </c>
      <c r="F27" s="5">
        <v>499000</v>
      </c>
      <c r="G27" t="s">
        <v>316</v>
      </c>
      <c r="H27">
        <v>1290</v>
      </c>
      <c r="I27">
        <v>3790</v>
      </c>
      <c r="J27">
        <v>3</v>
      </c>
      <c r="K27">
        <v>1</v>
      </c>
      <c r="L27">
        <v>1</v>
      </c>
      <c r="M27" s="4" t="str">
        <f>HYPERLINK("http://locsearch.nwmls.com//ReturnMap.aspx?hidMLS=NWML&amp;VHW=47.688826:-122.311119:.25:&amp;Z=4&amp;H=300&amp;W=400&amp;PP=47.688826:-122.311119:1:027165590","Map")</f>
        <v>Map</v>
      </c>
      <c r="N27" s="4" t="str">
        <f>HYPERLINK("http://locmedia.nwmls.com/DO_NOT_LINK/bigphoto/590/27165590.jpg?tsp=20070911091110","Photo")</f>
        <v>Photo</v>
      </c>
      <c r="O27" s="4" t="str">
        <f>HYPERLINK("http://locator.nwmls.com/scripts/mgrqispi.dll?APPNAME=Locator&amp;PRGNAME=MLSPictureDescriptions&amp;ARGUMENTS=-N719932170,-N27165590,-AE","More")</f>
        <v>More</v>
      </c>
      <c r="P27" t="s">
        <v>262</v>
      </c>
      <c r="Q27" t="s">
        <v>56</v>
      </c>
      <c r="R27" t="s">
        <v>116</v>
      </c>
      <c r="S27" t="s">
        <v>128</v>
      </c>
      <c r="T27" t="s">
        <v>300</v>
      </c>
      <c r="U27" t="s">
        <v>26</v>
      </c>
      <c r="X27" t="s">
        <v>27</v>
      </c>
      <c r="Y27" t="s">
        <v>28</v>
      </c>
      <c r="Z27" t="s">
        <v>207</v>
      </c>
      <c r="AA27" t="s">
        <v>512</v>
      </c>
      <c r="AB27">
        <v>2007</v>
      </c>
      <c r="AC27">
        <v>2956</v>
      </c>
      <c r="AD27" t="s">
        <v>513</v>
      </c>
      <c r="AE27" t="s">
        <v>238</v>
      </c>
      <c r="AF27" t="s">
        <v>514</v>
      </c>
      <c r="AG27">
        <v>47.688825999999999</v>
      </c>
      <c r="AH27">
        <v>-122.31111900000001</v>
      </c>
      <c r="AI27" t="s">
        <v>33</v>
      </c>
      <c r="AJ27">
        <v>98115</v>
      </c>
      <c r="AK27" t="s">
        <v>34</v>
      </c>
      <c r="AL27" t="s">
        <v>35</v>
      </c>
      <c r="AM27" t="s">
        <v>35</v>
      </c>
      <c r="AO27">
        <v>8.6999999999999994E-2</v>
      </c>
      <c r="AP27" t="s">
        <v>515</v>
      </c>
      <c r="AQ27">
        <v>535</v>
      </c>
      <c r="AR27" t="s">
        <v>516</v>
      </c>
      <c r="AS27" t="s">
        <v>825</v>
      </c>
      <c r="AT27">
        <v>4</v>
      </c>
      <c r="AV27" s="9">
        <v>39336</v>
      </c>
      <c r="AW27">
        <v>75</v>
      </c>
      <c r="AX27">
        <f t="shared" ca="1" si="0"/>
        <v>97</v>
      </c>
      <c r="AY27" t="s">
        <v>907</v>
      </c>
    </row>
    <row r="28" spans="1:51">
      <c r="A28">
        <v>27165900</v>
      </c>
      <c r="B28" s="4" t="str">
        <f>HYPERLINK("http://locmedia.nwmls.com/DO_NOT_LINK/bigphoto/900/27165900.jpg?tsp=20070912171812","Active")</f>
        <v>Active</v>
      </c>
      <c r="C28">
        <v>710</v>
      </c>
      <c r="D28" t="s">
        <v>656</v>
      </c>
      <c r="E28" t="s">
        <v>664</v>
      </c>
      <c r="F28" s="5">
        <v>439000</v>
      </c>
      <c r="G28" t="s">
        <v>115</v>
      </c>
      <c r="H28">
        <v>1435</v>
      </c>
      <c r="I28">
        <v>12506</v>
      </c>
      <c r="J28">
        <v>3</v>
      </c>
      <c r="K28">
        <v>1.75</v>
      </c>
      <c r="L28">
        <v>1</v>
      </c>
      <c r="M28" s="4" t="str">
        <f>HYPERLINK("http://locsearch.nwmls.com//ReturnMap.aspx?hidMLS=NWML&amp;VHW=47.699300:-122.291086:.25:&amp;Z=4&amp;H=300&amp;W=400&amp;PP=47.699300:-122.291086:1:027165900","Map")</f>
        <v>Map</v>
      </c>
      <c r="N28" s="4" t="str">
        <f>HYPERLINK("http://locmedia.nwmls.com/DO_NOT_LINK/bigphoto/900/27165900.jpg?tsp=20070912171812","Photo")</f>
        <v>Photo</v>
      </c>
      <c r="O28" s="4" t="str">
        <f>HYPERLINK("http://locator.nwmls.com/scripts/mgrqispi.dll?APPNAME=Locator&amp;PRGNAME=MLSPictureDescriptions&amp;ARGUMENTS=-N719932170,-N27165900,-AE","More")</f>
        <v>More</v>
      </c>
      <c r="P28" t="s">
        <v>580</v>
      </c>
      <c r="Q28" t="s">
        <v>56</v>
      </c>
      <c r="R28" t="s">
        <v>116</v>
      </c>
      <c r="S28" t="s">
        <v>128</v>
      </c>
      <c r="T28" t="s">
        <v>25</v>
      </c>
      <c r="U28" t="s">
        <v>665</v>
      </c>
      <c r="V28" t="s">
        <v>666</v>
      </c>
      <c r="X28" t="s">
        <v>27</v>
      </c>
      <c r="Y28" t="s">
        <v>28</v>
      </c>
      <c r="Z28" t="s">
        <v>430</v>
      </c>
      <c r="AB28">
        <v>2006</v>
      </c>
      <c r="AC28">
        <v>3030</v>
      </c>
      <c r="AD28" t="s">
        <v>667</v>
      </c>
      <c r="AE28" t="s">
        <v>668</v>
      </c>
      <c r="AF28" t="s">
        <v>669</v>
      </c>
      <c r="AG28">
        <v>47.699300000000001</v>
      </c>
      <c r="AH28">
        <v>-122.29108600000001</v>
      </c>
      <c r="AI28" t="s">
        <v>33</v>
      </c>
      <c r="AJ28">
        <v>98115</v>
      </c>
      <c r="AK28" t="s">
        <v>34</v>
      </c>
      <c r="AL28">
        <v>3</v>
      </c>
      <c r="AM28" t="s">
        <v>35</v>
      </c>
      <c r="AO28">
        <v>0.28699999999999998</v>
      </c>
      <c r="AP28" t="s">
        <v>670</v>
      </c>
      <c r="AQ28">
        <v>505</v>
      </c>
      <c r="AR28" t="s">
        <v>671</v>
      </c>
      <c r="AS28" t="s">
        <v>672</v>
      </c>
      <c r="AT28">
        <v>2</v>
      </c>
      <c r="AV28" s="9"/>
      <c r="AX28">
        <f t="shared" ca="1" si="0"/>
        <v>28</v>
      </c>
    </row>
    <row r="29" spans="1:51">
      <c r="A29">
        <v>27166784</v>
      </c>
      <c r="B29" s="4" t="str">
        <f>HYPERLINK("http://locmedia.nwmls.com/DO_NOT_LINK/bigphoto/784/27166784.jpg?tsp=20070911204613","Active")</f>
        <v>Active</v>
      </c>
      <c r="C29">
        <v>705</v>
      </c>
      <c r="D29" t="s">
        <v>66</v>
      </c>
      <c r="E29" t="s">
        <v>297</v>
      </c>
      <c r="F29" s="5">
        <v>450000</v>
      </c>
      <c r="G29" t="s">
        <v>298</v>
      </c>
      <c r="H29">
        <v>0</v>
      </c>
      <c r="I29">
        <v>4000</v>
      </c>
      <c r="J29">
        <v>2</v>
      </c>
      <c r="K29">
        <v>1</v>
      </c>
      <c r="L29">
        <v>1</v>
      </c>
      <c r="M29" s="4" t="str">
        <f>HYPERLINK("http://locsearch.nwmls.com//ReturnMap.aspx?hidMLS=NWML&amp;VHW=47.685959:-122.329400:.25:&amp;Z=4&amp;H=300&amp;W=400&amp;PP=47.685959:-122.329400:1:027166784","Map")</f>
        <v>Map</v>
      </c>
      <c r="N29" s="4" t="str">
        <f>HYPERLINK("http://locmedia.nwmls.com/DO_NOT_LINK/bigphoto/784/27166784.jpg?tsp=20070911204613","Photo")</f>
        <v>Photo</v>
      </c>
      <c r="O29" s="4" t="str">
        <f>HYPERLINK("http://locator.nwmls.com/scripts/mgrqispi.dll?APPNAME=Locator&amp;PRGNAME=MLSPictureDescriptions&amp;ARGUMENTS=-N595036758,-N27166784,-AE","More")</f>
        <v>More</v>
      </c>
      <c r="Q29" t="s">
        <v>56</v>
      </c>
      <c r="R29" t="s">
        <v>95</v>
      </c>
      <c r="S29" t="s">
        <v>299</v>
      </c>
      <c r="T29" t="s">
        <v>300</v>
      </c>
      <c r="U29" t="s">
        <v>26</v>
      </c>
      <c r="V29" s="6" t="s">
        <v>59</v>
      </c>
      <c r="X29" t="s">
        <v>27</v>
      </c>
      <c r="Y29" t="s">
        <v>28</v>
      </c>
      <c r="AB29">
        <v>2007</v>
      </c>
      <c r="AC29">
        <v>3587</v>
      </c>
      <c r="AD29" t="s">
        <v>301</v>
      </c>
      <c r="AE29" t="s">
        <v>302</v>
      </c>
      <c r="AF29" t="s">
        <v>303</v>
      </c>
      <c r="AG29">
        <v>47.685958999999997</v>
      </c>
      <c r="AH29">
        <v>-122.32940000000001</v>
      </c>
      <c r="AI29" t="s">
        <v>33</v>
      </c>
      <c r="AJ29">
        <v>98103</v>
      </c>
      <c r="AK29" t="s">
        <v>34</v>
      </c>
      <c r="AL29" t="s">
        <v>35</v>
      </c>
      <c r="AM29" t="s">
        <v>35</v>
      </c>
      <c r="AO29">
        <v>9.1999999999999998E-2</v>
      </c>
      <c r="AP29" t="s">
        <v>304</v>
      </c>
      <c r="AQ29">
        <v>535</v>
      </c>
      <c r="AR29" t="s">
        <v>111</v>
      </c>
      <c r="AS29" t="s">
        <v>305</v>
      </c>
      <c r="AT29">
        <v>3</v>
      </c>
      <c r="AV29" s="9"/>
      <c r="AX29">
        <f t="shared" ca="1" si="0"/>
        <v>28</v>
      </c>
    </row>
    <row r="30" spans="1:51">
      <c r="A30">
        <v>27166950</v>
      </c>
      <c r="B30" s="4" t="str">
        <f>HYPERLINK("http://locmedia.nwmls.com/DO_NOT_LINK/bigphoto/950/27166950.jpg?tsp=20070912125923","Active")</f>
        <v>Active</v>
      </c>
      <c r="C30">
        <v>705</v>
      </c>
      <c r="D30" t="s">
        <v>81</v>
      </c>
      <c r="E30" t="s">
        <v>250</v>
      </c>
      <c r="F30" s="5">
        <v>445000</v>
      </c>
      <c r="G30" t="s">
        <v>55</v>
      </c>
      <c r="H30">
        <v>1340</v>
      </c>
      <c r="I30">
        <v>4000</v>
      </c>
      <c r="J30">
        <v>3</v>
      </c>
      <c r="K30">
        <v>2</v>
      </c>
      <c r="M30" s="4" t="str">
        <f>HYPERLINK("http://locsearch.nwmls.com//ReturnMap.aspx?hidMLS=NWML&amp;VHW=47.692061:-122.381101:.25:&amp;Z=4&amp;H=300&amp;W=400&amp;PP=47.692061:-122.381101:1:027166950","Map")</f>
        <v>Map</v>
      </c>
      <c r="N30" s="4" t="str">
        <f>HYPERLINK("http://locmedia.nwmls.com/DO_NOT_LINK/bigphoto/950/27166950.jpg?tsp=20070912125923","Photo")</f>
        <v>Photo</v>
      </c>
      <c r="O30" s="4" t="str">
        <f>HYPERLINK("http://locator.nwmls.com/scripts/mgrqispi.dll?APPNAME=Locator&amp;PRGNAME=MLSPictureDescriptions&amp;ARGUMENTS=-N595036758,-N27166950,-AE","More")</f>
        <v>More</v>
      </c>
      <c r="P30" t="s">
        <v>251</v>
      </c>
      <c r="Q30" t="s">
        <v>56</v>
      </c>
      <c r="R30" t="s">
        <v>116</v>
      </c>
      <c r="S30" t="s">
        <v>24</v>
      </c>
      <c r="T30" t="s">
        <v>25</v>
      </c>
      <c r="U30" t="s">
        <v>26</v>
      </c>
      <c r="V30" t="s">
        <v>252</v>
      </c>
      <c r="X30" t="s">
        <v>27</v>
      </c>
      <c r="Y30" t="s">
        <v>28</v>
      </c>
      <c r="Z30" t="s">
        <v>253</v>
      </c>
      <c r="AB30">
        <v>2006</v>
      </c>
      <c r="AC30">
        <v>3281</v>
      </c>
      <c r="AD30" t="s">
        <v>254</v>
      </c>
      <c r="AE30" t="s">
        <v>255</v>
      </c>
      <c r="AF30" t="s">
        <v>256</v>
      </c>
      <c r="AG30">
        <v>47.692061000000002</v>
      </c>
      <c r="AH30">
        <v>-122.381101</v>
      </c>
      <c r="AI30" t="s">
        <v>33</v>
      </c>
      <c r="AJ30">
        <v>98117</v>
      </c>
      <c r="AK30" t="s">
        <v>34</v>
      </c>
      <c r="AL30" t="s">
        <v>35</v>
      </c>
      <c r="AM30" t="s">
        <v>35</v>
      </c>
      <c r="AO30">
        <v>9.1999999999999998E-2</v>
      </c>
      <c r="AP30" t="s">
        <v>257</v>
      </c>
      <c r="AQ30">
        <v>534</v>
      </c>
      <c r="AR30" t="s">
        <v>258</v>
      </c>
      <c r="AS30" t="s">
        <v>259</v>
      </c>
      <c r="AT30">
        <v>3</v>
      </c>
      <c r="AU30" t="s">
        <v>919</v>
      </c>
      <c r="AV30" s="9"/>
      <c r="AX30">
        <f t="shared" ca="1" si="0"/>
        <v>28</v>
      </c>
    </row>
    <row r="31" spans="1:51">
      <c r="A31">
        <v>27168563</v>
      </c>
      <c r="B31" s="4" t="str">
        <f>HYPERLINK("http://locmedia.nwmls.com/DO_NOT_LINK/bigphoto/563/27168563.jpg?tsp=20070926144917","Active")</f>
        <v>Active</v>
      </c>
      <c r="C31">
        <v>705</v>
      </c>
      <c r="D31" t="s">
        <v>224</v>
      </c>
      <c r="E31" t="s">
        <v>306</v>
      </c>
      <c r="F31" s="5">
        <v>450000</v>
      </c>
      <c r="G31" t="s">
        <v>127</v>
      </c>
      <c r="H31">
        <v>1340</v>
      </c>
      <c r="I31">
        <v>3250</v>
      </c>
      <c r="J31">
        <v>2</v>
      </c>
      <c r="K31">
        <v>1</v>
      </c>
      <c r="L31">
        <v>1</v>
      </c>
      <c r="M31" s="4" t="str">
        <f>HYPERLINK("http://locsearch.nwmls.com//ReturnMap.aspx?hidMLS=NWML&amp;VHW=47.681202:-122.359400:.25:&amp;Z=4&amp;H=300&amp;W=400&amp;PP=47.681202:-122.359400:1:027168563","Map")</f>
        <v>Map</v>
      </c>
      <c r="N31" s="4" t="str">
        <f>HYPERLINK("http://locmedia.nwmls.com/DO_NOT_LINK/bigphoto/563/27168563.jpg?tsp=20070926144917","Photo")</f>
        <v>Photo</v>
      </c>
      <c r="O31" s="4" t="str">
        <f>HYPERLINK("http://locator.nwmls.com/scripts/mgrqispi.dll?APPNAME=Locator&amp;PRGNAME=MLSPictureDescriptions&amp;ARGUMENTS=-N595036758,-N27168563,-AE","More")</f>
        <v>More</v>
      </c>
      <c r="Q31" t="s">
        <v>56</v>
      </c>
      <c r="R31" t="s">
        <v>95</v>
      </c>
      <c r="S31" t="s">
        <v>43</v>
      </c>
      <c r="T31" t="s">
        <v>300</v>
      </c>
      <c r="U31" t="s">
        <v>26</v>
      </c>
      <c r="V31" s="6" t="s">
        <v>59</v>
      </c>
      <c r="X31" t="s">
        <v>27</v>
      </c>
      <c r="Y31" t="s">
        <v>28</v>
      </c>
      <c r="Z31" t="s">
        <v>176</v>
      </c>
      <c r="AA31" t="s">
        <v>307</v>
      </c>
      <c r="AB31">
        <v>2007</v>
      </c>
      <c r="AC31">
        <v>3847</v>
      </c>
      <c r="AD31" t="s">
        <v>308</v>
      </c>
      <c r="AE31" t="s">
        <v>309</v>
      </c>
      <c r="AF31" t="s">
        <v>310</v>
      </c>
      <c r="AG31">
        <v>47.681201999999999</v>
      </c>
      <c r="AH31">
        <v>-122.35939999999999</v>
      </c>
      <c r="AI31" t="s">
        <v>33</v>
      </c>
      <c r="AJ31">
        <v>98117</v>
      </c>
      <c r="AK31" t="s">
        <v>34</v>
      </c>
      <c r="AL31" t="s">
        <v>311</v>
      </c>
      <c r="AM31" t="s">
        <v>35</v>
      </c>
      <c r="AO31">
        <v>7.4999999999999997E-2</v>
      </c>
      <c r="AP31" t="s">
        <v>312</v>
      </c>
      <c r="AQ31">
        <v>534</v>
      </c>
      <c r="AR31" t="s">
        <v>313</v>
      </c>
      <c r="AS31" t="s">
        <v>314</v>
      </c>
      <c r="AT31">
        <v>3</v>
      </c>
      <c r="AV31" s="9"/>
      <c r="AX31">
        <f t="shared" ca="1" si="0"/>
        <v>28</v>
      </c>
    </row>
    <row r="32" spans="1:51">
      <c r="A32">
        <v>27168653</v>
      </c>
      <c r="B32" s="13" t="str">
        <f>HYPERLINK("http://locmedia.nwmls.com/DO_NOT_LINK/bigphoto/653/27168653.jpg?tsp=20070917150225","Contingent")</f>
        <v>Contingent</v>
      </c>
      <c r="C32">
        <v>705</v>
      </c>
      <c r="D32" t="s">
        <v>19</v>
      </c>
      <c r="E32" t="s">
        <v>174</v>
      </c>
      <c r="F32" s="5">
        <v>415000</v>
      </c>
      <c r="G32" t="s">
        <v>115</v>
      </c>
      <c r="H32">
        <v>1860</v>
      </c>
      <c r="I32">
        <v>7200</v>
      </c>
      <c r="J32">
        <v>3</v>
      </c>
      <c r="K32">
        <v>1</v>
      </c>
      <c r="L32">
        <v>2</v>
      </c>
      <c r="M32" s="4" t="str">
        <f>HYPERLINK("http://locsearch.nwmls.com//ReturnMap.aspx?hidMLS=NWML&amp;VHW=47.716447:-122.335501:.25:&amp;Z=4&amp;H=300&amp;W=400&amp;PP=47.716447:-122.335501:1:027168653","Map")</f>
        <v>Map</v>
      </c>
      <c r="N32" s="4" t="str">
        <f>HYPERLINK("http://locmedia.nwmls.com/DO_NOT_LINK/bigphoto/653/27168653.jpg?tsp=20070917150225","Photo")</f>
        <v>Photo</v>
      </c>
      <c r="O32" s="4" t="str">
        <f>HYPERLINK("http://locator.nwmls.com/scripts/mgrqispi.dll?APPNAME=Locator&amp;PRGNAME=MLSPictureDescriptions&amp;ARGUMENTS=-N595036758,-N27168653,-AE","More")</f>
        <v>More</v>
      </c>
      <c r="Q32" t="s">
        <v>56</v>
      </c>
      <c r="R32" t="s">
        <v>23</v>
      </c>
      <c r="S32" t="s">
        <v>175</v>
      </c>
      <c r="T32" t="s">
        <v>129</v>
      </c>
      <c r="U32" t="s">
        <v>26</v>
      </c>
      <c r="V32" s="6" t="s">
        <v>59</v>
      </c>
      <c r="X32" t="s">
        <v>27</v>
      </c>
      <c r="Y32" t="s">
        <v>28</v>
      </c>
      <c r="Z32" t="s">
        <v>176</v>
      </c>
      <c r="AB32">
        <v>2007</v>
      </c>
      <c r="AC32">
        <v>3216</v>
      </c>
      <c r="AD32" t="s">
        <v>177</v>
      </c>
      <c r="AE32" t="s">
        <v>178</v>
      </c>
      <c r="AF32" t="s">
        <v>179</v>
      </c>
      <c r="AG32">
        <v>47.716447000000002</v>
      </c>
      <c r="AH32">
        <v>-122.33550099999999</v>
      </c>
      <c r="AI32" t="s">
        <v>33</v>
      </c>
      <c r="AJ32">
        <v>98133</v>
      </c>
      <c r="AK32" t="s">
        <v>34</v>
      </c>
      <c r="AL32" t="s">
        <v>35</v>
      </c>
      <c r="AM32" t="s">
        <v>35</v>
      </c>
      <c r="AO32">
        <v>0.16500000000000001</v>
      </c>
      <c r="AP32" t="s">
        <v>180</v>
      </c>
      <c r="AQ32">
        <v>505</v>
      </c>
      <c r="AR32" t="s">
        <v>37</v>
      </c>
      <c r="AS32" t="s">
        <v>181</v>
      </c>
      <c r="AT32">
        <v>2</v>
      </c>
      <c r="AV32" s="9">
        <v>39339</v>
      </c>
      <c r="AW32">
        <v>72</v>
      </c>
      <c r="AX32">
        <f t="shared" ca="1" si="0"/>
        <v>94</v>
      </c>
    </row>
    <row r="33" spans="1:51">
      <c r="A33">
        <v>27171486</v>
      </c>
      <c r="B33" s="4" t="str">
        <f>HYPERLINK("http://locmedia.nwmls.com/DO_NOT_LINK/bigphoto/486/27171486.jpg?tsp=20070919100138","Active")</f>
        <v>Active</v>
      </c>
      <c r="C33">
        <v>705</v>
      </c>
      <c r="D33" t="s">
        <v>19</v>
      </c>
      <c r="E33" t="s">
        <v>155</v>
      </c>
      <c r="F33" s="5">
        <v>399999</v>
      </c>
      <c r="G33" t="s">
        <v>156</v>
      </c>
      <c r="H33">
        <v>1780</v>
      </c>
      <c r="I33">
        <v>0</v>
      </c>
      <c r="J33">
        <v>3</v>
      </c>
      <c r="K33">
        <v>2.5</v>
      </c>
      <c r="L33">
        <v>1</v>
      </c>
      <c r="M33" s="4" t="str">
        <f>HYPERLINK("http://locsearch.nwmls.com//ReturnMap.aspx?hidMLS=NWML&amp;VHW=47.714545:-122.340266:.25:&amp;Z=4&amp;H=300&amp;W=400&amp;PP=47.714545:-122.340266:1:027171486","Map")</f>
        <v>Map</v>
      </c>
      <c r="N33" s="4" t="str">
        <f>HYPERLINK("http://locmedia.nwmls.com/DO_NOT_LINK/bigphoto/486/27171486.jpg?tsp=20070919100138","Photo")</f>
        <v>Photo</v>
      </c>
      <c r="O33" s="4" t="str">
        <f>HYPERLINK("http://locator.nwmls.com/scripts/mgrqispi.dll?APPNAME=Locator&amp;PRGNAME=MLSPictureDescriptions&amp;ARGUMENTS=-N595036758,-N27171486,-AE","More")</f>
        <v>More</v>
      </c>
      <c r="Q33" t="s">
        <v>157</v>
      </c>
      <c r="R33" t="s">
        <v>95</v>
      </c>
      <c r="S33" t="s">
        <v>158</v>
      </c>
      <c r="T33" t="s">
        <v>25</v>
      </c>
      <c r="U33" t="s">
        <v>26</v>
      </c>
      <c r="V33" t="s">
        <v>159</v>
      </c>
      <c r="X33" t="s">
        <v>27</v>
      </c>
      <c r="Y33" t="s">
        <v>28</v>
      </c>
      <c r="Z33" t="s">
        <v>96</v>
      </c>
      <c r="AB33">
        <v>2007</v>
      </c>
      <c r="AC33">
        <v>2910</v>
      </c>
      <c r="AD33" t="s">
        <v>160</v>
      </c>
      <c r="AE33" t="s">
        <v>161</v>
      </c>
      <c r="AF33" t="s">
        <v>162</v>
      </c>
      <c r="AG33" s="12">
        <v>47.714545000000001</v>
      </c>
      <c r="AH33" s="12">
        <v>-122.340266</v>
      </c>
      <c r="AI33" t="s">
        <v>33</v>
      </c>
      <c r="AJ33">
        <v>98133</v>
      </c>
      <c r="AK33" t="s">
        <v>34</v>
      </c>
      <c r="AL33">
        <v>39</v>
      </c>
      <c r="AM33" t="s">
        <v>35</v>
      </c>
      <c r="AO33">
        <v>0</v>
      </c>
      <c r="AP33" t="s">
        <v>163</v>
      </c>
      <c r="AQ33">
        <v>504</v>
      </c>
      <c r="AR33" t="s">
        <v>164</v>
      </c>
      <c r="AS33" t="s">
        <v>165</v>
      </c>
      <c r="AT33">
        <v>1</v>
      </c>
      <c r="AU33" t="s">
        <v>913</v>
      </c>
      <c r="AV33" s="9"/>
      <c r="AX33">
        <f t="shared" ca="1" si="0"/>
        <v>28</v>
      </c>
    </row>
    <row r="34" spans="1:51">
      <c r="A34">
        <v>27171942</v>
      </c>
      <c r="B34" s="4" t="str">
        <f>HYPERLINK("http://locmedia.nwmls.com/DO_NOT_LINK/bigphoto/942/27171942.jpg?tsp=20070919162449","Active")</f>
        <v>Active</v>
      </c>
      <c r="C34">
        <v>705</v>
      </c>
      <c r="D34" t="s">
        <v>419</v>
      </c>
      <c r="E34" t="s">
        <v>420</v>
      </c>
      <c r="F34" s="5">
        <v>475000</v>
      </c>
      <c r="G34" t="s">
        <v>421</v>
      </c>
      <c r="H34">
        <v>1160</v>
      </c>
      <c r="I34">
        <v>7590</v>
      </c>
      <c r="J34">
        <v>2</v>
      </c>
      <c r="K34">
        <v>1</v>
      </c>
      <c r="L34">
        <v>1</v>
      </c>
      <c r="M34" s="4" t="str">
        <f>HYPERLINK("http://locsearch.nwmls.com//ReturnMap.aspx?hidMLS=NWML&amp;VHW=47.693852:-122.396901:.25:&amp;Z=4&amp;H=300&amp;W=400&amp;PP=47.693852:-122.396901:1:027171942","Map")</f>
        <v>Map</v>
      </c>
      <c r="N34" s="4" t="str">
        <f>HYPERLINK("http://locmedia.nwmls.com/DO_NOT_LINK/bigphoto/942/27171942.jpg?tsp=20070919162449","Photo")</f>
        <v>Photo</v>
      </c>
      <c r="O34" s="4" t="str">
        <f>HYPERLINK("http://locator.nwmls.com/scripts/mgrqispi.dll?APPNAME=Locator&amp;PRGNAME=MLSPictureDescriptions&amp;ARGUMENTS=-N595036758,-N27171942,-AE","More")</f>
        <v>More</v>
      </c>
      <c r="Q34" t="s">
        <v>56</v>
      </c>
      <c r="R34" t="s">
        <v>116</v>
      </c>
      <c r="S34" t="s">
        <v>422</v>
      </c>
      <c r="T34" t="s">
        <v>300</v>
      </c>
      <c r="U34" t="s">
        <v>26</v>
      </c>
      <c r="V34" s="6" t="s">
        <v>59</v>
      </c>
      <c r="X34" t="s">
        <v>27</v>
      </c>
      <c r="Y34" t="s">
        <v>28</v>
      </c>
      <c r="Z34" t="s">
        <v>423</v>
      </c>
      <c r="AB34">
        <v>2006</v>
      </c>
      <c r="AC34">
        <v>2816</v>
      </c>
      <c r="AD34" t="s">
        <v>424</v>
      </c>
      <c r="AG34">
        <v>47.693852</v>
      </c>
      <c r="AH34">
        <v>-122.396901</v>
      </c>
      <c r="AI34" t="s">
        <v>33</v>
      </c>
      <c r="AJ34">
        <v>98117</v>
      </c>
      <c r="AK34" t="s">
        <v>34</v>
      </c>
      <c r="AL34" t="s">
        <v>35</v>
      </c>
      <c r="AM34" t="s">
        <v>35</v>
      </c>
      <c r="AO34">
        <v>0.17399999999999999</v>
      </c>
      <c r="AP34" t="s">
        <v>425</v>
      </c>
      <c r="AQ34">
        <v>534</v>
      </c>
      <c r="AR34" t="s">
        <v>426</v>
      </c>
      <c r="AS34" t="s">
        <v>427</v>
      </c>
      <c r="AT34">
        <v>4</v>
      </c>
      <c r="AV34" s="9">
        <v>39344</v>
      </c>
      <c r="AW34">
        <v>67</v>
      </c>
      <c r="AX34">
        <f t="shared" ref="AX34:AX65" ca="1" si="1">IF(AW34&gt;0,TODAY()-AV34,TODAY()-DATE(2007,11,19))</f>
        <v>89</v>
      </c>
      <c r="AY34" t="s">
        <v>920</v>
      </c>
    </row>
    <row r="35" spans="1:51">
      <c r="A35">
        <v>27172144</v>
      </c>
      <c r="B35" s="4" t="str">
        <f>HYPERLINK("http://locmedia.nwmls.com/DO_NOT_LINK/bigphoto/144/27172144.jpg?tsp=20070920120323","Active")</f>
        <v>Active</v>
      </c>
      <c r="C35">
        <v>710</v>
      </c>
      <c r="D35" t="s">
        <v>649</v>
      </c>
      <c r="E35" t="s">
        <v>754</v>
      </c>
      <c r="F35" s="5">
        <v>475000</v>
      </c>
      <c r="G35" t="s">
        <v>138</v>
      </c>
      <c r="H35">
        <v>1920</v>
      </c>
      <c r="I35">
        <v>6360</v>
      </c>
      <c r="J35">
        <v>3</v>
      </c>
      <c r="K35">
        <v>3</v>
      </c>
      <c r="L35">
        <v>1</v>
      </c>
      <c r="M35" t="s">
        <v>243</v>
      </c>
      <c r="N35" s="4" t="str">
        <f>HYPERLINK("http://locmedia.nwmls.com/DO_NOT_LINK/bigphoto/144/27172144.jpg?tsp=20070920120323","Photo")</f>
        <v>Photo</v>
      </c>
      <c r="O35" t="s">
        <v>435</v>
      </c>
      <c r="P35" t="s">
        <v>41</v>
      </c>
      <c r="Q35" t="s">
        <v>56</v>
      </c>
      <c r="R35" t="s">
        <v>95</v>
      </c>
      <c r="S35" t="s">
        <v>755</v>
      </c>
      <c r="T35" t="s">
        <v>72</v>
      </c>
      <c r="U35" t="s">
        <v>26</v>
      </c>
      <c r="V35" t="s">
        <v>756</v>
      </c>
      <c r="X35" t="s">
        <v>27</v>
      </c>
      <c r="Y35" t="s">
        <v>28</v>
      </c>
      <c r="Z35" t="s">
        <v>184</v>
      </c>
      <c r="AA35" t="s">
        <v>757</v>
      </c>
      <c r="AB35">
        <v>2007</v>
      </c>
      <c r="AC35">
        <v>500</v>
      </c>
      <c r="AD35" t="s">
        <v>758</v>
      </c>
      <c r="AE35" t="s">
        <v>692</v>
      </c>
      <c r="AF35" t="s">
        <v>759</v>
      </c>
      <c r="AI35" t="s">
        <v>33</v>
      </c>
      <c r="AJ35">
        <v>98116</v>
      </c>
      <c r="AK35" t="s">
        <v>34</v>
      </c>
      <c r="AL35" t="s">
        <v>35</v>
      </c>
      <c r="AM35" t="s">
        <v>35</v>
      </c>
      <c r="AO35">
        <v>0.14599999999999999</v>
      </c>
      <c r="AP35" t="s">
        <v>760</v>
      </c>
      <c r="AQ35">
        <v>505</v>
      </c>
      <c r="AR35" t="s">
        <v>761</v>
      </c>
      <c r="AS35" t="s">
        <v>762</v>
      </c>
      <c r="AT35">
        <v>3</v>
      </c>
      <c r="AV35" s="9"/>
      <c r="AX35">
        <f t="shared" ca="1" si="1"/>
        <v>28</v>
      </c>
    </row>
    <row r="36" spans="1:51">
      <c r="A36">
        <v>27172258</v>
      </c>
      <c r="B36" s="4" t="str">
        <f>HYPERLINK("http://locmedia.nwmls.com/DO_NOT_LINK/bigphoto/258/27172258.jpg?tsp=20070921155931","Active")</f>
        <v>Active</v>
      </c>
      <c r="C36">
        <v>705</v>
      </c>
      <c r="D36" t="s">
        <v>81</v>
      </c>
      <c r="E36" t="s">
        <v>468</v>
      </c>
      <c r="F36" s="5">
        <v>489500</v>
      </c>
      <c r="G36" t="s">
        <v>270</v>
      </c>
      <c r="H36">
        <v>2000</v>
      </c>
      <c r="I36">
        <v>4700</v>
      </c>
      <c r="J36">
        <v>2</v>
      </c>
      <c r="K36">
        <v>1</v>
      </c>
      <c r="L36">
        <v>1</v>
      </c>
      <c r="M36" s="4" t="str">
        <f>HYPERLINK("http://locsearch.nwmls.com//ReturnMap.aspx?hidMLS=NWML&amp;VHW=47.689964:-122.385420:.25:&amp;Z=4&amp;H=300&amp;W=400&amp;PP=47.689964:-122.385420:1:027172258","Map")</f>
        <v>Map</v>
      </c>
      <c r="N36" s="4" t="str">
        <f>HYPERLINK("http://locmedia.nwmls.com/DO_NOT_LINK/bigphoto/258/27172258.jpg?tsp=20070921155931","Photo")</f>
        <v>Photo</v>
      </c>
      <c r="O36" s="4" t="str">
        <f>HYPERLINK("http://locator.nwmls.com/scripts/mgrqispi.dll?APPNAME=Locator&amp;PRGNAME=MLSPictureDescriptions&amp;ARGUMENTS=-N595036758,-N27172258,-AE","More")</f>
        <v>More</v>
      </c>
      <c r="Q36" t="s">
        <v>56</v>
      </c>
      <c r="R36" t="s">
        <v>116</v>
      </c>
      <c r="S36" t="s">
        <v>128</v>
      </c>
      <c r="T36" t="s">
        <v>129</v>
      </c>
      <c r="U36" t="s">
        <v>26</v>
      </c>
      <c r="V36" s="6" t="s">
        <v>59</v>
      </c>
      <c r="X36" t="s">
        <v>27</v>
      </c>
      <c r="Y36" t="s">
        <v>28</v>
      </c>
      <c r="Z36" t="s">
        <v>430</v>
      </c>
      <c r="AA36" t="s">
        <v>469</v>
      </c>
      <c r="AB36">
        <v>2007</v>
      </c>
      <c r="AC36">
        <v>3318</v>
      </c>
      <c r="AD36" t="s">
        <v>470</v>
      </c>
      <c r="AE36" t="s">
        <v>121</v>
      </c>
      <c r="AF36" t="s">
        <v>471</v>
      </c>
      <c r="AG36">
        <v>47.689964000000003</v>
      </c>
      <c r="AH36" s="12">
        <v>-122.38542</v>
      </c>
      <c r="AI36" t="s">
        <v>33</v>
      </c>
      <c r="AJ36">
        <v>98117</v>
      </c>
      <c r="AK36" t="s">
        <v>34</v>
      </c>
      <c r="AL36" t="s">
        <v>35</v>
      </c>
      <c r="AM36" t="s">
        <v>35</v>
      </c>
      <c r="AO36">
        <v>0.108</v>
      </c>
      <c r="AP36" s="12" t="s">
        <v>875</v>
      </c>
      <c r="AQ36">
        <v>534</v>
      </c>
      <c r="AR36" t="s">
        <v>258</v>
      </c>
      <c r="AS36" t="s">
        <v>472</v>
      </c>
      <c r="AT36">
        <v>4</v>
      </c>
      <c r="AV36" s="9">
        <v>39346</v>
      </c>
      <c r="AW36">
        <v>65</v>
      </c>
      <c r="AX36">
        <f t="shared" ca="1" si="1"/>
        <v>87</v>
      </c>
      <c r="AY36" t="s">
        <v>907</v>
      </c>
    </row>
    <row r="37" spans="1:51">
      <c r="A37">
        <v>27172642</v>
      </c>
      <c r="B37" s="4" t="str">
        <f>HYPERLINK("http://locmedia.nwmls.com/DO_NOT_LINK/bigphoto/642/27172642.jpg?tsp=20071113115037","Cancelled")</f>
        <v>Cancelled</v>
      </c>
      <c r="C37">
        <v>705</v>
      </c>
      <c r="D37" t="s">
        <v>403</v>
      </c>
      <c r="E37" t="s">
        <v>595</v>
      </c>
      <c r="F37" s="5">
        <v>479000</v>
      </c>
      <c r="G37" t="s">
        <v>596</v>
      </c>
      <c r="H37">
        <v>1150</v>
      </c>
      <c r="I37">
        <v>3200</v>
      </c>
      <c r="J37">
        <v>3</v>
      </c>
      <c r="K37">
        <v>1</v>
      </c>
      <c r="L37">
        <v>1</v>
      </c>
      <c r="M37" s="4" t="str">
        <f>HYPERLINK("http://locsearch.nwmls.com//ReturnMap.aspx?hidMLS=NWML&amp;VHW=47.655651:-122.348600:.25:&amp;Z=4&amp;H=300&amp;W=400&amp;PP=47.655651:-122.348600:1:027172642","Map")</f>
        <v>Map</v>
      </c>
      <c r="N37" s="4" t="str">
        <f>HYPERLINK("http://locmedia.nwmls.com/DO_NOT_LINK/bigphoto/642/27172642.jpg?tsp=20071113115037","Photo")</f>
        <v>Photo</v>
      </c>
      <c r="O37" s="4" t="str">
        <f>HYPERLINK("http://locator.nwmls.com/scripts/mgrqispi.dll?APPNAME=Locator&amp;PRGNAME=MLSPictureDescriptions&amp;ARGUMENTS=-N595036758,-N27172642,-AE","More")</f>
        <v>More</v>
      </c>
      <c r="P37" t="s">
        <v>597</v>
      </c>
      <c r="Q37" t="s">
        <v>598</v>
      </c>
      <c r="R37" t="s">
        <v>429</v>
      </c>
      <c r="S37" t="s">
        <v>128</v>
      </c>
      <c r="T37" t="s">
        <v>263</v>
      </c>
      <c r="X37" t="s">
        <v>27</v>
      </c>
      <c r="Y37" t="s">
        <v>28</v>
      </c>
      <c r="Z37" t="s">
        <v>505</v>
      </c>
      <c r="AA37" t="s">
        <v>18</v>
      </c>
      <c r="AB37">
        <v>2007</v>
      </c>
      <c r="AC37">
        <v>2928</v>
      </c>
      <c r="AD37" t="s">
        <v>599</v>
      </c>
      <c r="AF37" t="s">
        <v>600</v>
      </c>
      <c r="AG37">
        <v>47.655650999999999</v>
      </c>
      <c r="AH37">
        <v>-122.3486</v>
      </c>
      <c r="AI37" t="s">
        <v>33</v>
      </c>
      <c r="AJ37">
        <v>98103</v>
      </c>
      <c r="AK37" t="s">
        <v>34</v>
      </c>
      <c r="AL37">
        <v>12</v>
      </c>
      <c r="AM37" t="s">
        <v>35</v>
      </c>
      <c r="AO37">
        <v>7.2999999999999995E-2</v>
      </c>
      <c r="AP37" t="s">
        <v>601</v>
      </c>
      <c r="AQ37">
        <v>534</v>
      </c>
      <c r="AR37" t="s">
        <v>64</v>
      </c>
      <c r="AS37" t="s">
        <v>602</v>
      </c>
      <c r="AT37">
        <v>1</v>
      </c>
      <c r="AU37" t="s">
        <v>913</v>
      </c>
      <c r="AV37" s="9"/>
      <c r="AX37">
        <f t="shared" ca="1" si="1"/>
        <v>28</v>
      </c>
    </row>
    <row r="38" spans="1:51">
      <c r="A38">
        <v>27172881</v>
      </c>
      <c r="B38" s="4" t="str">
        <f>HYPERLINK("http://locmedia.nwmls.com/DO_NOT_LINK/bigphoto/881/27172881.jpg?tsp=20070925190158","Active")</f>
        <v>Active</v>
      </c>
      <c r="C38">
        <v>710</v>
      </c>
      <c r="D38" t="s">
        <v>723</v>
      </c>
      <c r="E38" t="s">
        <v>770</v>
      </c>
      <c r="F38" s="5">
        <v>479950</v>
      </c>
      <c r="G38" t="s">
        <v>596</v>
      </c>
      <c r="H38">
        <v>1850</v>
      </c>
      <c r="I38">
        <v>0</v>
      </c>
      <c r="J38">
        <v>3</v>
      </c>
      <c r="K38">
        <v>2</v>
      </c>
      <c r="L38">
        <v>1</v>
      </c>
      <c r="M38" s="4" t="str">
        <f>HYPERLINK("http://locsearch.nwmls.com//ReturnMap.aspx?hidMLS=NWML&amp;VHW=47.670458:-122.290200:.25:&amp;Z=4&amp;H=300&amp;W=400&amp;PP=47.670458:-122.290200:1:027172881","Map")</f>
        <v>Map</v>
      </c>
      <c r="N38" s="4" t="str">
        <f>HYPERLINK("http://locmedia.nwmls.com/DO_NOT_LINK/bigphoto/881/27172881.jpg?tsp=20070925190158","Photo")</f>
        <v>Photo</v>
      </c>
      <c r="O38" s="4" t="str">
        <f>HYPERLINK("http://locator.nwmls.com/scripts/mgrqispi.dll?APPNAME=Locator&amp;PRGNAME=MLSPictureDescriptions&amp;ARGUMENTS=-N719932170,-N27172881,-AE","More")</f>
        <v>More</v>
      </c>
      <c r="P38" t="s">
        <v>771</v>
      </c>
      <c r="Q38" t="s">
        <v>56</v>
      </c>
      <c r="R38" t="s">
        <v>95</v>
      </c>
      <c r="S38" t="s">
        <v>299</v>
      </c>
      <c r="T38" t="s">
        <v>129</v>
      </c>
      <c r="U38" t="s">
        <v>26</v>
      </c>
      <c r="V38" s="6" t="s">
        <v>59</v>
      </c>
      <c r="X38" t="s">
        <v>27</v>
      </c>
      <c r="Y38" t="s">
        <v>28</v>
      </c>
      <c r="Z38" t="s">
        <v>715</v>
      </c>
      <c r="AB38">
        <v>2006</v>
      </c>
      <c r="AC38">
        <v>2000</v>
      </c>
      <c r="AD38" t="s">
        <v>772</v>
      </c>
      <c r="AE38" t="s">
        <v>773</v>
      </c>
      <c r="AF38" t="s">
        <v>416</v>
      </c>
      <c r="AG38">
        <v>47.670458000000004</v>
      </c>
      <c r="AH38">
        <v>-122.2902</v>
      </c>
      <c r="AI38" t="s">
        <v>33</v>
      </c>
      <c r="AJ38">
        <v>98105</v>
      </c>
      <c r="AK38" t="s">
        <v>34</v>
      </c>
      <c r="AL38" t="s">
        <v>35</v>
      </c>
      <c r="AM38" t="s">
        <v>35</v>
      </c>
      <c r="AO38">
        <v>0</v>
      </c>
      <c r="AP38" t="s">
        <v>774</v>
      </c>
      <c r="AQ38">
        <v>535</v>
      </c>
      <c r="AR38" t="s">
        <v>287</v>
      </c>
      <c r="AS38" t="s">
        <v>775</v>
      </c>
      <c r="AT38">
        <v>1</v>
      </c>
      <c r="AU38" t="s">
        <v>921</v>
      </c>
      <c r="AV38" s="9"/>
      <c r="AX38">
        <f t="shared" ca="1" si="1"/>
        <v>28</v>
      </c>
    </row>
    <row r="39" spans="1:51">
      <c r="A39">
        <v>27174450</v>
      </c>
      <c r="B39" s="4" t="str">
        <f>HYPERLINK("http://locmedia.nwmls.com/DO_NOT_LINK/bigphoto/450/27174450.jpg?tsp=20070924145616","Active")</f>
        <v>Active</v>
      </c>
      <c r="C39">
        <v>705</v>
      </c>
      <c r="D39" t="s">
        <v>146</v>
      </c>
      <c r="E39" t="s">
        <v>191</v>
      </c>
      <c r="F39" s="5">
        <v>417990</v>
      </c>
      <c r="G39" t="s">
        <v>55</v>
      </c>
      <c r="H39">
        <v>1060</v>
      </c>
      <c r="I39">
        <v>3880</v>
      </c>
      <c r="J39">
        <v>2</v>
      </c>
      <c r="K39">
        <v>1</v>
      </c>
      <c r="L39">
        <v>1</v>
      </c>
      <c r="M39" s="4" t="str">
        <f>HYPERLINK("http://locsearch.nwmls.com//ReturnMap.aspx?hidMLS=NWML&amp;VHW=47.685322:-122.389801:.25:&amp;Z=4&amp;H=300&amp;W=400&amp;PP=47.685322:-122.389801:1:027174450","Map")</f>
        <v>Map</v>
      </c>
      <c r="N39" s="4" t="str">
        <f>HYPERLINK("http://locmedia.nwmls.com/DO_NOT_LINK/bigphoto/450/27174450.jpg?tsp=20070924145616","Photo")</f>
        <v>Photo</v>
      </c>
      <c r="O39" s="4" t="str">
        <f>HYPERLINK("http://locator.nwmls.com/scripts/mgrqispi.dll?APPNAME=Locator&amp;PRGNAME=MLSPictureDescriptions&amp;ARGUMENTS=-N595036758,-N27174450,-AE","More")</f>
        <v>More</v>
      </c>
      <c r="P39" t="s">
        <v>41</v>
      </c>
      <c r="Q39" t="s">
        <v>56</v>
      </c>
      <c r="R39" t="s">
        <v>116</v>
      </c>
      <c r="S39" t="s">
        <v>24</v>
      </c>
      <c r="T39" t="s">
        <v>25</v>
      </c>
      <c r="U39" t="s">
        <v>26</v>
      </c>
      <c r="V39" s="6" t="s">
        <v>59</v>
      </c>
      <c r="X39" t="s">
        <v>27</v>
      </c>
      <c r="Y39" t="s">
        <v>28</v>
      </c>
      <c r="Z39" t="s">
        <v>150</v>
      </c>
      <c r="AB39">
        <v>2007</v>
      </c>
      <c r="AC39">
        <v>2585</v>
      </c>
      <c r="AD39" t="s">
        <v>192</v>
      </c>
      <c r="AE39" t="s">
        <v>193</v>
      </c>
      <c r="AF39" t="s">
        <v>194</v>
      </c>
      <c r="AG39">
        <v>47.685321999999999</v>
      </c>
      <c r="AH39">
        <v>-122.38980100000001</v>
      </c>
      <c r="AI39" t="s">
        <v>33</v>
      </c>
      <c r="AJ39">
        <v>98117</v>
      </c>
      <c r="AK39" t="s">
        <v>34</v>
      </c>
      <c r="AL39" t="s">
        <v>35</v>
      </c>
      <c r="AM39" t="s">
        <v>35</v>
      </c>
      <c r="AO39">
        <v>8.8999999999999996E-2</v>
      </c>
      <c r="AP39" t="s">
        <v>195</v>
      </c>
      <c r="AQ39">
        <v>534</v>
      </c>
      <c r="AR39" t="s">
        <v>196</v>
      </c>
      <c r="AS39" t="s">
        <v>197</v>
      </c>
      <c r="AT39">
        <v>3</v>
      </c>
      <c r="AV39" s="9"/>
      <c r="AX39">
        <f t="shared" ca="1" si="1"/>
        <v>28</v>
      </c>
    </row>
    <row r="40" spans="1:51">
      <c r="A40">
        <v>27174490</v>
      </c>
      <c r="B40" s="4" t="str">
        <f>HYPERLINK("http://locmedia.nwmls.com/DO_NOT_LINK/bigphoto/490/27174490.jpg?tsp=20070927171505","Active")</f>
        <v>Active</v>
      </c>
      <c r="C40">
        <v>710</v>
      </c>
      <c r="D40" t="s">
        <v>686</v>
      </c>
      <c r="E40" t="s">
        <v>687</v>
      </c>
      <c r="F40" s="5">
        <v>449950</v>
      </c>
      <c r="G40" t="s">
        <v>688</v>
      </c>
      <c r="H40">
        <v>1930</v>
      </c>
      <c r="I40">
        <v>8100</v>
      </c>
      <c r="J40">
        <v>3</v>
      </c>
      <c r="K40">
        <v>2</v>
      </c>
      <c r="L40">
        <v>2</v>
      </c>
      <c r="M40" s="4" t="str">
        <f>HYPERLINK("http://locsearch.nwmls.com//ReturnMap.aspx?hidMLS=NWML&amp;VHW=47.726090:-122.304600:.25:&amp;Z=4&amp;H=300&amp;W=400&amp;PP=47.726090:-122.304600:1:027174490","Map")</f>
        <v>Map</v>
      </c>
      <c r="N40" s="4" t="str">
        <f>HYPERLINK("http://locmedia.nwmls.com/DO_NOT_LINK/bigphoto/490/27174490.jpg?tsp=20070927171505","Photo")</f>
        <v>Photo</v>
      </c>
      <c r="O40" s="4" t="str">
        <f>HYPERLINK("http://locator.nwmls.com/scripts/mgrqispi.dll?APPNAME=Locator&amp;PRGNAME=MLSPictureDescriptions&amp;ARGUMENTS=-N719932170,-N27174490,-AE","More")</f>
        <v>More</v>
      </c>
      <c r="P40" t="s">
        <v>41</v>
      </c>
      <c r="Q40" t="s">
        <v>56</v>
      </c>
      <c r="R40" t="s">
        <v>95</v>
      </c>
      <c r="S40" t="s">
        <v>128</v>
      </c>
      <c r="T40" t="s">
        <v>44</v>
      </c>
      <c r="U40" t="s">
        <v>26</v>
      </c>
      <c r="V40" s="6" t="s">
        <v>59</v>
      </c>
      <c r="X40" t="s">
        <v>27</v>
      </c>
      <c r="Y40" t="s">
        <v>28</v>
      </c>
      <c r="Z40" t="s">
        <v>689</v>
      </c>
      <c r="AA40" t="s">
        <v>690</v>
      </c>
      <c r="AB40">
        <v>2007</v>
      </c>
      <c r="AD40" t="s">
        <v>691</v>
      </c>
      <c r="AE40" t="s">
        <v>692</v>
      </c>
      <c r="AF40" t="s">
        <v>693</v>
      </c>
      <c r="AG40">
        <v>47.726089999999999</v>
      </c>
      <c r="AH40">
        <v>-122.30459999999999</v>
      </c>
      <c r="AI40" t="s">
        <v>33</v>
      </c>
      <c r="AJ40">
        <v>98125</v>
      </c>
      <c r="AK40" t="s">
        <v>34</v>
      </c>
      <c r="AL40" t="s">
        <v>35</v>
      </c>
      <c r="AM40" t="s">
        <v>35</v>
      </c>
      <c r="AO40">
        <v>0.186</v>
      </c>
      <c r="AP40" t="s">
        <v>694</v>
      </c>
      <c r="AQ40">
        <v>505</v>
      </c>
      <c r="AR40" t="s">
        <v>480</v>
      </c>
      <c r="AS40" t="s">
        <v>695</v>
      </c>
      <c r="AT40">
        <v>1</v>
      </c>
      <c r="AV40" s="9"/>
      <c r="AX40">
        <f t="shared" ca="1" si="1"/>
        <v>28</v>
      </c>
    </row>
    <row r="41" spans="1:51">
      <c r="A41">
        <v>27176949</v>
      </c>
      <c r="B41" s="4" t="str">
        <f>HYPERLINK("http://locmedia.nwmls.com/DO_NOT_LINK/bigphoto/949/27176949.jpg?tsp=20071110140029","Active")</f>
        <v>Active</v>
      </c>
      <c r="C41">
        <v>710</v>
      </c>
      <c r="D41" t="s">
        <v>634</v>
      </c>
      <c r="E41" t="s">
        <v>826</v>
      </c>
      <c r="F41" s="5">
        <v>499950</v>
      </c>
      <c r="G41" t="s">
        <v>413</v>
      </c>
      <c r="H41">
        <v>1230</v>
      </c>
      <c r="I41">
        <v>8774</v>
      </c>
      <c r="J41">
        <v>3</v>
      </c>
      <c r="K41">
        <v>1</v>
      </c>
      <c r="L41">
        <v>1</v>
      </c>
      <c r="M41" s="4" t="str">
        <f>HYPERLINK("http://locsearch.nwmls.com//ReturnMap.aspx?hidMLS=NWML&amp;VHW=47.715997:-122.289300:.25:&amp;Z=4&amp;H=300&amp;W=400&amp;PP=47.715997:-122.289300:1:027176949","Map")</f>
        <v>Map</v>
      </c>
      <c r="N41" s="4" t="str">
        <f>HYPERLINK("http://locmedia.nwmls.com/DO_NOT_LINK/bigphoto/949/27176949.jpg?tsp=20071110140029","Photo")</f>
        <v>Photo</v>
      </c>
      <c r="O41" s="4" t="str">
        <f>HYPERLINK("http://locator.nwmls.com/scripts/mgrqispi.dll?APPNAME=Locator&amp;PRGNAME=MLSPictureDescriptions&amp;ARGUMENTS=-N719932170,-N27176949,-AE","More")</f>
        <v>More</v>
      </c>
      <c r="Q41" t="s">
        <v>827</v>
      </c>
      <c r="R41" t="s">
        <v>57</v>
      </c>
      <c r="S41" t="s">
        <v>755</v>
      </c>
      <c r="T41" t="s">
        <v>129</v>
      </c>
      <c r="U41" t="s">
        <v>26</v>
      </c>
      <c r="V41" s="6" t="s">
        <v>59</v>
      </c>
      <c r="X41" t="s">
        <v>27</v>
      </c>
      <c r="Y41" t="s">
        <v>28</v>
      </c>
      <c r="Z41" t="s">
        <v>184</v>
      </c>
      <c r="AA41" t="s">
        <v>828</v>
      </c>
      <c r="AB41">
        <v>2007</v>
      </c>
      <c r="AC41">
        <v>2900</v>
      </c>
      <c r="AD41" t="s">
        <v>829</v>
      </c>
      <c r="AE41" t="s">
        <v>830</v>
      </c>
      <c r="AF41" t="s">
        <v>831</v>
      </c>
      <c r="AG41">
        <v>47.715997000000002</v>
      </c>
      <c r="AH41">
        <v>-122.2893</v>
      </c>
      <c r="AI41" t="s">
        <v>33</v>
      </c>
      <c r="AJ41">
        <v>98125</v>
      </c>
      <c r="AK41" t="s">
        <v>34</v>
      </c>
      <c r="AL41" t="s">
        <v>311</v>
      </c>
      <c r="AM41" t="s">
        <v>35</v>
      </c>
      <c r="AO41">
        <v>0.20100000000000001</v>
      </c>
      <c r="AP41" t="s">
        <v>832</v>
      </c>
      <c r="AQ41">
        <v>505</v>
      </c>
      <c r="AR41" t="s">
        <v>742</v>
      </c>
      <c r="AS41" t="s">
        <v>833</v>
      </c>
      <c r="AT41">
        <v>3</v>
      </c>
      <c r="AV41" s="9"/>
      <c r="AX41">
        <f t="shared" ca="1" si="1"/>
        <v>28</v>
      </c>
    </row>
    <row r="42" spans="1:51">
      <c r="A42">
        <v>27177922</v>
      </c>
      <c r="B42" s="4" t="str">
        <f>HYPERLINK("http://locmedia.nwmls.com/DO_NOT_LINK/bigphoto/922/27177922.jpg?tsp=20071004111413","Active")</f>
        <v>Active</v>
      </c>
      <c r="C42">
        <v>705</v>
      </c>
      <c r="D42" t="s">
        <v>146</v>
      </c>
      <c r="E42" t="s">
        <v>396</v>
      </c>
      <c r="F42" s="5">
        <v>469950</v>
      </c>
      <c r="G42" t="s">
        <v>397</v>
      </c>
      <c r="H42">
        <v>2060</v>
      </c>
      <c r="I42">
        <v>3880</v>
      </c>
      <c r="J42">
        <v>3</v>
      </c>
      <c r="K42">
        <v>1.75</v>
      </c>
      <c r="L42">
        <v>1</v>
      </c>
      <c r="M42" s="4" t="str">
        <f>HYPERLINK("http://locsearch.nwmls.com//ReturnMap.aspx?hidMLS=NWML&amp;VHW=47.684490:-122.388774:.25:&amp;Z=4&amp;H=300&amp;W=400&amp;PP=47.684490:-122.388774:1:027177922","Map")</f>
        <v>Map</v>
      </c>
      <c r="N42" s="4" t="str">
        <f>HYPERLINK("http://locmedia.nwmls.com/DO_NOT_LINK/bigphoto/922/27177922.jpg?tsp=20071004111413","Photo")</f>
        <v>Photo</v>
      </c>
      <c r="O42" s="4" t="str">
        <f>HYPERLINK("http://locator.nwmls.com/scripts/mgrqispi.dll?APPNAME=Locator&amp;PRGNAME=MLSPictureDescriptions&amp;ARGUMENTS=-N595036758,-N27177922,-AE","More")</f>
        <v>More</v>
      </c>
      <c r="Q42" t="s">
        <v>56</v>
      </c>
      <c r="R42" t="s">
        <v>23</v>
      </c>
      <c r="S42" t="s">
        <v>199</v>
      </c>
      <c r="T42" t="s">
        <v>44</v>
      </c>
      <c r="U42" t="s">
        <v>26</v>
      </c>
      <c r="X42" t="s">
        <v>27</v>
      </c>
      <c r="Y42" t="s">
        <v>28</v>
      </c>
      <c r="Z42" t="s">
        <v>398</v>
      </c>
      <c r="AB42">
        <v>2007</v>
      </c>
      <c r="AC42">
        <v>539</v>
      </c>
      <c r="AD42" t="s">
        <v>399</v>
      </c>
      <c r="AE42" t="s">
        <v>121</v>
      </c>
      <c r="AF42" t="s">
        <v>400</v>
      </c>
      <c r="AG42">
        <v>47.684489999999997</v>
      </c>
      <c r="AH42">
        <v>-122.388774</v>
      </c>
      <c r="AI42" t="s">
        <v>33</v>
      </c>
      <c r="AJ42">
        <v>98117</v>
      </c>
      <c r="AK42" t="s">
        <v>34</v>
      </c>
      <c r="AL42" t="s">
        <v>35</v>
      </c>
      <c r="AM42" t="s">
        <v>35</v>
      </c>
      <c r="AO42">
        <v>8.8999999999999996E-2</v>
      </c>
      <c r="AP42" t="s">
        <v>401</v>
      </c>
      <c r="AQ42">
        <v>534</v>
      </c>
      <c r="AR42" t="s">
        <v>196</v>
      </c>
      <c r="AS42" t="s">
        <v>402</v>
      </c>
      <c r="AT42">
        <v>1</v>
      </c>
      <c r="AU42" t="s">
        <v>913</v>
      </c>
      <c r="AV42" s="9"/>
      <c r="AX42">
        <f t="shared" ca="1" si="1"/>
        <v>28</v>
      </c>
    </row>
    <row r="43" spans="1:51">
      <c r="A43">
        <v>27177984</v>
      </c>
      <c r="B43" s="4" t="str">
        <f>HYPERLINK("http://locmedia.nwmls.com/DO_NOT_LINK/bigphoto/984/27177984.jpg?tsp=20071005141504","Expired")</f>
        <v>Expired</v>
      </c>
      <c r="C43">
        <v>705</v>
      </c>
      <c r="D43" t="s">
        <v>81</v>
      </c>
      <c r="E43" t="s">
        <v>586</v>
      </c>
      <c r="F43" s="5">
        <v>437500</v>
      </c>
      <c r="G43" t="s">
        <v>587</v>
      </c>
      <c r="H43">
        <v>1650</v>
      </c>
      <c r="I43">
        <v>5117</v>
      </c>
      <c r="J43">
        <v>3</v>
      </c>
      <c r="K43">
        <v>1</v>
      </c>
      <c r="M43" s="4" t="str">
        <f>HYPERLINK("http://locsearch.nwmls.com//ReturnMap.aspx?hidMLS=NWML&amp;VHW=47.674600:-122.372809:.25:&amp;Z=4&amp;H=300&amp;W=400&amp;PP=47.674600:-122.372809:1:027177984","Map")</f>
        <v>Map</v>
      </c>
      <c r="N43" s="4" t="str">
        <f>HYPERLINK("http://locmedia.nwmls.com/DO_NOT_LINK/bigphoto/984/27177984.jpg?tsp=20071005141504","Photo")</f>
        <v>Photo</v>
      </c>
      <c r="O43" s="4" t="str">
        <f>HYPERLINK("http://locator.nwmls.com/scripts/mgrqispi.dll?APPNAME=Locator&amp;PRGNAME=MLSPictureDescriptions&amp;ARGUMENTS=-N595036758,-N27177984,-AE","More")</f>
        <v>More</v>
      </c>
      <c r="P43" t="s">
        <v>317</v>
      </c>
      <c r="Q43" t="s">
        <v>56</v>
      </c>
      <c r="R43" t="s">
        <v>95</v>
      </c>
      <c r="S43" t="s">
        <v>43</v>
      </c>
      <c r="T43" t="s">
        <v>25</v>
      </c>
      <c r="U43" t="s">
        <v>26</v>
      </c>
      <c r="V43" s="6" t="s">
        <v>59</v>
      </c>
      <c r="X43" t="s">
        <v>27</v>
      </c>
      <c r="Y43" t="s">
        <v>28</v>
      </c>
      <c r="Z43" t="s">
        <v>588</v>
      </c>
      <c r="AA43" t="s">
        <v>589</v>
      </c>
      <c r="AB43">
        <v>2007</v>
      </c>
      <c r="AC43">
        <v>3290</v>
      </c>
      <c r="AD43" t="s">
        <v>590</v>
      </c>
      <c r="AE43" t="s">
        <v>591</v>
      </c>
      <c r="AF43" t="s">
        <v>392</v>
      </c>
      <c r="AG43">
        <v>47.674599999999998</v>
      </c>
      <c r="AH43">
        <v>-122.372809</v>
      </c>
      <c r="AI43" t="s">
        <v>33</v>
      </c>
      <c r="AJ43">
        <v>98107</v>
      </c>
      <c r="AK43" t="s">
        <v>34</v>
      </c>
      <c r="AL43" t="s">
        <v>592</v>
      </c>
      <c r="AM43" t="s">
        <v>35</v>
      </c>
      <c r="AO43">
        <v>0.11700000000000001</v>
      </c>
      <c r="AP43" t="s">
        <v>593</v>
      </c>
      <c r="AQ43">
        <v>534</v>
      </c>
      <c r="AR43" t="s">
        <v>577</v>
      </c>
      <c r="AS43" t="s">
        <v>594</v>
      </c>
      <c r="AT43">
        <v>2</v>
      </c>
      <c r="AU43" t="s">
        <v>922</v>
      </c>
      <c r="AV43" s="9"/>
      <c r="AX43">
        <f t="shared" ca="1" si="1"/>
        <v>28</v>
      </c>
    </row>
    <row r="44" spans="1:51">
      <c r="A44">
        <v>27180210</v>
      </c>
      <c r="B44" s="4" t="str">
        <f>HYPERLINK("http://locmedia.nwmls.com/DO_NOT_LINK/bigphoto/210/27180210.jpg?tsp=20071006202240","Active")</f>
        <v>Active</v>
      </c>
      <c r="C44">
        <v>710</v>
      </c>
      <c r="D44" t="s">
        <v>713</v>
      </c>
      <c r="E44" t="s">
        <v>714</v>
      </c>
      <c r="F44" s="5">
        <v>463000</v>
      </c>
      <c r="G44" t="s">
        <v>21</v>
      </c>
      <c r="H44">
        <v>2500</v>
      </c>
      <c r="I44">
        <v>7749</v>
      </c>
      <c r="J44">
        <v>4</v>
      </c>
      <c r="K44">
        <v>2</v>
      </c>
      <c r="L44">
        <v>2</v>
      </c>
      <c r="M44" s="4" t="str">
        <f>HYPERLINK("http://locsearch.nwmls.com//ReturnMap.aspx?hidMLS=NWML&amp;VHW=47.728533:-122.325424:.25:&amp;Z=4&amp;H=300&amp;W=400&amp;PP=47.728533:-122.325424:1:027180210","Map")</f>
        <v>Map</v>
      </c>
      <c r="N44" s="4" t="str">
        <f>HYPERLINK("http://locmedia.nwmls.com/DO_NOT_LINK/bigphoto/210/27180210.jpg?tsp=20071006202240","Photo")</f>
        <v>Photo</v>
      </c>
      <c r="O44" s="4" t="str">
        <f>HYPERLINK("http://locator.nwmls.com/scripts/mgrqispi.dll?APPNAME=Locator&amp;PRGNAME=MLSPictureDescriptions&amp;ARGUMENTS=-N719932170,-N27180210,-AE","More")</f>
        <v>More</v>
      </c>
      <c r="P44" t="s">
        <v>41</v>
      </c>
      <c r="Q44" t="s">
        <v>167</v>
      </c>
      <c r="R44" t="s">
        <v>429</v>
      </c>
      <c r="S44" t="s">
        <v>24</v>
      </c>
      <c r="T44" t="s">
        <v>44</v>
      </c>
      <c r="U44" t="s">
        <v>26</v>
      </c>
      <c r="X44" t="s">
        <v>27</v>
      </c>
      <c r="Y44" t="s">
        <v>28</v>
      </c>
      <c r="Z44" t="s">
        <v>715</v>
      </c>
      <c r="AA44" t="s">
        <v>716</v>
      </c>
      <c r="AB44">
        <v>2007</v>
      </c>
      <c r="AC44">
        <v>2622</v>
      </c>
      <c r="AD44" t="s">
        <v>717</v>
      </c>
      <c r="AE44" t="s">
        <v>718</v>
      </c>
      <c r="AF44" t="s">
        <v>719</v>
      </c>
      <c r="AG44">
        <v>47.728532999999999</v>
      </c>
      <c r="AH44">
        <v>-122.325424</v>
      </c>
      <c r="AI44" t="s">
        <v>33</v>
      </c>
      <c r="AJ44">
        <v>98125</v>
      </c>
      <c r="AK44" t="s">
        <v>34</v>
      </c>
      <c r="AL44" t="s">
        <v>35</v>
      </c>
      <c r="AM44" t="s">
        <v>35</v>
      </c>
      <c r="AO44">
        <v>0.17799999999999999</v>
      </c>
      <c r="AP44" t="s">
        <v>720</v>
      </c>
      <c r="AQ44">
        <v>505</v>
      </c>
      <c r="AR44" t="s">
        <v>721</v>
      </c>
      <c r="AS44" t="s">
        <v>722</v>
      </c>
      <c r="AT44">
        <v>1</v>
      </c>
      <c r="AV44" s="9"/>
      <c r="AX44">
        <f t="shared" ca="1" si="1"/>
        <v>28</v>
      </c>
    </row>
    <row r="45" spans="1:51">
      <c r="A45">
        <v>27180340</v>
      </c>
      <c r="B45" s="4" t="str">
        <f>HYPERLINK("http://locmedia.nwmls.com/DO_NOT_LINK/bigphoto/340/27180340.jpg?tsp=20071007145754","Active")</f>
        <v>Active</v>
      </c>
      <c r="C45">
        <v>710</v>
      </c>
      <c r="D45" t="s">
        <v>649</v>
      </c>
      <c r="E45" t="s">
        <v>673</v>
      </c>
      <c r="F45" s="5">
        <v>449900</v>
      </c>
      <c r="G45" t="s">
        <v>94</v>
      </c>
      <c r="H45">
        <v>1920</v>
      </c>
      <c r="I45">
        <v>6752</v>
      </c>
      <c r="J45">
        <v>3</v>
      </c>
      <c r="K45">
        <v>1.75</v>
      </c>
      <c r="L45">
        <v>1</v>
      </c>
      <c r="M45" s="4" t="str">
        <f>HYPERLINK("http://locsearch.nwmls.com//ReturnMap.aspx?hidMLS=NWML&amp;VHW=47.693958:-122.328400:.25:&amp;Z=4&amp;H=300&amp;W=400&amp;PP=47.693958:-122.328400:1:027180340","Map")</f>
        <v>Map</v>
      </c>
      <c r="N45" s="4" t="str">
        <f>HYPERLINK("http://locmedia.nwmls.com/DO_NOT_LINK/bigphoto/340/27180340.jpg?tsp=20071007145754","Photo")</f>
        <v>Photo</v>
      </c>
      <c r="O45" s="4" t="str">
        <f>HYPERLINK("http://locator.nwmls.com/scripts/mgrqispi.dll?APPNAME=Locator&amp;PRGNAME=MLSPictureDescriptions&amp;ARGUMENTS=-N719932170,-N27180340,-AE","More")</f>
        <v>More</v>
      </c>
      <c r="P45" t="s">
        <v>597</v>
      </c>
      <c r="Q45" t="s">
        <v>70</v>
      </c>
      <c r="R45" t="s">
        <v>116</v>
      </c>
      <c r="S45" t="s">
        <v>58</v>
      </c>
      <c r="T45" t="s">
        <v>129</v>
      </c>
      <c r="U45" t="s">
        <v>26</v>
      </c>
      <c r="V45" s="6" t="s">
        <v>59</v>
      </c>
      <c r="X45" t="s">
        <v>27</v>
      </c>
      <c r="Y45" t="s">
        <v>28</v>
      </c>
      <c r="Z45" t="s">
        <v>318</v>
      </c>
      <c r="AB45">
        <v>2007</v>
      </c>
      <c r="AC45">
        <v>3123</v>
      </c>
      <c r="AD45" t="s">
        <v>674</v>
      </c>
      <c r="AE45" t="s">
        <v>238</v>
      </c>
      <c r="AF45" t="s">
        <v>292</v>
      </c>
      <c r="AG45">
        <v>47.693958000000002</v>
      </c>
      <c r="AH45">
        <v>-122.3284</v>
      </c>
      <c r="AI45" t="s">
        <v>33</v>
      </c>
      <c r="AJ45">
        <v>98115</v>
      </c>
      <c r="AK45" t="s">
        <v>34</v>
      </c>
      <c r="AL45" t="s">
        <v>35</v>
      </c>
      <c r="AM45" t="s">
        <v>35</v>
      </c>
      <c r="AO45">
        <v>0.155</v>
      </c>
      <c r="AP45" t="s">
        <v>675</v>
      </c>
      <c r="AQ45">
        <v>535</v>
      </c>
      <c r="AR45" t="s">
        <v>676</v>
      </c>
      <c r="AS45" t="s">
        <v>677</v>
      </c>
      <c r="AT45">
        <v>2</v>
      </c>
      <c r="AU45" t="s">
        <v>923</v>
      </c>
      <c r="AV45" s="9"/>
      <c r="AX45">
        <f t="shared" ca="1" si="1"/>
        <v>28</v>
      </c>
    </row>
    <row r="46" spans="1:51">
      <c r="A46">
        <v>27180376</v>
      </c>
      <c r="B46" s="4" t="str">
        <f>HYPERLINK("http://locmedia.nwmls.com/DO_NOT_LINK/bigphoto/376/27180376.jpg?tsp=20071011121819","Active")</f>
        <v>Active</v>
      </c>
      <c r="C46">
        <v>705</v>
      </c>
      <c r="D46" t="s">
        <v>53</v>
      </c>
      <c r="E46" t="s">
        <v>198</v>
      </c>
      <c r="F46" s="14">
        <v>409500</v>
      </c>
      <c r="G46" t="s">
        <v>148</v>
      </c>
      <c r="H46">
        <v>1140</v>
      </c>
      <c r="I46">
        <v>6350</v>
      </c>
      <c r="J46">
        <v>2</v>
      </c>
      <c r="K46">
        <v>1</v>
      </c>
      <c r="L46">
        <v>1</v>
      </c>
      <c r="M46" s="4" t="str">
        <f>HYPERLINK("http://locsearch.nwmls.com//ReturnMap.aspx?hidMLS=NWML&amp;VHW=47.699974:-122.358100:.25:&amp;Z=4&amp;H=300&amp;W=400&amp;PP=47.699974:-122.358100:1:027180376","Map")</f>
        <v>Map</v>
      </c>
      <c r="N46" s="4" t="str">
        <f>HYPERLINK("http://locmedia.nwmls.com/DO_NOT_LINK/bigphoto/376/27180376.jpg?tsp=20071011121819","Photo")</f>
        <v>Photo</v>
      </c>
      <c r="O46" s="4" t="str">
        <f>HYPERLINK("http://locator.nwmls.com/scripts/mgrqispi.dll?APPNAME=Locator&amp;PRGNAME=MLSPictureDescriptions&amp;ARGUMENTS=-N595036758,-N27180376,-AE","More")</f>
        <v>More</v>
      </c>
      <c r="P46" t="s">
        <v>41</v>
      </c>
      <c r="Q46" t="s">
        <v>84</v>
      </c>
      <c r="R46" t="s">
        <v>85</v>
      </c>
      <c r="S46" t="s">
        <v>199</v>
      </c>
      <c r="T46" t="s">
        <v>72</v>
      </c>
      <c r="U46" t="s">
        <v>26</v>
      </c>
      <c r="V46" t="s">
        <v>200</v>
      </c>
      <c r="X46" t="s">
        <v>27</v>
      </c>
      <c r="Y46" t="s">
        <v>28</v>
      </c>
      <c r="Z46" t="s">
        <v>96</v>
      </c>
      <c r="AB46">
        <v>2007</v>
      </c>
      <c r="AC46">
        <v>3012</v>
      </c>
      <c r="AD46" t="s">
        <v>201</v>
      </c>
      <c r="AE46" t="s">
        <v>202</v>
      </c>
      <c r="AF46" t="s">
        <v>203</v>
      </c>
      <c r="AG46">
        <v>47.699973999999997</v>
      </c>
      <c r="AH46">
        <v>-122.35809999999999</v>
      </c>
      <c r="AI46" t="s">
        <v>33</v>
      </c>
      <c r="AJ46">
        <v>98117</v>
      </c>
      <c r="AK46" t="s">
        <v>34</v>
      </c>
      <c r="AL46">
        <v>7</v>
      </c>
      <c r="AM46" t="s">
        <v>35</v>
      </c>
      <c r="AO46">
        <v>0.14599999999999999</v>
      </c>
      <c r="AP46" t="s">
        <v>1057</v>
      </c>
      <c r="AQ46">
        <v>504</v>
      </c>
      <c r="AR46" t="s">
        <v>204</v>
      </c>
      <c r="AS46" t="s">
        <v>205</v>
      </c>
      <c r="AT46">
        <v>3</v>
      </c>
      <c r="AU46" t="s">
        <v>924</v>
      </c>
      <c r="AV46" s="9"/>
      <c r="AX46">
        <f t="shared" ca="1" si="1"/>
        <v>28</v>
      </c>
    </row>
    <row r="47" spans="1:51">
      <c r="A47">
        <v>27181015</v>
      </c>
      <c r="B47" s="4" t="str">
        <f>HYPERLINK("http://locmedia.nwmls.com/DO_NOT_LINK/bigphoto/015/27181015.jpg?tsp=20071010133250","Active")</f>
        <v>Active</v>
      </c>
      <c r="C47">
        <v>705</v>
      </c>
      <c r="D47" t="s">
        <v>81</v>
      </c>
      <c r="E47" t="s">
        <v>346</v>
      </c>
      <c r="F47" s="5">
        <v>459950</v>
      </c>
      <c r="G47" t="s">
        <v>347</v>
      </c>
      <c r="H47">
        <v>2000</v>
      </c>
      <c r="I47">
        <v>5700</v>
      </c>
      <c r="J47">
        <v>2</v>
      </c>
      <c r="K47">
        <v>1.75</v>
      </c>
      <c r="L47">
        <v>1</v>
      </c>
      <c r="M47" s="4" t="str">
        <f>HYPERLINK("http://locsearch.nwmls.com//ReturnMap.aspx?hidMLS=NWML&amp;VHW=47.687999:-122.367300:.25:&amp;Z=4&amp;H=300&amp;W=400&amp;PP=47.687999:-122.367300:1:027181015","Map")</f>
        <v>Map</v>
      </c>
      <c r="N47" s="4" t="str">
        <f>HYPERLINK("http://locmedia.nwmls.com/DO_NOT_LINK/bigphoto/015/27181015.jpg?tsp=20071010133250","Photo")</f>
        <v>Photo</v>
      </c>
      <c r="O47" s="4" t="str">
        <f>HYPERLINK("http://locator.nwmls.com/scripts/mgrqispi.dll?APPNAME=Locator&amp;PRGNAME=MLSPictureDescriptions&amp;ARGUMENTS=-N595036758,-N27181015,-AE","More")</f>
        <v>More</v>
      </c>
      <c r="P47" t="s">
        <v>41</v>
      </c>
      <c r="Q47" t="s">
        <v>56</v>
      </c>
      <c r="R47" t="s">
        <v>116</v>
      </c>
      <c r="S47" t="s">
        <v>199</v>
      </c>
      <c r="T47" t="s">
        <v>129</v>
      </c>
      <c r="U47" t="s">
        <v>26</v>
      </c>
      <c r="V47" s="6" t="s">
        <v>59</v>
      </c>
      <c r="X47" t="s">
        <v>27</v>
      </c>
      <c r="Y47" t="s">
        <v>28</v>
      </c>
      <c r="Z47" t="s">
        <v>184</v>
      </c>
      <c r="AB47">
        <v>2007</v>
      </c>
      <c r="AC47">
        <v>3392</v>
      </c>
      <c r="AD47" t="s">
        <v>348</v>
      </c>
      <c r="AE47" t="s">
        <v>121</v>
      </c>
      <c r="AF47" t="s">
        <v>349</v>
      </c>
      <c r="AG47">
        <v>47.687998999999998</v>
      </c>
      <c r="AH47">
        <v>-122.3673</v>
      </c>
      <c r="AI47" t="s">
        <v>33</v>
      </c>
      <c r="AJ47">
        <v>98117</v>
      </c>
      <c r="AK47" t="s">
        <v>34</v>
      </c>
      <c r="AL47">
        <v>6</v>
      </c>
      <c r="AM47" t="s">
        <v>35</v>
      </c>
      <c r="AO47">
        <v>0.13100000000000001</v>
      </c>
      <c r="AP47" t="s">
        <v>350</v>
      </c>
      <c r="AQ47">
        <v>534</v>
      </c>
      <c r="AR47" t="s">
        <v>313</v>
      </c>
      <c r="AS47" t="s">
        <v>351</v>
      </c>
      <c r="AT47">
        <v>3</v>
      </c>
      <c r="AV47" s="9"/>
      <c r="AX47">
        <f t="shared" ca="1" si="1"/>
        <v>28</v>
      </c>
    </row>
    <row r="48" spans="1:51">
      <c r="A48">
        <v>27181171</v>
      </c>
      <c r="B48" s="4" t="str">
        <f>HYPERLINK("http://locmedia.nwmls.com/DO_NOT_LINK/bigphoto/171/27181171.jpg?tsp=20071115130032","Active")</f>
        <v>Active</v>
      </c>
      <c r="C48">
        <v>705</v>
      </c>
      <c r="D48" t="s">
        <v>53</v>
      </c>
      <c r="E48" t="s">
        <v>54</v>
      </c>
      <c r="F48" s="5">
        <v>369950</v>
      </c>
      <c r="G48" t="s">
        <v>55</v>
      </c>
      <c r="H48">
        <v>1120</v>
      </c>
      <c r="I48">
        <v>3833</v>
      </c>
      <c r="J48">
        <v>3</v>
      </c>
      <c r="K48">
        <v>1</v>
      </c>
      <c r="L48">
        <v>1</v>
      </c>
      <c r="M48" s="4" t="str">
        <f>HYPERLINK("http://locsearch.nwmls.com//ReturnMap.aspx?hidMLS=NWML&amp;VHW=47.703601:-122.349685:.25:&amp;Z=4&amp;H=300&amp;W=400&amp;PP=47.703601:-122.349685:1:027181171","Map")</f>
        <v>Map</v>
      </c>
      <c r="N48" s="4" t="str">
        <f>HYPERLINK("http://locmedia.nwmls.com/DO_NOT_LINK/bigphoto/171/27181171.jpg?tsp=20071115130032","Photo")</f>
        <v>Photo</v>
      </c>
      <c r="O48" s="4" t="str">
        <f>HYPERLINK("http://locator.nwmls.com/scripts/mgrqispi.dll?APPNAME=Locator&amp;PRGNAME=MLSPictureDescriptions&amp;ARGUMENTS=-N595036758,-N27181171,-AE","More")</f>
        <v>More</v>
      </c>
      <c r="Q48" t="s">
        <v>56</v>
      </c>
      <c r="R48" t="s">
        <v>57</v>
      </c>
      <c r="S48" t="s">
        <v>58</v>
      </c>
      <c r="U48" t="s">
        <v>26</v>
      </c>
      <c r="V48" s="6" t="s">
        <v>59</v>
      </c>
      <c r="X48" t="s">
        <v>27</v>
      </c>
      <c r="Y48" t="s">
        <v>28</v>
      </c>
      <c r="Z48" t="s">
        <v>60</v>
      </c>
      <c r="AB48">
        <v>2007</v>
      </c>
      <c r="AC48">
        <v>2334</v>
      </c>
      <c r="AD48" t="s">
        <v>61</v>
      </c>
      <c r="AF48" t="s">
        <v>62</v>
      </c>
      <c r="AG48">
        <v>47.703600999999999</v>
      </c>
      <c r="AH48">
        <v>-122.34968499999999</v>
      </c>
      <c r="AI48" t="s">
        <v>33</v>
      </c>
      <c r="AJ48">
        <v>98133</v>
      </c>
      <c r="AK48" t="s">
        <v>34</v>
      </c>
      <c r="AL48" t="s">
        <v>35</v>
      </c>
      <c r="AM48" t="s">
        <v>35</v>
      </c>
      <c r="AO48">
        <v>8.7999999999999995E-2</v>
      </c>
      <c r="AP48" t="s">
        <v>63</v>
      </c>
      <c r="AQ48">
        <v>504</v>
      </c>
      <c r="AR48" t="s">
        <v>64</v>
      </c>
      <c r="AS48" t="s">
        <v>65</v>
      </c>
      <c r="AT48">
        <v>1</v>
      </c>
      <c r="AU48" t="s">
        <v>913</v>
      </c>
      <c r="AV48" s="9"/>
      <c r="AX48">
        <f t="shared" ca="1" si="1"/>
        <v>28</v>
      </c>
    </row>
    <row r="49" spans="1:51">
      <c r="A49">
        <v>27181193</v>
      </c>
      <c r="B49" s="13" t="str">
        <f>HYPERLINK("http://locmedia.nwmls.com/DO_NOT_LINK/bigphoto/193/27181193.jpg?tsp=20071005144156","Pending")</f>
        <v>Pending</v>
      </c>
      <c r="C49">
        <v>705</v>
      </c>
      <c r="D49" t="s">
        <v>113</v>
      </c>
      <c r="E49" t="s">
        <v>166</v>
      </c>
      <c r="F49" s="5">
        <v>409950</v>
      </c>
      <c r="G49" t="s">
        <v>21</v>
      </c>
      <c r="H49">
        <v>0</v>
      </c>
      <c r="I49">
        <v>6750</v>
      </c>
      <c r="J49">
        <v>3</v>
      </c>
      <c r="K49">
        <v>1.75</v>
      </c>
      <c r="L49">
        <v>1</v>
      </c>
      <c r="M49" s="4" t="str">
        <f>HYPERLINK("http://locsearch.nwmls.com//ReturnMap.aspx?hidMLS=NWML&amp;VHW=47.729804:-122.358201:.25:&amp;Z=4&amp;H=300&amp;W=400&amp;PP=47.729804:-122.358201:1:027181193","Map")</f>
        <v>Map</v>
      </c>
      <c r="N49" s="4" t="str">
        <f>HYPERLINK("http://locmedia.nwmls.com/DO_NOT_LINK/bigphoto/193/27181193.jpg?tsp=20071005144156","Photo")</f>
        <v>Photo</v>
      </c>
      <c r="O49" s="4" t="str">
        <f>HYPERLINK("http://locator.nwmls.com/scripts/mgrqispi.dll?APPNAME=Locator&amp;PRGNAME=MLSPictureDescriptions&amp;ARGUMENTS=-N595036758,-N27181193,-AE","More")</f>
        <v>More</v>
      </c>
      <c r="Q49" t="s">
        <v>167</v>
      </c>
      <c r="R49" t="s">
        <v>23</v>
      </c>
      <c r="S49" t="s">
        <v>58</v>
      </c>
      <c r="T49" t="s">
        <v>25</v>
      </c>
      <c r="U49" t="s">
        <v>26</v>
      </c>
      <c r="X49" t="s">
        <v>27</v>
      </c>
      <c r="Y49" t="s">
        <v>28</v>
      </c>
      <c r="Z49" t="s">
        <v>150</v>
      </c>
      <c r="AB49">
        <v>2007</v>
      </c>
      <c r="AC49">
        <v>2900</v>
      </c>
      <c r="AD49" t="s">
        <v>168</v>
      </c>
      <c r="AE49" t="s">
        <v>169</v>
      </c>
      <c r="AF49" t="s">
        <v>170</v>
      </c>
      <c r="AG49">
        <v>47.729804000000001</v>
      </c>
      <c r="AH49">
        <v>-122.35820099999999</v>
      </c>
      <c r="AI49" t="s">
        <v>33</v>
      </c>
      <c r="AJ49">
        <v>98177</v>
      </c>
      <c r="AK49" t="s">
        <v>34</v>
      </c>
      <c r="AL49">
        <v>5</v>
      </c>
      <c r="AM49" t="s">
        <v>35</v>
      </c>
      <c r="AO49">
        <v>0.155</v>
      </c>
      <c r="AP49" t="s">
        <v>171</v>
      </c>
      <c r="AQ49">
        <v>504</v>
      </c>
      <c r="AR49" t="s">
        <v>172</v>
      </c>
      <c r="AS49" t="s">
        <v>173</v>
      </c>
      <c r="AT49">
        <v>-5</v>
      </c>
      <c r="AV49" s="9"/>
      <c r="AX49">
        <f t="shared" ca="1" si="1"/>
        <v>28</v>
      </c>
    </row>
    <row r="50" spans="1:51">
      <c r="A50">
        <v>27182064</v>
      </c>
      <c r="B50" s="4" t="str">
        <f>HYPERLINK("http://locmedia.nwmls.com/DO_NOT_LINK/bigphoto/064/27182064.jpg?tsp=20071006190749","Active")</f>
        <v>Active</v>
      </c>
      <c r="C50">
        <v>705</v>
      </c>
      <c r="D50" t="s">
        <v>113</v>
      </c>
      <c r="E50" t="s">
        <v>206</v>
      </c>
      <c r="F50" s="5">
        <v>419000</v>
      </c>
      <c r="G50" t="s">
        <v>21</v>
      </c>
      <c r="H50">
        <v>1871</v>
      </c>
      <c r="I50">
        <v>0</v>
      </c>
      <c r="J50">
        <v>3</v>
      </c>
      <c r="K50">
        <v>1</v>
      </c>
      <c r="M50" s="4" t="str">
        <f>HYPERLINK("http://locsearch.nwmls.com//ReturnMap.aspx?hidMLS=NWML&amp;VHW=47.732301:-122.352013:.25:&amp;Z=4&amp;H=300&amp;W=400&amp;PP=47.732301:-122.352013:1:027182064","Map")</f>
        <v>Map</v>
      </c>
      <c r="N50" s="4" t="str">
        <f>HYPERLINK("http://locmedia.nwmls.com/DO_NOT_LINK/bigphoto/064/27182064.jpg?tsp=20071006190749","Photo")</f>
        <v>Photo</v>
      </c>
      <c r="O50" s="4" t="str">
        <f>HYPERLINK("http://locator.nwmls.com/scripts/mgrqispi.dll?APPNAME=Locator&amp;PRGNAME=MLSPictureDescriptions&amp;ARGUMENTS=-N595036758,-N27182064,-AE","More")</f>
        <v>More</v>
      </c>
      <c r="P50" t="s">
        <v>41</v>
      </c>
      <c r="Q50" t="s">
        <v>56</v>
      </c>
      <c r="R50" t="s">
        <v>95</v>
      </c>
      <c r="S50" t="s">
        <v>24</v>
      </c>
      <c r="T50" t="s">
        <v>25</v>
      </c>
      <c r="U50" t="s">
        <v>26</v>
      </c>
      <c r="V50" s="6" t="s">
        <v>59</v>
      </c>
      <c r="X50" t="s">
        <v>27</v>
      </c>
      <c r="Y50" t="s">
        <v>28</v>
      </c>
      <c r="Z50" t="s">
        <v>207</v>
      </c>
      <c r="AA50" t="s">
        <v>208</v>
      </c>
      <c r="AB50">
        <v>2007</v>
      </c>
      <c r="AC50">
        <v>3039</v>
      </c>
      <c r="AD50" t="s">
        <v>209</v>
      </c>
      <c r="AE50" t="s">
        <v>210</v>
      </c>
      <c r="AF50" t="s">
        <v>211</v>
      </c>
      <c r="AG50">
        <v>47.732301</v>
      </c>
      <c r="AH50">
        <v>-122.352013</v>
      </c>
      <c r="AI50" t="s">
        <v>33</v>
      </c>
      <c r="AJ50">
        <v>98133</v>
      </c>
      <c r="AK50" t="s">
        <v>34</v>
      </c>
      <c r="AL50" t="s">
        <v>35</v>
      </c>
      <c r="AM50" t="s">
        <v>35</v>
      </c>
      <c r="AO50">
        <v>0</v>
      </c>
      <c r="AP50" t="s">
        <v>212</v>
      </c>
      <c r="AQ50">
        <v>504</v>
      </c>
      <c r="AR50" t="s">
        <v>213</v>
      </c>
      <c r="AS50" t="s">
        <v>214</v>
      </c>
      <c r="AT50">
        <v>1</v>
      </c>
      <c r="AU50" t="s">
        <v>913</v>
      </c>
      <c r="AV50" s="9"/>
      <c r="AX50">
        <f t="shared" ca="1" si="1"/>
        <v>28</v>
      </c>
    </row>
    <row r="51" spans="1:51">
      <c r="A51">
        <v>27182187</v>
      </c>
      <c r="B51" s="4" t="str">
        <f>HYPERLINK("http://locmedia.nwmls.com/DO_NOT_LINK/bigphoto/187/27182187.jpg?tsp=20071007140427","Active")</f>
        <v>Active</v>
      </c>
      <c r="C51">
        <v>705</v>
      </c>
      <c r="D51" t="s">
        <v>66</v>
      </c>
      <c r="E51" t="s">
        <v>511</v>
      </c>
      <c r="F51" s="5">
        <v>499000</v>
      </c>
      <c r="G51" t="s">
        <v>316</v>
      </c>
      <c r="H51">
        <v>1290</v>
      </c>
      <c r="I51">
        <v>3790</v>
      </c>
      <c r="J51">
        <v>3</v>
      </c>
      <c r="K51">
        <v>1</v>
      </c>
      <c r="L51">
        <v>1</v>
      </c>
      <c r="M51" s="4" t="str">
        <f>HYPERLINK("http://locsearch.nwmls.com//ReturnMap.aspx?hidMLS=NWML&amp;VHW=47.688826:-122.311119:.25:&amp;Z=4&amp;H=300&amp;W=400&amp;PP=47.688826:-122.311119:1:027182187","Map")</f>
        <v>Map</v>
      </c>
      <c r="N51" s="4" t="str">
        <f>HYPERLINK("http://locmedia.nwmls.com/DO_NOT_LINK/bigphoto/187/27182187.jpg?tsp=20071007140427","Photo")</f>
        <v>Photo</v>
      </c>
      <c r="O51" s="4" t="str">
        <f>HYPERLINK("http://locator.nwmls.com/scripts/mgrqispi.dll?APPNAME=Locator&amp;PRGNAME=MLSPictureDescriptions&amp;ARGUMENTS=-N595036758,-N27182187,-AE","More")</f>
        <v>More</v>
      </c>
      <c r="P51" t="s">
        <v>262</v>
      </c>
      <c r="Q51" t="s">
        <v>56</v>
      </c>
      <c r="R51" t="s">
        <v>116</v>
      </c>
      <c r="S51" t="s">
        <v>128</v>
      </c>
      <c r="T51" t="s">
        <v>300</v>
      </c>
      <c r="U51" t="s">
        <v>26</v>
      </c>
      <c r="X51" t="s">
        <v>27</v>
      </c>
      <c r="Y51" t="s">
        <v>28</v>
      </c>
      <c r="Z51" t="s">
        <v>207</v>
      </c>
      <c r="AA51" t="s">
        <v>512</v>
      </c>
      <c r="AB51">
        <v>2007</v>
      </c>
      <c r="AC51">
        <v>2956</v>
      </c>
      <c r="AD51" t="s">
        <v>513</v>
      </c>
      <c r="AE51" t="s">
        <v>238</v>
      </c>
      <c r="AF51" t="s">
        <v>514</v>
      </c>
      <c r="AG51">
        <v>47.688825999999999</v>
      </c>
      <c r="AH51">
        <v>-122.31111900000001</v>
      </c>
      <c r="AI51" t="s">
        <v>33</v>
      </c>
      <c r="AJ51">
        <v>98115</v>
      </c>
      <c r="AK51" t="s">
        <v>34</v>
      </c>
      <c r="AL51" t="s">
        <v>35</v>
      </c>
      <c r="AM51" t="s">
        <v>35</v>
      </c>
      <c r="AO51">
        <v>8.6999999999999994E-2</v>
      </c>
      <c r="AP51" t="s">
        <v>515</v>
      </c>
      <c r="AQ51">
        <v>535</v>
      </c>
      <c r="AR51" t="s">
        <v>516</v>
      </c>
      <c r="AS51" t="s">
        <v>517</v>
      </c>
      <c r="AT51">
        <v>1</v>
      </c>
      <c r="AU51" t="s">
        <v>913</v>
      </c>
      <c r="AV51" s="9"/>
      <c r="AX51">
        <f t="shared" ca="1" si="1"/>
        <v>28</v>
      </c>
    </row>
    <row r="52" spans="1:51">
      <c r="A52">
        <v>27182314</v>
      </c>
      <c r="B52" s="4" t="str">
        <f>HYPERLINK("http://locmedia.nwmls.com/DO_NOT_LINK/bigphoto/314/27182314.jpg?tsp=20071010140226","Active")</f>
        <v>Active</v>
      </c>
      <c r="C52">
        <v>710</v>
      </c>
      <c r="D52" t="s">
        <v>656</v>
      </c>
      <c r="E52" t="s">
        <v>657</v>
      </c>
      <c r="F52" s="5">
        <v>439000</v>
      </c>
      <c r="G52" t="s">
        <v>21</v>
      </c>
      <c r="H52">
        <v>0</v>
      </c>
      <c r="I52">
        <v>0</v>
      </c>
      <c r="J52">
        <v>2</v>
      </c>
      <c r="K52">
        <v>1</v>
      </c>
      <c r="L52">
        <v>1</v>
      </c>
      <c r="M52" s="4" t="str">
        <f>HYPERLINK("http://locsearch.nwmls.com//ReturnMap.aspx?hidMLS=NWML&amp;VHW=47.690170:-122.283083:.25:&amp;Z=4&amp;H=300&amp;W=400&amp;PP=47.690170:-122.283083:1:027182314","Map")</f>
        <v>Map</v>
      </c>
      <c r="N52" s="4" t="str">
        <f>HYPERLINK("http://locmedia.nwmls.com/DO_NOT_LINK/bigphoto/314/27182314.jpg?tsp=20071010140226","Photo")</f>
        <v>Photo</v>
      </c>
      <c r="O52" s="4" t="str">
        <f>HYPERLINK("http://locator.nwmls.com/scripts/mgrqispi.dll?APPNAME=Locator&amp;PRGNAME=MLSPictureDescriptions&amp;ARGUMENTS=-N719932170,-N27182314,-AE","More")</f>
        <v>More</v>
      </c>
      <c r="Q52" t="s">
        <v>70</v>
      </c>
      <c r="R52" t="s">
        <v>658</v>
      </c>
      <c r="S52" t="s">
        <v>128</v>
      </c>
      <c r="T52" t="s">
        <v>25</v>
      </c>
      <c r="U52" t="s">
        <v>26</v>
      </c>
      <c r="X52" t="s">
        <v>27</v>
      </c>
      <c r="Y52" t="s">
        <v>28</v>
      </c>
      <c r="Z52" t="s">
        <v>659</v>
      </c>
      <c r="AB52">
        <v>2007</v>
      </c>
      <c r="AC52">
        <v>2876</v>
      </c>
      <c r="AD52" t="s">
        <v>660</v>
      </c>
      <c r="AF52" t="s">
        <v>661</v>
      </c>
      <c r="AG52">
        <v>47.690170000000002</v>
      </c>
      <c r="AH52">
        <v>-122.283083</v>
      </c>
      <c r="AI52" t="s">
        <v>33</v>
      </c>
      <c r="AJ52">
        <v>98115</v>
      </c>
      <c r="AK52" t="s">
        <v>34</v>
      </c>
      <c r="AL52" t="s">
        <v>35</v>
      </c>
      <c r="AM52" t="s">
        <v>35</v>
      </c>
      <c r="AO52">
        <v>0</v>
      </c>
      <c r="AP52" t="s">
        <v>662</v>
      </c>
      <c r="AQ52">
        <v>535</v>
      </c>
      <c r="AR52" t="s">
        <v>371</v>
      </c>
      <c r="AS52" t="s">
        <v>663</v>
      </c>
      <c r="AT52">
        <v>3</v>
      </c>
      <c r="AV52" s="9"/>
      <c r="AX52">
        <f t="shared" ca="1" si="1"/>
        <v>28</v>
      </c>
    </row>
    <row r="53" spans="1:51">
      <c r="A53">
        <v>27182369</v>
      </c>
      <c r="B53" s="4" t="str">
        <f>HYPERLINK("http://locmedia.nwmls.com/DO_NOT_LINK/bigphoto/369/27182369.jpg?tsp=20071008094614","Active")</f>
        <v>Active</v>
      </c>
      <c r="C53">
        <v>705</v>
      </c>
      <c r="D53" t="s">
        <v>146</v>
      </c>
      <c r="E53" t="s">
        <v>560</v>
      </c>
      <c r="F53" s="5">
        <v>500000</v>
      </c>
      <c r="G53" t="s">
        <v>397</v>
      </c>
      <c r="H53">
        <v>1980</v>
      </c>
      <c r="I53">
        <v>5000</v>
      </c>
      <c r="J53">
        <v>3</v>
      </c>
      <c r="K53">
        <v>1.75</v>
      </c>
      <c r="L53">
        <v>2</v>
      </c>
      <c r="M53" s="4" t="str">
        <f>HYPERLINK("http://locsearch.nwmls.com//ReturnMap.aspx?hidMLS=NWML&amp;VHW=47.677301:-122.397201:.25:&amp;Z=4&amp;H=300&amp;W=400&amp;PP=47.677301:-122.397201:1:027182369","Map")</f>
        <v>Map</v>
      </c>
      <c r="N53" s="4" t="str">
        <f>HYPERLINK("http://locmedia.nwmls.com/DO_NOT_LINK/bigphoto/369/27182369.jpg?tsp=20071008094614","Photo")</f>
        <v>Photo</v>
      </c>
      <c r="O53" s="4" t="str">
        <f>HYPERLINK("http://locator.nwmls.com/scripts/mgrqispi.dll?APPNAME=Locator&amp;PRGNAME=MLSPictureDescriptions&amp;ARGUMENTS=-N595036758,-N27182369,-AE","More")</f>
        <v>More</v>
      </c>
      <c r="P53" t="s">
        <v>41</v>
      </c>
      <c r="Q53" t="s">
        <v>56</v>
      </c>
      <c r="R53" t="s">
        <v>95</v>
      </c>
      <c r="S53" t="s">
        <v>475</v>
      </c>
      <c r="T53" t="s">
        <v>129</v>
      </c>
      <c r="U53" t="s">
        <v>26</v>
      </c>
      <c r="V53" s="6" t="s">
        <v>59</v>
      </c>
      <c r="X53" t="s">
        <v>27</v>
      </c>
      <c r="Y53" t="s">
        <v>28</v>
      </c>
      <c r="Z53" t="s">
        <v>176</v>
      </c>
      <c r="AA53" t="s">
        <v>561</v>
      </c>
      <c r="AB53">
        <v>2007</v>
      </c>
      <c r="AC53">
        <v>3309</v>
      </c>
      <c r="AD53" t="s">
        <v>562</v>
      </c>
      <c r="AE53" t="s">
        <v>121</v>
      </c>
      <c r="AF53" t="s">
        <v>563</v>
      </c>
      <c r="AG53">
        <v>47.677301</v>
      </c>
      <c r="AH53">
        <v>-122.397201</v>
      </c>
      <c r="AI53" t="s">
        <v>33</v>
      </c>
      <c r="AJ53">
        <v>98117</v>
      </c>
      <c r="AK53" t="s">
        <v>34</v>
      </c>
      <c r="AL53" t="s">
        <v>35</v>
      </c>
      <c r="AM53" t="s">
        <v>35</v>
      </c>
      <c r="AO53">
        <v>0.115</v>
      </c>
      <c r="AP53" t="s">
        <v>564</v>
      </c>
      <c r="AQ53">
        <v>534</v>
      </c>
      <c r="AR53" t="s">
        <v>480</v>
      </c>
      <c r="AS53" t="s">
        <v>565</v>
      </c>
      <c r="AT53">
        <v>4</v>
      </c>
      <c r="AU53" t="s">
        <v>925</v>
      </c>
      <c r="AV53" s="9">
        <v>39363</v>
      </c>
      <c r="AW53">
        <v>48</v>
      </c>
      <c r="AX53">
        <f t="shared" ca="1" si="1"/>
        <v>70</v>
      </c>
      <c r="AY53" t="s">
        <v>907</v>
      </c>
    </row>
    <row r="54" spans="1:51">
      <c r="A54">
        <v>27183237</v>
      </c>
      <c r="B54" s="13" t="str">
        <f>HYPERLINK("http://locmedia.nwmls.com/DO_NOT_LINK/bigphoto/237/27183237.jpg?tsp=20071011181507","Active - STI")</f>
        <v>Active - STI</v>
      </c>
      <c r="C54">
        <v>710</v>
      </c>
      <c r="D54" t="s">
        <v>704</v>
      </c>
      <c r="E54" t="s">
        <v>705</v>
      </c>
      <c r="F54" s="5">
        <v>459500</v>
      </c>
      <c r="G54" t="s">
        <v>148</v>
      </c>
      <c r="H54">
        <v>1900</v>
      </c>
      <c r="I54">
        <v>7200</v>
      </c>
      <c r="J54">
        <v>2</v>
      </c>
      <c r="K54">
        <v>1.75</v>
      </c>
      <c r="L54">
        <v>2</v>
      </c>
      <c r="M54" s="4" t="str">
        <f>HYPERLINK("http://locsearch.nwmls.com//ReturnMap.aspx?hidMLS=NWML&amp;VHW=47.709310:-122.306246:.25:&amp;Z=4&amp;H=300&amp;W=400&amp;PP=47.709310:-122.306246:1:027183237","Map")</f>
        <v>Map</v>
      </c>
      <c r="N54" s="4" t="str">
        <f>HYPERLINK("http://locmedia.nwmls.com/DO_NOT_LINK/bigphoto/237/27183237.jpg?tsp=20071011181507","Photo")</f>
        <v>Photo</v>
      </c>
      <c r="O54" s="4" t="str">
        <f>HYPERLINK("http://locator.nwmls.com/scripts/mgrqispi.dll?APPNAME=Locator&amp;PRGNAME=MLSPictureDescriptions&amp;ARGUMENTS=-N719932170,-N27183237,-AE","More")</f>
        <v>More</v>
      </c>
      <c r="Q54" t="s">
        <v>56</v>
      </c>
      <c r="R54" t="s">
        <v>95</v>
      </c>
      <c r="S54" t="s">
        <v>706</v>
      </c>
      <c r="T54" t="s">
        <v>129</v>
      </c>
      <c r="U54" t="s">
        <v>26</v>
      </c>
      <c r="V54">
        <v>41</v>
      </c>
      <c r="X54" t="s">
        <v>27</v>
      </c>
      <c r="Y54" t="s">
        <v>28</v>
      </c>
      <c r="Z54" t="s">
        <v>104</v>
      </c>
      <c r="AB54">
        <v>2007</v>
      </c>
      <c r="AC54">
        <v>3105</v>
      </c>
      <c r="AD54" t="s">
        <v>707</v>
      </c>
      <c r="AE54" t="s">
        <v>708</v>
      </c>
      <c r="AF54" t="s">
        <v>709</v>
      </c>
      <c r="AG54">
        <v>47.709310000000002</v>
      </c>
      <c r="AH54">
        <v>-122.306246</v>
      </c>
      <c r="AI54" t="s">
        <v>33</v>
      </c>
      <c r="AJ54">
        <v>98125</v>
      </c>
      <c r="AK54" t="s">
        <v>34</v>
      </c>
      <c r="AL54" t="s">
        <v>35</v>
      </c>
      <c r="AM54" t="s">
        <v>35</v>
      </c>
      <c r="AO54">
        <v>0.16500000000000001</v>
      </c>
      <c r="AP54" t="s">
        <v>710</v>
      </c>
      <c r="AQ54">
        <v>505</v>
      </c>
      <c r="AR54" t="s">
        <v>711</v>
      </c>
      <c r="AS54" t="s">
        <v>712</v>
      </c>
      <c r="AT54">
        <v>3</v>
      </c>
      <c r="AV54" s="9">
        <v>39364</v>
      </c>
      <c r="AW54">
        <v>47</v>
      </c>
      <c r="AX54">
        <f t="shared" ca="1" si="1"/>
        <v>69</v>
      </c>
    </row>
    <row r="55" spans="1:51">
      <c r="A55">
        <v>27183898</v>
      </c>
      <c r="B55" s="4" t="str">
        <f>HYPERLINK("http://locmedia.nwmls.com/DO_NOT_LINK/bigphoto/898/27183898.jpg?tsp=20071010132921","Active")</f>
        <v>Active</v>
      </c>
      <c r="C55">
        <v>705</v>
      </c>
      <c r="D55" t="s">
        <v>443</v>
      </c>
      <c r="E55" t="s">
        <v>444</v>
      </c>
      <c r="F55" s="5">
        <v>479450</v>
      </c>
      <c r="G55" t="s">
        <v>445</v>
      </c>
      <c r="H55">
        <v>1200</v>
      </c>
      <c r="I55">
        <v>3400</v>
      </c>
      <c r="J55">
        <v>3</v>
      </c>
      <c r="K55">
        <v>3</v>
      </c>
      <c r="M55" s="4" t="str">
        <f>HYPERLINK("http://locsearch.nwmls.com//ReturnMap.aspx?hidMLS=NWML&amp;VHW=47.652700:-122.339581:.25:&amp;Z=4&amp;H=300&amp;W=400&amp;PP=47.652700:-122.339581:1:027183898","Map")</f>
        <v>Map</v>
      </c>
      <c r="N55" s="4" t="str">
        <f>HYPERLINK("http://locmedia.nwmls.com/DO_NOT_LINK/bigphoto/898/27183898.jpg?tsp=20071010132921","Photo")</f>
        <v>Photo</v>
      </c>
      <c r="O55" t="s">
        <v>435</v>
      </c>
      <c r="P55" t="s">
        <v>41</v>
      </c>
      <c r="Q55" t="s">
        <v>56</v>
      </c>
      <c r="R55" t="s">
        <v>95</v>
      </c>
      <c r="S55" t="s">
        <v>43</v>
      </c>
      <c r="T55" t="s">
        <v>44</v>
      </c>
      <c r="U55" t="s">
        <v>26</v>
      </c>
      <c r="V55" s="6" t="s">
        <v>59</v>
      </c>
      <c r="X55" t="s">
        <v>27</v>
      </c>
      <c r="Y55" t="s">
        <v>28</v>
      </c>
      <c r="Z55" t="s">
        <v>446</v>
      </c>
      <c r="AB55">
        <v>2007</v>
      </c>
      <c r="AC55">
        <v>2733</v>
      </c>
      <c r="AD55" t="s">
        <v>447</v>
      </c>
      <c r="AE55" t="s">
        <v>448</v>
      </c>
      <c r="AF55" t="s">
        <v>449</v>
      </c>
      <c r="AG55">
        <v>47.652700000000003</v>
      </c>
      <c r="AH55">
        <v>-122.339581</v>
      </c>
      <c r="AI55" t="s">
        <v>33</v>
      </c>
      <c r="AJ55">
        <v>98103</v>
      </c>
      <c r="AK55" t="s">
        <v>34</v>
      </c>
      <c r="AL55">
        <v>1</v>
      </c>
      <c r="AM55" t="s">
        <v>35</v>
      </c>
      <c r="AO55">
        <v>7.8E-2</v>
      </c>
      <c r="AP55" t="s">
        <v>450</v>
      </c>
      <c r="AQ55">
        <v>534</v>
      </c>
      <c r="AR55" t="s">
        <v>451</v>
      </c>
      <c r="AS55" t="s">
        <v>452</v>
      </c>
      <c r="AT55">
        <v>1</v>
      </c>
      <c r="AU55" t="s">
        <v>913</v>
      </c>
      <c r="AV55" s="9"/>
      <c r="AX55">
        <f t="shared" ca="1" si="1"/>
        <v>28</v>
      </c>
    </row>
    <row r="56" spans="1:51">
      <c r="A56">
        <v>27184437</v>
      </c>
      <c r="B56" s="4" t="str">
        <f>HYPERLINK("http://locmedia.nwmls.com/DO_NOT_LINK/bigphoto/437/27184437.jpg?tsp=20071012171503","Active")</f>
        <v>Active</v>
      </c>
      <c r="C56">
        <v>710</v>
      </c>
      <c r="D56" t="s">
        <v>801</v>
      </c>
      <c r="E56" t="s">
        <v>802</v>
      </c>
      <c r="F56" s="5">
        <v>489500</v>
      </c>
      <c r="G56" t="s">
        <v>803</v>
      </c>
      <c r="H56">
        <v>1390</v>
      </c>
      <c r="I56">
        <v>2575</v>
      </c>
      <c r="J56">
        <v>2</v>
      </c>
      <c r="K56">
        <v>2</v>
      </c>
      <c r="L56">
        <v>1</v>
      </c>
      <c r="M56" s="4" t="str">
        <f>HYPERLINK("http://locsearch.nwmls.com//ReturnMap.aspx?hidMLS=NWML&amp;VHW=47.679810:-122.301724:.25:&amp;Z=4&amp;H=300&amp;W=400&amp;PP=47.679810:-122.301724:1:027184437","Map")</f>
        <v>Map</v>
      </c>
      <c r="N56" s="4" t="str">
        <f>HYPERLINK("http://locmedia.nwmls.com/DO_NOT_LINK/bigphoto/437/27184437.jpg?tsp=20071012171503","Photo")</f>
        <v>Photo</v>
      </c>
      <c r="O56" s="4" t="str">
        <f>HYPERLINK("http://locator.nwmls.com/scripts/mgrqispi.dll?APPNAME=Locator&amp;PRGNAME=MLSPictureDescriptions&amp;ARGUMENTS=-N719932170,-N27184437,-AE","More")</f>
        <v>More</v>
      </c>
      <c r="P56" t="s">
        <v>41</v>
      </c>
      <c r="Q56" t="s">
        <v>804</v>
      </c>
      <c r="R56" t="s">
        <v>23</v>
      </c>
      <c r="S56" t="s">
        <v>24</v>
      </c>
      <c r="T56" t="s">
        <v>25</v>
      </c>
      <c r="U56" t="s">
        <v>26</v>
      </c>
      <c r="V56" t="s">
        <v>805</v>
      </c>
      <c r="X56" t="s">
        <v>27</v>
      </c>
      <c r="Y56" t="s">
        <v>28</v>
      </c>
      <c r="Z56" t="s">
        <v>806</v>
      </c>
      <c r="AB56">
        <v>2006</v>
      </c>
      <c r="AC56">
        <v>2826</v>
      </c>
      <c r="AD56" t="s">
        <v>807</v>
      </c>
      <c r="AE56" t="s">
        <v>808</v>
      </c>
      <c r="AF56" t="s">
        <v>809</v>
      </c>
      <c r="AG56">
        <v>47.679810000000003</v>
      </c>
      <c r="AH56">
        <v>-122.30172399999999</v>
      </c>
      <c r="AI56" t="s">
        <v>33</v>
      </c>
      <c r="AJ56">
        <v>98115</v>
      </c>
      <c r="AK56" t="s">
        <v>34</v>
      </c>
      <c r="AL56">
        <v>17</v>
      </c>
      <c r="AM56" t="s">
        <v>35</v>
      </c>
      <c r="AO56">
        <v>5.8999999999999997E-2</v>
      </c>
      <c r="AP56" t="s">
        <v>810</v>
      </c>
      <c r="AQ56">
        <v>535</v>
      </c>
      <c r="AR56" t="s">
        <v>480</v>
      </c>
      <c r="AS56" t="s">
        <v>811</v>
      </c>
      <c r="AT56">
        <v>1</v>
      </c>
      <c r="AV56" s="9"/>
      <c r="AX56">
        <f t="shared" ca="1" si="1"/>
        <v>28</v>
      </c>
    </row>
    <row r="57" spans="1:51">
      <c r="A57">
        <v>27185407</v>
      </c>
      <c r="B57" s="4" t="str">
        <f>HYPERLINK("http://locmedia.nwmls.com/DO_NOT_LINK/bigphoto/407/27185407.jpg?tsp=20071013084406","Active")</f>
        <v>Active</v>
      </c>
      <c r="C57">
        <v>705</v>
      </c>
      <c r="D57" t="s">
        <v>33</v>
      </c>
      <c r="E57" t="s">
        <v>93</v>
      </c>
      <c r="F57" s="5">
        <v>385000</v>
      </c>
      <c r="G57" t="s">
        <v>94</v>
      </c>
      <c r="H57">
        <v>1080</v>
      </c>
      <c r="I57">
        <v>8380</v>
      </c>
      <c r="J57">
        <v>2</v>
      </c>
      <c r="K57">
        <v>1</v>
      </c>
      <c r="M57" s="4" t="str">
        <f>HYPERLINK("http://locsearch.nwmls.com//ReturnMap.aspx?hidMLS=NWML&amp;VHW=47.704995:-122.367400:.25:&amp;Z=4&amp;H=300&amp;W=400&amp;PP=47.704995:-122.367400:1:027185407","Map")</f>
        <v>Map</v>
      </c>
      <c r="N57" s="4" t="str">
        <f>HYPERLINK("http://locmedia.nwmls.com/DO_NOT_LINK/bigphoto/407/27185407.jpg?tsp=20071013084406","Photo")</f>
        <v>Photo</v>
      </c>
      <c r="O57" s="4" t="str">
        <f>HYPERLINK("http://locator.nwmls.com/scripts/mgrqispi.dll?APPNAME=Locator&amp;PRGNAME=MLSPictureDescriptions&amp;ARGUMENTS=-N595036758,-N27185407,-AE","More")</f>
        <v>More</v>
      </c>
      <c r="Q57" t="s">
        <v>56</v>
      </c>
      <c r="R57" t="s">
        <v>95</v>
      </c>
      <c r="U57" t="s">
        <v>26</v>
      </c>
      <c r="V57" s="6" t="s">
        <v>59</v>
      </c>
      <c r="X57" t="s">
        <v>27</v>
      </c>
      <c r="Y57" t="s">
        <v>28</v>
      </c>
      <c r="Z57" t="s">
        <v>96</v>
      </c>
      <c r="AB57">
        <v>2007</v>
      </c>
      <c r="AC57">
        <v>2900</v>
      </c>
      <c r="AD57" t="s">
        <v>97</v>
      </c>
      <c r="AF57" t="s">
        <v>98</v>
      </c>
      <c r="AG57">
        <v>47.704994999999997</v>
      </c>
      <c r="AH57">
        <v>-122.3674</v>
      </c>
      <c r="AI57" t="s">
        <v>33</v>
      </c>
      <c r="AJ57">
        <v>98177</v>
      </c>
      <c r="AK57" t="s">
        <v>34</v>
      </c>
      <c r="AL57" t="s">
        <v>35</v>
      </c>
      <c r="AM57" t="s">
        <v>35</v>
      </c>
      <c r="AO57">
        <v>0.192</v>
      </c>
      <c r="AP57" t="s">
        <v>99</v>
      </c>
      <c r="AQ57">
        <v>504</v>
      </c>
      <c r="AR57" t="s">
        <v>100</v>
      </c>
      <c r="AS57" t="s">
        <v>101</v>
      </c>
      <c r="AT57">
        <v>1</v>
      </c>
      <c r="AU57" t="s">
        <v>926</v>
      </c>
      <c r="AV57" s="9"/>
      <c r="AX57">
        <f t="shared" ca="1" si="1"/>
        <v>28</v>
      </c>
    </row>
    <row r="58" spans="1:51">
      <c r="A58">
        <v>27186085</v>
      </c>
      <c r="B58" s="4" t="str">
        <f>HYPERLINK("http://locmedia.nwmls.com/DO_NOT_LINK/bigphoto/085/27186085.jpg?tsp=20071016134757","Active")</f>
        <v>Active</v>
      </c>
      <c r="C58">
        <v>705</v>
      </c>
      <c r="D58" t="s">
        <v>113</v>
      </c>
      <c r="E58" t="s">
        <v>215</v>
      </c>
      <c r="F58" s="5">
        <v>425000</v>
      </c>
      <c r="G58" t="s">
        <v>94</v>
      </c>
      <c r="H58">
        <v>1280</v>
      </c>
      <c r="I58">
        <v>6420</v>
      </c>
      <c r="J58">
        <v>3</v>
      </c>
      <c r="K58">
        <v>1.75</v>
      </c>
      <c r="L58">
        <v>2</v>
      </c>
      <c r="M58" s="4" t="str">
        <f>HYPERLINK("http://locsearch.nwmls.com//ReturnMap.aspx?hidMLS=NWML&amp;VHW=47.717016:-122.369537:.25:&amp;Z=4&amp;H=300&amp;W=400&amp;PP=47.717016:-122.369537:1:027186085","Map")</f>
        <v>Map</v>
      </c>
      <c r="N58" s="4" t="str">
        <f>HYPERLINK("http://locmedia.nwmls.com/DO_NOT_LINK/bigphoto/085/27186085.jpg?tsp=20071016134757","Photo")</f>
        <v>Photo</v>
      </c>
      <c r="O58" s="4" t="str">
        <f>HYPERLINK("http://locator.nwmls.com/scripts/mgrqispi.dll?APPNAME=Locator&amp;PRGNAME=MLSPictureDescriptions&amp;ARGUMENTS=-N595036758,-N27186085,-AE","More")</f>
        <v>More</v>
      </c>
      <c r="Q58" t="s">
        <v>56</v>
      </c>
      <c r="R58" t="s">
        <v>95</v>
      </c>
      <c r="S58" t="s">
        <v>128</v>
      </c>
      <c r="T58" t="s">
        <v>25</v>
      </c>
      <c r="U58" t="s">
        <v>26</v>
      </c>
      <c r="V58" s="6" t="s">
        <v>216</v>
      </c>
      <c r="X58" t="s">
        <v>27</v>
      </c>
      <c r="Y58" t="s">
        <v>28</v>
      </c>
      <c r="Z58" t="s">
        <v>217</v>
      </c>
      <c r="AA58" t="s">
        <v>218</v>
      </c>
      <c r="AB58">
        <v>2007</v>
      </c>
      <c r="AC58">
        <v>2864</v>
      </c>
      <c r="AD58" t="s">
        <v>219</v>
      </c>
      <c r="AE58" t="s">
        <v>121</v>
      </c>
      <c r="AF58" t="s">
        <v>220</v>
      </c>
      <c r="AG58">
        <v>47.717016000000001</v>
      </c>
      <c r="AH58">
        <v>-122.36953699999999</v>
      </c>
      <c r="AI58" t="s">
        <v>33</v>
      </c>
      <c r="AJ58">
        <v>98177</v>
      </c>
      <c r="AK58" t="s">
        <v>34</v>
      </c>
      <c r="AL58">
        <v>14</v>
      </c>
      <c r="AM58" t="s">
        <v>35</v>
      </c>
      <c r="AO58">
        <v>0.14699999999999999</v>
      </c>
      <c r="AP58" t="s">
        <v>221</v>
      </c>
      <c r="AQ58">
        <v>504</v>
      </c>
      <c r="AR58" t="s">
        <v>222</v>
      </c>
      <c r="AS58" t="s">
        <v>223</v>
      </c>
      <c r="AT58">
        <v>3</v>
      </c>
      <c r="AV58" s="9"/>
      <c r="AX58">
        <f t="shared" ca="1" si="1"/>
        <v>28</v>
      </c>
    </row>
    <row r="59" spans="1:51">
      <c r="A59">
        <v>27186277</v>
      </c>
      <c r="B59" s="4" t="str">
        <f>HYPERLINK("http://locmedia.nwmls.com/DO_NOT_LINK/bigphoto/277/27186277.jpg?tsp=20071015150127","Active")</f>
        <v>Active</v>
      </c>
      <c r="C59">
        <v>710</v>
      </c>
      <c r="D59" t="s">
        <v>723</v>
      </c>
      <c r="E59" t="s">
        <v>724</v>
      </c>
      <c r="F59" s="5">
        <v>465000</v>
      </c>
      <c r="G59" t="s">
        <v>40</v>
      </c>
      <c r="H59">
        <v>1490</v>
      </c>
      <c r="I59">
        <v>4200</v>
      </c>
      <c r="J59">
        <v>2</v>
      </c>
      <c r="K59">
        <v>1.75</v>
      </c>
      <c r="M59" s="4" t="str">
        <f>HYPERLINK("http://locsearch.nwmls.com//ReturnMap.aspx?hidMLS=NWML&amp;VHW=47.674807:-122.284898:.25:&amp;Z=4&amp;H=300&amp;W=400&amp;PP=47.674807:-122.284898:1:027186277","Map")</f>
        <v>Map</v>
      </c>
      <c r="N59" s="4" t="str">
        <f>HYPERLINK("http://locmedia.nwmls.com/DO_NOT_LINK/bigphoto/277/27186277.jpg?tsp=20071015150127","Photo")</f>
        <v>Photo</v>
      </c>
      <c r="O59" s="4" t="str">
        <f>HYPERLINK("http://locator.nwmls.com/scripts/mgrqispi.dll?APPNAME=Locator&amp;PRGNAME=MLSPictureDescriptions&amp;ARGUMENTS=-N719932170,-N27186277,-AE","More")</f>
        <v>More</v>
      </c>
      <c r="P59" t="s">
        <v>41</v>
      </c>
      <c r="Q59" t="s">
        <v>42</v>
      </c>
      <c r="R59" t="s">
        <v>57</v>
      </c>
      <c r="S59" t="s">
        <v>128</v>
      </c>
      <c r="T59" t="s">
        <v>263</v>
      </c>
      <c r="U59" t="s">
        <v>26</v>
      </c>
      <c r="V59" s="6" t="s">
        <v>59</v>
      </c>
      <c r="X59" t="s">
        <v>27</v>
      </c>
      <c r="Y59" t="s">
        <v>28</v>
      </c>
      <c r="Z59" t="s">
        <v>150</v>
      </c>
      <c r="AB59">
        <v>2007</v>
      </c>
      <c r="AC59">
        <v>3253</v>
      </c>
      <c r="AD59" t="s">
        <v>725</v>
      </c>
      <c r="AE59" t="s">
        <v>692</v>
      </c>
      <c r="AF59" t="s">
        <v>726</v>
      </c>
      <c r="AG59">
        <v>47.674807000000001</v>
      </c>
      <c r="AH59">
        <v>-122.284898</v>
      </c>
      <c r="AI59" t="s">
        <v>33</v>
      </c>
      <c r="AJ59">
        <v>98115</v>
      </c>
      <c r="AK59" t="s">
        <v>34</v>
      </c>
      <c r="AL59">
        <v>7</v>
      </c>
      <c r="AM59" t="s">
        <v>35</v>
      </c>
      <c r="AO59">
        <v>9.6000000000000002E-2</v>
      </c>
      <c r="AP59" t="s">
        <v>727</v>
      </c>
      <c r="AQ59">
        <v>535</v>
      </c>
      <c r="AR59" t="s">
        <v>287</v>
      </c>
      <c r="AS59" t="s">
        <v>728</v>
      </c>
      <c r="AT59">
        <v>3</v>
      </c>
      <c r="AV59" s="9"/>
      <c r="AX59">
        <f t="shared" ca="1" si="1"/>
        <v>28</v>
      </c>
    </row>
    <row r="60" spans="1:51">
      <c r="A60">
        <v>27186837</v>
      </c>
      <c r="B60" s="4" t="str">
        <f>HYPERLINK("http://locmedia.nwmls.com/DO_NOT_LINK/bigphoto/837/27186837.jpg?tsp=20071015230242","Active")</f>
        <v>Active</v>
      </c>
      <c r="C60">
        <v>705</v>
      </c>
      <c r="D60" t="s">
        <v>113</v>
      </c>
      <c r="E60" t="s">
        <v>114</v>
      </c>
      <c r="F60" s="5">
        <v>399950</v>
      </c>
      <c r="G60" t="s">
        <v>115</v>
      </c>
      <c r="H60">
        <v>1500</v>
      </c>
      <c r="I60">
        <v>7460</v>
      </c>
      <c r="J60">
        <v>3</v>
      </c>
      <c r="K60">
        <v>1</v>
      </c>
      <c r="L60">
        <v>1</v>
      </c>
      <c r="M60" s="4" t="str">
        <f>HYPERLINK("http://locsearch.nwmls.com//ReturnMap.aspx?hidMLS=NWML&amp;VHW=47.710500:-122.358416:.25:&amp;Z=4&amp;H=300&amp;W=400&amp;PP=47.710500:-122.358416:1:027186837","Map")</f>
        <v>Map</v>
      </c>
      <c r="N60" s="4" t="str">
        <f>HYPERLINK("http://locmedia.nwmls.com/DO_NOT_LINK/bigphoto/837/27186837.jpg?tsp=20071015230242","Photo")</f>
        <v>Photo</v>
      </c>
      <c r="O60" s="4" t="str">
        <f>HYPERLINK("http://locator.nwmls.com/scripts/mgrqispi.dll?APPNAME=Locator&amp;PRGNAME=MLSPictureDescriptions&amp;ARGUMENTS=-N595036758,-N27186837,-AE","More")</f>
        <v>More</v>
      </c>
      <c r="Q60" t="s">
        <v>56</v>
      </c>
      <c r="R60" t="s">
        <v>116</v>
      </c>
      <c r="S60" t="s">
        <v>117</v>
      </c>
      <c r="V60" s="6" t="s">
        <v>59</v>
      </c>
      <c r="X60" t="s">
        <v>27</v>
      </c>
      <c r="Y60" t="s">
        <v>28</v>
      </c>
      <c r="Z60" t="s">
        <v>118</v>
      </c>
      <c r="AA60" t="s">
        <v>119</v>
      </c>
      <c r="AB60">
        <v>2007</v>
      </c>
      <c r="AC60">
        <v>2965</v>
      </c>
      <c r="AD60" t="s">
        <v>120</v>
      </c>
      <c r="AE60" t="s">
        <v>121</v>
      </c>
      <c r="AF60" t="s">
        <v>122</v>
      </c>
      <c r="AG60">
        <v>47.710500000000003</v>
      </c>
      <c r="AH60">
        <v>-122.35841600000001</v>
      </c>
      <c r="AI60" t="s">
        <v>33</v>
      </c>
      <c r="AJ60">
        <v>98177</v>
      </c>
      <c r="AK60" t="s">
        <v>34</v>
      </c>
      <c r="AL60">
        <v>10</v>
      </c>
      <c r="AM60" t="s">
        <v>35</v>
      </c>
      <c r="AO60">
        <v>0.17100000000000001</v>
      </c>
      <c r="AP60" t="s">
        <v>123</v>
      </c>
      <c r="AQ60">
        <v>504</v>
      </c>
      <c r="AR60" t="s">
        <v>124</v>
      </c>
      <c r="AS60" t="s">
        <v>125</v>
      </c>
      <c r="AT60">
        <v>2</v>
      </c>
      <c r="AU60" t="s">
        <v>927</v>
      </c>
      <c r="AV60" s="9"/>
      <c r="AX60">
        <f t="shared" ca="1" si="1"/>
        <v>28</v>
      </c>
    </row>
    <row r="61" spans="1:51">
      <c r="A61">
        <v>27186914</v>
      </c>
      <c r="B61" s="4" t="str">
        <f>HYPERLINK("http://locmedia.nwmls.com/DO_NOT_LINK/bigphoto/914/27186914.jpg?tsp=20071016113828","Active")</f>
        <v>Active</v>
      </c>
      <c r="C61">
        <v>705</v>
      </c>
      <c r="D61" t="s">
        <v>81</v>
      </c>
      <c r="E61" t="s">
        <v>233</v>
      </c>
      <c r="F61" s="5">
        <v>429500</v>
      </c>
      <c r="G61" t="s">
        <v>234</v>
      </c>
      <c r="H61">
        <v>1350</v>
      </c>
      <c r="I61">
        <v>5100</v>
      </c>
      <c r="J61">
        <v>2</v>
      </c>
      <c r="K61">
        <v>1</v>
      </c>
      <c r="M61" s="4" t="str">
        <f>HYPERLINK("http://locsearch.nwmls.com//ReturnMap.aspx?hidMLS=NWML&amp;VHW=47.679181:-122.390801:.25:&amp;Z=4&amp;H=300&amp;W=400&amp;PP=47.679181:-122.390801:1:027186914","Map")</f>
        <v>Map</v>
      </c>
      <c r="N61" s="4" t="str">
        <f>HYPERLINK("http://locmedia.nwmls.com/DO_NOT_LINK/bigphoto/914/27186914.jpg?tsp=20071016113828","Photo")</f>
        <v>Photo</v>
      </c>
      <c r="O61" s="4" t="str">
        <f>HYPERLINK("http://locator.nwmls.com/scripts/mgrqispi.dll?APPNAME=Locator&amp;PRGNAME=MLSPictureDescriptions&amp;ARGUMENTS=-N595036758,-N27186914,-AE","More")</f>
        <v>More</v>
      </c>
      <c r="P61" t="s">
        <v>41</v>
      </c>
      <c r="Q61" t="s">
        <v>56</v>
      </c>
      <c r="R61" t="s">
        <v>23</v>
      </c>
      <c r="S61" t="s">
        <v>235</v>
      </c>
      <c r="T61" t="s">
        <v>129</v>
      </c>
      <c r="U61" t="s">
        <v>26</v>
      </c>
      <c r="V61" s="6" t="s">
        <v>59</v>
      </c>
      <c r="X61" t="s">
        <v>27</v>
      </c>
      <c r="Y61" t="s">
        <v>28</v>
      </c>
      <c r="Z61" t="s">
        <v>236</v>
      </c>
      <c r="AB61">
        <v>2007</v>
      </c>
      <c r="AC61">
        <v>497</v>
      </c>
      <c r="AD61" t="s">
        <v>237</v>
      </c>
      <c r="AE61" t="s">
        <v>238</v>
      </c>
      <c r="AF61" t="s">
        <v>179</v>
      </c>
      <c r="AG61">
        <v>47.679181</v>
      </c>
      <c r="AH61">
        <v>-122.390801</v>
      </c>
      <c r="AI61" t="s">
        <v>33</v>
      </c>
      <c r="AJ61">
        <v>98117</v>
      </c>
      <c r="AK61" t="s">
        <v>34</v>
      </c>
      <c r="AL61" t="s">
        <v>35</v>
      </c>
      <c r="AM61" t="s">
        <v>35</v>
      </c>
      <c r="AO61">
        <v>0.11700000000000001</v>
      </c>
      <c r="AP61" t="s">
        <v>239</v>
      </c>
      <c r="AQ61">
        <v>534</v>
      </c>
      <c r="AR61" t="s">
        <v>189</v>
      </c>
      <c r="AS61" t="s">
        <v>240</v>
      </c>
      <c r="AT61">
        <v>1</v>
      </c>
      <c r="AU61" t="s">
        <v>928</v>
      </c>
      <c r="AV61" s="9"/>
      <c r="AX61">
        <f t="shared" ca="1" si="1"/>
        <v>28</v>
      </c>
    </row>
    <row r="62" spans="1:51">
      <c r="A62">
        <v>27187248</v>
      </c>
      <c r="B62" s="4" t="str">
        <f>HYPERLINK("http://locmedia.nwmls.com/DO_NOT_LINK/bigphoto/248/27187248.jpg?tsp=20071017161507","Active")</f>
        <v>Active</v>
      </c>
      <c r="C62">
        <v>705</v>
      </c>
      <c r="D62" t="s">
        <v>146</v>
      </c>
      <c r="E62" t="s">
        <v>147</v>
      </c>
      <c r="F62" s="5">
        <v>399950</v>
      </c>
      <c r="G62" t="s">
        <v>148</v>
      </c>
      <c r="H62">
        <v>800</v>
      </c>
      <c r="I62">
        <v>2880</v>
      </c>
      <c r="J62">
        <v>2</v>
      </c>
      <c r="K62">
        <v>1</v>
      </c>
      <c r="L62">
        <v>1</v>
      </c>
      <c r="M62" s="4" t="str">
        <f>HYPERLINK("http://locsearch.nwmls.com//ReturnMap.aspx?hidMLS=NWML&amp;VHW=47.686801:-122.394106:.25:&amp;Z=4&amp;H=300&amp;W=400&amp;PP=47.686801:-122.394106:1:027187248","Map")</f>
        <v>Map</v>
      </c>
      <c r="N62" s="4" t="str">
        <f>HYPERLINK("http://locmedia.nwmls.com/DO_NOT_LINK/bigphoto/248/27187248.jpg?tsp=20071017161507","Photo")</f>
        <v>Photo</v>
      </c>
      <c r="O62" s="4" t="str">
        <f>HYPERLINK("http://locator.nwmls.com/scripts/mgrqispi.dll?APPNAME=Locator&amp;PRGNAME=MLSPictureDescriptions&amp;ARGUMENTS=-N595036758,-N27187248,-AE","More")</f>
        <v>More</v>
      </c>
      <c r="Q62" t="s">
        <v>149</v>
      </c>
      <c r="R62" t="s">
        <v>116</v>
      </c>
      <c r="S62" t="s">
        <v>43</v>
      </c>
      <c r="T62" t="s">
        <v>25</v>
      </c>
      <c r="U62" t="s">
        <v>26</v>
      </c>
      <c r="V62" s="6" t="s">
        <v>59</v>
      </c>
      <c r="X62" t="s">
        <v>27</v>
      </c>
      <c r="Y62" t="s">
        <v>28</v>
      </c>
      <c r="Z62" t="s">
        <v>150</v>
      </c>
      <c r="AB62">
        <v>2007</v>
      </c>
      <c r="AC62">
        <v>3215</v>
      </c>
      <c r="AD62" t="s">
        <v>151</v>
      </c>
      <c r="AG62">
        <v>47.686801000000003</v>
      </c>
      <c r="AH62">
        <v>-122.39410599999999</v>
      </c>
      <c r="AI62" t="s">
        <v>33</v>
      </c>
      <c r="AJ62">
        <v>98117</v>
      </c>
      <c r="AK62" t="s">
        <v>34</v>
      </c>
      <c r="AL62" t="s">
        <v>35</v>
      </c>
      <c r="AM62" t="s">
        <v>35</v>
      </c>
      <c r="AO62">
        <v>6.6000000000000003E-2</v>
      </c>
      <c r="AP62" t="s">
        <v>152</v>
      </c>
      <c r="AQ62">
        <v>534</v>
      </c>
      <c r="AR62" t="s">
        <v>153</v>
      </c>
      <c r="AS62" t="s">
        <v>154</v>
      </c>
      <c r="AT62">
        <v>1</v>
      </c>
      <c r="AU62" t="s">
        <v>913</v>
      </c>
      <c r="AV62" s="9"/>
      <c r="AX62">
        <f t="shared" ca="1" si="1"/>
        <v>28</v>
      </c>
    </row>
    <row r="63" spans="1:51">
      <c r="A63">
        <v>27187495</v>
      </c>
      <c r="B63" s="4" t="str">
        <f>HYPERLINK("http://locmedia.nwmls.com/DO_NOT_LINK/bigphoto/495/27187495.jpg?tsp=20071016231331","Active")</f>
        <v>Active</v>
      </c>
      <c r="C63">
        <v>705</v>
      </c>
      <c r="D63" t="s">
        <v>146</v>
      </c>
      <c r="E63" t="s">
        <v>378</v>
      </c>
      <c r="F63" s="5">
        <v>468000</v>
      </c>
      <c r="G63" t="s">
        <v>55</v>
      </c>
      <c r="H63">
        <v>1830</v>
      </c>
      <c r="I63">
        <v>4284</v>
      </c>
      <c r="J63">
        <v>2</v>
      </c>
      <c r="K63">
        <v>1</v>
      </c>
      <c r="M63" s="4" t="str">
        <f>HYPERLINK("http://locsearch.nwmls.com//ReturnMap.aspx?hidMLS=NWML&amp;VHW=47.683585:-122.393000:.25:&amp;Z=4&amp;H=300&amp;W=400&amp;PP=47.683585:-122.393000:1:027187495","Map")</f>
        <v>Map</v>
      </c>
      <c r="N63" s="4" t="str">
        <f>HYPERLINK("http://locmedia.nwmls.com/DO_NOT_LINK/bigphoto/495/27187495.jpg?tsp=20071016231331","Photo")</f>
        <v>Photo</v>
      </c>
      <c r="O63" s="4" t="str">
        <f>HYPERLINK("http://locator.nwmls.com/scripts/mgrqispi.dll?APPNAME=Locator&amp;PRGNAME=MLSPictureDescriptions&amp;ARGUMENTS=-N595036758,-N27187495,-AE","More")</f>
        <v>More</v>
      </c>
      <c r="P63" t="s">
        <v>379</v>
      </c>
      <c r="Q63" t="s">
        <v>56</v>
      </c>
      <c r="R63" t="s">
        <v>116</v>
      </c>
      <c r="S63" t="s">
        <v>58</v>
      </c>
      <c r="T63" t="s">
        <v>300</v>
      </c>
      <c r="U63" t="s">
        <v>26</v>
      </c>
      <c r="V63" t="s">
        <v>380</v>
      </c>
      <c r="X63" t="s">
        <v>27</v>
      </c>
      <c r="Y63" t="s">
        <v>28</v>
      </c>
      <c r="Z63" t="s">
        <v>381</v>
      </c>
      <c r="AA63" t="s">
        <v>382</v>
      </c>
      <c r="AB63">
        <v>2007</v>
      </c>
      <c r="AC63">
        <v>3355</v>
      </c>
      <c r="AD63" t="s">
        <v>383</v>
      </c>
      <c r="AE63" t="s">
        <v>133</v>
      </c>
      <c r="AF63" t="s">
        <v>384</v>
      </c>
      <c r="AG63">
        <v>47.683585000000001</v>
      </c>
      <c r="AH63">
        <v>-122.393</v>
      </c>
      <c r="AI63" t="s">
        <v>33</v>
      </c>
      <c r="AJ63">
        <v>98117</v>
      </c>
      <c r="AK63" t="s">
        <v>34</v>
      </c>
      <c r="AL63" t="s">
        <v>385</v>
      </c>
      <c r="AM63" t="s">
        <v>35</v>
      </c>
      <c r="AO63">
        <v>9.8000000000000004E-2</v>
      </c>
      <c r="AP63" t="s">
        <v>386</v>
      </c>
      <c r="AQ63">
        <v>534</v>
      </c>
      <c r="AR63" t="s">
        <v>153</v>
      </c>
      <c r="AS63" t="s">
        <v>387</v>
      </c>
      <c r="AT63">
        <v>1</v>
      </c>
      <c r="AU63" t="s">
        <v>929</v>
      </c>
      <c r="AV63" s="9"/>
      <c r="AX63">
        <f t="shared" ca="1" si="1"/>
        <v>28</v>
      </c>
    </row>
    <row r="64" spans="1:51">
      <c r="A64">
        <v>27187501</v>
      </c>
      <c r="B64" s="4" t="str">
        <f>HYPERLINK("http://locmedia.nwmls.com/DO_NOT_LINK/bigphoto/501/27187501.jpg?tsp=20071017170625","Active")</f>
        <v>Active</v>
      </c>
      <c r="C64">
        <v>705</v>
      </c>
      <c r="D64" t="s">
        <v>53</v>
      </c>
      <c r="E64" t="s">
        <v>545</v>
      </c>
      <c r="F64" s="5">
        <v>499999</v>
      </c>
      <c r="G64" t="s">
        <v>546</v>
      </c>
      <c r="H64">
        <v>1360</v>
      </c>
      <c r="I64">
        <v>4024</v>
      </c>
      <c r="J64">
        <v>3</v>
      </c>
      <c r="K64">
        <v>1.75</v>
      </c>
      <c r="M64" s="4" t="str">
        <f>HYPERLINK("http://locsearch.nwmls.com//ReturnMap.aspx?hidMLS=NWML&amp;VHW=47.703600:-122.354946:.25:&amp;Z=4&amp;H=300&amp;W=400&amp;PP=47.703600:-122.354946:1:027187501","Map")</f>
        <v>Map</v>
      </c>
      <c r="N64" s="4" t="str">
        <f>HYPERLINK("http://locmedia.nwmls.com/DO_NOT_LINK/bigphoto/501/27187501.jpg?tsp=20071017170625","Photo")</f>
        <v>Photo</v>
      </c>
      <c r="O64" s="4" t="str">
        <f>HYPERLINK("http://locator.nwmls.com/scripts/mgrqispi.dll?APPNAME=Locator&amp;PRGNAME=MLSPictureDescriptions&amp;ARGUMENTS=-N595036758,-N27187501,-AE","More")</f>
        <v>More</v>
      </c>
      <c r="Q64" t="s">
        <v>56</v>
      </c>
      <c r="R64" t="s">
        <v>116</v>
      </c>
      <c r="S64" t="s">
        <v>547</v>
      </c>
      <c r="T64" t="s">
        <v>72</v>
      </c>
      <c r="U64" t="s">
        <v>26</v>
      </c>
      <c r="V64" s="6" t="s">
        <v>59</v>
      </c>
      <c r="X64" t="s">
        <v>27</v>
      </c>
      <c r="Y64" t="s">
        <v>28</v>
      </c>
      <c r="Z64" t="s">
        <v>505</v>
      </c>
      <c r="AB64">
        <v>2007</v>
      </c>
      <c r="AC64">
        <v>2334</v>
      </c>
      <c r="AD64" t="s">
        <v>548</v>
      </c>
      <c r="AF64" t="s">
        <v>266</v>
      </c>
      <c r="AG64">
        <v>47.703600000000002</v>
      </c>
      <c r="AH64">
        <v>-122.354946</v>
      </c>
      <c r="AI64" t="s">
        <v>33</v>
      </c>
      <c r="AJ64">
        <v>98133</v>
      </c>
      <c r="AK64" t="s">
        <v>34</v>
      </c>
      <c r="AL64">
        <v>1</v>
      </c>
      <c r="AM64" t="s">
        <v>35</v>
      </c>
      <c r="AO64">
        <v>9.1999999999999998E-2</v>
      </c>
      <c r="AP64" t="s">
        <v>549</v>
      </c>
      <c r="AQ64">
        <v>504</v>
      </c>
      <c r="AR64" t="s">
        <v>64</v>
      </c>
      <c r="AS64" t="s">
        <v>550</v>
      </c>
      <c r="AT64">
        <v>2</v>
      </c>
      <c r="AV64" s="9"/>
      <c r="AX64">
        <f t="shared" ca="1" si="1"/>
        <v>28</v>
      </c>
    </row>
    <row r="65" spans="1:51">
      <c r="A65">
        <v>27187662</v>
      </c>
      <c r="B65" s="13" t="str">
        <f>HYPERLINK("http://locmedia.nwmls.com/DO_NOT_LINK/bigphoto/662/27187662.jpg?tsp=20071018080347","Cancelled")</f>
        <v>Cancelled</v>
      </c>
      <c r="C65">
        <v>705</v>
      </c>
      <c r="D65" t="s">
        <v>224</v>
      </c>
      <c r="E65" t="s">
        <v>526</v>
      </c>
      <c r="F65" s="5">
        <v>499950</v>
      </c>
      <c r="G65" t="s">
        <v>527</v>
      </c>
      <c r="H65">
        <v>0</v>
      </c>
      <c r="I65">
        <v>0</v>
      </c>
      <c r="J65">
        <v>2</v>
      </c>
      <c r="K65">
        <v>1</v>
      </c>
      <c r="L65">
        <v>1</v>
      </c>
      <c r="M65" s="4" t="str">
        <f>HYPERLINK("http://locsearch.nwmls.com//ReturnMap.aspx?hidMLS=NWML&amp;VHW=47.668675:-122.358328:.25:&amp;Z=4&amp;H=300&amp;W=400&amp;PP=47.668675:-122.358328:1:027187662","Map")</f>
        <v>Map</v>
      </c>
      <c r="N65" s="4" t="str">
        <f>HYPERLINK("http://locmedia.nwmls.com/DO_NOT_LINK/bigphoto/662/27187662.jpg?tsp=20071018080347","Photo")</f>
        <v>Photo</v>
      </c>
      <c r="O65" s="4" t="str">
        <f>HYPERLINK("http://locator.nwmls.com/scripts/mgrqispi.dll?APPNAME=Locator&amp;PRGNAME=MLSPictureDescriptions&amp;ARGUMENTS=-N595036758,-N27187662,-AE","More")</f>
        <v>More</v>
      </c>
      <c r="Q65" t="s">
        <v>56</v>
      </c>
      <c r="R65" t="s">
        <v>116</v>
      </c>
      <c r="S65" t="s">
        <v>128</v>
      </c>
      <c r="T65" t="s">
        <v>300</v>
      </c>
      <c r="V65" s="6" t="s">
        <v>59</v>
      </c>
      <c r="X65" t="s">
        <v>27</v>
      </c>
      <c r="Y65" t="s">
        <v>28</v>
      </c>
      <c r="Z65" t="s">
        <v>150</v>
      </c>
      <c r="AA65" t="s">
        <v>528</v>
      </c>
      <c r="AB65">
        <v>2007</v>
      </c>
      <c r="AC65">
        <v>3188</v>
      </c>
      <c r="AD65" t="s">
        <v>529</v>
      </c>
      <c r="AF65" t="s">
        <v>530</v>
      </c>
      <c r="AG65" s="12">
        <v>47.668675</v>
      </c>
      <c r="AH65" s="12">
        <v>-122.358328</v>
      </c>
      <c r="AI65" t="s">
        <v>33</v>
      </c>
      <c r="AJ65">
        <v>98107</v>
      </c>
      <c r="AK65" t="s">
        <v>34</v>
      </c>
      <c r="AL65" t="s">
        <v>35</v>
      </c>
      <c r="AM65" t="s">
        <v>35</v>
      </c>
      <c r="AO65">
        <v>0</v>
      </c>
      <c r="AP65" t="s">
        <v>531</v>
      </c>
      <c r="AQ65">
        <v>534</v>
      </c>
      <c r="AR65" t="s">
        <v>323</v>
      </c>
      <c r="AS65" t="s">
        <v>532</v>
      </c>
      <c r="AT65">
        <v>3</v>
      </c>
      <c r="AU65" t="s">
        <v>930</v>
      </c>
      <c r="AV65" s="9"/>
      <c r="AX65">
        <f t="shared" ca="1" si="1"/>
        <v>28</v>
      </c>
    </row>
    <row r="66" spans="1:51">
      <c r="A66">
        <v>27188492</v>
      </c>
      <c r="B66" s="4" t="str">
        <f>HYPERLINK("http://locmedia.nwmls.com/DO_NOT_LINK/bigphoto/492/27188492.jpg?tsp=20071024111743","Active")</f>
        <v>Active</v>
      </c>
      <c r="C66">
        <v>705</v>
      </c>
      <c r="D66" t="s">
        <v>66</v>
      </c>
      <c r="E66" t="s">
        <v>501</v>
      </c>
      <c r="F66" s="5">
        <v>499000</v>
      </c>
      <c r="G66" t="s">
        <v>502</v>
      </c>
      <c r="H66">
        <v>1150</v>
      </c>
      <c r="I66">
        <v>6120</v>
      </c>
      <c r="J66">
        <v>2</v>
      </c>
      <c r="K66">
        <v>1</v>
      </c>
      <c r="M66" s="4" t="str">
        <f>HYPERLINK("http://locsearch.nwmls.com//ReturnMap.aspx?hidMLS=NWML&amp;VHW=47.669300:-122.325059:.25:&amp;Z=4&amp;H=300&amp;W=400&amp;PP=47.669300:-122.325059:1:027188492","Map")</f>
        <v>Map</v>
      </c>
      <c r="N66" s="4" t="str">
        <f>HYPERLINK("http://locmedia.nwmls.com/DO_NOT_LINK/bigphoto/492/27188492.jpg?tsp=20071024111743","Photo")</f>
        <v>Photo</v>
      </c>
      <c r="O66" s="4" t="str">
        <f>HYPERLINK("http://locator.nwmls.com/scripts/mgrqispi.dll?APPNAME=Locator&amp;PRGNAME=MLSPictureDescriptions&amp;ARGUMENTS=-N595036758,-N27188492,-AE","More")</f>
        <v>More</v>
      </c>
      <c r="P66" t="s">
        <v>262</v>
      </c>
      <c r="Q66" t="s">
        <v>56</v>
      </c>
      <c r="R66" t="s">
        <v>95</v>
      </c>
      <c r="S66" t="s">
        <v>503</v>
      </c>
      <c r="T66" t="s">
        <v>300</v>
      </c>
      <c r="U66" t="s">
        <v>26</v>
      </c>
      <c r="V66" t="s">
        <v>504</v>
      </c>
      <c r="X66" t="s">
        <v>27</v>
      </c>
      <c r="Y66" t="s">
        <v>28</v>
      </c>
      <c r="Z66" t="s">
        <v>505</v>
      </c>
      <c r="AB66">
        <v>2007</v>
      </c>
      <c r="AC66">
        <v>2974</v>
      </c>
      <c r="AD66" t="s">
        <v>506</v>
      </c>
      <c r="AF66" t="s">
        <v>507</v>
      </c>
      <c r="AG66">
        <v>47.6693</v>
      </c>
      <c r="AH66">
        <v>-122.325059</v>
      </c>
      <c r="AI66" t="s">
        <v>33</v>
      </c>
      <c r="AJ66">
        <v>98105</v>
      </c>
      <c r="AK66" t="s">
        <v>34</v>
      </c>
      <c r="AL66">
        <v>1</v>
      </c>
      <c r="AM66" t="s">
        <v>35</v>
      </c>
      <c r="AO66">
        <v>0.14000000000000001</v>
      </c>
      <c r="AP66" t="s">
        <v>508</v>
      </c>
      <c r="AQ66">
        <v>535</v>
      </c>
      <c r="AR66" t="s">
        <v>509</v>
      </c>
      <c r="AS66" t="s">
        <v>510</v>
      </c>
      <c r="AT66">
        <v>3</v>
      </c>
      <c r="AU66" t="s">
        <v>931</v>
      </c>
      <c r="AV66" s="9"/>
      <c r="AX66">
        <f t="shared" ref="AX66:AX97" ca="1" si="2">IF(AW66&gt;0,TODAY()-AV66,TODAY()-DATE(2007,11,19))</f>
        <v>28</v>
      </c>
    </row>
    <row r="67" spans="1:51">
      <c r="A67">
        <v>27188920</v>
      </c>
      <c r="B67" s="4" t="str">
        <f>HYPERLINK("http://locmedia.nwmls.com/DO_NOT_LINK/bigphoto/920/27188920.jpg?tsp=20071019112034","Active")</f>
        <v>Active</v>
      </c>
      <c r="C67">
        <v>710</v>
      </c>
      <c r="D67" t="s">
        <v>656</v>
      </c>
      <c r="E67" t="s">
        <v>678</v>
      </c>
      <c r="F67" s="5">
        <v>449950</v>
      </c>
      <c r="G67" t="s">
        <v>21</v>
      </c>
      <c r="H67">
        <v>930</v>
      </c>
      <c r="I67">
        <v>8712</v>
      </c>
      <c r="J67">
        <v>2</v>
      </c>
      <c r="K67">
        <v>1</v>
      </c>
      <c r="L67">
        <v>1</v>
      </c>
      <c r="M67" s="4" t="str">
        <f>HYPERLINK("http://locsearch.nwmls.com//ReturnMap.aspx?hidMLS=NWML&amp;VHW=47.704701:-122.282915:.25:&amp;Z=4&amp;H=300&amp;W=400&amp;PP=47.704701:-122.282915:1:027188920","Map")</f>
        <v>Map</v>
      </c>
      <c r="N67" s="4" t="str">
        <f>HYPERLINK("http://locmedia.nwmls.com/DO_NOT_LINK/bigphoto/920/27188920.jpg?tsp=20071019112034","Photo")</f>
        <v>Photo</v>
      </c>
      <c r="O67" s="4" t="str">
        <f>HYPERLINK("http://locator.nwmls.com/scripts/mgrqispi.dll?APPNAME=Locator&amp;PRGNAME=MLSPictureDescriptions&amp;ARGUMENTS=-N719932170,-N27188920,-AE","More")</f>
        <v>More</v>
      </c>
      <c r="Q67" t="s">
        <v>679</v>
      </c>
      <c r="R67" t="s">
        <v>57</v>
      </c>
      <c r="S67" t="s">
        <v>128</v>
      </c>
      <c r="T67" t="s">
        <v>25</v>
      </c>
      <c r="U67" t="s">
        <v>26</v>
      </c>
      <c r="V67" s="6" t="s">
        <v>59</v>
      </c>
      <c r="X67" t="s">
        <v>27</v>
      </c>
      <c r="Y67" t="s">
        <v>28</v>
      </c>
      <c r="Z67" t="s">
        <v>680</v>
      </c>
      <c r="AA67" t="s">
        <v>681</v>
      </c>
      <c r="AB67">
        <v>2007</v>
      </c>
      <c r="AC67">
        <v>2881</v>
      </c>
      <c r="AD67" t="s">
        <v>682</v>
      </c>
      <c r="AE67" t="s">
        <v>121</v>
      </c>
      <c r="AF67" t="s">
        <v>683</v>
      </c>
      <c r="AG67">
        <v>47.704701</v>
      </c>
      <c r="AH67">
        <v>-122.282915</v>
      </c>
      <c r="AI67" t="s">
        <v>33</v>
      </c>
      <c r="AJ67">
        <v>98125</v>
      </c>
      <c r="AK67" t="s">
        <v>34</v>
      </c>
      <c r="AL67">
        <v>14</v>
      </c>
      <c r="AM67" t="s">
        <v>35</v>
      </c>
      <c r="AO67">
        <v>0.2</v>
      </c>
      <c r="AP67" t="s">
        <v>684</v>
      </c>
      <c r="AQ67">
        <v>505</v>
      </c>
      <c r="AR67" t="s">
        <v>466</v>
      </c>
      <c r="AS67" t="s">
        <v>685</v>
      </c>
      <c r="AT67">
        <v>3</v>
      </c>
      <c r="AV67" s="9"/>
      <c r="AX67">
        <f t="shared" ca="1" si="2"/>
        <v>28</v>
      </c>
    </row>
    <row r="68" spans="1:51">
      <c r="A68">
        <v>27189991</v>
      </c>
      <c r="B68" s="4" t="str">
        <f>HYPERLINK("http://locmedia.nwmls.com/DO_NOT_LINK/bigphoto/991/27189991.jpg?tsp=20071024144956","Active")</f>
        <v>Active</v>
      </c>
      <c r="C68">
        <v>705</v>
      </c>
      <c r="D68" t="s">
        <v>81</v>
      </c>
      <c r="E68" t="s">
        <v>137</v>
      </c>
      <c r="F68" s="5">
        <v>399950</v>
      </c>
      <c r="G68" t="s">
        <v>138</v>
      </c>
      <c r="H68">
        <v>1540</v>
      </c>
      <c r="I68">
        <v>2500</v>
      </c>
      <c r="J68">
        <v>2</v>
      </c>
      <c r="K68">
        <v>2</v>
      </c>
      <c r="M68" s="4" t="str">
        <f>HYPERLINK("http://locsearch.nwmls.com//ReturnMap.aspx?hidMLS=NWML&amp;VHW=47.683055:-122.373620:.25:&amp;Z=4&amp;H=300&amp;W=400&amp;PP=47.683055:-122.373620:1:027189991","Map")</f>
        <v>Map</v>
      </c>
      <c r="N68" s="4" t="str">
        <f>HYPERLINK("http://locmedia.nwmls.com/DO_NOT_LINK/bigphoto/991/27189991.jpg?tsp=20071024144956","Photo")</f>
        <v>Photo</v>
      </c>
      <c r="O68" s="4" t="str">
        <f>HYPERLINK("http://locator.nwmls.com/scripts/mgrqispi.dll?APPNAME=Locator&amp;PRGNAME=MLSPictureDescriptions&amp;ARGUMENTS=-N595036758,-N27189991,-AE","More")</f>
        <v>More</v>
      </c>
      <c r="P68" t="s">
        <v>41</v>
      </c>
      <c r="Q68" t="s">
        <v>56</v>
      </c>
      <c r="R68" t="s">
        <v>95</v>
      </c>
      <c r="S68" t="s">
        <v>128</v>
      </c>
      <c r="T68" t="s">
        <v>129</v>
      </c>
      <c r="U68" t="s">
        <v>26</v>
      </c>
      <c r="V68" s="6" t="s">
        <v>59</v>
      </c>
      <c r="X68" t="s">
        <v>27</v>
      </c>
      <c r="Y68" t="s">
        <v>28</v>
      </c>
      <c r="Z68" t="s">
        <v>139</v>
      </c>
      <c r="AA68" t="s">
        <v>140</v>
      </c>
      <c r="AB68">
        <v>2007</v>
      </c>
      <c r="AC68">
        <v>2956</v>
      </c>
      <c r="AD68" t="s">
        <v>141</v>
      </c>
      <c r="AE68" t="s">
        <v>142</v>
      </c>
      <c r="AF68" t="s">
        <v>143</v>
      </c>
      <c r="AG68">
        <v>47.683055000000003</v>
      </c>
      <c r="AH68">
        <v>-122.37362</v>
      </c>
      <c r="AI68" t="s">
        <v>33</v>
      </c>
      <c r="AJ68">
        <v>98117</v>
      </c>
      <c r="AK68" t="s">
        <v>34</v>
      </c>
      <c r="AL68">
        <v>48</v>
      </c>
      <c r="AM68" t="s">
        <v>35</v>
      </c>
      <c r="AO68">
        <v>5.7000000000000002E-2</v>
      </c>
      <c r="AP68" t="s">
        <v>144</v>
      </c>
      <c r="AQ68">
        <v>534</v>
      </c>
      <c r="AR68" t="s">
        <v>91</v>
      </c>
      <c r="AS68" t="s">
        <v>145</v>
      </c>
      <c r="AT68">
        <v>1</v>
      </c>
      <c r="AV68" s="9"/>
      <c r="AX68">
        <f t="shared" ca="1" si="2"/>
        <v>28</v>
      </c>
    </row>
    <row r="69" spans="1:51">
      <c r="A69">
        <v>27190229</v>
      </c>
      <c r="B69" s="4" t="str">
        <f>HYPERLINK("http://locmedia.nwmls.com/DO_NOT_LINK/bigphoto/229/27190229.jpg?tsp=20071026145346","Active - STI")</f>
        <v>Active - STI</v>
      </c>
      <c r="C69">
        <v>710</v>
      </c>
      <c r="D69" t="s">
        <v>656</v>
      </c>
      <c r="E69" t="s">
        <v>851</v>
      </c>
      <c r="F69" s="5">
        <v>419950</v>
      </c>
      <c r="G69" t="s">
        <v>127</v>
      </c>
      <c r="H69">
        <v>1670</v>
      </c>
      <c r="I69">
        <v>5413</v>
      </c>
      <c r="J69">
        <v>2</v>
      </c>
      <c r="K69">
        <v>1</v>
      </c>
      <c r="M69" s="4" t="str">
        <f>HYPERLINK("http://locsearch.nwmls.com//ReturnMap.aspx?hidMLS=NWML&amp;VHW=47.696244:-122.301501:.25:&amp;Z=4&amp;H=300&amp;W=400&amp;PP=47.696244:-122.301501:1:027190229","Map")</f>
        <v>Map</v>
      </c>
      <c r="N69" s="4" t="str">
        <f>HYPERLINK("http://locmedia.nwmls.com/DO_NOT_LINK/bigphoto/229/27190229.jpg?tsp=20071026145346","Photo")</f>
        <v>Photo</v>
      </c>
      <c r="O69" s="4" t="str">
        <f>HYPERLINK("http://locator.nwmls.com/scripts/mgrqispi.dll?APPNAME=Locator&amp;PRGNAME=MLSPictureDescriptions&amp;ARGUMENTS=-N719932170,-N27190229,-AE","More")</f>
        <v>More</v>
      </c>
      <c r="P69" t="s">
        <v>41</v>
      </c>
      <c r="Q69" t="s">
        <v>56</v>
      </c>
      <c r="R69" t="s">
        <v>95</v>
      </c>
      <c r="S69" t="s">
        <v>58</v>
      </c>
      <c r="T69" t="s">
        <v>300</v>
      </c>
      <c r="U69" t="s">
        <v>26</v>
      </c>
      <c r="V69" s="6" t="s">
        <v>59</v>
      </c>
      <c r="X69" t="s">
        <v>27</v>
      </c>
      <c r="Y69" t="s">
        <v>28</v>
      </c>
      <c r="Z69" t="s">
        <v>852</v>
      </c>
      <c r="AB69">
        <v>2007</v>
      </c>
      <c r="AC69">
        <v>3030</v>
      </c>
      <c r="AD69" t="s">
        <v>853</v>
      </c>
      <c r="AE69" t="s">
        <v>302</v>
      </c>
      <c r="AF69" t="s">
        <v>303</v>
      </c>
      <c r="AG69">
        <v>47.696244</v>
      </c>
      <c r="AH69">
        <v>-122.301501</v>
      </c>
      <c r="AI69" t="s">
        <v>33</v>
      </c>
      <c r="AJ69">
        <v>98115</v>
      </c>
      <c r="AK69" t="s">
        <v>34</v>
      </c>
      <c r="AL69" t="s">
        <v>854</v>
      </c>
      <c r="AM69" t="s">
        <v>35</v>
      </c>
      <c r="AO69">
        <v>0.124</v>
      </c>
      <c r="AP69" t="s">
        <v>855</v>
      </c>
      <c r="AQ69">
        <v>505</v>
      </c>
      <c r="AR69" t="s">
        <v>840</v>
      </c>
      <c r="AS69" t="s">
        <v>856</v>
      </c>
      <c r="AT69">
        <v>-5</v>
      </c>
      <c r="AV69" s="9">
        <v>39381</v>
      </c>
      <c r="AW69">
        <v>30</v>
      </c>
      <c r="AX69">
        <f t="shared" ca="1" si="2"/>
        <v>52</v>
      </c>
    </row>
    <row r="70" spans="1:51">
      <c r="A70">
        <v>27190910</v>
      </c>
      <c r="B70" s="4" t="str">
        <f>HYPERLINK("http://locmedia.nwmls.com/DO_NOT_LINK/bigphoto/910/27190910.jpg?tsp=20071024102346","Active")</f>
        <v>Active</v>
      </c>
      <c r="C70">
        <v>705</v>
      </c>
      <c r="D70" t="s">
        <v>113</v>
      </c>
      <c r="E70" t="s">
        <v>352</v>
      </c>
      <c r="F70" s="5">
        <v>465000</v>
      </c>
      <c r="G70" t="s">
        <v>353</v>
      </c>
      <c r="H70">
        <v>2280</v>
      </c>
      <c r="I70">
        <v>7020</v>
      </c>
      <c r="J70">
        <v>3</v>
      </c>
      <c r="K70">
        <v>2.5</v>
      </c>
      <c r="M70" s="4" t="str">
        <f>HYPERLINK("http://locsearch.nwmls.com//ReturnMap.aspx?hidMLS=NWML&amp;VHW=47.719443:-122.358291:.25:&amp;Z=4&amp;H=300&amp;W=400&amp;PP=47.719443:-122.358291:1:027190910","Map")</f>
        <v>Map</v>
      </c>
      <c r="N70" s="4" t="str">
        <f>HYPERLINK("http://locmedia.nwmls.com/DO_NOT_LINK/bigphoto/910/27190910.jpg?tsp=20071024102346","Photo")</f>
        <v>Photo</v>
      </c>
      <c r="O70" s="4" t="str">
        <f>HYPERLINK("http://locator.nwmls.com/scripts/mgrqispi.dll?APPNAME=Locator&amp;PRGNAME=MLSPictureDescriptions&amp;ARGUMENTS=-N595036758,-N27190910,-AE","More")</f>
        <v>More</v>
      </c>
      <c r="P70" t="s">
        <v>354</v>
      </c>
      <c r="Q70" t="s">
        <v>56</v>
      </c>
      <c r="R70" t="s">
        <v>116</v>
      </c>
      <c r="S70" t="s">
        <v>86</v>
      </c>
      <c r="T70" t="s">
        <v>72</v>
      </c>
      <c r="U70" t="s">
        <v>26</v>
      </c>
      <c r="V70" s="6" t="s">
        <v>59</v>
      </c>
      <c r="X70" t="s">
        <v>27</v>
      </c>
      <c r="Y70" t="s">
        <v>28</v>
      </c>
      <c r="Z70" t="s">
        <v>355</v>
      </c>
      <c r="AB70">
        <v>2007</v>
      </c>
      <c r="AC70">
        <v>564</v>
      </c>
      <c r="AD70" t="s">
        <v>356</v>
      </c>
      <c r="AE70" t="s">
        <v>357</v>
      </c>
      <c r="AF70" t="s">
        <v>358</v>
      </c>
      <c r="AG70">
        <v>47.719442999999998</v>
      </c>
      <c r="AH70">
        <v>-122.35829099999999</v>
      </c>
      <c r="AI70" t="s">
        <v>33</v>
      </c>
      <c r="AJ70">
        <v>98177</v>
      </c>
      <c r="AK70" t="s">
        <v>34</v>
      </c>
      <c r="AL70" t="s">
        <v>35</v>
      </c>
      <c r="AM70" t="s">
        <v>35</v>
      </c>
      <c r="AO70">
        <v>0.161</v>
      </c>
      <c r="AP70" t="s">
        <v>359</v>
      </c>
      <c r="AQ70">
        <v>504</v>
      </c>
      <c r="AR70" t="s">
        <v>323</v>
      </c>
      <c r="AS70" t="s">
        <v>360</v>
      </c>
      <c r="AT70">
        <v>3</v>
      </c>
      <c r="AV70" s="9"/>
      <c r="AX70">
        <f t="shared" ca="1" si="2"/>
        <v>28</v>
      </c>
    </row>
    <row r="71" spans="1:51">
      <c r="A71">
        <v>27191547</v>
      </c>
      <c r="B71" s="4" t="str">
        <f>HYPERLINK("http://locmedia.nwmls.com/DO_NOT_LINK/bigphoto/547/27191547.jpg?tsp=20071107055208","Active")</f>
        <v>Active</v>
      </c>
      <c r="C71">
        <v>705</v>
      </c>
      <c r="D71" t="s">
        <v>81</v>
      </c>
      <c r="E71" t="s">
        <v>336</v>
      </c>
      <c r="F71" s="5">
        <v>459950</v>
      </c>
      <c r="G71" t="s">
        <v>337</v>
      </c>
      <c r="H71">
        <v>1906</v>
      </c>
      <c r="I71">
        <v>5100</v>
      </c>
      <c r="J71">
        <v>2</v>
      </c>
      <c r="K71">
        <v>2</v>
      </c>
      <c r="M71" s="4" t="str">
        <f>HYPERLINK("http://locsearch.nwmls.com//ReturnMap.aspx?hidMLS=NWML&amp;VHW=47.682158:-122.384300:.25:&amp;Z=4&amp;H=300&amp;W=400&amp;PP=47.682158:-122.384300:1:027191547","Map")</f>
        <v>Map</v>
      </c>
      <c r="N71" s="4" t="str">
        <f>HYPERLINK("http://locmedia.nwmls.com/DO_NOT_LINK/bigphoto/547/27191547.jpg?tsp=20071107055208","Photo")</f>
        <v>Photo</v>
      </c>
      <c r="O71" s="4" t="str">
        <f>HYPERLINK("http://locator.nwmls.com/scripts/mgrqispi.dll?APPNAME=Locator&amp;PRGNAME=MLSPictureDescriptions&amp;ARGUMENTS=-N595036758,-N27191547,-AE","More")</f>
        <v>More</v>
      </c>
      <c r="Q71" t="s">
        <v>56</v>
      </c>
      <c r="R71" t="s">
        <v>95</v>
      </c>
      <c r="S71" t="s">
        <v>338</v>
      </c>
      <c r="T71" t="s">
        <v>263</v>
      </c>
      <c r="U71" t="s">
        <v>26</v>
      </c>
      <c r="V71" s="6" t="s">
        <v>59</v>
      </c>
      <c r="X71" t="s">
        <v>27</v>
      </c>
      <c r="Y71" t="s">
        <v>28</v>
      </c>
      <c r="Z71" t="s">
        <v>339</v>
      </c>
      <c r="AB71">
        <v>2007</v>
      </c>
      <c r="AC71">
        <v>3141</v>
      </c>
      <c r="AD71" t="s">
        <v>340</v>
      </c>
      <c r="AE71" t="s">
        <v>341</v>
      </c>
      <c r="AF71" t="s">
        <v>342</v>
      </c>
      <c r="AG71">
        <v>47.682158000000001</v>
      </c>
      <c r="AH71">
        <v>-122.3843</v>
      </c>
      <c r="AI71" t="s">
        <v>33</v>
      </c>
      <c r="AJ71">
        <v>98117</v>
      </c>
      <c r="AK71" t="s">
        <v>34</v>
      </c>
      <c r="AL71" t="s">
        <v>343</v>
      </c>
      <c r="AM71" t="s">
        <v>35</v>
      </c>
      <c r="AO71">
        <v>0.11700000000000001</v>
      </c>
      <c r="AP71" t="s">
        <v>344</v>
      </c>
      <c r="AQ71">
        <v>534</v>
      </c>
      <c r="AR71" t="s">
        <v>196</v>
      </c>
      <c r="AS71" t="s">
        <v>345</v>
      </c>
      <c r="AT71">
        <v>1</v>
      </c>
      <c r="AU71" t="s">
        <v>932</v>
      </c>
      <c r="AV71" s="9"/>
      <c r="AX71">
        <f t="shared" ca="1" si="2"/>
        <v>28</v>
      </c>
    </row>
    <row r="72" spans="1:51">
      <c r="A72">
        <v>27191568</v>
      </c>
      <c r="B72" s="4" t="str">
        <f>HYPERLINK("http://locmedia.nwmls.com/DO_NOT_LINK/bigphoto/568/27191568.jpg?tsp=20071025163105","Active")</f>
        <v>Active</v>
      </c>
      <c r="C72">
        <v>705</v>
      </c>
      <c r="D72" t="s">
        <v>66</v>
      </c>
      <c r="E72" t="s">
        <v>67</v>
      </c>
      <c r="F72" s="5">
        <v>374950</v>
      </c>
      <c r="G72" t="s">
        <v>68</v>
      </c>
      <c r="H72">
        <v>1175</v>
      </c>
      <c r="I72">
        <v>1366</v>
      </c>
      <c r="J72">
        <v>2</v>
      </c>
      <c r="K72">
        <v>2.5</v>
      </c>
      <c r="M72" s="4" t="str">
        <f>HYPERLINK("http://locsearch.nwmls.com//ReturnMap.aspx?hidMLS=NWML&amp;VHW=47.695753:-122.341899:.25:&amp;Z=4&amp;H=300&amp;W=400&amp;PP=47.695753:-122.341899:1:027191568","Map")</f>
        <v>Map</v>
      </c>
      <c r="N72" s="4" t="str">
        <f>HYPERLINK("http://locmedia.nwmls.com/DO_NOT_LINK/bigphoto/568/27191568.jpg?tsp=20071025163105","Photo")</f>
        <v>Photo</v>
      </c>
      <c r="O72" s="4" t="str">
        <f>HYPERLINK("http://locator.nwmls.com/scripts/mgrqispi.dll?APPNAME=Locator&amp;PRGNAME=MLSPictureDescriptions&amp;ARGUMENTS=-N595036758,-N27191568,-AE","More")</f>
        <v>More</v>
      </c>
      <c r="P72" t="s">
        <v>69</v>
      </c>
      <c r="Q72" t="s">
        <v>70</v>
      </c>
      <c r="R72" t="s">
        <v>57</v>
      </c>
      <c r="S72" t="s">
        <v>71</v>
      </c>
      <c r="T72" t="s">
        <v>72</v>
      </c>
      <c r="U72" t="s">
        <v>26</v>
      </c>
      <c r="X72" t="s">
        <v>27</v>
      </c>
      <c r="Y72" t="s">
        <v>28</v>
      </c>
      <c r="Z72" t="s">
        <v>73</v>
      </c>
      <c r="AA72" t="s">
        <v>74</v>
      </c>
      <c r="AB72">
        <v>2007</v>
      </c>
      <c r="AC72">
        <v>2715</v>
      </c>
      <c r="AD72" t="s">
        <v>75</v>
      </c>
      <c r="AE72" t="s">
        <v>76</v>
      </c>
      <c r="AF72" t="s">
        <v>77</v>
      </c>
      <c r="AG72">
        <v>47.695753000000003</v>
      </c>
      <c r="AH72">
        <v>-122.341899</v>
      </c>
      <c r="AI72" t="s">
        <v>33</v>
      </c>
      <c r="AJ72">
        <v>98103</v>
      </c>
      <c r="AK72" t="s">
        <v>34</v>
      </c>
      <c r="AL72" t="s">
        <v>35</v>
      </c>
      <c r="AM72" t="s">
        <v>35</v>
      </c>
      <c r="AO72">
        <v>3.1E-2</v>
      </c>
      <c r="AP72" t="s">
        <v>78</v>
      </c>
      <c r="AQ72">
        <v>504</v>
      </c>
      <c r="AR72" t="s">
        <v>79</v>
      </c>
      <c r="AS72" t="s">
        <v>80</v>
      </c>
      <c r="AT72">
        <v>1</v>
      </c>
      <c r="AU72" t="s">
        <v>913</v>
      </c>
      <c r="AV72" s="9"/>
      <c r="AX72">
        <f t="shared" ca="1" si="2"/>
        <v>28</v>
      </c>
    </row>
    <row r="73" spans="1:51">
      <c r="A73">
        <v>27191805</v>
      </c>
      <c r="B73" s="4" t="str">
        <f>HYPERLINK("http://locmedia.nwmls.com/DO_NOT_LINK/bigphoto/805/27191805.jpg?tsp=20071025175431","Active - STI")</f>
        <v>Active - STI</v>
      </c>
      <c r="C73">
        <v>705</v>
      </c>
      <c r="D73" t="s">
        <v>81</v>
      </c>
      <c r="E73" t="s">
        <v>579</v>
      </c>
      <c r="F73" s="5">
        <v>459950</v>
      </c>
      <c r="G73" t="s">
        <v>502</v>
      </c>
      <c r="H73">
        <v>0</v>
      </c>
      <c r="I73">
        <v>0</v>
      </c>
      <c r="J73">
        <v>3</v>
      </c>
      <c r="K73">
        <v>2</v>
      </c>
      <c r="M73" s="4" t="str">
        <f>HYPERLINK("http://locsearch.nwmls.com//ReturnMap.aspx?hidMLS=NWML&amp;VHW=47.682514:-122.362927:.25:&amp;Z=4&amp;H=300&amp;W=400&amp;PP=47.682514:-122.362927:1:027191805","Map")</f>
        <v>Map</v>
      </c>
      <c r="N73" s="4" t="str">
        <f>HYPERLINK("http://locmedia.nwmls.com/DO_NOT_LINK/bigphoto/805/27191805.jpg?tsp=20071025175431","Photo")</f>
        <v>Photo</v>
      </c>
      <c r="O73" s="4" t="str">
        <f>HYPERLINK("http://locator.nwmls.com/scripts/mgrqispi.dll?APPNAME=Locator&amp;PRGNAME=MLSPictureDescriptions&amp;ARGUMENTS=-N595036758,-N27191805,-AE","More")</f>
        <v>More</v>
      </c>
      <c r="P73" t="s">
        <v>580</v>
      </c>
      <c r="Q73" t="s">
        <v>327</v>
      </c>
      <c r="R73" t="s">
        <v>57</v>
      </c>
      <c r="S73" t="s">
        <v>199</v>
      </c>
      <c r="V73" s="6" t="s">
        <v>59</v>
      </c>
      <c r="X73" t="s">
        <v>27</v>
      </c>
      <c r="Y73" t="s">
        <v>28</v>
      </c>
      <c r="Z73" t="s">
        <v>176</v>
      </c>
      <c r="AB73">
        <v>2007</v>
      </c>
      <c r="AC73">
        <v>3104</v>
      </c>
      <c r="AD73" t="s">
        <v>581</v>
      </c>
      <c r="AE73" t="s">
        <v>582</v>
      </c>
      <c r="AF73" t="s">
        <v>583</v>
      </c>
      <c r="AG73">
        <v>47.682513999999998</v>
      </c>
      <c r="AH73">
        <v>-122.362927</v>
      </c>
      <c r="AI73" t="s">
        <v>33</v>
      </c>
      <c r="AJ73">
        <v>98117</v>
      </c>
      <c r="AK73" t="s">
        <v>34</v>
      </c>
      <c r="AL73" t="s">
        <v>35</v>
      </c>
      <c r="AM73" t="s">
        <v>35</v>
      </c>
      <c r="AO73">
        <v>0</v>
      </c>
      <c r="AP73" t="s">
        <v>584</v>
      </c>
      <c r="AQ73">
        <v>534</v>
      </c>
      <c r="AR73" t="s">
        <v>313</v>
      </c>
      <c r="AS73" t="s">
        <v>585</v>
      </c>
      <c r="AT73">
        <v>4</v>
      </c>
      <c r="AV73" s="9">
        <v>39380</v>
      </c>
      <c r="AW73">
        <v>31</v>
      </c>
      <c r="AX73">
        <f t="shared" ca="1" si="2"/>
        <v>53</v>
      </c>
      <c r="AY73" t="s">
        <v>920</v>
      </c>
    </row>
    <row r="74" spans="1:51">
      <c r="A74">
        <v>27191868</v>
      </c>
      <c r="B74" s="4" t="str">
        <f>HYPERLINK("http://locmedia.nwmls.com/DO_NOT_LINK/bigphoto/868/27191868.jpg?tsp=20071025123212","Active")</f>
        <v>Active</v>
      </c>
      <c r="C74">
        <v>705</v>
      </c>
      <c r="D74" t="s">
        <v>53</v>
      </c>
      <c r="E74" t="s">
        <v>325</v>
      </c>
      <c r="F74" s="5">
        <v>459900</v>
      </c>
      <c r="G74" t="s">
        <v>326</v>
      </c>
      <c r="H74">
        <v>2080</v>
      </c>
      <c r="I74">
        <v>4950</v>
      </c>
      <c r="J74">
        <v>3</v>
      </c>
      <c r="K74">
        <v>1.5</v>
      </c>
      <c r="M74" s="4" t="str">
        <f>HYPERLINK("http://locsearch.nwmls.com//ReturnMap.aspx?hidMLS=NWML&amp;VHW=47.692101:-122.364968:.25:&amp;Z=4&amp;H=300&amp;W=400&amp;PP=47.692101:-122.364968:1:027191868","Map")</f>
        <v>Map</v>
      </c>
      <c r="N74" s="4" t="str">
        <f>HYPERLINK("http://locmedia.nwmls.com/DO_NOT_LINK/bigphoto/868/27191868.jpg?tsp=20071025123212","Photo")</f>
        <v>Photo</v>
      </c>
      <c r="O74" s="4" t="str">
        <f>HYPERLINK("http://locator.nwmls.com/scripts/mgrqispi.dll?APPNAME=Locator&amp;PRGNAME=MLSPictureDescriptions&amp;ARGUMENTS=-N595036758,-N27191868,-AE","More")</f>
        <v>More</v>
      </c>
      <c r="Q74" t="s">
        <v>327</v>
      </c>
      <c r="R74" t="s">
        <v>23</v>
      </c>
      <c r="S74" t="s">
        <v>328</v>
      </c>
      <c r="T74" t="s">
        <v>129</v>
      </c>
      <c r="U74" t="s">
        <v>26</v>
      </c>
      <c r="V74" s="6" t="s">
        <v>59</v>
      </c>
      <c r="X74" t="s">
        <v>27</v>
      </c>
      <c r="Y74" t="s">
        <v>28</v>
      </c>
      <c r="Z74" t="s">
        <v>329</v>
      </c>
      <c r="AB74">
        <v>2007</v>
      </c>
      <c r="AC74">
        <v>2807</v>
      </c>
      <c r="AD74" t="s">
        <v>330</v>
      </c>
      <c r="AE74" t="s">
        <v>331</v>
      </c>
      <c r="AF74" t="s">
        <v>332</v>
      </c>
      <c r="AG74">
        <v>47.692101000000001</v>
      </c>
      <c r="AH74">
        <v>-122.364968</v>
      </c>
      <c r="AI74" t="s">
        <v>33</v>
      </c>
      <c r="AJ74">
        <v>98117</v>
      </c>
      <c r="AK74" t="s">
        <v>34</v>
      </c>
      <c r="AL74" t="s">
        <v>35</v>
      </c>
      <c r="AM74" t="s">
        <v>35</v>
      </c>
      <c r="AO74">
        <v>0.114</v>
      </c>
      <c r="AP74" t="s">
        <v>333</v>
      </c>
      <c r="AQ74">
        <v>534</v>
      </c>
      <c r="AR74" t="s">
        <v>334</v>
      </c>
      <c r="AS74" t="s">
        <v>335</v>
      </c>
      <c r="AT74">
        <v>1</v>
      </c>
      <c r="AU74" t="s">
        <v>933</v>
      </c>
      <c r="AV74" s="9"/>
      <c r="AX74">
        <f t="shared" ca="1" si="2"/>
        <v>28</v>
      </c>
    </row>
    <row r="75" spans="1:51">
      <c r="A75">
        <v>27192140</v>
      </c>
      <c r="B75" s="4" t="str">
        <f>HYPERLINK("http://locmedia.nwmls.com/DO_NOT_LINK/bigphoto/140/27192140.jpg?tsp=20071108202917","Active")</f>
        <v>Active</v>
      </c>
      <c r="C75">
        <v>705</v>
      </c>
      <c r="D75" t="s">
        <v>81</v>
      </c>
      <c r="E75" t="s">
        <v>388</v>
      </c>
      <c r="F75" s="5">
        <v>469950</v>
      </c>
      <c r="G75" t="s">
        <v>389</v>
      </c>
      <c r="H75">
        <v>1820</v>
      </c>
      <c r="I75">
        <v>0</v>
      </c>
      <c r="J75">
        <v>3</v>
      </c>
      <c r="K75">
        <v>1</v>
      </c>
      <c r="L75">
        <v>1</v>
      </c>
      <c r="M75" s="4" t="str">
        <f>HYPERLINK("http://locsearch.nwmls.com//ReturnMap.aspx?hidMLS=NWML&amp;VHW=47.676000:-122.368291:.25:&amp;Z=4&amp;H=300&amp;W=400&amp;PP=47.676000:-122.368291:1:027192140","Map")</f>
        <v>Map</v>
      </c>
      <c r="N75" s="4" t="str">
        <f>HYPERLINK("http://locmedia.nwmls.com/DO_NOT_LINK/bigphoto/140/27192140.jpg?tsp=20071108202917","Photo")</f>
        <v>Photo</v>
      </c>
      <c r="O75" s="4" t="str">
        <f>HYPERLINK("http://locator.nwmls.com/scripts/mgrqispi.dll?APPNAME=Locator&amp;PRGNAME=MLSPictureDescriptions&amp;ARGUMENTS=-N595036758,-N27192140,-AE","More")</f>
        <v>More</v>
      </c>
      <c r="P75" t="s">
        <v>41</v>
      </c>
      <c r="Q75" t="s">
        <v>56</v>
      </c>
      <c r="R75" t="s">
        <v>116</v>
      </c>
      <c r="S75" t="s">
        <v>43</v>
      </c>
      <c r="T75" t="s">
        <v>129</v>
      </c>
      <c r="U75" t="s">
        <v>26</v>
      </c>
      <c r="V75" s="6" t="s">
        <v>59</v>
      </c>
      <c r="X75" t="s">
        <v>27</v>
      </c>
      <c r="Y75" t="s">
        <v>28</v>
      </c>
      <c r="Z75" t="s">
        <v>150</v>
      </c>
      <c r="AB75">
        <v>2007</v>
      </c>
      <c r="AC75">
        <v>2867</v>
      </c>
      <c r="AD75" t="s">
        <v>390</v>
      </c>
      <c r="AE75" t="s">
        <v>391</v>
      </c>
      <c r="AF75" t="s">
        <v>392</v>
      </c>
      <c r="AG75">
        <v>47.676000000000002</v>
      </c>
      <c r="AH75">
        <v>-122.368291</v>
      </c>
      <c r="AI75" t="s">
        <v>33</v>
      </c>
      <c r="AJ75">
        <v>98117</v>
      </c>
      <c r="AK75" t="s">
        <v>34</v>
      </c>
      <c r="AL75" t="s">
        <v>393</v>
      </c>
      <c r="AM75" t="s">
        <v>35</v>
      </c>
      <c r="AO75">
        <v>0</v>
      </c>
      <c r="AP75" t="s">
        <v>394</v>
      </c>
      <c r="AQ75">
        <v>534</v>
      </c>
      <c r="AR75" t="s">
        <v>295</v>
      </c>
      <c r="AS75" t="s">
        <v>395</v>
      </c>
      <c r="AT75">
        <v>3</v>
      </c>
      <c r="AV75" s="9"/>
      <c r="AX75">
        <f t="shared" ca="1" si="2"/>
        <v>28</v>
      </c>
    </row>
    <row r="76" spans="1:51">
      <c r="A76">
        <v>27192222</v>
      </c>
      <c r="B76" s="4" t="str">
        <f>HYPERLINK("http://locmedia.nwmls.com/DO_NOT_LINK/bigphoto/222/27192222.jpg?tsp=20071025151633","Active")</f>
        <v>Active</v>
      </c>
      <c r="C76">
        <v>705</v>
      </c>
      <c r="D76" t="s">
        <v>66</v>
      </c>
      <c r="E76" t="s">
        <v>434</v>
      </c>
      <c r="F76" s="5">
        <v>475000</v>
      </c>
      <c r="G76" t="s">
        <v>337</v>
      </c>
      <c r="H76">
        <v>1860</v>
      </c>
      <c r="I76">
        <v>4080</v>
      </c>
      <c r="J76">
        <v>3</v>
      </c>
      <c r="K76">
        <v>1</v>
      </c>
      <c r="M76" s="4" t="str">
        <f>HYPERLINK("http://locsearch.nwmls.com//ReturnMap.aspx?hidMLS=NWML&amp;VHW=47.689101:-122.342226:.25:&amp;Z=4&amp;H=300&amp;W=400&amp;PP=47.689101:-122.342226:1:027192222","Map")</f>
        <v>Map</v>
      </c>
      <c r="N76" s="4" t="str">
        <f>HYPERLINK("http://locmedia.nwmls.com/DO_NOT_LINK/bigphoto/222/27192222.jpg?tsp=20071025151633","Photo")</f>
        <v>Photo</v>
      </c>
      <c r="O76" s="13" t="str">
        <f>HYPERLINK("http://locator.nwmls.com/scripts/mgrqispi.dll?APPNAME=Locator&amp;PRGNAME=MLSPictureDescriptions&amp;ARGUMENTS=-N595036758,-N27192222,-AE","More")</f>
        <v>More</v>
      </c>
      <c r="P76" t="s">
        <v>436</v>
      </c>
      <c r="Q76" t="s">
        <v>56</v>
      </c>
      <c r="R76" t="s">
        <v>95</v>
      </c>
      <c r="S76" t="s">
        <v>24</v>
      </c>
      <c r="T76" t="s">
        <v>300</v>
      </c>
      <c r="U76" t="s">
        <v>26</v>
      </c>
      <c r="V76" s="6" t="s">
        <v>59</v>
      </c>
      <c r="X76" t="s">
        <v>437</v>
      </c>
      <c r="Y76" t="s">
        <v>28</v>
      </c>
      <c r="Z76" t="s">
        <v>438</v>
      </c>
      <c r="AB76">
        <v>2007</v>
      </c>
      <c r="AC76">
        <v>2947</v>
      </c>
      <c r="AD76" t="s">
        <v>439</v>
      </c>
      <c r="AE76" t="s">
        <v>31</v>
      </c>
      <c r="AF76" t="s">
        <v>440</v>
      </c>
      <c r="AG76">
        <v>47.689101000000001</v>
      </c>
      <c r="AH76">
        <v>-122.342226</v>
      </c>
      <c r="AI76" t="s">
        <v>33</v>
      </c>
      <c r="AJ76">
        <v>98103</v>
      </c>
      <c r="AK76" t="s">
        <v>34</v>
      </c>
      <c r="AL76" t="s">
        <v>35</v>
      </c>
      <c r="AM76" t="s">
        <v>35</v>
      </c>
      <c r="AO76">
        <v>9.4E-2</v>
      </c>
      <c r="AP76" t="s">
        <v>441</v>
      </c>
      <c r="AQ76">
        <v>534</v>
      </c>
      <c r="AR76" t="s">
        <v>377</v>
      </c>
      <c r="AS76" t="s">
        <v>442</v>
      </c>
      <c r="AT76">
        <v>4</v>
      </c>
      <c r="AV76" s="9">
        <v>39380</v>
      </c>
      <c r="AW76">
        <v>31</v>
      </c>
      <c r="AX76">
        <f t="shared" ca="1" si="2"/>
        <v>53</v>
      </c>
      <c r="AY76" t="s">
        <v>920</v>
      </c>
    </row>
    <row r="77" spans="1:51">
      <c r="A77">
        <v>27192797</v>
      </c>
      <c r="B77" s="4" t="str">
        <f>HYPERLINK("http://locmedia.nwmls.com/DO_NOT_LINK/bigphoto/797/27192797.jpg?tsp=20071026165055","Active")</f>
        <v>Active</v>
      </c>
      <c r="C77">
        <v>705</v>
      </c>
      <c r="D77" t="s">
        <v>81</v>
      </c>
      <c r="E77" t="s">
        <v>428</v>
      </c>
      <c r="F77" s="5">
        <v>475000</v>
      </c>
      <c r="G77" t="s">
        <v>326</v>
      </c>
      <c r="H77">
        <v>1710</v>
      </c>
      <c r="I77">
        <v>4470</v>
      </c>
      <c r="J77">
        <v>2</v>
      </c>
      <c r="K77">
        <v>1</v>
      </c>
      <c r="L77">
        <v>1</v>
      </c>
      <c r="M77" s="4" t="str">
        <f>HYPERLINK("http://locsearch.nwmls.com//ReturnMap.aspx?hidMLS=NWML&amp;VHW=47.685665:-122.367300:.25:&amp;Z=4&amp;H=300&amp;W=400&amp;PP=47.685665:-122.367300:1:027192797","Map")</f>
        <v>Map</v>
      </c>
      <c r="N77" s="4" t="str">
        <f>HYPERLINK("http://locmedia.nwmls.com/DO_NOT_LINK/bigphoto/797/27192797.jpg?tsp=20071026165055","Photo")</f>
        <v>Photo</v>
      </c>
      <c r="O77" s="4" t="str">
        <f>HYPERLINK("http://locator.nwmls.com/scripts/mgrqispi.dll?APPNAME=Locator&amp;PRGNAME=MLSPictureDescriptions&amp;ARGUMENTS=-N595036758,-N27192797,-AE","More")</f>
        <v>More</v>
      </c>
      <c r="P77" t="s">
        <v>41</v>
      </c>
      <c r="Q77" t="s">
        <v>56</v>
      </c>
      <c r="R77" t="s">
        <v>429</v>
      </c>
      <c r="T77" t="s">
        <v>300</v>
      </c>
      <c r="V77" s="6" t="s">
        <v>59</v>
      </c>
      <c r="X77" t="s">
        <v>27</v>
      </c>
      <c r="Y77" t="s">
        <v>28</v>
      </c>
      <c r="Z77" t="s">
        <v>430</v>
      </c>
      <c r="AB77">
        <v>2007</v>
      </c>
      <c r="AC77">
        <v>4218</v>
      </c>
      <c r="AD77" t="s">
        <v>431</v>
      </c>
      <c r="AG77">
        <v>47.685665</v>
      </c>
      <c r="AH77">
        <v>-122.3673</v>
      </c>
      <c r="AI77" t="s">
        <v>33</v>
      </c>
      <c r="AJ77">
        <v>98117</v>
      </c>
      <c r="AK77" t="s">
        <v>34</v>
      </c>
      <c r="AL77" t="s">
        <v>35</v>
      </c>
      <c r="AM77" t="s">
        <v>35</v>
      </c>
      <c r="AO77">
        <v>0.10299999999999999</v>
      </c>
      <c r="AP77" t="s">
        <v>432</v>
      </c>
      <c r="AQ77">
        <v>534</v>
      </c>
      <c r="AR77" t="s">
        <v>313</v>
      </c>
      <c r="AS77" t="s">
        <v>433</v>
      </c>
      <c r="AT77">
        <v>1</v>
      </c>
      <c r="AU77" t="s">
        <v>934</v>
      </c>
      <c r="AV77" s="9"/>
      <c r="AX77">
        <f t="shared" ca="1" si="2"/>
        <v>28</v>
      </c>
    </row>
    <row r="78" spans="1:51">
      <c r="A78">
        <v>27192998</v>
      </c>
      <c r="B78" s="4" t="str">
        <f>HYPERLINK("http://locmedia.nwmls.com/DO_NOT_LINK/bigphoto/998/27192998.jpg?tsp=20071101104542","Active")</f>
        <v>Active</v>
      </c>
      <c r="C78">
        <v>705</v>
      </c>
      <c r="D78" t="s">
        <v>19</v>
      </c>
      <c r="E78" t="s">
        <v>20</v>
      </c>
      <c r="F78" s="5">
        <v>359500</v>
      </c>
      <c r="G78" t="s">
        <v>21</v>
      </c>
      <c r="H78">
        <v>0</v>
      </c>
      <c r="I78">
        <v>6408</v>
      </c>
      <c r="J78">
        <v>2</v>
      </c>
      <c r="K78">
        <v>1</v>
      </c>
      <c r="M78" s="4" t="str">
        <f>HYPERLINK("http://locsearch.nwmls.com//ReturnMap.aspx?hidMLS=NWML&amp;VHW=47.717001:-122.340601:.25:&amp;Z=4&amp;H=300&amp;W=400&amp;PP=47.717001:-122.340601:1:027192998","Map")</f>
        <v>Map</v>
      </c>
      <c r="N78" s="4" t="str">
        <f>HYPERLINK("http://locmedia.nwmls.com/DO_NOT_LINK/bigphoto/998/27192998.jpg?tsp=20071101104542","Photo")</f>
        <v>Photo</v>
      </c>
      <c r="O78" s="4" t="str">
        <f>HYPERLINK("http://locator.nwmls.com/scripts/mgrqispi.dll?APPNAME=Locator&amp;PRGNAME=MLSPictureDescriptions&amp;ARGUMENTS=-N595036758,-N27192998,-AE","More")</f>
        <v>More</v>
      </c>
      <c r="Q78" t="s">
        <v>22</v>
      </c>
      <c r="R78" t="s">
        <v>23</v>
      </c>
      <c r="S78" t="s">
        <v>24</v>
      </c>
      <c r="T78" t="s">
        <v>25</v>
      </c>
      <c r="U78" t="s">
        <v>26</v>
      </c>
      <c r="X78" t="s">
        <v>27</v>
      </c>
      <c r="Y78" t="s">
        <v>28</v>
      </c>
      <c r="Z78" t="s">
        <v>29</v>
      </c>
      <c r="AB78">
        <v>2007</v>
      </c>
      <c r="AC78">
        <v>2408</v>
      </c>
      <c r="AD78" t="s">
        <v>30</v>
      </c>
      <c r="AE78" t="s">
        <v>31</v>
      </c>
      <c r="AF78" t="s">
        <v>32</v>
      </c>
      <c r="AG78">
        <v>47.717001000000003</v>
      </c>
      <c r="AH78">
        <v>-122.34060100000001</v>
      </c>
      <c r="AI78" t="s">
        <v>33</v>
      </c>
      <c r="AJ78">
        <v>98133</v>
      </c>
      <c r="AK78" t="s">
        <v>34</v>
      </c>
      <c r="AL78" t="s">
        <v>35</v>
      </c>
      <c r="AM78" t="s">
        <v>35</v>
      </c>
      <c r="AO78">
        <v>0.14699999999999999</v>
      </c>
      <c r="AP78" t="s">
        <v>36</v>
      </c>
      <c r="AQ78">
        <v>505</v>
      </c>
      <c r="AR78" t="s">
        <v>37</v>
      </c>
      <c r="AS78" t="s">
        <v>38</v>
      </c>
      <c r="AT78">
        <v>3</v>
      </c>
      <c r="AU78" t="s">
        <v>935</v>
      </c>
      <c r="AV78" s="9"/>
      <c r="AX78">
        <f t="shared" ca="1" si="2"/>
        <v>28</v>
      </c>
    </row>
    <row r="79" spans="1:51">
      <c r="A79">
        <v>27193177</v>
      </c>
      <c r="B79" s="4" t="str">
        <f>HYPERLINK("http://locmedia.nwmls.com/DO_NOT_LINK/bigphoto/177/27193177.jpg?tsp=20071028021527","Active")</f>
        <v>Active</v>
      </c>
      <c r="C79">
        <v>705</v>
      </c>
      <c r="D79" t="s">
        <v>403</v>
      </c>
      <c r="E79" t="s">
        <v>482</v>
      </c>
      <c r="F79" s="5">
        <v>498000</v>
      </c>
      <c r="G79" t="s">
        <v>483</v>
      </c>
      <c r="H79">
        <v>1200</v>
      </c>
      <c r="I79">
        <v>2400</v>
      </c>
      <c r="J79">
        <v>2</v>
      </c>
      <c r="K79">
        <v>1</v>
      </c>
      <c r="L79">
        <v>1</v>
      </c>
      <c r="M79" s="4" t="str">
        <f>HYPERLINK("http://locsearch.nwmls.com//ReturnMap.aspx?hidMLS=NWML&amp;VHW=47.654158:-122.350739:.25:&amp;Z=4&amp;H=300&amp;W=400&amp;PP=47.654158:-122.350739:1:027193177","Map")</f>
        <v>Map</v>
      </c>
      <c r="N79" s="4" t="str">
        <f>HYPERLINK("http://locmedia.nwmls.com/DO_NOT_LINK/bigphoto/177/27193177.jpg?tsp=20071028021527","Photo")</f>
        <v>Photo</v>
      </c>
      <c r="O79" s="4" t="str">
        <f>HYPERLINK("http://locator.nwmls.com/scripts/mgrqispi.dll?APPNAME=Locator&amp;PRGNAME=MLSPictureDescriptions&amp;ARGUMENTS=-N595036758,-N27193177,-AE","More")</f>
        <v>More</v>
      </c>
      <c r="P79" t="s">
        <v>41</v>
      </c>
      <c r="Q79" t="s">
        <v>484</v>
      </c>
      <c r="R79" t="s">
        <v>95</v>
      </c>
      <c r="S79" t="s">
        <v>485</v>
      </c>
      <c r="T79" t="s">
        <v>300</v>
      </c>
      <c r="U79" t="s">
        <v>26</v>
      </c>
      <c r="X79" t="s">
        <v>27</v>
      </c>
      <c r="Y79" t="s">
        <v>28</v>
      </c>
      <c r="Z79" t="s">
        <v>486</v>
      </c>
      <c r="AA79" t="s">
        <v>487</v>
      </c>
      <c r="AB79">
        <v>2007</v>
      </c>
      <c r="AC79">
        <v>2510</v>
      </c>
      <c r="AD79" t="s">
        <v>488</v>
      </c>
      <c r="AE79" t="s">
        <v>489</v>
      </c>
      <c r="AF79" t="s">
        <v>490</v>
      </c>
      <c r="AG79">
        <v>47.654158000000002</v>
      </c>
      <c r="AH79">
        <v>-122.350739</v>
      </c>
      <c r="AI79" t="s">
        <v>33</v>
      </c>
      <c r="AJ79">
        <v>98103</v>
      </c>
      <c r="AK79" t="s">
        <v>34</v>
      </c>
      <c r="AL79" t="s">
        <v>35</v>
      </c>
      <c r="AM79" t="s">
        <v>35</v>
      </c>
      <c r="AO79">
        <v>5.5E-2</v>
      </c>
      <c r="AP79" t="s">
        <v>491</v>
      </c>
      <c r="AQ79">
        <v>534</v>
      </c>
      <c r="AR79" t="s">
        <v>64</v>
      </c>
      <c r="AS79" t="s">
        <v>492</v>
      </c>
      <c r="AT79">
        <v>1</v>
      </c>
      <c r="AU79" t="s">
        <v>913</v>
      </c>
      <c r="AV79" s="9"/>
      <c r="AX79">
        <f t="shared" ca="1" si="2"/>
        <v>28</v>
      </c>
    </row>
    <row r="80" spans="1:51">
      <c r="A80">
        <v>27193790</v>
      </c>
      <c r="B80" s="4" t="str">
        <f>HYPERLINK("http://locmedia.nwmls.com/DO_NOT_LINK/bigphoto/790/27193790.jpg?tsp=20071123141640","Active")</f>
        <v>Active</v>
      </c>
      <c r="C80">
        <v>710</v>
      </c>
      <c r="D80" t="s">
        <v>649</v>
      </c>
      <c r="E80" t="s">
        <v>650</v>
      </c>
      <c r="F80" s="5">
        <v>437950</v>
      </c>
      <c r="G80" t="s">
        <v>138</v>
      </c>
      <c r="H80">
        <v>1600</v>
      </c>
      <c r="I80">
        <v>5080</v>
      </c>
      <c r="J80">
        <v>3</v>
      </c>
      <c r="K80">
        <v>2</v>
      </c>
      <c r="M80" s="4" t="str">
        <f>HYPERLINK("http://locsearch.nwmls.com//ReturnMap.aspx?hidMLS=NWML&amp;VHW=47.699416:-122.310841:.25:&amp;Z=4&amp;H=300&amp;W=400&amp;PP=47.699416:-122.310841:1:027193790","Map")</f>
        <v>Map</v>
      </c>
      <c r="N80" s="4" t="str">
        <f>HYPERLINK("http://locmedia.nwmls.com/DO_NOT_LINK/bigphoto/790/27193790.jpg?tsp=20071123141640","Photo")</f>
        <v>Photo</v>
      </c>
      <c r="O80" s="4" t="str">
        <f>HYPERLINK("http://locator.nwmls.com/scripts/mgrqispi.dll?APPNAME=Locator&amp;PRGNAME=MLSPictureDescriptions&amp;ARGUMENTS=-N719932170,-N27193790,-AE","More")</f>
        <v>More</v>
      </c>
      <c r="P80" t="s">
        <v>41</v>
      </c>
      <c r="Q80" t="s">
        <v>22</v>
      </c>
      <c r="R80" t="s">
        <v>23</v>
      </c>
      <c r="S80" t="s">
        <v>651</v>
      </c>
      <c r="T80" t="s">
        <v>44</v>
      </c>
      <c r="U80" t="s">
        <v>26</v>
      </c>
      <c r="V80" s="6" t="s">
        <v>59</v>
      </c>
      <c r="X80" t="s">
        <v>27</v>
      </c>
      <c r="Y80" t="s">
        <v>28</v>
      </c>
      <c r="Z80" t="s">
        <v>430</v>
      </c>
      <c r="AA80" t="s">
        <v>382</v>
      </c>
      <c r="AB80">
        <v>2007</v>
      </c>
      <c r="AC80">
        <v>2557</v>
      </c>
      <c r="AD80" t="s">
        <v>652</v>
      </c>
      <c r="AE80" t="s">
        <v>653</v>
      </c>
      <c r="AF80" t="s">
        <v>179</v>
      </c>
      <c r="AG80">
        <v>47.699415999999999</v>
      </c>
      <c r="AH80">
        <v>-122.310841</v>
      </c>
      <c r="AI80" t="s">
        <v>33</v>
      </c>
      <c r="AJ80">
        <v>98115</v>
      </c>
      <c r="AK80" t="s">
        <v>34</v>
      </c>
      <c r="AL80">
        <v>23</v>
      </c>
      <c r="AM80" t="s">
        <v>35</v>
      </c>
      <c r="AO80">
        <v>0.11700000000000001</v>
      </c>
      <c r="AP80" t="s">
        <v>654</v>
      </c>
      <c r="AQ80">
        <v>505</v>
      </c>
      <c r="AR80" t="s">
        <v>655</v>
      </c>
      <c r="AS80" s="12" t="s">
        <v>870</v>
      </c>
      <c r="AT80">
        <v>1</v>
      </c>
      <c r="AV80" s="9"/>
      <c r="AX80">
        <f t="shared" ca="1" si="2"/>
        <v>28</v>
      </c>
    </row>
    <row r="81" spans="1:51">
      <c r="A81">
        <v>27194200</v>
      </c>
      <c r="B81" s="4" t="str">
        <f>HYPERLINK("http://locmedia.nwmls.com/DO_NOT_LINK/bigphoto/200/27194200.jpg?tsp=20071103174504","Active")</f>
        <v>Active</v>
      </c>
      <c r="C81">
        <v>705</v>
      </c>
      <c r="D81" t="s">
        <v>224</v>
      </c>
      <c r="E81" t="s">
        <v>225</v>
      </c>
      <c r="F81" s="5">
        <v>429000</v>
      </c>
      <c r="G81" t="s">
        <v>226</v>
      </c>
      <c r="H81">
        <v>1020</v>
      </c>
      <c r="I81">
        <v>2605</v>
      </c>
      <c r="J81">
        <v>2</v>
      </c>
      <c r="K81">
        <v>1</v>
      </c>
      <c r="L81">
        <v>1</v>
      </c>
      <c r="M81" s="4" t="str">
        <f>HYPERLINK("http://locsearch.nwmls.com//ReturnMap.aspx?hidMLS=NWML&amp;VHW=47.674269:-122.349909:.25:&amp;Z=4&amp;H=300&amp;W=400&amp;PP=47.674269:-122.349909:1:027194200","Map")</f>
        <v>Map</v>
      </c>
      <c r="N81" s="4" t="str">
        <f>HYPERLINK("http://locmedia.nwmls.com/DO_NOT_LINK/bigphoto/200/27194200.jpg?tsp=20071103174504","Photo")</f>
        <v>Photo</v>
      </c>
      <c r="O81" s="4" t="str">
        <f>HYPERLINK("http://locator.nwmls.com/scripts/mgrqispi.dll?APPNAME=Locator&amp;PRGNAME=MLSPictureDescriptions&amp;ARGUMENTS=-N595036758,-N27194200,-AE","More")</f>
        <v>More</v>
      </c>
      <c r="P81" t="s">
        <v>227</v>
      </c>
      <c r="Q81" t="s">
        <v>56</v>
      </c>
      <c r="R81" t="s">
        <v>116</v>
      </c>
      <c r="S81" t="s">
        <v>128</v>
      </c>
      <c r="V81" s="6" t="s">
        <v>59</v>
      </c>
      <c r="X81" t="s">
        <v>27</v>
      </c>
      <c r="Y81" t="s">
        <v>28</v>
      </c>
      <c r="Z81" t="s">
        <v>29</v>
      </c>
      <c r="AB81">
        <v>2007</v>
      </c>
      <c r="AC81">
        <v>2919</v>
      </c>
      <c r="AD81" t="s">
        <v>228</v>
      </c>
      <c r="AE81" t="s">
        <v>229</v>
      </c>
      <c r="AF81" t="s">
        <v>230</v>
      </c>
      <c r="AG81">
        <v>47.674269000000002</v>
      </c>
      <c r="AH81">
        <v>-122.349909</v>
      </c>
      <c r="AI81" t="s">
        <v>33</v>
      </c>
      <c r="AJ81">
        <v>98103</v>
      </c>
      <c r="AK81" t="s">
        <v>34</v>
      </c>
      <c r="AL81">
        <v>1</v>
      </c>
      <c r="AM81" t="s">
        <v>35</v>
      </c>
      <c r="AO81">
        <v>0.06</v>
      </c>
      <c r="AP81" t="s">
        <v>231</v>
      </c>
      <c r="AQ81">
        <v>534</v>
      </c>
      <c r="AR81" t="s">
        <v>172</v>
      </c>
      <c r="AS81" t="s">
        <v>232</v>
      </c>
      <c r="AT81">
        <v>1</v>
      </c>
      <c r="AV81" s="9"/>
      <c r="AX81">
        <f t="shared" ca="1" si="2"/>
        <v>28</v>
      </c>
    </row>
    <row r="82" spans="1:51">
      <c r="A82">
        <v>27194590</v>
      </c>
      <c r="B82" s="4" t="str">
        <f>HYPERLINK("http://locmedia.nwmls.com/DO_NOT_LINK/bigphoto/590/27194590.jpg?tsp=20071123100517","Active")</f>
        <v>Active</v>
      </c>
      <c r="C82">
        <v>710</v>
      </c>
      <c r="D82" t="s">
        <v>634</v>
      </c>
      <c r="E82" t="s">
        <v>796</v>
      </c>
      <c r="F82" s="5">
        <v>489500</v>
      </c>
      <c r="G82" t="s">
        <v>115</v>
      </c>
      <c r="H82">
        <v>2370</v>
      </c>
      <c r="I82">
        <v>7000</v>
      </c>
      <c r="J82">
        <v>4</v>
      </c>
      <c r="K82">
        <v>2</v>
      </c>
      <c r="L82">
        <v>2</v>
      </c>
      <c r="M82" s="4" t="str">
        <f>HYPERLINK("http://locsearch.nwmls.com//ReturnMap.aspx?hidMLS=NWML&amp;VHW=47.708361:-122.287807:.25:&amp;Z=4&amp;H=300&amp;W=400&amp;PP=47.708361:-122.287807:1:027194590","Map")</f>
        <v>Map</v>
      </c>
      <c r="N82" s="4" t="str">
        <f>HYPERLINK("http://locmedia.nwmls.com/DO_NOT_LINK/bigphoto/590/27194590.jpg?tsp=20071123100517","Photo")</f>
        <v>Photo</v>
      </c>
      <c r="O82" s="4" t="str">
        <f>HYPERLINK("http://locator.nwmls.com/scripts/mgrqispi.dll?APPNAME=Locator&amp;PRGNAME=MLSPictureDescriptions&amp;ARGUMENTS=-N719932170,-N27194590,-AE","More")</f>
        <v>More</v>
      </c>
      <c r="P82" t="s">
        <v>41</v>
      </c>
      <c r="Q82" t="s">
        <v>56</v>
      </c>
      <c r="R82" t="s">
        <v>95</v>
      </c>
      <c r="S82" t="s">
        <v>199</v>
      </c>
      <c r="T82" t="s">
        <v>553</v>
      </c>
      <c r="U82" t="s">
        <v>26</v>
      </c>
      <c r="V82" s="6" t="s">
        <v>59</v>
      </c>
      <c r="X82" t="s">
        <v>27</v>
      </c>
      <c r="Y82" t="s">
        <v>28</v>
      </c>
      <c r="Z82" t="s">
        <v>797</v>
      </c>
      <c r="AB82">
        <v>2007</v>
      </c>
      <c r="AC82">
        <v>3661</v>
      </c>
      <c r="AD82" t="s">
        <v>798</v>
      </c>
      <c r="AE82" t="s">
        <v>799</v>
      </c>
      <c r="AF82" t="s">
        <v>800</v>
      </c>
      <c r="AG82" s="12">
        <v>47.708360999999996</v>
      </c>
      <c r="AH82" s="12">
        <v>-122.287807</v>
      </c>
      <c r="AI82" t="s">
        <v>33</v>
      </c>
      <c r="AJ82">
        <v>98125</v>
      </c>
      <c r="AK82" t="s">
        <v>34</v>
      </c>
      <c r="AL82" t="s">
        <v>35</v>
      </c>
      <c r="AM82" t="s">
        <v>35</v>
      </c>
      <c r="AO82">
        <v>0.161</v>
      </c>
      <c r="AP82" s="12" t="s">
        <v>871</v>
      </c>
      <c r="AQ82">
        <v>505</v>
      </c>
      <c r="AR82" t="s">
        <v>641</v>
      </c>
      <c r="AS82" s="12" t="s">
        <v>872</v>
      </c>
      <c r="AT82">
        <v>3</v>
      </c>
      <c r="AV82" s="9"/>
      <c r="AX82">
        <f t="shared" ca="1" si="2"/>
        <v>28</v>
      </c>
    </row>
    <row r="83" spans="1:51">
      <c r="A83">
        <v>27194605</v>
      </c>
      <c r="B83" s="4" t="str">
        <f>HYPERLINK("http://locmedia.nwmls.com/DO_NOT_LINK/bigphoto/605/27194605.jpg?tsp=20071031062444","Active")</f>
        <v>Active</v>
      </c>
      <c r="C83">
        <v>710</v>
      </c>
      <c r="D83" t="s">
        <v>656</v>
      </c>
      <c r="F83" s="5">
        <v>499950</v>
      </c>
      <c r="G83" t="s">
        <v>688</v>
      </c>
      <c r="H83">
        <v>1930</v>
      </c>
      <c r="I83">
        <v>8299</v>
      </c>
      <c r="J83">
        <v>4</v>
      </c>
      <c r="K83">
        <v>1.75</v>
      </c>
      <c r="L83">
        <v>2</v>
      </c>
      <c r="M83" t="s">
        <v>243</v>
      </c>
      <c r="N83" s="4" t="str">
        <f>HYPERLINK("http://locmedia.nwmls.com/DO_NOT_LINK/bigphoto/605/27194605.jpg?tsp=20071031062444","Photo")</f>
        <v>Photo</v>
      </c>
      <c r="O83" s="4" t="str">
        <f>HYPERLINK("http://locator.nwmls.com/scripts/mgrqispi.dll?APPNAME=Locator&amp;PRGNAME=MLSPictureDescriptions&amp;ARGUMENTS=-N719932170,-N27194605,-AE","More")</f>
        <v>More</v>
      </c>
      <c r="P83" t="s">
        <v>41</v>
      </c>
      <c r="Q83" t="s">
        <v>834</v>
      </c>
      <c r="R83" t="s">
        <v>835</v>
      </c>
      <c r="T83" t="s">
        <v>72</v>
      </c>
      <c r="U83" t="s">
        <v>26</v>
      </c>
      <c r="V83" s="6" t="s">
        <v>59</v>
      </c>
      <c r="X83" t="s">
        <v>27</v>
      </c>
      <c r="Y83" t="s">
        <v>28</v>
      </c>
      <c r="Z83" t="s">
        <v>423</v>
      </c>
      <c r="AB83">
        <v>2007</v>
      </c>
      <c r="AC83">
        <v>3429</v>
      </c>
      <c r="AD83" t="s">
        <v>836</v>
      </c>
      <c r="AE83" t="s">
        <v>837</v>
      </c>
      <c r="AI83" t="s">
        <v>33</v>
      </c>
      <c r="AJ83">
        <v>98115</v>
      </c>
      <c r="AK83" t="s">
        <v>34</v>
      </c>
      <c r="AL83" t="s">
        <v>838</v>
      </c>
      <c r="AM83" t="s">
        <v>35</v>
      </c>
      <c r="AO83">
        <v>0.191</v>
      </c>
      <c r="AP83" t="s">
        <v>839</v>
      </c>
      <c r="AQ83">
        <v>505</v>
      </c>
      <c r="AR83" t="s">
        <v>840</v>
      </c>
      <c r="AS83" t="s">
        <v>841</v>
      </c>
      <c r="AT83">
        <v>1</v>
      </c>
      <c r="AV83" s="9"/>
      <c r="AX83">
        <f t="shared" ca="1" si="2"/>
        <v>28</v>
      </c>
    </row>
    <row r="84" spans="1:51">
      <c r="A84">
        <v>27195187</v>
      </c>
      <c r="B84" s="4" t="str">
        <f>HYPERLINK("http://locmedia.nwmls.com/DO_NOT_LINK/bigphoto/187/27195187.jpg?tsp=20071101103513","Active")</f>
        <v>Active</v>
      </c>
      <c r="C84">
        <v>705</v>
      </c>
      <c r="D84" t="s">
        <v>81</v>
      </c>
      <c r="E84" t="s">
        <v>473</v>
      </c>
      <c r="F84" s="5">
        <v>495000</v>
      </c>
      <c r="G84" t="s">
        <v>474</v>
      </c>
      <c r="H84">
        <v>2060</v>
      </c>
      <c r="I84">
        <v>5000</v>
      </c>
      <c r="J84">
        <v>4</v>
      </c>
      <c r="K84">
        <v>1</v>
      </c>
      <c r="M84" s="4" t="str">
        <f>HYPERLINK("http://locsearch.nwmls.com//ReturnMap.aspx?hidMLS=NWML&amp;VHW=47.679501:-122.394650:.25:&amp;Z=4&amp;H=300&amp;W=400&amp;PP=47.679501:-122.394650:1:027195187","Map")</f>
        <v>Map</v>
      </c>
      <c r="N84" s="4" t="str">
        <f>HYPERLINK("http://locmedia.nwmls.com/DO_NOT_LINK/bigphoto/187/27195187.jpg?tsp=20071101103513","Photo")</f>
        <v>Photo</v>
      </c>
      <c r="O84" t="s">
        <v>435</v>
      </c>
      <c r="Q84" t="s">
        <v>56</v>
      </c>
      <c r="R84" t="s">
        <v>57</v>
      </c>
      <c r="S84" t="s">
        <v>475</v>
      </c>
      <c r="T84" t="s">
        <v>300</v>
      </c>
      <c r="U84" t="s">
        <v>26</v>
      </c>
      <c r="V84" s="6" t="s">
        <v>59</v>
      </c>
      <c r="X84" t="s">
        <v>27</v>
      </c>
      <c r="Y84" t="s">
        <v>28</v>
      </c>
      <c r="Z84" t="s">
        <v>272</v>
      </c>
      <c r="AA84" t="s">
        <v>476</v>
      </c>
      <c r="AB84">
        <v>2007</v>
      </c>
      <c r="AC84">
        <v>3661</v>
      </c>
      <c r="AD84" t="s">
        <v>477</v>
      </c>
      <c r="AE84" t="s">
        <v>302</v>
      </c>
      <c r="AG84">
        <v>47.679501000000002</v>
      </c>
      <c r="AH84">
        <v>-122.39465</v>
      </c>
      <c r="AI84" t="s">
        <v>33</v>
      </c>
      <c r="AJ84">
        <v>98117</v>
      </c>
      <c r="AK84" t="s">
        <v>34</v>
      </c>
      <c r="AL84" t="s">
        <v>478</v>
      </c>
      <c r="AM84" t="s">
        <v>35</v>
      </c>
      <c r="AO84">
        <v>0.115</v>
      </c>
      <c r="AP84" t="s">
        <v>479</v>
      </c>
      <c r="AQ84">
        <v>534</v>
      </c>
      <c r="AR84" t="s">
        <v>480</v>
      </c>
      <c r="AS84" t="s">
        <v>481</v>
      </c>
      <c r="AT84">
        <v>1</v>
      </c>
      <c r="AU84" t="s">
        <v>936</v>
      </c>
      <c r="AV84" s="9"/>
      <c r="AX84">
        <f t="shared" ca="1" si="2"/>
        <v>28</v>
      </c>
    </row>
    <row r="85" spans="1:51">
      <c r="A85">
        <v>27195272</v>
      </c>
      <c r="B85" s="4" t="str">
        <f>HYPERLINK("http://locmedia.nwmls.com/DO_NOT_LINK/bigphoto/272/27195272.jpg?tsp=20071101094057","Active")</f>
        <v>Active</v>
      </c>
      <c r="C85">
        <v>705</v>
      </c>
      <c r="D85" t="s">
        <v>53</v>
      </c>
      <c r="E85" t="s">
        <v>453</v>
      </c>
      <c r="F85" s="5">
        <v>479950</v>
      </c>
      <c r="G85" t="s">
        <v>389</v>
      </c>
      <c r="H85">
        <v>1740</v>
      </c>
      <c r="I85">
        <v>4800</v>
      </c>
      <c r="J85">
        <v>4</v>
      </c>
      <c r="K85">
        <v>2</v>
      </c>
      <c r="L85">
        <v>1</v>
      </c>
      <c r="M85" s="4" t="str">
        <f>HYPERLINK("http://locsearch.nwmls.com//ReturnMap.aspx?hidMLS=NWML&amp;VHW=47.692101:-122.363552:.25:&amp;Z=4&amp;H=300&amp;W=400&amp;PP=47.692101:-122.363552:1:027195272","Map")</f>
        <v>Map</v>
      </c>
      <c r="N85" s="4" t="str">
        <f>HYPERLINK("http://locmedia.nwmls.com/DO_NOT_LINK/bigphoto/272/27195272.jpg?tsp=20071101094057","Photo")</f>
        <v>Photo</v>
      </c>
      <c r="O85" s="4" t="str">
        <f>HYPERLINK("http://locator.nwmls.com/scripts/mgrqispi.dll?APPNAME=Locator&amp;PRGNAME=MLSPictureDescriptions&amp;ARGUMENTS=-N595036758,-N27195272,-AE","More")</f>
        <v>More</v>
      </c>
      <c r="P85" t="s">
        <v>41</v>
      </c>
      <c r="Q85" t="s">
        <v>56</v>
      </c>
      <c r="R85" t="s">
        <v>95</v>
      </c>
      <c r="S85" t="s">
        <v>24</v>
      </c>
      <c r="T85" t="s">
        <v>72</v>
      </c>
      <c r="U85" t="s">
        <v>26</v>
      </c>
      <c r="V85" s="6" t="s">
        <v>59</v>
      </c>
      <c r="X85" t="s">
        <v>27</v>
      </c>
      <c r="Y85" t="s">
        <v>28</v>
      </c>
      <c r="Z85" t="s">
        <v>184</v>
      </c>
      <c r="AB85">
        <v>2007</v>
      </c>
      <c r="AC85">
        <v>2928</v>
      </c>
      <c r="AD85" t="s">
        <v>454</v>
      </c>
      <c r="AE85" t="s">
        <v>455</v>
      </c>
      <c r="AF85" t="s">
        <v>456</v>
      </c>
      <c r="AG85">
        <v>47.692101000000001</v>
      </c>
      <c r="AH85">
        <v>-122.363552</v>
      </c>
      <c r="AI85" t="s">
        <v>33</v>
      </c>
      <c r="AJ85">
        <v>98117</v>
      </c>
      <c r="AK85" t="s">
        <v>34</v>
      </c>
      <c r="AL85" t="s">
        <v>35</v>
      </c>
      <c r="AM85" t="s">
        <v>35</v>
      </c>
      <c r="AO85">
        <v>0.11</v>
      </c>
      <c r="AP85" t="s">
        <v>457</v>
      </c>
      <c r="AQ85">
        <v>534</v>
      </c>
      <c r="AR85" t="s">
        <v>334</v>
      </c>
      <c r="AS85" t="s">
        <v>458</v>
      </c>
      <c r="AT85">
        <v>4</v>
      </c>
      <c r="AV85" s="9">
        <v>39387</v>
      </c>
      <c r="AW85">
        <v>24</v>
      </c>
      <c r="AX85">
        <f t="shared" ca="1" si="2"/>
        <v>46</v>
      </c>
      <c r="AY85" t="s">
        <v>920</v>
      </c>
    </row>
    <row r="86" spans="1:51">
      <c r="A86">
        <v>27195392</v>
      </c>
      <c r="B86" s="4" t="str">
        <f>HYPERLINK("http://locmedia.nwmls.com/DO_NOT_LINK/bigphoto/392/27195392.jpg?tsp=20071101104722","Active")</f>
        <v>Active</v>
      </c>
      <c r="C86">
        <v>710</v>
      </c>
      <c r="D86" t="s">
        <v>656</v>
      </c>
      <c r="E86" t="s">
        <v>744</v>
      </c>
      <c r="F86" s="5">
        <v>474950</v>
      </c>
      <c r="G86" t="s">
        <v>546</v>
      </c>
      <c r="H86">
        <v>1610</v>
      </c>
      <c r="I86">
        <v>6208</v>
      </c>
      <c r="J86">
        <v>2</v>
      </c>
      <c r="K86">
        <v>1</v>
      </c>
      <c r="L86">
        <v>1</v>
      </c>
      <c r="M86" s="4" t="str">
        <f>HYPERLINK("http://locsearch.nwmls.com//ReturnMap.aspx?hidMLS=NWML&amp;VHW=47.690013:-122.296090:.25:&amp;Z=4&amp;H=300&amp;W=400&amp;PP=47.690013:-122.296090:1:027195392","Map")</f>
        <v>Map</v>
      </c>
      <c r="N86" s="4" t="str">
        <f>HYPERLINK("http://locmedia.nwmls.com/DO_NOT_LINK/bigphoto/392/27195392.jpg?tsp=20071101104722","Photo")</f>
        <v>Photo</v>
      </c>
      <c r="O86" s="4" t="str">
        <f>HYPERLINK("http://locator.nwmls.com/scripts/mgrqispi.dll?APPNAME=Locator&amp;PRGNAME=MLSPictureDescriptions&amp;ARGUMENTS=-N719932170,-N27195392,-AE","More")</f>
        <v>More</v>
      </c>
      <c r="Q86" t="s">
        <v>56</v>
      </c>
      <c r="R86" t="s">
        <v>116</v>
      </c>
      <c r="T86" t="s">
        <v>44</v>
      </c>
      <c r="U86" t="s">
        <v>26</v>
      </c>
      <c r="V86" s="6" t="s">
        <v>59</v>
      </c>
      <c r="X86" t="s">
        <v>27</v>
      </c>
      <c r="Y86" t="s">
        <v>28</v>
      </c>
      <c r="AB86">
        <v>2007</v>
      </c>
      <c r="AC86">
        <v>3253</v>
      </c>
      <c r="AD86" t="s">
        <v>745</v>
      </c>
      <c r="AG86">
        <v>47.690013</v>
      </c>
      <c r="AH86">
        <v>-122.29609000000001</v>
      </c>
      <c r="AI86" t="s">
        <v>33</v>
      </c>
      <c r="AJ86">
        <v>98115</v>
      </c>
      <c r="AK86" t="s">
        <v>34</v>
      </c>
      <c r="AL86">
        <v>1</v>
      </c>
      <c r="AM86" t="s">
        <v>35</v>
      </c>
      <c r="AO86">
        <v>0.14299999999999999</v>
      </c>
      <c r="AP86" t="s">
        <v>746</v>
      </c>
      <c r="AQ86">
        <v>535</v>
      </c>
      <c r="AR86" t="s">
        <v>426</v>
      </c>
      <c r="AS86" t="s">
        <v>747</v>
      </c>
      <c r="AT86">
        <v>3</v>
      </c>
      <c r="AV86" s="9"/>
      <c r="AX86">
        <f t="shared" ca="1" si="2"/>
        <v>28</v>
      </c>
    </row>
    <row r="87" spans="1:51">
      <c r="A87">
        <v>27195530</v>
      </c>
      <c r="B87" s="4" t="str">
        <f>HYPERLINK("http://locmedia.nwmls.com/DO_NOT_LINK/bigphoto/530/27195530.jpg?tsp=20071105112115","Active")</f>
        <v>Active</v>
      </c>
      <c r="C87">
        <v>710</v>
      </c>
      <c r="D87" t="s">
        <v>649</v>
      </c>
      <c r="E87" t="s">
        <v>729</v>
      </c>
      <c r="F87" s="5">
        <v>465000</v>
      </c>
      <c r="G87" t="s">
        <v>730</v>
      </c>
      <c r="H87">
        <v>2580</v>
      </c>
      <c r="I87">
        <v>6360</v>
      </c>
      <c r="J87">
        <v>3</v>
      </c>
      <c r="K87">
        <v>1.75</v>
      </c>
      <c r="L87">
        <v>1</v>
      </c>
      <c r="M87" s="4" t="str">
        <f>HYPERLINK("http://locsearch.nwmls.com//ReturnMap.aspx?hidMLS=NWML&amp;VHW=47.693101:-122.316974:.25:&amp;Z=4&amp;H=300&amp;W=400&amp;PP=47.693101:-122.316974:1:027195530","Map")</f>
        <v>Map</v>
      </c>
      <c r="N87" s="4" t="str">
        <f>HYPERLINK("http://locmedia.nwmls.com/DO_NOT_LINK/bigphoto/530/27195530.jpg?tsp=20071105112115","Photo")</f>
        <v>Photo</v>
      </c>
      <c r="O87" s="4" t="str">
        <f>HYPERLINK("http://locator.nwmls.com/scripts/mgrqispi.dll?APPNAME=Locator&amp;PRGNAME=MLSPictureDescriptions&amp;ARGUMENTS=-N719932170,-N27195530,-AE","More")</f>
        <v>More</v>
      </c>
      <c r="P87" t="s">
        <v>604</v>
      </c>
      <c r="Q87" t="s">
        <v>484</v>
      </c>
      <c r="R87" t="s">
        <v>572</v>
      </c>
      <c r="S87" t="s">
        <v>24</v>
      </c>
      <c r="T87" t="s">
        <v>129</v>
      </c>
      <c r="V87" s="6" t="s">
        <v>59</v>
      </c>
      <c r="X87" t="s">
        <v>27</v>
      </c>
      <c r="Y87" t="s">
        <v>28</v>
      </c>
      <c r="Z87" t="s">
        <v>731</v>
      </c>
      <c r="AB87">
        <v>2007</v>
      </c>
      <c r="AC87">
        <v>3503</v>
      </c>
      <c r="AD87" t="s">
        <v>732</v>
      </c>
      <c r="AE87" t="s">
        <v>733</v>
      </c>
      <c r="AF87" t="s">
        <v>734</v>
      </c>
      <c r="AG87">
        <v>47.693100999999999</v>
      </c>
      <c r="AH87">
        <v>-122.316974</v>
      </c>
      <c r="AI87" t="s">
        <v>33</v>
      </c>
      <c r="AJ87">
        <v>98115</v>
      </c>
      <c r="AK87" t="s">
        <v>34</v>
      </c>
      <c r="AL87" t="s">
        <v>35</v>
      </c>
      <c r="AM87" t="s">
        <v>35</v>
      </c>
      <c r="AO87">
        <v>0.14599999999999999</v>
      </c>
      <c r="AP87" t="s">
        <v>735</v>
      </c>
      <c r="AQ87">
        <v>535</v>
      </c>
      <c r="AR87" t="s">
        <v>676</v>
      </c>
      <c r="AS87" t="s">
        <v>736</v>
      </c>
      <c r="AT87">
        <v>2</v>
      </c>
      <c r="AV87" s="9"/>
      <c r="AX87">
        <f t="shared" ca="1" si="2"/>
        <v>28</v>
      </c>
    </row>
    <row r="88" spans="1:51">
      <c r="A88">
        <v>27195561</v>
      </c>
      <c r="B88" s="4" t="str">
        <f>HYPERLINK("http://locmedia.nwmls.com/DO_NOT_LINK/bigphoto/561/27195561.jpg?tsp=20071103211514","Active")</f>
        <v>Active</v>
      </c>
      <c r="C88">
        <v>705</v>
      </c>
      <c r="D88" t="s">
        <v>361</v>
      </c>
      <c r="E88" t="s">
        <v>362</v>
      </c>
      <c r="F88" s="5">
        <v>465000</v>
      </c>
      <c r="G88" t="s">
        <v>363</v>
      </c>
      <c r="H88">
        <v>1460</v>
      </c>
      <c r="I88">
        <v>7200</v>
      </c>
      <c r="J88">
        <v>3</v>
      </c>
      <c r="K88">
        <v>1</v>
      </c>
      <c r="L88">
        <v>2</v>
      </c>
      <c r="M88" s="4" t="str">
        <f>HYPERLINK("http://locsearch.nwmls.com//ReturnMap.aspx?hidMLS=NWML&amp;VHW=47.693076:-122.372800:.25:&amp;Z=4&amp;H=300&amp;W=400&amp;PP=47.693076:-122.372800:1:027195561","Map")</f>
        <v>Map</v>
      </c>
      <c r="N88" s="4" t="str">
        <f>HYPERLINK("http://locmedia.nwmls.com/DO_NOT_LINK/bigphoto/561/27195561.jpg?tsp=20071103211514","Photo")</f>
        <v>Photo</v>
      </c>
      <c r="O88" s="4" t="str">
        <f>HYPERLINK("http://locator.nwmls.com/scripts/mgrqispi.dll?APPNAME=Locator&amp;PRGNAME=MLSPictureDescriptions&amp;ARGUMENTS=-N595036758,-N27195561,-AE","More")</f>
        <v>More</v>
      </c>
      <c r="Q88" t="s">
        <v>56</v>
      </c>
      <c r="R88" t="s">
        <v>116</v>
      </c>
      <c r="S88" t="s">
        <v>364</v>
      </c>
      <c r="T88" t="s">
        <v>25</v>
      </c>
      <c r="U88" t="s">
        <v>26</v>
      </c>
      <c r="V88" s="6" t="s">
        <v>59</v>
      </c>
      <c r="X88" t="s">
        <v>27</v>
      </c>
      <c r="Y88" t="s">
        <v>28</v>
      </c>
      <c r="Z88" t="s">
        <v>365</v>
      </c>
      <c r="AA88" t="s">
        <v>366</v>
      </c>
      <c r="AB88">
        <v>2007</v>
      </c>
      <c r="AC88">
        <v>2965</v>
      </c>
      <c r="AD88" t="s">
        <v>367</v>
      </c>
      <c r="AE88" t="s">
        <v>368</v>
      </c>
      <c r="AF88" t="s">
        <v>369</v>
      </c>
      <c r="AG88">
        <v>47.693075999999998</v>
      </c>
      <c r="AH88">
        <v>-122.3728</v>
      </c>
      <c r="AI88" t="s">
        <v>33</v>
      </c>
      <c r="AJ88">
        <v>98117</v>
      </c>
      <c r="AK88" t="s">
        <v>34</v>
      </c>
      <c r="AL88">
        <v>4</v>
      </c>
      <c r="AM88" t="s">
        <v>35</v>
      </c>
      <c r="AO88">
        <v>0.16500000000000001</v>
      </c>
      <c r="AP88" t="s">
        <v>370</v>
      </c>
      <c r="AQ88">
        <v>534</v>
      </c>
      <c r="AR88" t="s">
        <v>371</v>
      </c>
      <c r="AS88" t="s">
        <v>372</v>
      </c>
      <c r="AT88">
        <v>3</v>
      </c>
      <c r="AU88" t="s">
        <v>937</v>
      </c>
      <c r="AV88" s="9"/>
      <c r="AX88">
        <f t="shared" ca="1" si="2"/>
        <v>28</v>
      </c>
      <c r="AY88" t="s">
        <v>916</v>
      </c>
    </row>
    <row r="89" spans="1:51">
      <c r="A89">
        <v>27195722</v>
      </c>
      <c r="B89" s="4" t="str">
        <f>HYPERLINK("http://locmedia.nwmls.com/DO_NOT_LINK/bigphoto/722/27195722.jpg?tsp=20071118152534","Active")</f>
        <v>Active</v>
      </c>
      <c r="C89">
        <v>705</v>
      </c>
      <c r="D89" t="s">
        <v>81</v>
      </c>
      <c r="E89" t="s">
        <v>82</v>
      </c>
      <c r="F89" s="5">
        <v>385000</v>
      </c>
      <c r="G89" t="s">
        <v>83</v>
      </c>
      <c r="H89">
        <v>0</v>
      </c>
      <c r="I89">
        <v>4005</v>
      </c>
      <c r="J89">
        <v>2</v>
      </c>
      <c r="K89">
        <v>1</v>
      </c>
      <c r="L89">
        <v>1</v>
      </c>
      <c r="M89" s="4" t="str">
        <f>HYPERLINK("http://locsearch.nwmls.com//ReturnMap.aspx?hidMLS=NWML&amp;VHW=47.687115:-122.378926:.25:&amp;Z=4&amp;H=300&amp;W=400&amp;PP=47.687115:-122.378926:1:027195722","Map")</f>
        <v>Map</v>
      </c>
      <c r="N89" s="4" t="str">
        <f>HYPERLINK("http://locmedia.nwmls.com/DO_NOT_LINK/bigphoto/722/27195722.jpg?tsp=20071118152534","Photo")</f>
        <v>Photo</v>
      </c>
      <c r="O89" s="4" t="str">
        <f>HYPERLINK("http://locator.nwmls.com/scripts/mgrqispi.dll?APPNAME=Locator&amp;PRGNAME=MLSPictureDescriptions&amp;ARGUMENTS=-N595036758,-N27195722,-AE","More")</f>
        <v>More</v>
      </c>
      <c r="Q89" t="s">
        <v>84</v>
      </c>
      <c r="R89" t="s">
        <v>85</v>
      </c>
      <c r="S89" t="s">
        <v>86</v>
      </c>
      <c r="T89" t="s">
        <v>25</v>
      </c>
      <c r="U89" t="s">
        <v>26</v>
      </c>
      <c r="V89" s="6" t="s">
        <v>59</v>
      </c>
      <c r="X89" t="s">
        <v>27</v>
      </c>
      <c r="Y89" t="s">
        <v>28</v>
      </c>
      <c r="Z89" t="s">
        <v>87</v>
      </c>
      <c r="AB89">
        <v>2007</v>
      </c>
      <c r="AC89">
        <v>2548</v>
      </c>
      <c r="AD89" t="s">
        <v>88</v>
      </c>
      <c r="AE89" t="s">
        <v>31</v>
      </c>
      <c r="AF89" t="s">
        <v>89</v>
      </c>
      <c r="AG89">
        <v>47.687114999999999</v>
      </c>
      <c r="AH89">
        <v>-122.37892600000001</v>
      </c>
      <c r="AI89" t="s">
        <v>33</v>
      </c>
      <c r="AJ89">
        <v>98117</v>
      </c>
      <c r="AK89" t="s">
        <v>34</v>
      </c>
      <c r="AL89" t="s">
        <v>35</v>
      </c>
      <c r="AM89" t="s">
        <v>35</v>
      </c>
      <c r="AO89">
        <v>9.1999999999999998E-2</v>
      </c>
      <c r="AP89" t="s">
        <v>90</v>
      </c>
      <c r="AQ89">
        <v>534</v>
      </c>
      <c r="AR89" t="s">
        <v>91</v>
      </c>
      <c r="AS89" t="s">
        <v>92</v>
      </c>
      <c r="AT89">
        <v>1</v>
      </c>
      <c r="AV89" s="9"/>
      <c r="AX89">
        <f t="shared" ca="1" si="2"/>
        <v>28</v>
      </c>
    </row>
    <row r="90" spans="1:51">
      <c r="A90">
        <v>27195834</v>
      </c>
      <c r="B90" s="4" t="str">
        <f>HYPERLINK("http://locmedia.nwmls.com/DO_NOT_LINK/bigphoto/834/27195834.jpg?tsp=20071121105115","Active")</f>
        <v>Active</v>
      </c>
      <c r="C90">
        <v>705</v>
      </c>
      <c r="D90" t="s">
        <v>66</v>
      </c>
      <c r="E90" t="s">
        <v>373</v>
      </c>
      <c r="F90" s="5">
        <v>465450</v>
      </c>
      <c r="G90" t="s">
        <v>270</v>
      </c>
      <c r="H90">
        <v>0</v>
      </c>
      <c r="I90">
        <v>0</v>
      </c>
      <c r="J90">
        <v>2</v>
      </c>
      <c r="K90">
        <v>1</v>
      </c>
      <c r="L90">
        <v>2</v>
      </c>
      <c r="M90" s="4" t="str">
        <f>HYPERLINK("http://locsearch.nwmls.com//ReturnMap.aspx?hidMLS=NWML&amp;VHW=47.688721:-122.341304:.25:&amp;Z=4&amp;H=300&amp;W=400&amp;PP=47.688721:-122.341304:1:027195834","Map")</f>
        <v>Map</v>
      </c>
      <c r="N90" s="4" t="str">
        <f>HYPERLINK("http://locmedia.nwmls.com/DO_NOT_LINK/bigphoto/834/27195834.jpg?tsp=20071121105115","Photo")</f>
        <v>Photo</v>
      </c>
      <c r="O90" s="4" t="str">
        <f>HYPERLINK("http://locator.nwmls.com/scripts/mgrqispi.dll?APPNAME=Locator&amp;PRGNAME=MLSPictureDescriptions&amp;ARGUMENTS=-N595036758,-N27195834,-AE","More")</f>
        <v>More</v>
      </c>
      <c r="P90" t="s">
        <v>41</v>
      </c>
      <c r="Q90" t="s">
        <v>56</v>
      </c>
      <c r="R90" t="s">
        <v>95</v>
      </c>
      <c r="S90" t="s">
        <v>43</v>
      </c>
      <c r="T90" t="s">
        <v>129</v>
      </c>
      <c r="V90" s="6" t="s">
        <v>59</v>
      </c>
      <c r="X90" t="s">
        <v>27</v>
      </c>
      <c r="Y90" t="s">
        <v>28</v>
      </c>
      <c r="Z90" t="s">
        <v>329</v>
      </c>
      <c r="AB90">
        <v>2006</v>
      </c>
      <c r="AC90">
        <v>3837</v>
      </c>
      <c r="AD90" t="s">
        <v>374</v>
      </c>
      <c r="AF90" t="s">
        <v>375</v>
      </c>
      <c r="AG90">
        <v>47.688721000000001</v>
      </c>
      <c r="AH90">
        <v>-122.34130399999999</v>
      </c>
      <c r="AI90" t="s">
        <v>33</v>
      </c>
      <c r="AJ90">
        <v>98103</v>
      </c>
      <c r="AK90" t="s">
        <v>34</v>
      </c>
      <c r="AL90" t="s">
        <v>35</v>
      </c>
      <c r="AM90" t="s">
        <v>35</v>
      </c>
      <c r="AO90">
        <v>0</v>
      </c>
      <c r="AP90" t="s">
        <v>376</v>
      </c>
      <c r="AQ90">
        <v>534</v>
      </c>
      <c r="AR90" t="s">
        <v>377</v>
      </c>
      <c r="AS90" s="12" t="s">
        <v>874</v>
      </c>
      <c r="AT90">
        <v>3</v>
      </c>
      <c r="AV90" s="9"/>
      <c r="AX90">
        <f t="shared" ca="1" si="2"/>
        <v>28</v>
      </c>
    </row>
    <row r="91" spans="1:51">
      <c r="A91">
        <v>27196098</v>
      </c>
      <c r="B91" s="4" t="str">
        <f>HYPERLINK("http://locmedia.nwmls.com/DO_NOT_LINK/bigphoto/098/27196098.jpg?tsp=20071105195507","Active - STI")</f>
        <v>Active - STI</v>
      </c>
      <c r="C91">
        <v>710</v>
      </c>
      <c r="D91" t="s">
        <v>857</v>
      </c>
      <c r="E91" t="s">
        <v>858</v>
      </c>
      <c r="F91" s="5">
        <v>429500</v>
      </c>
      <c r="G91" t="s">
        <v>859</v>
      </c>
      <c r="H91">
        <v>2140</v>
      </c>
      <c r="I91">
        <v>4300</v>
      </c>
      <c r="J91">
        <v>2</v>
      </c>
      <c r="K91">
        <v>1</v>
      </c>
      <c r="L91">
        <v>1</v>
      </c>
      <c r="M91" s="4" t="str">
        <f>HYPERLINK("http://locsearch.nwmls.com//ReturnMap.aspx?hidMLS=NWML&amp;VHW=47.669545:-122.320101:.25:&amp;Z=4&amp;H=300&amp;W=400&amp;PP=47.669545:-122.320101:1:027196098","Map")</f>
        <v>Map</v>
      </c>
      <c r="N91" s="4" t="str">
        <f>HYPERLINK("http://locmedia.nwmls.com/DO_NOT_LINK/bigphoto/098/27196098.jpg?tsp=20071105195507","Photo")</f>
        <v>Photo</v>
      </c>
      <c r="O91" s="4" t="str">
        <f>HYPERLINK("http://locator.nwmls.com/scripts/mgrqispi.dll?APPNAME=Locator&amp;PRGNAME=MLSPictureDescriptions&amp;ARGUMENTS=-N719932170,-N27196098,-AE","More")</f>
        <v>More</v>
      </c>
      <c r="Q91" t="s">
        <v>56</v>
      </c>
      <c r="R91" t="s">
        <v>95</v>
      </c>
      <c r="S91" t="s">
        <v>43</v>
      </c>
      <c r="T91" t="s">
        <v>300</v>
      </c>
      <c r="U91" t="s">
        <v>26</v>
      </c>
      <c r="V91" s="6" t="s">
        <v>59</v>
      </c>
      <c r="X91" t="s">
        <v>27</v>
      </c>
      <c r="Y91" t="s">
        <v>28</v>
      </c>
      <c r="AA91" t="s">
        <v>495</v>
      </c>
      <c r="AB91">
        <v>2007</v>
      </c>
      <c r="AC91">
        <v>3142</v>
      </c>
      <c r="AD91" t="s">
        <v>860</v>
      </c>
      <c r="AE91" t="s">
        <v>121</v>
      </c>
      <c r="AF91" t="s">
        <v>122</v>
      </c>
      <c r="AG91">
        <v>47.669544999999999</v>
      </c>
      <c r="AH91">
        <v>-122.32010099999999</v>
      </c>
      <c r="AI91" t="s">
        <v>33</v>
      </c>
      <c r="AJ91">
        <v>98105</v>
      </c>
      <c r="AK91" t="s">
        <v>34</v>
      </c>
      <c r="AL91">
        <v>18</v>
      </c>
      <c r="AM91" t="s">
        <v>35</v>
      </c>
      <c r="AO91">
        <v>9.9000000000000005E-2</v>
      </c>
      <c r="AP91" t="s">
        <v>861</v>
      </c>
      <c r="AQ91">
        <v>535</v>
      </c>
      <c r="AR91" t="s">
        <v>509</v>
      </c>
      <c r="AS91" t="s">
        <v>862</v>
      </c>
      <c r="AT91">
        <v>3</v>
      </c>
      <c r="AV91" s="9">
        <v>39391</v>
      </c>
      <c r="AW91">
        <v>20</v>
      </c>
      <c r="AX91">
        <f t="shared" ca="1" si="2"/>
        <v>42</v>
      </c>
    </row>
    <row r="92" spans="1:51">
      <c r="A92">
        <v>27196775</v>
      </c>
      <c r="B92" s="4" t="str">
        <f>HYPERLINK("http://locmedia.nwmls.com/DO_NOT_LINK/bigphoto/775/27196775.jpg?tsp=20071111075832","Active")</f>
        <v>Active</v>
      </c>
      <c r="C92">
        <v>705</v>
      </c>
      <c r="D92" t="s">
        <v>224</v>
      </c>
      <c r="E92" t="s">
        <v>493</v>
      </c>
      <c r="F92" s="5">
        <v>499000</v>
      </c>
      <c r="G92" t="s">
        <v>494</v>
      </c>
      <c r="H92">
        <v>1980</v>
      </c>
      <c r="I92">
        <v>3000</v>
      </c>
      <c r="J92">
        <v>4</v>
      </c>
      <c r="K92">
        <v>2</v>
      </c>
      <c r="L92">
        <v>2</v>
      </c>
      <c r="M92" s="4" t="str">
        <f>HYPERLINK("http://locsearch.nwmls.com//ReturnMap.aspx?hidMLS=NWML&amp;VHW=47.665785:-122.356813:.25:&amp;Z=4&amp;H=300&amp;W=400&amp;PP=47.665785:-122.356813:1:027196775","Map")</f>
        <v>Map</v>
      </c>
      <c r="N92" s="4" t="str">
        <f>HYPERLINK("http://locmedia.nwmls.com/DO_NOT_LINK/bigphoto/775/27196775.jpg?tsp=20071111075832","Photo")</f>
        <v>Photo</v>
      </c>
      <c r="O92" s="4" t="str">
        <f>HYPERLINK("http://locator.nwmls.com/scripts/mgrqispi.dll?APPNAME=Locator&amp;PRGNAME=MLSPictureDescriptions&amp;ARGUMENTS=-N595036758,-N27196775,-AE","More")</f>
        <v>More</v>
      </c>
      <c r="P92" t="s">
        <v>41</v>
      </c>
      <c r="Q92" t="s">
        <v>56</v>
      </c>
      <c r="R92" t="s">
        <v>95</v>
      </c>
      <c r="S92" t="s">
        <v>128</v>
      </c>
      <c r="T92" t="s">
        <v>44</v>
      </c>
      <c r="U92" t="s">
        <v>26</v>
      </c>
      <c r="V92">
        <v>5</v>
      </c>
      <c r="X92" t="s">
        <v>27</v>
      </c>
      <c r="Y92" t="s">
        <v>28</v>
      </c>
      <c r="Z92" t="s">
        <v>207</v>
      </c>
      <c r="AA92" t="s">
        <v>495</v>
      </c>
      <c r="AB92">
        <v>2007</v>
      </c>
      <c r="AC92">
        <v>3327</v>
      </c>
      <c r="AD92" t="s">
        <v>496</v>
      </c>
      <c r="AE92" t="s">
        <v>497</v>
      </c>
      <c r="AF92" t="s">
        <v>498</v>
      </c>
      <c r="AG92">
        <v>47.665785</v>
      </c>
      <c r="AH92">
        <v>-122.356813</v>
      </c>
      <c r="AI92" t="s">
        <v>33</v>
      </c>
      <c r="AJ92">
        <v>98103</v>
      </c>
      <c r="AK92" t="s">
        <v>34</v>
      </c>
      <c r="AL92" t="s">
        <v>35</v>
      </c>
      <c r="AM92" t="s">
        <v>35</v>
      </c>
      <c r="AO92">
        <v>6.9000000000000006E-2</v>
      </c>
      <c r="AP92" t="s">
        <v>499</v>
      </c>
      <c r="AQ92">
        <v>534</v>
      </c>
      <c r="AR92" t="s">
        <v>323</v>
      </c>
      <c r="AS92" t="s">
        <v>500</v>
      </c>
      <c r="AT92">
        <v>1</v>
      </c>
      <c r="AU92" t="s">
        <v>913</v>
      </c>
      <c r="AV92" s="9"/>
      <c r="AX92">
        <f t="shared" ca="1" si="2"/>
        <v>28</v>
      </c>
    </row>
    <row r="93" spans="1:51">
      <c r="A93">
        <v>27197093</v>
      </c>
      <c r="B93" s="13" t="str">
        <f>HYPERLINK("http://locmedia.nwmls.com/DO_NOT_LINK/bigphoto/093/27197093.jpg?tsp=20071106194805","Pending")</f>
        <v>Pending</v>
      </c>
      <c r="C93">
        <v>705</v>
      </c>
      <c r="D93" t="s">
        <v>81</v>
      </c>
      <c r="E93" t="s">
        <v>571</v>
      </c>
      <c r="F93" s="5">
        <v>449000</v>
      </c>
      <c r="G93" t="s">
        <v>234</v>
      </c>
      <c r="H93">
        <v>1325</v>
      </c>
      <c r="I93">
        <v>3638</v>
      </c>
      <c r="J93">
        <v>2</v>
      </c>
      <c r="K93">
        <v>1.5</v>
      </c>
      <c r="L93">
        <v>1</v>
      </c>
      <c r="M93" s="4" t="str">
        <f>HYPERLINK("http://locsearch.nwmls.com//ReturnMap.aspx?hidMLS=NWML&amp;VHW=47.678959:-122.370893:.25:&amp;Z=4&amp;H=300&amp;W=400&amp;PP=47.678959:-122.370893:1:027197093","Map")</f>
        <v>Map</v>
      </c>
      <c r="N93" s="4" t="str">
        <f>HYPERLINK("http://locmedia.nwmls.com/DO_NOT_LINK/bigphoto/093/27197093.jpg?tsp=20071106194805","Photo")</f>
        <v>Photo</v>
      </c>
      <c r="O93" s="4" t="str">
        <f>HYPERLINK("http://locator.nwmls.com/scripts/mgrqispi.dll?APPNAME=Locator&amp;PRGNAME=MLSPictureDescriptions&amp;ARGUMENTS=-N595036758,-N27197093,-AE","More")</f>
        <v>More</v>
      </c>
      <c r="Q93" t="s">
        <v>56</v>
      </c>
      <c r="R93" t="s">
        <v>572</v>
      </c>
      <c r="S93" t="s">
        <v>199</v>
      </c>
      <c r="T93" t="s">
        <v>129</v>
      </c>
      <c r="U93" t="s">
        <v>26</v>
      </c>
      <c r="V93">
        <v>28</v>
      </c>
      <c r="X93" t="s">
        <v>27</v>
      </c>
      <c r="Y93" t="s">
        <v>28</v>
      </c>
      <c r="Z93" t="s">
        <v>573</v>
      </c>
      <c r="AA93" t="s">
        <v>307</v>
      </c>
      <c r="AB93">
        <v>2007</v>
      </c>
      <c r="AC93">
        <v>3039</v>
      </c>
      <c r="AD93" t="s">
        <v>574</v>
      </c>
      <c r="AE93" t="s">
        <v>575</v>
      </c>
      <c r="AF93" t="s">
        <v>440</v>
      </c>
      <c r="AG93">
        <v>47.678958999999999</v>
      </c>
      <c r="AH93">
        <v>-122.370893</v>
      </c>
      <c r="AI93" t="s">
        <v>33</v>
      </c>
      <c r="AJ93">
        <v>98117</v>
      </c>
      <c r="AK93" t="s">
        <v>34</v>
      </c>
      <c r="AL93" t="s">
        <v>35</v>
      </c>
      <c r="AM93" t="s">
        <v>35</v>
      </c>
      <c r="AO93">
        <v>8.4000000000000005E-2</v>
      </c>
      <c r="AP93" t="s">
        <v>576</v>
      </c>
      <c r="AQ93">
        <v>534</v>
      </c>
      <c r="AR93" t="s">
        <v>577</v>
      </c>
      <c r="AS93" t="s">
        <v>578</v>
      </c>
      <c r="AT93">
        <v>1</v>
      </c>
      <c r="AU93" t="s">
        <v>913</v>
      </c>
      <c r="AV93" s="9"/>
      <c r="AX93">
        <f t="shared" ca="1" si="2"/>
        <v>28</v>
      </c>
    </row>
    <row r="94" spans="1:51">
      <c r="A94">
        <v>27197172</v>
      </c>
      <c r="B94" s="4" t="str">
        <f>HYPERLINK("http://locmedia.nwmls.com/DO_NOT_LINK/bigphoto/172/27197172.jpg?tsp=20071109120558","Active")</f>
        <v>Active</v>
      </c>
      <c r="C94">
        <v>705</v>
      </c>
      <c r="D94" t="s">
        <v>19</v>
      </c>
      <c r="E94" t="s">
        <v>39</v>
      </c>
      <c r="F94" s="5">
        <v>369900</v>
      </c>
      <c r="G94" t="s">
        <v>40</v>
      </c>
      <c r="H94">
        <v>1580</v>
      </c>
      <c r="I94">
        <v>5100</v>
      </c>
      <c r="J94">
        <v>4</v>
      </c>
      <c r="K94">
        <v>1.75</v>
      </c>
      <c r="M94" s="4" t="str">
        <f>HYPERLINK("http://locsearch.nwmls.com//ReturnMap.aspx?hidMLS=NWML&amp;VHW=47.731845:-122.343410:.25:&amp;Z=4&amp;H=300&amp;W=400&amp;PP=47.731845:-122.343410:1:027197172","Map")</f>
        <v>Map</v>
      </c>
      <c r="N94" s="4" t="str">
        <f>HYPERLINK("http://locmedia.nwmls.com/DO_NOT_LINK/bigphoto/172/27197172.jpg?tsp=20071109120558","Photo")</f>
        <v>Photo</v>
      </c>
      <c r="O94" s="4" t="str">
        <f>HYPERLINK("http://locator.nwmls.com/scripts/mgrqispi.dll?APPNAME=Locator&amp;PRGNAME=MLSPictureDescriptions&amp;ARGUMENTS=-N595036758,-N27197172,-AE","More")</f>
        <v>More</v>
      </c>
      <c r="P94" t="s">
        <v>41</v>
      </c>
      <c r="Q94" t="s">
        <v>42</v>
      </c>
      <c r="R94" t="s">
        <v>23</v>
      </c>
      <c r="S94" t="s">
        <v>43</v>
      </c>
      <c r="T94" t="s">
        <v>44</v>
      </c>
      <c r="U94" t="s">
        <v>26</v>
      </c>
      <c r="X94" t="s">
        <v>27</v>
      </c>
      <c r="Y94" t="s">
        <v>28</v>
      </c>
      <c r="Z94" t="s">
        <v>45</v>
      </c>
      <c r="AA94" t="s">
        <v>46</v>
      </c>
      <c r="AB94">
        <v>2007</v>
      </c>
      <c r="AC94">
        <v>2585</v>
      </c>
      <c r="AD94" t="s">
        <v>47</v>
      </c>
      <c r="AE94" t="s">
        <v>48</v>
      </c>
      <c r="AF94" t="s">
        <v>49</v>
      </c>
      <c r="AG94">
        <v>47.731845</v>
      </c>
      <c r="AH94">
        <v>-122.34341000000001</v>
      </c>
      <c r="AI94" t="s">
        <v>33</v>
      </c>
      <c r="AJ94">
        <v>98133</v>
      </c>
      <c r="AK94" t="s">
        <v>34</v>
      </c>
      <c r="AL94">
        <v>44</v>
      </c>
      <c r="AM94" t="s">
        <v>35</v>
      </c>
      <c r="AO94">
        <v>0.11700000000000001</v>
      </c>
      <c r="AP94" t="s">
        <v>50</v>
      </c>
      <c r="AQ94">
        <v>504</v>
      </c>
      <c r="AR94" t="s">
        <v>51</v>
      </c>
      <c r="AS94" t="s">
        <v>52</v>
      </c>
      <c r="AT94">
        <v>3</v>
      </c>
      <c r="AU94" t="s">
        <v>938</v>
      </c>
      <c r="AV94" s="9"/>
      <c r="AX94">
        <f t="shared" ca="1" si="2"/>
        <v>28</v>
      </c>
    </row>
    <row r="95" spans="1:51">
      <c r="A95">
        <v>27197782</v>
      </c>
      <c r="B95" s="13" t="str">
        <f>HYPERLINK("http://locmedia.nwmls.com/DO_NOT_LINK/bigphoto/782/27197782.jpg?tsp=20071106104336","Active - STI")</f>
        <v>Active - STI</v>
      </c>
      <c r="C95">
        <v>705</v>
      </c>
      <c r="D95" t="s">
        <v>146</v>
      </c>
      <c r="E95" t="s">
        <v>518</v>
      </c>
      <c r="F95" s="5">
        <v>499900</v>
      </c>
      <c r="G95" t="s">
        <v>270</v>
      </c>
      <c r="H95">
        <v>1660</v>
      </c>
      <c r="I95">
        <v>4800</v>
      </c>
      <c r="J95">
        <v>3</v>
      </c>
      <c r="K95">
        <v>1</v>
      </c>
      <c r="L95">
        <v>1</v>
      </c>
      <c r="M95" s="4" t="str">
        <f>HYPERLINK("http://locsearch.nwmls.com//ReturnMap.aspx?hidMLS=NWML&amp;VHW=47.686406:-122.381099:.25:&amp;Z=4&amp;H=300&amp;W=400&amp;PP=47.686406:-122.381099:1:027197782","Map")</f>
        <v>Map</v>
      </c>
      <c r="N95" s="4" t="str">
        <f>HYPERLINK("http://locmedia.nwmls.com/DO_NOT_LINK/bigphoto/782/27197782.jpg?tsp=20071106104336","Photo")</f>
        <v>Photo</v>
      </c>
      <c r="O95" s="4" t="str">
        <f>HYPERLINK("http://locator.nwmls.com/scripts/mgrqispi.dll?APPNAME=Locator&amp;PRGNAME=MLSPictureDescriptions&amp;ARGUMENTS=-N595036758,-N27197782,-AE","More")</f>
        <v>More</v>
      </c>
      <c r="P95" t="s">
        <v>262</v>
      </c>
      <c r="Q95" t="s">
        <v>56</v>
      </c>
      <c r="R95" t="s">
        <v>116</v>
      </c>
      <c r="S95" t="s">
        <v>128</v>
      </c>
      <c r="T95" t="s">
        <v>129</v>
      </c>
      <c r="U95" t="s">
        <v>26</v>
      </c>
      <c r="V95" s="6" t="s">
        <v>59</v>
      </c>
      <c r="X95" t="s">
        <v>27</v>
      </c>
      <c r="Y95" t="s">
        <v>28</v>
      </c>
      <c r="Z95" t="s">
        <v>519</v>
      </c>
      <c r="AA95" t="s">
        <v>319</v>
      </c>
      <c r="AB95">
        <v>2007</v>
      </c>
      <c r="AC95">
        <v>3596</v>
      </c>
      <c r="AD95" t="s">
        <v>520</v>
      </c>
      <c r="AE95" t="s">
        <v>521</v>
      </c>
      <c r="AF95" t="s">
        <v>522</v>
      </c>
      <c r="AG95">
        <v>47.686405999999998</v>
      </c>
      <c r="AH95">
        <v>-122.38109900000001</v>
      </c>
      <c r="AI95" t="s">
        <v>33</v>
      </c>
      <c r="AJ95">
        <v>98117</v>
      </c>
      <c r="AK95" t="s">
        <v>34</v>
      </c>
      <c r="AL95" t="s">
        <v>523</v>
      </c>
      <c r="AM95" t="s">
        <v>35</v>
      </c>
      <c r="AO95">
        <v>0.11</v>
      </c>
      <c r="AP95" t="s">
        <v>524</v>
      </c>
      <c r="AQ95">
        <v>534</v>
      </c>
      <c r="AR95" t="s">
        <v>196</v>
      </c>
      <c r="AS95" t="s">
        <v>525</v>
      </c>
      <c r="AT95">
        <v>3</v>
      </c>
      <c r="AU95" t="s">
        <v>939</v>
      </c>
      <c r="AV95" s="9">
        <v>39392</v>
      </c>
      <c r="AW95">
        <v>19</v>
      </c>
      <c r="AX95">
        <f t="shared" ca="1" si="2"/>
        <v>41</v>
      </c>
    </row>
    <row r="96" spans="1:51">
      <c r="A96">
        <v>27198380</v>
      </c>
      <c r="B96" s="4" t="str">
        <f>HYPERLINK("http://locmedia.nwmls.com/DO_NOT_LINK/bigphoto/380/27198380.jpg?tsp=20071116133954","Active")</f>
        <v>Active</v>
      </c>
      <c r="C96">
        <v>705</v>
      </c>
      <c r="D96" t="s">
        <v>81</v>
      </c>
      <c r="E96" t="s">
        <v>551</v>
      </c>
      <c r="F96" s="5">
        <v>500000</v>
      </c>
      <c r="G96" t="s">
        <v>552</v>
      </c>
      <c r="H96">
        <v>2500</v>
      </c>
      <c r="I96">
        <v>5300</v>
      </c>
      <c r="J96">
        <v>2</v>
      </c>
      <c r="K96">
        <v>3</v>
      </c>
      <c r="M96" s="4" t="str">
        <f>HYPERLINK("http://locsearch.nwmls.com//ReturnMap.aspx?hidMLS=NWML&amp;VHW=47.679049:-122.367671:.25:&amp;Z=4&amp;H=300&amp;W=400&amp;PP=47.679049:-122.367671:1:027198380","Map")</f>
        <v>Map</v>
      </c>
      <c r="N96" s="4" t="str">
        <f>HYPERLINK("http://locmedia.nwmls.com/DO_NOT_LINK/bigphoto/380/27198380.jpg?tsp=20071116133954","Photo")</f>
        <v>Photo</v>
      </c>
      <c r="O96" s="4" t="str">
        <f>HYPERLINK("http://locator.nwmls.com/scripts/mgrqispi.dll?APPNAME=Locator&amp;PRGNAME=MLSPictureDescriptions&amp;ARGUMENTS=-N595036758,-N27198380,-AE","More")</f>
        <v>More</v>
      </c>
      <c r="Q96" t="s">
        <v>56</v>
      </c>
      <c r="R96" t="s">
        <v>116</v>
      </c>
      <c r="S96" t="s">
        <v>199</v>
      </c>
      <c r="T96" t="s">
        <v>553</v>
      </c>
      <c r="U96" t="s">
        <v>26</v>
      </c>
      <c r="V96">
        <v>28</v>
      </c>
      <c r="X96" t="s">
        <v>27</v>
      </c>
      <c r="Y96" t="s">
        <v>28</v>
      </c>
      <c r="Z96" t="s">
        <v>554</v>
      </c>
      <c r="AA96" t="s">
        <v>555</v>
      </c>
      <c r="AB96">
        <v>2007</v>
      </c>
      <c r="AC96">
        <v>3773</v>
      </c>
      <c r="AD96" t="s">
        <v>556</v>
      </c>
      <c r="AE96" t="s">
        <v>557</v>
      </c>
      <c r="AF96" t="s">
        <v>558</v>
      </c>
      <c r="AG96" s="12">
        <v>47.679048999999999</v>
      </c>
      <c r="AH96" s="12">
        <v>-122.367671</v>
      </c>
      <c r="AI96" t="s">
        <v>33</v>
      </c>
      <c r="AJ96">
        <v>98117</v>
      </c>
      <c r="AK96" t="s">
        <v>34</v>
      </c>
      <c r="AL96">
        <v>6</v>
      </c>
      <c r="AM96" t="s">
        <v>35</v>
      </c>
      <c r="AO96">
        <v>0.122</v>
      </c>
      <c r="AP96" s="12" t="s">
        <v>876</v>
      </c>
      <c r="AQ96">
        <v>534</v>
      </c>
      <c r="AR96" t="s">
        <v>295</v>
      </c>
      <c r="AS96" t="s">
        <v>559</v>
      </c>
      <c r="AT96">
        <v>2</v>
      </c>
      <c r="AU96" t="s">
        <v>940</v>
      </c>
      <c r="AV96" s="9"/>
      <c r="AX96">
        <f t="shared" ca="1" si="2"/>
        <v>28</v>
      </c>
    </row>
    <row r="97" spans="1:51">
      <c r="A97">
        <v>27198546</v>
      </c>
      <c r="B97" s="4" t="str">
        <f>HYPERLINK("http://locmedia.nwmls.com/DO_NOT_LINK/bigphoto/546/27198546.jpg?tsp=20071107130541","Active")</f>
        <v>Active</v>
      </c>
      <c r="C97">
        <v>710</v>
      </c>
      <c r="D97" t="s">
        <v>763</v>
      </c>
      <c r="E97" t="s">
        <v>764</v>
      </c>
      <c r="F97" s="5">
        <v>479500</v>
      </c>
      <c r="G97" t="s">
        <v>765</v>
      </c>
      <c r="H97">
        <v>2240</v>
      </c>
      <c r="I97">
        <v>3075</v>
      </c>
      <c r="J97">
        <v>3</v>
      </c>
      <c r="K97">
        <v>2</v>
      </c>
      <c r="L97">
        <v>1</v>
      </c>
      <c r="M97" s="4" t="str">
        <f>HYPERLINK("http://locsearch.nwmls.com//ReturnMap.aspx?hidMLS=NWML&amp;VHW=47.700749:-122.280100:.25:&amp;Z=4&amp;H=300&amp;W=400&amp;PP=47.700749:-122.280100:1:027198546","Map")</f>
        <v>Map</v>
      </c>
      <c r="N97" s="4" t="str">
        <f>HYPERLINK("http://locmedia.nwmls.com/DO_NOT_LINK/bigphoto/546/27198546.jpg?tsp=20071107130541","Photo")</f>
        <v>Photo</v>
      </c>
      <c r="O97" s="4" t="str">
        <f>HYPERLINK("http://locator.nwmls.com/scripts/mgrqispi.dll?APPNAME=Locator&amp;PRGNAME=MLSPictureDescriptions&amp;ARGUMENTS=-N719932170,-N27198546,-AE","More")</f>
        <v>More</v>
      </c>
      <c r="Q97" t="s">
        <v>56</v>
      </c>
      <c r="R97" t="s">
        <v>23</v>
      </c>
      <c r="S97" t="s">
        <v>475</v>
      </c>
      <c r="U97" t="s">
        <v>26</v>
      </c>
      <c r="V97" s="6" t="s">
        <v>59</v>
      </c>
      <c r="X97" t="s">
        <v>27</v>
      </c>
      <c r="Y97" t="s">
        <v>28</v>
      </c>
      <c r="Z97" t="s">
        <v>423</v>
      </c>
      <c r="AB97">
        <v>2007</v>
      </c>
      <c r="AC97">
        <v>3578</v>
      </c>
      <c r="AD97" t="s">
        <v>766</v>
      </c>
      <c r="AE97" t="s">
        <v>408</v>
      </c>
      <c r="AF97" t="s">
        <v>179</v>
      </c>
      <c r="AG97">
        <v>47.700749000000002</v>
      </c>
      <c r="AH97">
        <v>-122.2801</v>
      </c>
      <c r="AI97" t="s">
        <v>33</v>
      </c>
      <c r="AJ97">
        <v>98115</v>
      </c>
      <c r="AK97" t="s">
        <v>34</v>
      </c>
      <c r="AL97" t="s">
        <v>35</v>
      </c>
      <c r="AM97" t="s">
        <v>35</v>
      </c>
      <c r="AO97">
        <v>7.0999999999999994E-2</v>
      </c>
      <c r="AP97" t="s">
        <v>767</v>
      </c>
      <c r="AQ97">
        <v>505</v>
      </c>
      <c r="AR97" t="s">
        <v>768</v>
      </c>
      <c r="AS97" t="s">
        <v>769</v>
      </c>
      <c r="AT97">
        <v>1</v>
      </c>
      <c r="AU97" t="s">
        <v>913</v>
      </c>
      <c r="AV97" s="9"/>
      <c r="AX97">
        <f t="shared" ca="1" si="2"/>
        <v>28</v>
      </c>
    </row>
    <row r="98" spans="1:51">
      <c r="A98">
        <v>27200170</v>
      </c>
      <c r="B98" s="4" t="str">
        <f>HYPERLINK("http://locmedia.nwmls.com/DO_NOT_LINK/bigphoto/170/27200170.jpg?tsp=20071115210313","Active")</f>
        <v>Active</v>
      </c>
      <c r="C98">
        <v>710</v>
      </c>
      <c r="D98" t="s">
        <v>704</v>
      </c>
      <c r="E98" t="s">
        <v>812</v>
      </c>
      <c r="F98" s="5">
        <v>489950</v>
      </c>
      <c r="G98" t="s">
        <v>397</v>
      </c>
      <c r="H98">
        <v>2050</v>
      </c>
      <c r="I98">
        <v>7241</v>
      </c>
      <c r="J98">
        <v>3</v>
      </c>
      <c r="K98">
        <v>2</v>
      </c>
      <c r="L98">
        <v>2</v>
      </c>
      <c r="M98" s="4" t="str">
        <f>HYPERLINK("http://locsearch.nwmls.com//ReturnMap.aspx?hidMLS=NWML&amp;VHW=47.707246:-122.308093:.25:&amp;Z=4&amp;H=300&amp;W=400&amp;PP=47.707246:-122.308093:1:027200170","Map")</f>
        <v>Map</v>
      </c>
      <c r="N98" s="4" t="str">
        <f>HYPERLINK("http://locmedia.nwmls.com/DO_NOT_LINK/bigphoto/170/27200170.jpg?tsp=20071115210313","Photo")</f>
        <v>Photo</v>
      </c>
      <c r="O98" s="4" t="str">
        <f>HYPERLINK("http://locator.nwmls.com/scripts/mgrqispi.dll?APPNAME=Locator&amp;PRGNAME=MLSPictureDescriptions&amp;ARGUMENTS=-N719932170,-N27200170,-AE","More")</f>
        <v>More</v>
      </c>
      <c r="Q98" t="s">
        <v>56</v>
      </c>
      <c r="R98" t="s">
        <v>116</v>
      </c>
      <c r="S98" t="s">
        <v>299</v>
      </c>
      <c r="T98" t="s">
        <v>129</v>
      </c>
      <c r="V98" s="6" t="s">
        <v>59</v>
      </c>
      <c r="X98" t="s">
        <v>27</v>
      </c>
      <c r="Y98" t="s">
        <v>28</v>
      </c>
      <c r="Z98" t="s">
        <v>318</v>
      </c>
      <c r="AB98">
        <v>2007</v>
      </c>
      <c r="AC98">
        <v>1151</v>
      </c>
      <c r="AD98" t="s">
        <v>813</v>
      </c>
      <c r="AE98" t="s">
        <v>739</v>
      </c>
      <c r="AF98" t="s">
        <v>303</v>
      </c>
      <c r="AG98">
        <v>47.707245999999998</v>
      </c>
      <c r="AH98">
        <v>-122.308093</v>
      </c>
      <c r="AI98" t="s">
        <v>33</v>
      </c>
      <c r="AJ98">
        <v>98125</v>
      </c>
      <c r="AK98" t="s">
        <v>34</v>
      </c>
      <c r="AL98" t="s">
        <v>35</v>
      </c>
      <c r="AM98" t="s">
        <v>35</v>
      </c>
      <c r="AO98">
        <v>0.16600000000000001</v>
      </c>
      <c r="AP98" t="s">
        <v>814</v>
      </c>
      <c r="AQ98">
        <v>505</v>
      </c>
      <c r="AR98" t="s">
        <v>815</v>
      </c>
      <c r="AS98" t="s">
        <v>816</v>
      </c>
      <c r="AT98">
        <v>3</v>
      </c>
      <c r="AV98" s="9"/>
      <c r="AX98">
        <f t="shared" ref="AX98:AX106" ca="1" si="3">IF(AW98&gt;0,TODAY()-AV98,TODAY()-DATE(2007,11,19))</f>
        <v>28</v>
      </c>
    </row>
    <row r="99" spans="1:51">
      <c r="A99">
        <v>27200786</v>
      </c>
      <c r="B99" s="4" t="str">
        <f>HYPERLINK("http://locmedia.nwmls.com/DO_NOT_LINK/bigphoto/786/27200786.jpg?tsp=20071112225949","Pending")</f>
        <v>Pending</v>
      </c>
      <c r="C99">
        <v>705</v>
      </c>
      <c r="D99" t="s">
        <v>81</v>
      </c>
      <c r="E99" t="s">
        <v>611</v>
      </c>
      <c r="F99" s="5">
        <v>449950</v>
      </c>
      <c r="G99" t="s">
        <v>55</v>
      </c>
      <c r="H99">
        <v>1960</v>
      </c>
      <c r="I99">
        <v>4770</v>
      </c>
      <c r="J99">
        <v>3</v>
      </c>
      <c r="K99">
        <v>2</v>
      </c>
      <c r="L99">
        <v>1</v>
      </c>
      <c r="M99" s="4" t="str">
        <f>HYPERLINK("http://locsearch.nwmls.com//ReturnMap.aspx?hidMLS=NWML&amp;VHW=47.678623:-122.367310:.25:&amp;Z=4&amp;H=300&amp;W=400&amp;PP=47.678623:-122.367310:1:027200786","Map")</f>
        <v>Map</v>
      </c>
      <c r="N99" s="4" t="str">
        <f>HYPERLINK("http://locmedia.nwmls.com/DO_NOT_LINK/bigphoto/786/27200786.jpg?tsp=20071112225949","Photo")</f>
        <v>Photo</v>
      </c>
      <c r="O99" s="4" t="str">
        <f>HYPERLINK("http://locator.nwmls.com/scripts/mgrqispi.dll?APPNAME=Locator&amp;PRGNAME=MLSPictureDescriptions&amp;ARGUMENTS=-N595036758,-N27200786,-AE","More")</f>
        <v>More</v>
      </c>
      <c r="Q99" t="s">
        <v>612</v>
      </c>
      <c r="R99" t="s">
        <v>429</v>
      </c>
      <c r="S99" t="s">
        <v>43</v>
      </c>
      <c r="T99" t="s">
        <v>72</v>
      </c>
      <c r="U99" t="s">
        <v>26</v>
      </c>
      <c r="X99" t="s">
        <v>27</v>
      </c>
      <c r="Y99" t="s">
        <v>28</v>
      </c>
      <c r="Z99" t="s">
        <v>613</v>
      </c>
      <c r="AB99">
        <v>2007</v>
      </c>
      <c r="AC99">
        <v>3290</v>
      </c>
      <c r="AD99" t="s">
        <v>614</v>
      </c>
      <c r="AE99" t="s">
        <v>615</v>
      </c>
      <c r="AF99" t="s">
        <v>616</v>
      </c>
      <c r="AG99">
        <v>47.678623000000002</v>
      </c>
      <c r="AH99">
        <v>-122.36731</v>
      </c>
      <c r="AI99" t="s">
        <v>33</v>
      </c>
      <c r="AJ99">
        <v>98117</v>
      </c>
      <c r="AK99" t="s">
        <v>34</v>
      </c>
      <c r="AL99" t="s">
        <v>35</v>
      </c>
      <c r="AM99" t="s">
        <v>35</v>
      </c>
      <c r="AO99">
        <v>0.11</v>
      </c>
      <c r="AP99" t="s">
        <v>617</v>
      </c>
      <c r="AQ99">
        <v>534</v>
      </c>
      <c r="AR99" t="s">
        <v>295</v>
      </c>
      <c r="AS99" t="s">
        <v>618</v>
      </c>
      <c r="AT99">
        <v>3</v>
      </c>
      <c r="AV99" s="9"/>
      <c r="AX99">
        <f t="shared" ca="1" si="3"/>
        <v>28</v>
      </c>
    </row>
    <row r="100" spans="1:51">
      <c r="A100">
        <v>27200939</v>
      </c>
      <c r="B100" s="4" t="str">
        <f>HYPERLINK("http://locmedia.nwmls.com/DO_NOT_LINK/bigphoto/939/27200939.jpg?tsp=20071113122307","Active")</f>
        <v>Active</v>
      </c>
      <c r="C100">
        <v>710</v>
      </c>
      <c r="D100" t="s">
        <v>656</v>
      </c>
      <c r="E100" t="s">
        <v>842</v>
      </c>
      <c r="F100" s="5">
        <v>499990</v>
      </c>
      <c r="G100" t="s">
        <v>21</v>
      </c>
      <c r="H100">
        <v>1439</v>
      </c>
      <c r="I100">
        <v>6000</v>
      </c>
      <c r="J100">
        <v>3</v>
      </c>
      <c r="K100">
        <v>1.75</v>
      </c>
      <c r="L100">
        <v>1</v>
      </c>
      <c r="M100" s="4" t="str">
        <f>HYPERLINK("http://locsearch.nwmls.com//ReturnMap.aspx?hidMLS=NWML&amp;VHW=47.683866:-122.286300:.25:&amp;Z=4&amp;H=300&amp;W=400&amp;PP=47.683866:-122.286300:1:027200939","Map")</f>
        <v>Map</v>
      </c>
      <c r="N100" s="4" t="str">
        <f>HYPERLINK("http://locmedia.nwmls.com/DO_NOT_LINK/bigphoto/939/27200939.jpg?tsp=20071113122307","Photo")</f>
        <v>Photo</v>
      </c>
      <c r="O100" s="4" t="str">
        <f>HYPERLINK("http://locator.nwmls.com/scripts/mgrqispi.dll?APPNAME=Locator&amp;PRGNAME=MLSPictureDescriptions&amp;ARGUMENTS=-N719932170,-N27200939,-AE","More")</f>
        <v>More</v>
      </c>
      <c r="Q100" t="s">
        <v>56</v>
      </c>
      <c r="R100" t="s">
        <v>843</v>
      </c>
      <c r="S100" t="s">
        <v>755</v>
      </c>
      <c r="T100" t="s">
        <v>25</v>
      </c>
      <c r="U100" t="s">
        <v>26</v>
      </c>
      <c r="V100">
        <v>71</v>
      </c>
      <c r="W100" t="s">
        <v>844</v>
      </c>
      <c r="X100" t="s">
        <v>27</v>
      </c>
      <c r="Y100" t="s">
        <v>28</v>
      </c>
      <c r="Z100" t="s">
        <v>96</v>
      </c>
      <c r="AA100" t="s">
        <v>845</v>
      </c>
      <c r="AB100">
        <v>2007</v>
      </c>
      <c r="AC100">
        <v>3012</v>
      </c>
      <c r="AD100" t="s">
        <v>846</v>
      </c>
      <c r="AE100" t="s">
        <v>847</v>
      </c>
      <c r="AF100" t="s">
        <v>848</v>
      </c>
      <c r="AG100">
        <v>47.683866000000002</v>
      </c>
      <c r="AH100">
        <v>-122.2863</v>
      </c>
      <c r="AI100" t="s">
        <v>33</v>
      </c>
      <c r="AJ100">
        <v>98115</v>
      </c>
      <c r="AK100" t="s">
        <v>34</v>
      </c>
      <c r="AL100">
        <v>1</v>
      </c>
      <c r="AM100" t="s">
        <v>35</v>
      </c>
      <c r="AO100">
        <v>0.13800000000000001</v>
      </c>
      <c r="AP100" t="s">
        <v>849</v>
      </c>
      <c r="AQ100">
        <v>535</v>
      </c>
      <c r="AR100" t="s">
        <v>196</v>
      </c>
      <c r="AS100" t="s">
        <v>850</v>
      </c>
      <c r="AT100">
        <v>3</v>
      </c>
      <c r="AV100" s="9"/>
      <c r="AX100">
        <f t="shared" ca="1" si="3"/>
        <v>28</v>
      </c>
    </row>
    <row r="101" spans="1:51">
      <c r="A101">
        <v>27201523</v>
      </c>
      <c r="B101" s="4" t="str">
        <f>HYPERLINK("http://locmedia.nwmls.com/DO_NOT_LINK/bigphoto/523/27201523.jpg?tsp=20071113234350","Active")</f>
        <v>Active</v>
      </c>
      <c r="C101">
        <v>710</v>
      </c>
      <c r="D101" t="s">
        <v>649</v>
      </c>
      <c r="E101" t="s">
        <v>748</v>
      </c>
      <c r="F101" s="5">
        <v>475000</v>
      </c>
      <c r="G101" t="s">
        <v>596</v>
      </c>
      <c r="H101">
        <v>1620</v>
      </c>
      <c r="I101">
        <v>7750</v>
      </c>
      <c r="J101">
        <v>3</v>
      </c>
      <c r="K101">
        <v>2</v>
      </c>
      <c r="L101">
        <v>1</v>
      </c>
      <c r="M101" s="4" t="str">
        <f>HYPERLINK("http://locsearch.nwmls.com//ReturnMap.aspx?hidMLS=NWML&amp;VHW=47.699432:-122.308441:.25:&amp;Z=4&amp;H=300&amp;W=400&amp;PP=47.699432:-122.308441:1:027201523","Map")</f>
        <v>Map</v>
      </c>
      <c r="N101" s="4" t="str">
        <f>HYPERLINK("http://locmedia.nwmls.com/DO_NOT_LINK/bigphoto/523/27201523.jpg?tsp=20071113234350","Photo")</f>
        <v>Photo</v>
      </c>
      <c r="O101" s="4" t="str">
        <f>HYPERLINK("http://locator.nwmls.com/scripts/mgrqispi.dll?APPNAME=Locator&amp;PRGNAME=MLSPictureDescriptions&amp;ARGUMENTS=-N719932170,-N27201523,-AE","More")</f>
        <v>More</v>
      </c>
      <c r="Q101" t="s">
        <v>56</v>
      </c>
      <c r="R101" t="s">
        <v>95</v>
      </c>
      <c r="S101" t="s">
        <v>503</v>
      </c>
      <c r="T101" t="s">
        <v>129</v>
      </c>
      <c r="U101" t="s">
        <v>26</v>
      </c>
      <c r="V101" s="6" t="s">
        <v>59</v>
      </c>
      <c r="X101" t="s">
        <v>27</v>
      </c>
      <c r="Y101" t="s">
        <v>28</v>
      </c>
      <c r="Z101" t="s">
        <v>272</v>
      </c>
      <c r="AA101" t="s">
        <v>307</v>
      </c>
      <c r="AB101">
        <v>2007</v>
      </c>
      <c r="AC101">
        <v>3067</v>
      </c>
      <c r="AD101" t="s">
        <v>749</v>
      </c>
      <c r="AE101" t="s">
        <v>750</v>
      </c>
      <c r="AF101" t="s">
        <v>751</v>
      </c>
      <c r="AG101">
        <v>47.699432000000002</v>
      </c>
      <c r="AH101">
        <v>-122.308441</v>
      </c>
      <c r="AI101" t="s">
        <v>33</v>
      </c>
      <c r="AJ101">
        <v>98115</v>
      </c>
      <c r="AK101" t="s">
        <v>34</v>
      </c>
      <c r="AL101">
        <v>7</v>
      </c>
      <c r="AM101" t="s">
        <v>35</v>
      </c>
      <c r="AO101">
        <v>0.17799999999999999</v>
      </c>
      <c r="AP101" t="s">
        <v>752</v>
      </c>
      <c r="AQ101">
        <v>505</v>
      </c>
      <c r="AR101" t="s">
        <v>655</v>
      </c>
      <c r="AS101" t="s">
        <v>753</v>
      </c>
      <c r="AT101">
        <v>4</v>
      </c>
      <c r="AU101" t="s">
        <v>941</v>
      </c>
      <c r="AV101" s="9">
        <v>39399</v>
      </c>
      <c r="AW101">
        <v>12</v>
      </c>
      <c r="AX101">
        <f t="shared" ca="1" si="3"/>
        <v>34</v>
      </c>
      <c r="AY101" t="s">
        <v>907</v>
      </c>
    </row>
    <row r="102" spans="1:51">
      <c r="A102">
        <v>27201655</v>
      </c>
      <c r="B102" s="4" t="str">
        <f>HYPERLINK("http://locmedia.nwmls.com/DO_NOT_LINK/bigphoto/655/27201655.jpg?tsp=20071114121259","Active")</f>
        <v>Active</v>
      </c>
      <c r="C102">
        <v>705</v>
      </c>
      <c r="D102" t="s">
        <v>113</v>
      </c>
      <c r="E102" t="s">
        <v>126</v>
      </c>
      <c r="F102" s="5">
        <v>399950</v>
      </c>
      <c r="G102" t="s">
        <v>127</v>
      </c>
      <c r="H102">
        <v>1800</v>
      </c>
      <c r="I102">
        <v>5040</v>
      </c>
      <c r="J102">
        <v>4</v>
      </c>
      <c r="K102">
        <v>1.75</v>
      </c>
      <c r="L102">
        <v>1</v>
      </c>
      <c r="M102" s="4" t="str">
        <f>HYPERLINK("http://locsearch.nwmls.com//ReturnMap.aspx?hidMLS=NWML&amp;VHW=47.706203:-122.351464:.25:&amp;Z=4&amp;H=300&amp;W=400&amp;PP=47.706203:-122.351464:1:027201655","Map")</f>
        <v>Map</v>
      </c>
      <c r="N102" s="4" t="str">
        <f>HYPERLINK("http://locmedia.nwmls.com/DO_NOT_LINK/bigphoto/655/27201655.jpg?tsp=20071114121259","Photo")</f>
        <v>Photo</v>
      </c>
      <c r="O102" s="4" t="str">
        <f>HYPERLINK("http://locator.nwmls.com/scripts/mgrqispi.dll?APPNAME=Locator&amp;PRGNAME=MLSPictureDescriptions&amp;ARGUMENTS=-N595036758,-N27201655,-AE","More")</f>
        <v>More</v>
      </c>
      <c r="Q102" t="s">
        <v>56</v>
      </c>
      <c r="R102" t="s">
        <v>95</v>
      </c>
      <c r="S102" t="s">
        <v>128</v>
      </c>
      <c r="T102" t="s">
        <v>129</v>
      </c>
      <c r="U102" t="s">
        <v>26</v>
      </c>
      <c r="V102" s="6" t="s">
        <v>59</v>
      </c>
      <c r="X102" t="s">
        <v>27</v>
      </c>
      <c r="Y102" t="s">
        <v>28</v>
      </c>
      <c r="Z102" t="s">
        <v>130</v>
      </c>
      <c r="AA102" t="s">
        <v>131</v>
      </c>
      <c r="AB102">
        <v>2007</v>
      </c>
      <c r="AC102">
        <v>2854</v>
      </c>
      <c r="AD102" t="s">
        <v>132</v>
      </c>
      <c r="AE102" t="s">
        <v>133</v>
      </c>
      <c r="AF102" t="s">
        <v>134</v>
      </c>
      <c r="AG102">
        <v>47.706203000000002</v>
      </c>
      <c r="AH102">
        <v>-122.35146400000001</v>
      </c>
      <c r="AI102" t="s">
        <v>33</v>
      </c>
      <c r="AJ102">
        <v>98133</v>
      </c>
      <c r="AK102" t="s">
        <v>34</v>
      </c>
      <c r="AL102">
        <v>21</v>
      </c>
      <c r="AM102" t="s">
        <v>35</v>
      </c>
      <c r="AO102">
        <v>0.11600000000000001</v>
      </c>
      <c r="AP102" t="s">
        <v>135</v>
      </c>
      <c r="AQ102">
        <v>504</v>
      </c>
      <c r="AR102" t="s">
        <v>64</v>
      </c>
      <c r="AS102" t="s">
        <v>136</v>
      </c>
      <c r="AT102">
        <v>1</v>
      </c>
      <c r="AU102" t="s">
        <v>942</v>
      </c>
      <c r="AV102" s="9"/>
      <c r="AX102">
        <f t="shared" ca="1" si="3"/>
        <v>28</v>
      </c>
      <c r="AY102" t="s">
        <v>916</v>
      </c>
    </row>
    <row r="103" spans="1:51">
      <c r="A103">
        <v>27202386</v>
      </c>
      <c r="B103" s="4" t="str">
        <f>HYPERLINK("http://locmedia.nwmls.com/DO_NOT_LINK/bigphoto/386/27202386.jpg?tsp=20071116120541","Active")</f>
        <v>Active</v>
      </c>
      <c r="C103">
        <v>705</v>
      </c>
      <c r="D103" t="s">
        <v>81</v>
      </c>
      <c r="E103" t="s">
        <v>877</v>
      </c>
      <c r="F103" s="5">
        <v>425000</v>
      </c>
      <c r="G103" t="s">
        <v>878</v>
      </c>
      <c r="H103">
        <v>1680</v>
      </c>
      <c r="I103">
        <v>5100</v>
      </c>
      <c r="J103">
        <v>2</v>
      </c>
      <c r="K103">
        <v>1</v>
      </c>
      <c r="M103" s="4" t="str">
        <f>HYPERLINK("http://locsearch.nwmls.com//ReturnMap.aspx?hidMLS=NWML&amp;VHW=47.677360:-122.393000:.25:&amp;Z=4&amp;H=300&amp;W=400&amp;PP=47.677360:-122.393000:1:027202386","Map")</f>
        <v>Map</v>
      </c>
      <c r="N103" s="4" t="str">
        <f>HYPERLINK("http://locmedia.nwmls.com/DO_NOT_LINK/bigphoto/386/27202386.jpg?tsp=20071116120541","Photo")</f>
        <v>Photo</v>
      </c>
      <c r="O103" s="4" t="str">
        <f>HYPERLINK("http://locator.nwmls.com/scripts/mgrqispi.dll?APPNAME=Locator&amp;PRGNAME=MLSPictureDescriptions&amp;ARGUMENTS=-N803307864,-N27202386,-AE","More")</f>
        <v>More</v>
      </c>
      <c r="Q103" t="s">
        <v>56</v>
      </c>
      <c r="R103" t="s">
        <v>95</v>
      </c>
      <c r="S103" t="s">
        <v>879</v>
      </c>
      <c r="T103" t="s">
        <v>129</v>
      </c>
      <c r="U103" t="s">
        <v>26</v>
      </c>
      <c r="V103" s="6" t="s">
        <v>59</v>
      </c>
      <c r="X103" t="s">
        <v>27</v>
      </c>
      <c r="Y103" t="s">
        <v>28</v>
      </c>
      <c r="Z103" t="s">
        <v>880</v>
      </c>
      <c r="AB103">
        <v>2007</v>
      </c>
      <c r="AC103">
        <v>3364</v>
      </c>
      <c r="AD103" t="s">
        <v>881</v>
      </c>
      <c r="AE103" t="s">
        <v>882</v>
      </c>
      <c r="AF103" t="s">
        <v>883</v>
      </c>
      <c r="AG103">
        <v>47.67736</v>
      </c>
      <c r="AH103">
        <v>-122.393</v>
      </c>
      <c r="AI103" t="s">
        <v>33</v>
      </c>
      <c r="AJ103">
        <v>98117</v>
      </c>
      <c r="AK103" t="s">
        <v>34</v>
      </c>
      <c r="AL103" t="s">
        <v>35</v>
      </c>
      <c r="AM103" t="s">
        <v>35</v>
      </c>
      <c r="AO103">
        <v>0.11700000000000001</v>
      </c>
      <c r="AP103" t="s">
        <v>884</v>
      </c>
      <c r="AQ103">
        <v>534</v>
      </c>
      <c r="AR103" t="s">
        <v>480</v>
      </c>
      <c r="AS103" t="s">
        <v>885</v>
      </c>
      <c r="AT103">
        <v>4</v>
      </c>
      <c r="AV103" s="9">
        <v>39402</v>
      </c>
      <c r="AW103">
        <v>9</v>
      </c>
      <c r="AX103">
        <f t="shared" ca="1" si="3"/>
        <v>31</v>
      </c>
      <c r="AY103" t="s">
        <v>920</v>
      </c>
    </row>
    <row r="104" spans="1:51">
      <c r="A104">
        <v>27203347</v>
      </c>
      <c r="B104" s="4" t="str">
        <f>HYPERLINK("http://locmedia.nwmls.com/DO_NOT_LINK/bigphoto/347/27203347.jpg?tsp=20071116180425","Active")</f>
        <v>Active</v>
      </c>
      <c r="C104">
        <v>710</v>
      </c>
      <c r="D104" t="s">
        <v>901</v>
      </c>
      <c r="E104" t="s">
        <v>902</v>
      </c>
      <c r="F104" s="5">
        <v>475000</v>
      </c>
      <c r="G104" t="s">
        <v>148</v>
      </c>
      <c r="H104">
        <v>0</v>
      </c>
      <c r="I104">
        <v>6000</v>
      </c>
      <c r="J104">
        <v>3</v>
      </c>
      <c r="K104">
        <v>1</v>
      </c>
      <c r="L104">
        <v>1</v>
      </c>
      <c r="M104" s="4" t="str">
        <f>HYPERLINK("http://locsearch.nwmls.com//ReturnMap.aspx?hidMLS=NWML&amp;VHW=47.684499:-122.281024:.25:&amp;Z=4&amp;H=300&amp;W=400&amp;PP=47.684499:-122.281024:1:027203347","Map")</f>
        <v>Map</v>
      </c>
      <c r="N104" s="4" t="str">
        <f>HYPERLINK("http://locmedia.nwmls.com/DO_NOT_LINK/bigphoto/347/27203347.jpg?tsp=20071116180425","Photo")</f>
        <v>Photo</v>
      </c>
      <c r="O104" s="4" t="str">
        <f>HYPERLINK("http://locator.nwmls.com/scripts/mgrqispi.dll?APPNAME=Locator&amp;PRGNAME=MLSPictureDescriptions&amp;ARGUMENTS=-N803307864,-N27203347,-AE","More")</f>
        <v>More</v>
      </c>
      <c r="Q104" t="s">
        <v>56</v>
      </c>
      <c r="R104" t="s">
        <v>116</v>
      </c>
      <c r="S104" t="s">
        <v>58</v>
      </c>
      <c r="T104" t="s">
        <v>263</v>
      </c>
      <c r="U104" t="s">
        <v>26</v>
      </c>
      <c r="V104" s="6" t="s">
        <v>59</v>
      </c>
      <c r="X104" t="s">
        <v>17</v>
      </c>
      <c r="Y104" t="s">
        <v>28</v>
      </c>
      <c r="Z104" t="s">
        <v>430</v>
      </c>
      <c r="AB104">
        <v>2007</v>
      </c>
      <c r="AC104">
        <v>3392</v>
      </c>
      <c r="AD104" t="s">
        <v>903</v>
      </c>
      <c r="AE104" t="s">
        <v>302</v>
      </c>
      <c r="AF104" t="s">
        <v>904</v>
      </c>
      <c r="AG104">
        <v>47.684499000000002</v>
      </c>
      <c r="AH104">
        <v>-122.281024</v>
      </c>
      <c r="AI104" t="s">
        <v>33</v>
      </c>
      <c r="AJ104">
        <v>98115</v>
      </c>
      <c r="AK104" t="s">
        <v>34</v>
      </c>
      <c r="AL104" t="s">
        <v>35</v>
      </c>
      <c r="AM104" t="s">
        <v>35</v>
      </c>
      <c r="AO104">
        <v>0.13800000000000001</v>
      </c>
      <c r="AP104" t="s">
        <v>905</v>
      </c>
      <c r="AQ104">
        <v>535</v>
      </c>
      <c r="AR104" t="s">
        <v>91</v>
      </c>
      <c r="AS104" t="s">
        <v>906</v>
      </c>
      <c r="AT104">
        <v>2</v>
      </c>
      <c r="AV104" s="9"/>
      <c r="AX104">
        <f t="shared" ca="1" si="3"/>
        <v>28</v>
      </c>
    </row>
    <row r="105" spans="1:51">
      <c r="A105">
        <v>27205164</v>
      </c>
      <c r="B105" s="4" t="str">
        <f>HYPERLINK("http://locmedia.nwmls.com/DO_NOT_LINK/bigphoto/164/27205164.jpg?tsp=20071121205402","Active")</f>
        <v>Active</v>
      </c>
      <c r="C105">
        <v>710</v>
      </c>
      <c r="D105" t="s">
        <v>624</v>
      </c>
      <c r="E105" t="s">
        <v>894</v>
      </c>
      <c r="F105" s="5">
        <v>459950</v>
      </c>
      <c r="G105" t="s">
        <v>895</v>
      </c>
      <c r="H105">
        <v>2360</v>
      </c>
      <c r="I105">
        <v>8040</v>
      </c>
      <c r="J105">
        <v>3</v>
      </c>
      <c r="K105">
        <v>1.5</v>
      </c>
      <c r="L105">
        <v>2</v>
      </c>
      <c r="M105" s="4" t="str">
        <f>HYPERLINK("http://locsearch.nwmls.com//ReturnMap.aspx?hidMLS=NWML&amp;VHW=47.713428:-122.302979:.25:&amp;Z=4&amp;H=300&amp;W=400&amp;PP=47.713428:-122.302979:1:027205164","Map")</f>
        <v>Map</v>
      </c>
      <c r="N105" s="4" t="str">
        <f>HYPERLINK("http://locmedia.nwmls.com/DO_NOT_LINK/bigphoto/164/27205164.jpg?tsp=20071121205402","Photo")</f>
        <v>Photo</v>
      </c>
      <c r="O105" s="4" t="str">
        <f>HYPERLINK("http://locator.nwmls.com/scripts/mgrqispi.dll?APPNAME=Locator&amp;PRGNAME=MLSPictureDescriptions&amp;ARGUMENTS=-N803307864,-N27205164,-AE","More")</f>
        <v>More</v>
      </c>
      <c r="P105" t="s">
        <v>262</v>
      </c>
      <c r="Q105" t="s">
        <v>56</v>
      </c>
      <c r="R105" t="s">
        <v>116</v>
      </c>
      <c r="S105" t="s">
        <v>896</v>
      </c>
      <c r="T105" t="s">
        <v>897</v>
      </c>
      <c r="U105" t="s">
        <v>26</v>
      </c>
      <c r="V105" s="6" t="s">
        <v>59</v>
      </c>
      <c r="X105" t="s">
        <v>27</v>
      </c>
      <c r="Y105" t="s">
        <v>28</v>
      </c>
      <c r="Z105" t="s">
        <v>365</v>
      </c>
      <c r="AA105" t="s">
        <v>476</v>
      </c>
      <c r="AB105">
        <v>2007</v>
      </c>
      <c r="AC105">
        <v>564</v>
      </c>
      <c r="AD105" t="s">
        <v>898</v>
      </c>
      <c r="AE105" t="s">
        <v>302</v>
      </c>
      <c r="AF105" t="s">
        <v>471</v>
      </c>
      <c r="AG105">
        <v>47.713428</v>
      </c>
      <c r="AH105">
        <v>-122.30297899999999</v>
      </c>
      <c r="AI105" t="s">
        <v>33</v>
      </c>
      <c r="AJ105">
        <v>98125</v>
      </c>
      <c r="AK105" t="s">
        <v>34</v>
      </c>
      <c r="AL105">
        <v>3</v>
      </c>
      <c r="AM105" t="s">
        <v>35</v>
      </c>
      <c r="AO105">
        <v>0.185</v>
      </c>
      <c r="AP105" t="s">
        <v>899</v>
      </c>
      <c r="AQ105">
        <v>1</v>
      </c>
      <c r="AR105" t="s">
        <v>539</v>
      </c>
      <c r="AS105" t="s">
        <v>900</v>
      </c>
      <c r="AT105">
        <v>2</v>
      </c>
      <c r="AV105" s="9"/>
      <c r="AX105">
        <f t="shared" ca="1" si="3"/>
        <v>28</v>
      </c>
    </row>
    <row r="106" spans="1:51">
      <c r="A106">
        <v>27205179</v>
      </c>
      <c r="B106" s="4" t="str">
        <f>HYPERLINK("http://locmedia.nwmls.com/DO_NOT_LINK/bigphoto/179/27205179.jpg?tsp=20071122124033","Active")</f>
        <v>Active</v>
      </c>
      <c r="C106">
        <v>710</v>
      </c>
      <c r="D106" t="s">
        <v>686</v>
      </c>
      <c r="E106" t="s">
        <v>886</v>
      </c>
      <c r="F106" s="5">
        <v>369900</v>
      </c>
      <c r="G106" t="s">
        <v>460</v>
      </c>
      <c r="H106">
        <v>1580</v>
      </c>
      <c r="I106">
        <v>8514</v>
      </c>
      <c r="J106">
        <v>3</v>
      </c>
      <c r="K106">
        <v>1.75</v>
      </c>
      <c r="L106">
        <v>1</v>
      </c>
      <c r="M106" s="4" t="str">
        <f>HYPERLINK("http://locsearch.nwmls.com//ReturnMap.aspx?hidMLS=NWML&amp;VHW=47.728311:-122.296442:.25:&amp;Z=4&amp;H=300&amp;W=400&amp;PP=47.728311:-122.296442:1:027205179","Map")</f>
        <v>Map</v>
      </c>
      <c r="N106" s="4" t="str">
        <f>HYPERLINK("http://locmedia.nwmls.com/DO_NOT_LINK/bigphoto/179/27205179.jpg?tsp=20071122124033","Photo")</f>
        <v>Photo</v>
      </c>
      <c r="O106" s="4" t="str">
        <f>HYPERLINK("http://locator.nwmls.com/scripts/mgrqispi.dll?APPNAME=Locator&amp;PRGNAME=MLSPictureDescriptions&amp;ARGUMENTS=-N803307864,-N27205179,-AE","More")</f>
        <v>More</v>
      </c>
      <c r="Q106" t="s">
        <v>42</v>
      </c>
      <c r="R106" t="s">
        <v>23</v>
      </c>
      <c r="S106" t="s">
        <v>887</v>
      </c>
      <c r="T106" t="s">
        <v>25</v>
      </c>
      <c r="U106" t="s">
        <v>26</v>
      </c>
      <c r="V106" s="6" t="s">
        <v>59</v>
      </c>
      <c r="X106" t="s">
        <v>27</v>
      </c>
      <c r="Y106" t="s">
        <v>28</v>
      </c>
      <c r="Z106" t="s">
        <v>96</v>
      </c>
      <c r="AA106" t="s">
        <v>888</v>
      </c>
      <c r="AB106">
        <v>2007</v>
      </c>
      <c r="AC106">
        <v>2724</v>
      </c>
      <c r="AD106" t="s">
        <v>889</v>
      </c>
      <c r="AE106" t="s">
        <v>890</v>
      </c>
      <c r="AF106" t="s">
        <v>891</v>
      </c>
      <c r="AG106">
        <v>47.728310999999998</v>
      </c>
      <c r="AH106">
        <v>-122.296442</v>
      </c>
      <c r="AI106" t="s">
        <v>33</v>
      </c>
      <c r="AJ106">
        <v>98125</v>
      </c>
      <c r="AK106" t="s">
        <v>34</v>
      </c>
      <c r="AL106">
        <v>6</v>
      </c>
      <c r="AM106" t="s">
        <v>35</v>
      </c>
      <c r="AO106">
        <v>0.19500000000000001</v>
      </c>
      <c r="AP106" t="s">
        <v>892</v>
      </c>
      <c r="AQ106">
        <v>505</v>
      </c>
      <c r="AR106" t="s">
        <v>189</v>
      </c>
      <c r="AS106" t="s">
        <v>893</v>
      </c>
      <c r="AT106">
        <v>4</v>
      </c>
      <c r="AU106" t="s">
        <v>943</v>
      </c>
      <c r="AV106" s="9">
        <v>39347</v>
      </c>
      <c r="AW106">
        <v>64</v>
      </c>
      <c r="AX106">
        <f t="shared" ca="1" si="3"/>
        <v>86</v>
      </c>
      <c r="AY106" t="s">
        <v>920</v>
      </c>
    </row>
  </sheetData>
  <sortState ref="A2:AY106">
    <sortCondition ref="A2:A106"/>
  </sortState>
  <conditionalFormatting sqref="A1:A106">
    <cfRule type="expression" dxfId="1" priority="2">
      <formula>ISBLANK($AT1)</formula>
    </cfRule>
  </conditionalFormatting>
  <conditionalFormatting sqref="AX2:AX1048576">
    <cfRule type="expression" dxfId="0" priority="1">
      <formula>ISBLANK(AV2)</formula>
    </cfRule>
  </conditionalFormatting>
  <pageMargins left="0.7" right="0.7" top="0.75" bottom="0.75" header="0.3" footer="0.3"/>
  <pageSetup orientation="portrait" horizontalDpi="120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Tracking</vt:lpstr>
      <vt:lpstr>Configuration</vt:lpstr>
      <vt:lpstr>Ratings</vt:lpstr>
      <vt:lpstr>Houses</vt:lpstr>
      <vt:lpstr>Backup 12_1_07</vt:lpstr>
      <vt:lpstr>Backup</vt:lpstr>
      <vt:lpstr>backup</vt:lpstr>
      <vt:lpstr>cfgFilePath</vt:lpstr>
      <vt:lpstr>cfgFileSpec</vt:lpstr>
      <vt:lpstr>cfgQueryList</vt:lpstr>
      <vt:lpstr>cfgWindermereQueries</vt:lpstr>
      <vt:lpstr>tmpHouseResults</vt:lpstr>
      <vt:lpstr>Tracking!tmpTrackingResults</vt:lpstr>
    </vt:vector>
  </TitlesOfParts>
  <Company>Microsoft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Smith</dc:creator>
  <cp:lastModifiedBy>Dave Smith</cp:lastModifiedBy>
  <dcterms:created xsi:type="dcterms:W3CDTF">2007-11-25T18:03:47Z</dcterms:created>
  <dcterms:modified xsi:type="dcterms:W3CDTF">2007-12-18T06:49:03Z</dcterms:modified>
</cp:coreProperties>
</file>